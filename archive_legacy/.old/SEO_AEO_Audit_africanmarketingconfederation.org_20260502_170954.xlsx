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F44521C9-D70D-4193-BD0A-561C5EE2CE0C}" xr6:coauthVersionLast="47" xr6:coauthVersionMax="47" xr10:uidLastSave="{00000000-0000-0000-0000-000000000000}"/>
  <bookViews>
    <workbookView xWindow="-120" yWindow="-120" windowWidth="29040" windowHeight="16440" activeTab="1" xr2:uid="{00000000-000D-0000-FFFF-FFFF00000000}"/>
  </bookViews>
  <sheets>
    <sheet name="Table of Contents" sheetId="1" r:id="rId1"/>
    <sheet name="Dashboard" sheetId="2" r:id="rId2"/>
    <sheet name="Content Optimization Hub" sheetId="3" r:id="rId3"/>
    <sheet name="Quick Reference Guide" sheetId="4" r:id="rId4"/>
    <sheet name="FixPlan" sheetId="5" r:id="rId5"/>
    <sheet name="Main" sheetId="6" r:id="rId6"/>
    <sheet name="Technical" sheetId="7" r:id="rId7"/>
    <sheet name="Content" sheetId="8" r:id="rId8"/>
    <sheet name="AEO" sheetId="9" r:id="rId9"/>
    <sheet name="Schema &amp; Metadata" sheetId="10" r:id="rId10"/>
    <sheet name="Links" sheetId="11" r:id="rId11"/>
    <sheet name="Indexability" sheetId="12" r:id="rId12"/>
    <sheet name="Redirects" sheetId="13" r:id="rId13"/>
    <sheet name="Priority URLs" sheetId="14" r:id="rId14"/>
    <sheet name="AIOSEO" sheetId="15" r:id="rId15"/>
    <sheet name="Security" sheetId="16" r:id="rId16"/>
    <sheet name="Summary" sheetId="17" r:id="rId17"/>
    <sheet name="LinksDetail" sheetId="18" r:id="rId18"/>
    <sheet name="Media" sheetId="19" r:id="rId19"/>
    <sheet name="Duplicates" sheetId="20" r:id="rId20"/>
    <sheet name="Pattern and Template Issues" sheetId="21" r:id="rId21"/>
    <sheet name="PSI Performance" sheetId="22" r:id="rId22"/>
    <sheet name="IssueInventory" sheetId="23" r:id="rId23"/>
    <sheet name="CrawlGraph" sheetId="24" r:id="rId24"/>
    <sheet name="SitemapQA" sheetId="25" r:id="rId25"/>
    <sheet name="DeltaFromPreviousRun" sheetId="26" state="hidden" r:id="rId26"/>
    <sheet name="RunMetadata" sheetId="27" state="hidden" r:id="rId27"/>
    <sheet name="ResolvedIssues" sheetId="28" r:id="rId28"/>
    <sheet name="Glossary &amp; Legend" sheetId="29" r:id="rId29"/>
  </sheets>
  <definedNames>
    <definedName name="_xlnm._FilterDatabase" localSheetId="8" hidden="1">AEO!$A$1:$S$86</definedName>
    <definedName name="_xlnm._FilterDatabase" localSheetId="14" hidden="1">AIOSEO!$A$1:$U$779</definedName>
    <definedName name="_xlnm._FilterDatabase" localSheetId="7" hidden="1">Content!$A$1:$N$86</definedName>
    <definedName name="_xlnm._FilterDatabase" localSheetId="2" hidden="1">'Content Optimization Hub'!$A$2:$Y$17</definedName>
    <definedName name="_xlnm._FilterDatabase" localSheetId="23" hidden="1">CrawlGraph!$A$1:$H$86</definedName>
    <definedName name="_xlnm._FilterDatabase" localSheetId="1" hidden="1">Dashboard!$A$1:$K$69</definedName>
    <definedName name="_xlnm._FilterDatabase" localSheetId="19" hidden="1">Duplicates!$A$1:$G$86</definedName>
    <definedName name="_xlnm._FilterDatabase" localSheetId="4" hidden="1">FixPlan!$A$1:$AF$35</definedName>
    <definedName name="_xlnm._FilterDatabase" localSheetId="28" hidden="1">'Glossary &amp; Legend'!$A$1:$F$24</definedName>
    <definedName name="_xlnm._FilterDatabase" localSheetId="11" hidden="1">Indexability!$A$1:$M$86</definedName>
    <definedName name="_xlnm._FilterDatabase" localSheetId="22" hidden="1">IssueInventory!$A$1:$K$86</definedName>
    <definedName name="_xlnm._FilterDatabase" localSheetId="10" hidden="1">Links!$A$1:$L$86</definedName>
    <definedName name="_xlnm._FilterDatabase" localSheetId="17" hidden="1">LinksDetail!$A$1:$I$4006</definedName>
    <definedName name="_xlnm._FilterDatabase" localSheetId="5" hidden="1">Main!$A$1:$AZ$86</definedName>
    <definedName name="_xlnm._FilterDatabase" localSheetId="18" hidden="1">Media!$A$1:$L$86</definedName>
    <definedName name="_xlnm._FilterDatabase" localSheetId="20" hidden="1">'Pattern and Template Issues'!$A$1:$F$34</definedName>
    <definedName name="_xlnm._FilterDatabase" localSheetId="13" hidden="1">'Priority URLs'!$A$1:$T$86</definedName>
    <definedName name="_xlnm._FilterDatabase" localSheetId="21" hidden="1">'PSI Performance'!$A$1:$H$86</definedName>
    <definedName name="_xlnm._FilterDatabase" localSheetId="3" hidden="1">'Quick Reference Guide'!$A$1:$E$20</definedName>
    <definedName name="_xlnm._FilterDatabase" localSheetId="12" hidden="1">Redirects!$A$1:$J$86</definedName>
    <definedName name="_xlnm._FilterDatabase" localSheetId="9" hidden="1">'Schema &amp; Metadata'!$A$1:$K$86</definedName>
    <definedName name="_xlnm._FilterDatabase" localSheetId="15" hidden="1">Security!$A$1:$M$86</definedName>
    <definedName name="_xlnm._FilterDatabase" localSheetId="24" hidden="1">SitemapQA!$A$1:$Q$86</definedName>
    <definedName name="_xlnm._FilterDatabase" localSheetId="16" hidden="1">Summary!$A$1:$G$64</definedName>
    <definedName name="_xlnm._FilterDatabase" localSheetId="6" hidden="1">Technical!$A$1:$CP$86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8" l="1"/>
  <c r="G86" i="24"/>
  <c r="G85" i="24"/>
  <c r="G84" i="24"/>
  <c r="G83" i="24"/>
  <c r="G82" i="24"/>
  <c r="G81" i="24"/>
  <c r="G80" i="24"/>
  <c r="G79" i="24"/>
  <c r="G78" i="24"/>
  <c r="G77" i="24"/>
  <c r="G76" i="24"/>
  <c r="G75" i="24"/>
  <c r="G74" i="24"/>
  <c r="G73" i="24"/>
  <c r="G72" i="24"/>
  <c r="G71" i="24"/>
  <c r="G70" i="24"/>
  <c r="G69" i="24"/>
  <c r="G68" i="24"/>
  <c r="G67" i="24"/>
  <c r="G66" i="24"/>
  <c r="G65" i="24"/>
  <c r="G64" i="24"/>
  <c r="G63" i="24"/>
  <c r="G62" i="24"/>
  <c r="G61" i="24"/>
  <c r="G60" i="24"/>
  <c r="G59" i="24"/>
  <c r="G58" i="24"/>
  <c r="G57" i="24"/>
  <c r="G56" i="24"/>
  <c r="G55" i="24"/>
  <c r="G54" i="24"/>
  <c r="G53" i="24"/>
  <c r="G52" i="24"/>
  <c r="G51" i="24"/>
  <c r="G50" i="24"/>
  <c r="G49" i="24"/>
  <c r="G48" i="24"/>
  <c r="G47" i="24"/>
  <c r="G46" i="24"/>
  <c r="G45" i="24"/>
  <c r="G44" i="24"/>
  <c r="G43" i="24"/>
  <c r="G42" i="24"/>
  <c r="G41" i="24"/>
  <c r="G40" i="24"/>
  <c r="G39" i="24"/>
  <c r="G38" i="24"/>
  <c r="G37" i="24"/>
  <c r="G36" i="24"/>
  <c r="G35" i="24"/>
  <c r="G34" i="24"/>
  <c r="G33" i="24"/>
  <c r="G32" i="24"/>
  <c r="G31" i="24"/>
  <c r="G30" i="24"/>
  <c r="G29" i="24"/>
  <c r="G28" i="24"/>
  <c r="G27" i="24"/>
  <c r="G26" i="24"/>
  <c r="G25" i="24"/>
  <c r="G24" i="24"/>
  <c r="G23" i="24"/>
  <c r="G22" i="24"/>
  <c r="G21" i="24"/>
  <c r="G20" i="24"/>
  <c r="G19" i="24"/>
  <c r="G18" i="24"/>
  <c r="G17" i="24"/>
  <c r="G16" i="24"/>
  <c r="G15" i="24"/>
  <c r="G14" i="24"/>
  <c r="G13" i="24"/>
  <c r="G12" i="24"/>
  <c r="G11" i="24"/>
  <c r="G10" i="24"/>
  <c r="G9" i="24"/>
  <c r="G8" i="24"/>
  <c r="G7" i="24"/>
  <c r="G6" i="24"/>
  <c r="G5" i="24"/>
  <c r="G4" i="24"/>
  <c r="G3" i="24"/>
  <c r="G2" i="24"/>
  <c r="I86" i="23"/>
  <c r="I85" i="23"/>
  <c r="I84" i="23"/>
  <c r="I83" i="23"/>
  <c r="I82" i="23"/>
  <c r="I81" i="23"/>
  <c r="I80" i="23"/>
  <c r="I79" i="23"/>
  <c r="I78" i="23"/>
  <c r="I77" i="23"/>
  <c r="I76" i="23"/>
  <c r="I75" i="23"/>
  <c r="I74" i="23"/>
  <c r="I73" i="23"/>
  <c r="I72" i="23"/>
  <c r="I71" i="23"/>
  <c r="I70" i="23"/>
  <c r="I69" i="23"/>
  <c r="I68" i="23"/>
  <c r="I67" i="23"/>
  <c r="I66" i="23"/>
  <c r="I65" i="23"/>
  <c r="I64" i="23"/>
  <c r="I63" i="23"/>
  <c r="I62" i="23"/>
  <c r="I61" i="23"/>
  <c r="I60" i="23"/>
  <c r="I59" i="23"/>
  <c r="I58" i="23"/>
  <c r="I57" i="23"/>
  <c r="I56" i="23"/>
  <c r="I55" i="23"/>
  <c r="I54" i="23"/>
  <c r="I53" i="23"/>
  <c r="I52" i="23"/>
  <c r="I51" i="23"/>
  <c r="I50" i="23"/>
  <c r="I49" i="23"/>
  <c r="I48" i="23"/>
  <c r="I47" i="23"/>
  <c r="I46" i="23"/>
  <c r="I45" i="23"/>
  <c r="I44" i="23"/>
  <c r="I43" i="23"/>
  <c r="I42" i="23"/>
  <c r="I41" i="23"/>
  <c r="I40" i="23"/>
  <c r="I39" i="23"/>
  <c r="I38" i="23"/>
  <c r="I37" i="23"/>
  <c r="I36" i="23"/>
  <c r="I35" i="23"/>
  <c r="I34" i="23"/>
  <c r="I33" i="23"/>
  <c r="I32" i="23"/>
  <c r="I31" i="23"/>
  <c r="I30" i="23"/>
  <c r="I29" i="23"/>
  <c r="I28" i="23"/>
  <c r="I27" i="23"/>
  <c r="I26" i="23"/>
  <c r="I25" i="23"/>
  <c r="I24" i="23"/>
  <c r="I23" i="23"/>
  <c r="I22" i="23"/>
  <c r="I21" i="23"/>
  <c r="I20" i="23"/>
  <c r="I19" i="23"/>
  <c r="I18" i="23"/>
  <c r="I17" i="23"/>
  <c r="I16" i="23"/>
  <c r="I15" i="23"/>
  <c r="I14" i="23"/>
  <c r="I13" i="23"/>
  <c r="I12" i="23"/>
  <c r="I11" i="23"/>
  <c r="I10" i="23"/>
  <c r="I9" i="23"/>
  <c r="I8" i="23"/>
  <c r="I7" i="23"/>
  <c r="I6" i="23"/>
  <c r="I5" i="23"/>
  <c r="I4" i="23"/>
  <c r="I3" i="23"/>
  <c r="I2" i="23"/>
  <c r="G86" i="22"/>
  <c r="G85" i="22"/>
  <c r="G84" i="22"/>
  <c r="G83" i="22"/>
  <c r="G82" i="22"/>
  <c r="G81" i="22"/>
  <c r="G80" i="22"/>
  <c r="G79" i="22"/>
  <c r="G78" i="22"/>
  <c r="G77" i="22"/>
  <c r="G76" i="22"/>
  <c r="G75" i="22"/>
  <c r="G74" i="22"/>
  <c r="G73" i="22"/>
  <c r="G72" i="22"/>
  <c r="G71" i="22"/>
  <c r="G70" i="22"/>
  <c r="G69" i="22"/>
  <c r="G68" i="22"/>
  <c r="G67" i="22"/>
  <c r="G66" i="22"/>
  <c r="G65" i="22"/>
  <c r="G64" i="22"/>
  <c r="G63" i="22"/>
  <c r="G62" i="22"/>
  <c r="G61" i="22"/>
  <c r="G60" i="22"/>
  <c r="G59" i="22"/>
  <c r="G58" i="22"/>
  <c r="G57" i="22"/>
  <c r="G56" i="22"/>
  <c r="G55" i="22"/>
  <c r="G54" i="22"/>
  <c r="G53" i="22"/>
  <c r="G52" i="22"/>
  <c r="G51" i="22"/>
  <c r="G50" i="22"/>
  <c r="G49" i="22"/>
  <c r="G48" i="22"/>
  <c r="G47"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G4" i="22"/>
  <c r="G3" i="22"/>
  <c r="G2" i="22"/>
  <c r="F86" i="20"/>
  <c r="F85" i="20"/>
  <c r="F84" i="20"/>
  <c r="F83" i="20"/>
  <c r="F82" i="20"/>
  <c r="F81" i="20"/>
  <c r="F80" i="20"/>
  <c r="F79" i="20"/>
  <c r="F78" i="20"/>
  <c r="F77" i="20"/>
  <c r="F76" i="20"/>
  <c r="F75" i="20"/>
  <c r="F74" i="20"/>
  <c r="F73" i="20"/>
  <c r="F72" i="20"/>
  <c r="F71" i="20"/>
  <c r="F70" i="20"/>
  <c r="F69" i="20"/>
  <c r="F68" i="20"/>
  <c r="F67" i="20"/>
  <c r="F66" i="20"/>
  <c r="F65" i="20"/>
  <c r="F64" i="20"/>
  <c r="F63" i="20"/>
  <c r="F62" i="20"/>
  <c r="F61" i="20"/>
  <c r="F60" i="20"/>
  <c r="F59" i="20"/>
  <c r="F58" i="20"/>
  <c r="F57" i="20"/>
  <c r="F56" i="20"/>
  <c r="F55" i="20"/>
  <c r="F54" i="20"/>
  <c r="F53" i="20"/>
  <c r="F52" i="20"/>
  <c r="F51" i="20"/>
  <c r="F50" i="20"/>
  <c r="F49" i="20"/>
  <c r="F48" i="20"/>
  <c r="F47" i="20"/>
  <c r="F46" i="20"/>
  <c r="F45" i="20"/>
  <c r="F44" i="20"/>
  <c r="F43" i="20"/>
  <c r="F42" i="20"/>
  <c r="F41" i="20"/>
  <c r="F40" i="20"/>
  <c r="F39" i="20"/>
  <c r="F38" i="20"/>
  <c r="F37" i="20"/>
  <c r="F36" i="20"/>
  <c r="F35" i="20"/>
  <c r="F34" i="20"/>
  <c r="F33" i="20"/>
  <c r="F32" i="20"/>
  <c r="F31" i="20"/>
  <c r="F30" i="20"/>
  <c r="F29" i="20"/>
  <c r="F28" i="20"/>
  <c r="F27" i="20"/>
  <c r="F26" i="20"/>
  <c r="F25" i="20"/>
  <c r="F24" i="20"/>
  <c r="F23" i="20"/>
  <c r="F22" i="20"/>
  <c r="F21" i="20"/>
  <c r="F20" i="20"/>
  <c r="F19" i="20"/>
  <c r="F18" i="20"/>
  <c r="F17" i="20"/>
  <c r="F16" i="20"/>
  <c r="F15" i="20"/>
  <c r="F14" i="20"/>
  <c r="F13" i="20"/>
  <c r="F12" i="20"/>
  <c r="F11" i="20"/>
  <c r="F10" i="20"/>
  <c r="F9" i="20"/>
  <c r="F8" i="20"/>
  <c r="F7" i="20"/>
  <c r="F6" i="20"/>
  <c r="F5" i="20"/>
  <c r="F4" i="20"/>
  <c r="F3" i="20"/>
  <c r="F2" i="20"/>
  <c r="K86" i="19"/>
  <c r="K85" i="19"/>
  <c r="K84" i="19"/>
  <c r="K83" i="19"/>
  <c r="K82" i="19"/>
  <c r="K81" i="19"/>
  <c r="K80" i="19"/>
  <c r="K79" i="19"/>
  <c r="K78" i="19"/>
  <c r="K77" i="19"/>
  <c r="K76" i="19"/>
  <c r="K75" i="19"/>
  <c r="K74" i="19"/>
  <c r="K73" i="19"/>
  <c r="K72" i="19"/>
  <c r="K71" i="19"/>
  <c r="K70" i="19"/>
  <c r="K69" i="19"/>
  <c r="K68" i="19"/>
  <c r="K67" i="19"/>
  <c r="K66" i="19"/>
  <c r="K65" i="19"/>
  <c r="K64" i="19"/>
  <c r="K63" i="19"/>
  <c r="K62" i="19"/>
  <c r="K61" i="19"/>
  <c r="K60" i="19"/>
  <c r="K59" i="19"/>
  <c r="K58" i="19"/>
  <c r="K57" i="19"/>
  <c r="K56" i="19"/>
  <c r="K55" i="19"/>
  <c r="K54" i="19"/>
  <c r="K53" i="19"/>
  <c r="K52" i="19"/>
  <c r="K51" i="19"/>
  <c r="K50" i="19"/>
  <c r="K49" i="19"/>
  <c r="K48" i="19"/>
  <c r="K47" i="19"/>
  <c r="K46" i="19"/>
  <c r="K45" i="19"/>
  <c r="K44" i="19"/>
  <c r="K43" i="19"/>
  <c r="K42" i="19"/>
  <c r="K41" i="19"/>
  <c r="K40" i="19"/>
  <c r="K39" i="19"/>
  <c r="K38" i="19"/>
  <c r="K37" i="19"/>
  <c r="K36" i="19"/>
  <c r="K35" i="19"/>
  <c r="K34" i="19"/>
  <c r="K33" i="19"/>
  <c r="K32" i="19"/>
  <c r="K31" i="19"/>
  <c r="K30" i="19"/>
  <c r="K29" i="19"/>
  <c r="K28" i="19"/>
  <c r="K27" i="19"/>
  <c r="K26" i="19"/>
  <c r="K25" i="19"/>
  <c r="K24" i="19"/>
  <c r="K23" i="19"/>
  <c r="K22" i="19"/>
  <c r="K21" i="19"/>
  <c r="K20" i="19"/>
  <c r="K19" i="19"/>
  <c r="K18" i="19"/>
  <c r="K17" i="19"/>
  <c r="K16" i="19"/>
  <c r="K15" i="19"/>
  <c r="K14" i="19"/>
  <c r="K13" i="19"/>
  <c r="K12" i="19"/>
  <c r="K11" i="19"/>
  <c r="K10" i="19"/>
  <c r="K9" i="19"/>
  <c r="K8" i="19"/>
  <c r="K7" i="19"/>
  <c r="K6" i="19"/>
  <c r="K5" i="19"/>
  <c r="K4" i="19"/>
  <c r="K3" i="19"/>
  <c r="K2" i="19"/>
  <c r="L86" i="16"/>
  <c r="L85" i="16"/>
  <c r="L84" i="16"/>
  <c r="L83" i="16"/>
  <c r="L82" i="16"/>
  <c r="L81" i="16"/>
  <c r="L80" i="16"/>
  <c r="L79" i="16"/>
  <c r="L78" i="16"/>
  <c r="L77" i="16"/>
  <c r="L76" i="16"/>
  <c r="L75" i="16"/>
  <c r="L74" i="16"/>
  <c r="L73" i="16"/>
  <c r="L72" i="16"/>
  <c r="L71" i="16"/>
  <c r="L70" i="16"/>
  <c r="L69" i="16"/>
  <c r="L68" i="16"/>
  <c r="L67" i="16"/>
  <c r="L66" i="16"/>
  <c r="L65" i="16"/>
  <c r="L64" i="16"/>
  <c r="L63" i="16"/>
  <c r="L62" i="16"/>
  <c r="L61" i="16"/>
  <c r="L60" i="16"/>
  <c r="L59" i="16"/>
  <c r="L58" i="16"/>
  <c r="L57" i="16"/>
  <c r="L56" i="16"/>
  <c r="L55" i="16"/>
  <c r="L54" i="16"/>
  <c r="L53" i="16"/>
  <c r="L52" i="16"/>
  <c r="L51" i="16"/>
  <c r="L50" i="16"/>
  <c r="L49" i="16"/>
  <c r="L48" i="16"/>
  <c r="L47" i="16"/>
  <c r="L46" i="16"/>
  <c r="L45" i="16"/>
  <c r="L44" i="16"/>
  <c r="L43" i="16"/>
  <c r="L42" i="16"/>
  <c r="L41" i="16"/>
  <c r="L40" i="16"/>
  <c r="L39" i="16"/>
  <c r="L38" i="16"/>
  <c r="L37" i="16"/>
  <c r="L36" i="16"/>
  <c r="L35" i="16"/>
  <c r="L34" i="16"/>
  <c r="L33" i="16"/>
  <c r="L32" i="16"/>
  <c r="L31" i="16"/>
  <c r="L30" i="16"/>
  <c r="L29" i="16"/>
  <c r="L28" i="16"/>
  <c r="L27" i="16"/>
  <c r="L26" i="16"/>
  <c r="L25" i="16"/>
  <c r="L24" i="16"/>
  <c r="L23" i="16"/>
  <c r="L22" i="16"/>
  <c r="L21" i="16"/>
  <c r="L20" i="16"/>
  <c r="L19" i="16"/>
  <c r="L18" i="16"/>
  <c r="L17" i="16"/>
  <c r="L16" i="16"/>
  <c r="L15" i="16"/>
  <c r="L14" i="16"/>
  <c r="L13" i="16"/>
  <c r="L12" i="16"/>
  <c r="L11" i="16"/>
  <c r="L10" i="16"/>
  <c r="L9" i="16"/>
  <c r="L8" i="16"/>
  <c r="L7" i="16"/>
  <c r="L6" i="16"/>
  <c r="L5" i="16"/>
  <c r="L4" i="16"/>
  <c r="L3" i="16"/>
  <c r="L2" i="16"/>
  <c r="T779" i="15"/>
  <c r="S779" i="15"/>
  <c r="T778" i="15"/>
  <c r="S778" i="15"/>
  <c r="T777" i="15"/>
  <c r="S777" i="15"/>
  <c r="T776" i="15"/>
  <c r="S776" i="15"/>
  <c r="T775" i="15"/>
  <c r="S775" i="15"/>
  <c r="T774" i="15"/>
  <c r="S774" i="15"/>
  <c r="T773" i="15"/>
  <c r="S773" i="15"/>
  <c r="T772" i="15"/>
  <c r="S772" i="15"/>
  <c r="T771" i="15"/>
  <c r="S771" i="15"/>
  <c r="T770" i="15"/>
  <c r="S770" i="15"/>
  <c r="T769" i="15"/>
  <c r="S769" i="15"/>
  <c r="T768" i="15"/>
  <c r="S768" i="15"/>
  <c r="T767" i="15"/>
  <c r="S767" i="15"/>
  <c r="T766" i="15"/>
  <c r="S766" i="15"/>
  <c r="T765" i="15"/>
  <c r="S765" i="15"/>
  <c r="T764" i="15"/>
  <c r="S764" i="15"/>
  <c r="T763" i="15"/>
  <c r="S763" i="15"/>
  <c r="T762" i="15"/>
  <c r="S762" i="15"/>
  <c r="T761" i="15"/>
  <c r="S761" i="15"/>
  <c r="T760" i="15"/>
  <c r="S760" i="15"/>
  <c r="T759" i="15"/>
  <c r="S759" i="15"/>
  <c r="T758" i="15"/>
  <c r="S758" i="15"/>
  <c r="T757" i="15"/>
  <c r="S757" i="15"/>
  <c r="T756" i="15"/>
  <c r="S756" i="15"/>
  <c r="T755" i="15"/>
  <c r="S755" i="15"/>
  <c r="T754" i="15"/>
  <c r="S754" i="15"/>
  <c r="T753" i="15"/>
  <c r="S753" i="15"/>
  <c r="T752" i="15"/>
  <c r="S752" i="15"/>
  <c r="T751" i="15"/>
  <c r="S751" i="15"/>
  <c r="T750" i="15"/>
  <c r="S750" i="15"/>
  <c r="T749" i="15"/>
  <c r="S749" i="15"/>
  <c r="T748" i="15"/>
  <c r="S748" i="15"/>
  <c r="T747" i="15"/>
  <c r="S747" i="15"/>
  <c r="T746" i="15"/>
  <c r="S746" i="15"/>
  <c r="T745" i="15"/>
  <c r="S745" i="15"/>
  <c r="T744" i="15"/>
  <c r="S744" i="15"/>
  <c r="T743" i="15"/>
  <c r="S743" i="15"/>
  <c r="T742" i="15"/>
  <c r="S742" i="15"/>
  <c r="T741" i="15"/>
  <c r="S741" i="15"/>
  <c r="T740" i="15"/>
  <c r="S740" i="15"/>
  <c r="T739" i="15"/>
  <c r="S739" i="15"/>
  <c r="T738" i="15"/>
  <c r="S738" i="15"/>
  <c r="T737" i="15"/>
  <c r="S737" i="15"/>
  <c r="T736" i="15"/>
  <c r="S736" i="15"/>
  <c r="T735" i="15"/>
  <c r="S735" i="15"/>
  <c r="T734" i="15"/>
  <c r="S734" i="15"/>
  <c r="T733" i="15"/>
  <c r="S733" i="15"/>
  <c r="T732" i="15"/>
  <c r="S732" i="15"/>
  <c r="T731" i="15"/>
  <c r="S731" i="15"/>
  <c r="T730" i="15"/>
  <c r="S730" i="15"/>
  <c r="T729" i="15"/>
  <c r="S729" i="15"/>
  <c r="T728" i="15"/>
  <c r="S728" i="15"/>
  <c r="T727" i="15"/>
  <c r="S727" i="15"/>
  <c r="T726" i="15"/>
  <c r="S726" i="15"/>
  <c r="T725" i="15"/>
  <c r="S725" i="15"/>
  <c r="T724" i="15"/>
  <c r="S724" i="15"/>
  <c r="T723" i="15"/>
  <c r="S723" i="15"/>
  <c r="T722" i="15"/>
  <c r="S722" i="15"/>
  <c r="T721" i="15"/>
  <c r="S721" i="15"/>
  <c r="T720" i="15"/>
  <c r="S720" i="15"/>
  <c r="T719" i="15"/>
  <c r="S719" i="15"/>
  <c r="T718" i="15"/>
  <c r="S718" i="15"/>
  <c r="T717" i="15"/>
  <c r="S717" i="15"/>
  <c r="T716" i="15"/>
  <c r="S716" i="15"/>
  <c r="T715" i="15"/>
  <c r="S715" i="15"/>
  <c r="T714" i="15"/>
  <c r="S714" i="15"/>
  <c r="T713" i="15"/>
  <c r="S713" i="15"/>
  <c r="T712" i="15"/>
  <c r="S712" i="15"/>
  <c r="T711" i="15"/>
  <c r="S711" i="15"/>
  <c r="T710" i="15"/>
  <c r="S710" i="15"/>
  <c r="T709" i="15"/>
  <c r="S709" i="15"/>
  <c r="T708" i="15"/>
  <c r="S708" i="15"/>
  <c r="T707" i="15"/>
  <c r="S707" i="15"/>
  <c r="T706" i="15"/>
  <c r="S706" i="15"/>
  <c r="T705" i="15"/>
  <c r="S705" i="15"/>
  <c r="T704" i="15"/>
  <c r="S704" i="15"/>
  <c r="T703" i="15"/>
  <c r="S703" i="15"/>
  <c r="T702" i="15"/>
  <c r="S702" i="15"/>
  <c r="T701" i="15"/>
  <c r="S701" i="15"/>
  <c r="T700" i="15"/>
  <c r="S700" i="15"/>
  <c r="T699" i="15"/>
  <c r="S699" i="15"/>
  <c r="T698" i="15"/>
  <c r="S698" i="15"/>
  <c r="T697" i="15"/>
  <c r="S697" i="15"/>
  <c r="T696" i="15"/>
  <c r="S696" i="15"/>
  <c r="T695" i="15"/>
  <c r="S695" i="15"/>
  <c r="T694" i="15"/>
  <c r="S694" i="15"/>
  <c r="T693" i="15"/>
  <c r="S693" i="15"/>
  <c r="T692" i="15"/>
  <c r="S692" i="15"/>
  <c r="T691" i="15"/>
  <c r="S691" i="15"/>
  <c r="T690" i="15"/>
  <c r="S690" i="15"/>
  <c r="T689" i="15"/>
  <c r="S689" i="15"/>
  <c r="T688" i="15"/>
  <c r="S688" i="15"/>
  <c r="T687" i="15"/>
  <c r="S687" i="15"/>
  <c r="T686" i="15"/>
  <c r="S686" i="15"/>
  <c r="T685" i="15"/>
  <c r="S685" i="15"/>
  <c r="T684" i="15"/>
  <c r="S684" i="15"/>
  <c r="T683" i="15"/>
  <c r="S683" i="15"/>
  <c r="T682" i="15"/>
  <c r="S682" i="15"/>
  <c r="T681" i="15"/>
  <c r="S681" i="15"/>
  <c r="T680" i="15"/>
  <c r="S680" i="15"/>
  <c r="T679" i="15"/>
  <c r="S679" i="15"/>
  <c r="T678" i="15"/>
  <c r="S678" i="15"/>
  <c r="T677" i="15"/>
  <c r="S677" i="15"/>
  <c r="T676" i="15"/>
  <c r="S676" i="15"/>
  <c r="T675" i="15"/>
  <c r="S675" i="15"/>
  <c r="T674" i="15"/>
  <c r="S674" i="15"/>
  <c r="T673" i="15"/>
  <c r="S673" i="15"/>
  <c r="T672" i="15"/>
  <c r="S672" i="15"/>
  <c r="T671" i="15"/>
  <c r="S671" i="15"/>
  <c r="T670" i="15"/>
  <c r="S670" i="15"/>
  <c r="T669" i="15"/>
  <c r="S669" i="15"/>
  <c r="T668" i="15"/>
  <c r="S668" i="15"/>
  <c r="T667" i="15"/>
  <c r="S667" i="15"/>
  <c r="T666" i="15"/>
  <c r="S666" i="15"/>
  <c r="T665" i="15"/>
  <c r="S665" i="15"/>
  <c r="T664" i="15"/>
  <c r="S664" i="15"/>
  <c r="T663" i="15"/>
  <c r="S663" i="15"/>
  <c r="T662" i="15"/>
  <c r="S662" i="15"/>
  <c r="T661" i="15"/>
  <c r="S661" i="15"/>
  <c r="T660" i="15"/>
  <c r="S660" i="15"/>
  <c r="T659" i="15"/>
  <c r="S659" i="15"/>
  <c r="T658" i="15"/>
  <c r="S658" i="15"/>
  <c r="T657" i="15"/>
  <c r="S657" i="15"/>
  <c r="T656" i="15"/>
  <c r="S656" i="15"/>
  <c r="T655" i="15"/>
  <c r="S655" i="15"/>
  <c r="T654" i="15"/>
  <c r="S654" i="15"/>
  <c r="T653" i="15"/>
  <c r="S653" i="15"/>
  <c r="T652" i="15"/>
  <c r="S652" i="15"/>
  <c r="T651" i="15"/>
  <c r="S651" i="15"/>
  <c r="T650" i="15"/>
  <c r="S650" i="15"/>
  <c r="T649" i="15"/>
  <c r="S649" i="15"/>
  <c r="T648" i="15"/>
  <c r="S648" i="15"/>
  <c r="T647" i="15"/>
  <c r="S647" i="15"/>
  <c r="T646" i="15"/>
  <c r="S646" i="15"/>
  <c r="T645" i="15"/>
  <c r="S645" i="15"/>
  <c r="T644" i="15"/>
  <c r="S644" i="15"/>
  <c r="T643" i="15"/>
  <c r="S643" i="15"/>
  <c r="T642" i="15"/>
  <c r="S642" i="15"/>
  <c r="T641" i="15"/>
  <c r="S641" i="15"/>
  <c r="T640" i="15"/>
  <c r="S640" i="15"/>
  <c r="T639" i="15"/>
  <c r="S639" i="15"/>
  <c r="T638" i="15"/>
  <c r="S638" i="15"/>
  <c r="T637" i="15"/>
  <c r="S637" i="15"/>
  <c r="T636" i="15"/>
  <c r="S636" i="15"/>
  <c r="T635" i="15"/>
  <c r="S635" i="15"/>
  <c r="T634" i="15"/>
  <c r="S634" i="15"/>
  <c r="T633" i="15"/>
  <c r="S633" i="15"/>
  <c r="T632" i="15"/>
  <c r="S632" i="15"/>
  <c r="T631" i="15"/>
  <c r="S631" i="15"/>
  <c r="T630" i="15"/>
  <c r="S630" i="15"/>
  <c r="T629" i="15"/>
  <c r="S629" i="15"/>
  <c r="T628" i="15"/>
  <c r="S628" i="15"/>
  <c r="T627" i="15"/>
  <c r="S627" i="15"/>
  <c r="T626" i="15"/>
  <c r="S626" i="15"/>
  <c r="T625" i="15"/>
  <c r="S625" i="15"/>
  <c r="T624" i="15"/>
  <c r="S624" i="15"/>
  <c r="T623" i="15"/>
  <c r="S623" i="15"/>
  <c r="T622" i="15"/>
  <c r="S622" i="15"/>
  <c r="T621" i="15"/>
  <c r="S621" i="15"/>
  <c r="T620" i="15"/>
  <c r="S620" i="15"/>
  <c r="T619" i="15"/>
  <c r="S619" i="15"/>
  <c r="T618" i="15"/>
  <c r="S618" i="15"/>
  <c r="T617" i="15"/>
  <c r="S617" i="15"/>
  <c r="T616" i="15"/>
  <c r="S616" i="15"/>
  <c r="T615" i="15"/>
  <c r="S615" i="15"/>
  <c r="T614" i="15"/>
  <c r="S614" i="15"/>
  <c r="T613" i="15"/>
  <c r="S613" i="15"/>
  <c r="T612" i="15"/>
  <c r="S612" i="15"/>
  <c r="T611" i="15"/>
  <c r="S611" i="15"/>
  <c r="T610" i="15"/>
  <c r="S610" i="15"/>
  <c r="T609" i="15"/>
  <c r="S609" i="15"/>
  <c r="T608" i="15"/>
  <c r="S608" i="15"/>
  <c r="T607" i="15"/>
  <c r="S607" i="15"/>
  <c r="T606" i="15"/>
  <c r="S606" i="15"/>
  <c r="T605" i="15"/>
  <c r="S605" i="15"/>
  <c r="T604" i="15"/>
  <c r="S604" i="15"/>
  <c r="T603" i="15"/>
  <c r="S603" i="15"/>
  <c r="T602" i="15"/>
  <c r="S602" i="15"/>
  <c r="T601" i="15"/>
  <c r="S601" i="15"/>
  <c r="T600" i="15"/>
  <c r="S600" i="15"/>
  <c r="T599" i="15"/>
  <c r="S599" i="15"/>
  <c r="T598" i="15"/>
  <c r="S598" i="15"/>
  <c r="T597" i="15"/>
  <c r="S597" i="15"/>
  <c r="T596" i="15"/>
  <c r="S596" i="15"/>
  <c r="T595" i="15"/>
  <c r="S595" i="15"/>
  <c r="T594" i="15"/>
  <c r="S594" i="15"/>
  <c r="T593" i="15"/>
  <c r="S593" i="15"/>
  <c r="T592" i="15"/>
  <c r="S592" i="15"/>
  <c r="T591" i="15"/>
  <c r="S591" i="15"/>
  <c r="T590" i="15"/>
  <c r="S590" i="15"/>
  <c r="T589" i="15"/>
  <c r="S589" i="15"/>
  <c r="T588" i="15"/>
  <c r="S588" i="15"/>
  <c r="T587" i="15"/>
  <c r="S587" i="15"/>
  <c r="T586" i="15"/>
  <c r="S586" i="15"/>
  <c r="T585" i="15"/>
  <c r="S585" i="15"/>
  <c r="T584" i="15"/>
  <c r="S584" i="15"/>
  <c r="T583" i="15"/>
  <c r="S583" i="15"/>
  <c r="T582" i="15"/>
  <c r="S582" i="15"/>
  <c r="T581" i="15"/>
  <c r="S581" i="15"/>
  <c r="T580" i="15"/>
  <c r="S580" i="15"/>
  <c r="T579" i="15"/>
  <c r="S579" i="15"/>
  <c r="T578" i="15"/>
  <c r="S578" i="15"/>
  <c r="T577" i="15"/>
  <c r="S577" i="15"/>
  <c r="T576" i="15"/>
  <c r="S576" i="15"/>
  <c r="T575" i="15"/>
  <c r="S575" i="15"/>
  <c r="T574" i="15"/>
  <c r="S574" i="15"/>
  <c r="T573" i="15"/>
  <c r="S573" i="15"/>
  <c r="T572" i="15"/>
  <c r="S572" i="15"/>
  <c r="T571" i="15"/>
  <c r="S571" i="15"/>
  <c r="T570" i="15"/>
  <c r="S570" i="15"/>
  <c r="T569" i="15"/>
  <c r="S569" i="15"/>
  <c r="T568" i="15"/>
  <c r="S568" i="15"/>
  <c r="T567" i="15"/>
  <c r="S567" i="15"/>
  <c r="T566" i="15"/>
  <c r="S566" i="15"/>
  <c r="T565" i="15"/>
  <c r="S565" i="15"/>
  <c r="T564" i="15"/>
  <c r="S564" i="15"/>
  <c r="T563" i="15"/>
  <c r="S563" i="15"/>
  <c r="T562" i="15"/>
  <c r="S562" i="15"/>
  <c r="T561" i="15"/>
  <c r="S561" i="15"/>
  <c r="T560" i="15"/>
  <c r="S560" i="15"/>
  <c r="T559" i="15"/>
  <c r="S559" i="15"/>
  <c r="T558" i="15"/>
  <c r="S558" i="15"/>
  <c r="T557" i="15"/>
  <c r="S557" i="15"/>
  <c r="T556" i="15"/>
  <c r="S556" i="15"/>
  <c r="T555" i="15"/>
  <c r="S555" i="15"/>
  <c r="T554" i="15"/>
  <c r="S554" i="15"/>
  <c r="T553" i="15"/>
  <c r="S553" i="15"/>
  <c r="T552" i="15"/>
  <c r="S552" i="15"/>
  <c r="T551" i="15"/>
  <c r="S551" i="15"/>
  <c r="T550" i="15"/>
  <c r="S550" i="15"/>
  <c r="T549" i="15"/>
  <c r="S549" i="15"/>
  <c r="T548" i="15"/>
  <c r="S548" i="15"/>
  <c r="T547" i="15"/>
  <c r="S547" i="15"/>
  <c r="T546" i="15"/>
  <c r="S546" i="15"/>
  <c r="T545" i="15"/>
  <c r="S545" i="15"/>
  <c r="T544" i="15"/>
  <c r="S544" i="15"/>
  <c r="T543" i="15"/>
  <c r="S543" i="15"/>
  <c r="T542" i="15"/>
  <c r="S542" i="15"/>
  <c r="T541" i="15"/>
  <c r="S541" i="15"/>
  <c r="T540" i="15"/>
  <c r="S540" i="15"/>
  <c r="T539" i="15"/>
  <c r="S539" i="15"/>
  <c r="T538" i="15"/>
  <c r="S538" i="15"/>
  <c r="T537" i="15"/>
  <c r="S537" i="15"/>
  <c r="T536" i="15"/>
  <c r="S536" i="15"/>
  <c r="T535" i="15"/>
  <c r="S535" i="15"/>
  <c r="T534" i="15"/>
  <c r="S534" i="15"/>
  <c r="T533" i="15"/>
  <c r="S533" i="15"/>
  <c r="T532" i="15"/>
  <c r="S532" i="15"/>
  <c r="T531" i="15"/>
  <c r="S531" i="15"/>
  <c r="T530" i="15"/>
  <c r="S530" i="15"/>
  <c r="T529" i="15"/>
  <c r="S529" i="15"/>
  <c r="T528" i="15"/>
  <c r="S528" i="15"/>
  <c r="T527" i="15"/>
  <c r="S527" i="15"/>
  <c r="T526" i="15"/>
  <c r="S526" i="15"/>
  <c r="T525" i="15"/>
  <c r="S525" i="15"/>
  <c r="T524" i="15"/>
  <c r="S524" i="15"/>
  <c r="T523" i="15"/>
  <c r="S523" i="15"/>
  <c r="T522" i="15"/>
  <c r="S522" i="15"/>
  <c r="T521" i="15"/>
  <c r="S521" i="15"/>
  <c r="T520" i="15"/>
  <c r="S520" i="15"/>
  <c r="T519" i="15"/>
  <c r="S519" i="15"/>
  <c r="T518" i="15"/>
  <c r="S518" i="15"/>
  <c r="T517" i="15"/>
  <c r="S517" i="15"/>
  <c r="T516" i="15"/>
  <c r="S516" i="15"/>
  <c r="T515" i="15"/>
  <c r="S515" i="15"/>
  <c r="T514" i="15"/>
  <c r="S514" i="15"/>
  <c r="T513" i="15"/>
  <c r="S513" i="15"/>
  <c r="T512" i="15"/>
  <c r="S512" i="15"/>
  <c r="T511" i="15"/>
  <c r="S511" i="15"/>
  <c r="T510" i="15"/>
  <c r="S510" i="15"/>
  <c r="T509" i="15"/>
  <c r="S509" i="15"/>
  <c r="T508" i="15"/>
  <c r="S508" i="15"/>
  <c r="T507" i="15"/>
  <c r="S507" i="15"/>
  <c r="T506" i="15"/>
  <c r="S506" i="15"/>
  <c r="T505" i="15"/>
  <c r="S505" i="15"/>
  <c r="T504" i="15"/>
  <c r="S504" i="15"/>
  <c r="T503" i="15"/>
  <c r="S503" i="15"/>
  <c r="T502" i="15"/>
  <c r="S502" i="15"/>
  <c r="T501" i="15"/>
  <c r="S501" i="15"/>
  <c r="T500" i="15"/>
  <c r="S500" i="15"/>
  <c r="T499" i="15"/>
  <c r="S499" i="15"/>
  <c r="T498" i="15"/>
  <c r="S498" i="15"/>
  <c r="T497" i="15"/>
  <c r="S497" i="15"/>
  <c r="T496" i="15"/>
  <c r="S496" i="15"/>
  <c r="T495" i="15"/>
  <c r="S495" i="15"/>
  <c r="T494" i="15"/>
  <c r="S494" i="15"/>
  <c r="T493" i="15"/>
  <c r="S493" i="15"/>
  <c r="T492" i="15"/>
  <c r="S492" i="15"/>
  <c r="T491" i="15"/>
  <c r="S491" i="15"/>
  <c r="T490" i="15"/>
  <c r="S490" i="15"/>
  <c r="T489" i="15"/>
  <c r="S489" i="15"/>
  <c r="T488" i="15"/>
  <c r="S488" i="15"/>
  <c r="T487" i="15"/>
  <c r="S487" i="15"/>
  <c r="T486" i="15"/>
  <c r="S486" i="15"/>
  <c r="T485" i="15"/>
  <c r="S485" i="15"/>
  <c r="T484" i="15"/>
  <c r="S484" i="15"/>
  <c r="T483" i="15"/>
  <c r="S483" i="15"/>
  <c r="T482" i="15"/>
  <c r="S482" i="15"/>
  <c r="T481" i="15"/>
  <c r="S481" i="15"/>
  <c r="T480" i="15"/>
  <c r="S480" i="15"/>
  <c r="T479" i="15"/>
  <c r="S479" i="15"/>
  <c r="T478" i="15"/>
  <c r="S478" i="15"/>
  <c r="T477" i="15"/>
  <c r="S477" i="15"/>
  <c r="T476" i="15"/>
  <c r="S476" i="15"/>
  <c r="T475" i="15"/>
  <c r="S475" i="15"/>
  <c r="T474" i="15"/>
  <c r="S474" i="15"/>
  <c r="T473" i="15"/>
  <c r="S473" i="15"/>
  <c r="T472" i="15"/>
  <c r="S472" i="15"/>
  <c r="T471" i="15"/>
  <c r="S471" i="15"/>
  <c r="T470" i="15"/>
  <c r="S470" i="15"/>
  <c r="T469" i="15"/>
  <c r="S469" i="15"/>
  <c r="T468" i="15"/>
  <c r="S468" i="15"/>
  <c r="T467" i="15"/>
  <c r="S467" i="15"/>
  <c r="T466" i="15"/>
  <c r="S466" i="15"/>
  <c r="T465" i="15"/>
  <c r="S465" i="15"/>
  <c r="T464" i="15"/>
  <c r="S464" i="15"/>
  <c r="T463" i="15"/>
  <c r="S463" i="15"/>
  <c r="T462" i="15"/>
  <c r="S462" i="15"/>
  <c r="T461" i="15"/>
  <c r="S461" i="15"/>
  <c r="T460" i="15"/>
  <c r="S460" i="15"/>
  <c r="T459" i="15"/>
  <c r="S459" i="15"/>
  <c r="T458" i="15"/>
  <c r="S458" i="15"/>
  <c r="T457" i="15"/>
  <c r="S457" i="15"/>
  <c r="T456" i="15"/>
  <c r="S456" i="15"/>
  <c r="T455" i="15"/>
  <c r="S455" i="15"/>
  <c r="T454" i="15"/>
  <c r="S454" i="15"/>
  <c r="T453" i="15"/>
  <c r="S453" i="15"/>
  <c r="T452" i="15"/>
  <c r="S452" i="15"/>
  <c r="T451" i="15"/>
  <c r="S451" i="15"/>
  <c r="T450" i="15"/>
  <c r="S450" i="15"/>
  <c r="T449" i="15"/>
  <c r="S449" i="15"/>
  <c r="T448" i="15"/>
  <c r="S448" i="15"/>
  <c r="T447" i="15"/>
  <c r="S447" i="15"/>
  <c r="T446" i="15"/>
  <c r="S446" i="15"/>
  <c r="T445" i="15"/>
  <c r="S445" i="15"/>
  <c r="T444" i="15"/>
  <c r="S444" i="15"/>
  <c r="T443" i="15"/>
  <c r="S443" i="15"/>
  <c r="T442" i="15"/>
  <c r="S442" i="15"/>
  <c r="T441" i="15"/>
  <c r="S441" i="15"/>
  <c r="T440" i="15"/>
  <c r="S440" i="15"/>
  <c r="T439" i="15"/>
  <c r="S439" i="15"/>
  <c r="T438" i="15"/>
  <c r="S438" i="15"/>
  <c r="T437" i="15"/>
  <c r="S437" i="15"/>
  <c r="T436" i="15"/>
  <c r="S436" i="15"/>
  <c r="T435" i="15"/>
  <c r="S435" i="15"/>
  <c r="T434" i="15"/>
  <c r="S434" i="15"/>
  <c r="T433" i="15"/>
  <c r="S433" i="15"/>
  <c r="T432" i="15"/>
  <c r="S432" i="15"/>
  <c r="T431" i="15"/>
  <c r="S431" i="15"/>
  <c r="T430" i="15"/>
  <c r="S430" i="15"/>
  <c r="T429" i="15"/>
  <c r="S429" i="15"/>
  <c r="T428" i="15"/>
  <c r="S428" i="15"/>
  <c r="T427" i="15"/>
  <c r="S427" i="15"/>
  <c r="T426" i="15"/>
  <c r="S426" i="15"/>
  <c r="T425" i="15"/>
  <c r="S425" i="15"/>
  <c r="T424" i="15"/>
  <c r="S424" i="15"/>
  <c r="T423" i="15"/>
  <c r="S423" i="15"/>
  <c r="T422" i="15"/>
  <c r="S422" i="15"/>
  <c r="T421" i="15"/>
  <c r="S421" i="15"/>
  <c r="T420" i="15"/>
  <c r="S420" i="15"/>
  <c r="T419" i="15"/>
  <c r="S419" i="15"/>
  <c r="T418" i="15"/>
  <c r="S418" i="15"/>
  <c r="T417" i="15"/>
  <c r="S417" i="15"/>
  <c r="T416" i="15"/>
  <c r="S416" i="15"/>
  <c r="T415" i="15"/>
  <c r="S415" i="15"/>
  <c r="T414" i="15"/>
  <c r="S414" i="15"/>
  <c r="T413" i="15"/>
  <c r="S413" i="15"/>
  <c r="T412" i="15"/>
  <c r="S412" i="15"/>
  <c r="T411" i="15"/>
  <c r="S411" i="15"/>
  <c r="T410" i="15"/>
  <c r="S410" i="15"/>
  <c r="T409" i="15"/>
  <c r="S409" i="15"/>
  <c r="T408" i="15"/>
  <c r="S408" i="15"/>
  <c r="T407" i="15"/>
  <c r="S407" i="15"/>
  <c r="T406" i="15"/>
  <c r="S406" i="15"/>
  <c r="T405" i="15"/>
  <c r="S405" i="15"/>
  <c r="T404" i="15"/>
  <c r="S404" i="15"/>
  <c r="T403" i="15"/>
  <c r="S403" i="15"/>
  <c r="T402" i="15"/>
  <c r="S402" i="15"/>
  <c r="T401" i="15"/>
  <c r="S401" i="15"/>
  <c r="T400" i="15"/>
  <c r="S400" i="15"/>
  <c r="T399" i="15"/>
  <c r="S399" i="15"/>
  <c r="T398" i="15"/>
  <c r="S398" i="15"/>
  <c r="T397" i="15"/>
  <c r="S397" i="15"/>
  <c r="T396" i="15"/>
  <c r="S396" i="15"/>
  <c r="T395" i="15"/>
  <c r="S395" i="15"/>
  <c r="T394" i="15"/>
  <c r="S394" i="15"/>
  <c r="T393" i="15"/>
  <c r="S393" i="15"/>
  <c r="T392" i="15"/>
  <c r="S392" i="15"/>
  <c r="T391" i="15"/>
  <c r="S391" i="15"/>
  <c r="T390" i="15"/>
  <c r="S390" i="15"/>
  <c r="T389" i="15"/>
  <c r="S389" i="15"/>
  <c r="T388" i="15"/>
  <c r="S388" i="15"/>
  <c r="T387" i="15"/>
  <c r="S387" i="15"/>
  <c r="T386" i="15"/>
  <c r="S386" i="15"/>
  <c r="T385" i="15"/>
  <c r="S385" i="15"/>
  <c r="T384" i="15"/>
  <c r="S384" i="15"/>
  <c r="T383" i="15"/>
  <c r="S383" i="15"/>
  <c r="T382" i="15"/>
  <c r="S382" i="15"/>
  <c r="T381" i="15"/>
  <c r="S381" i="15"/>
  <c r="T380" i="15"/>
  <c r="S380" i="15"/>
  <c r="T379" i="15"/>
  <c r="S379" i="15"/>
  <c r="T378" i="15"/>
  <c r="S378" i="15"/>
  <c r="T377" i="15"/>
  <c r="S377" i="15"/>
  <c r="T376" i="15"/>
  <c r="S376" i="15"/>
  <c r="T375" i="15"/>
  <c r="S375" i="15"/>
  <c r="T374" i="15"/>
  <c r="S374" i="15"/>
  <c r="T373" i="15"/>
  <c r="S373" i="15"/>
  <c r="T372" i="15"/>
  <c r="S372" i="15"/>
  <c r="T371" i="15"/>
  <c r="S371" i="15"/>
  <c r="T370" i="15"/>
  <c r="S370" i="15"/>
  <c r="T369" i="15"/>
  <c r="S369" i="15"/>
  <c r="T368" i="15"/>
  <c r="S368" i="15"/>
  <c r="T367" i="15"/>
  <c r="S367" i="15"/>
  <c r="T366" i="15"/>
  <c r="S366" i="15"/>
  <c r="T365" i="15"/>
  <c r="S365" i="15"/>
  <c r="T364" i="15"/>
  <c r="S364" i="15"/>
  <c r="T363" i="15"/>
  <c r="S363" i="15"/>
  <c r="T362" i="15"/>
  <c r="S362" i="15"/>
  <c r="T361" i="15"/>
  <c r="S361" i="15"/>
  <c r="T360" i="15"/>
  <c r="S360" i="15"/>
  <c r="T359" i="15"/>
  <c r="S359" i="15"/>
  <c r="T358" i="15"/>
  <c r="S358" i="15"/>
  <c r="T357" i="15"/>
  <c r="S357" i="15"/>
  <c r="T356" i="15"/>
  <c r="S356" i="15"/>
  <c r="T355" i="15"/>
  <c r="S355" i="15"/>
  <c r="T354" i="15"/>
  <c r="S354" i="15"/>
  <c r="T353" i="15"/>
  <c r="S353" i="15"/>
  <c r="T352" i="15"/>
  <c r="S352" i="15"/>
  <c r="T351" i="15"/>
  <c r="S351" i="15"/>
  <c r="T350" i="15"/>
  <c r="S350" i="15"/>
  <c r="T349" i="15"/>
  <c r="S349" i="15"/>
  <c r="T348" i="15"/>
  <c r="S348" i="15"/>
  <c r="T347" i="15"/>
  <c r="S347" i="15"/>
  <c r="T346" i="15"/>
  <c r="S346" i="15"/>
  <c r="T345" i="15"/>
  <c r="S345" i="15"/>
  <c r="T344" i="15"/>
  <c r="S344" i="15"/>
  <c r="T343" i="15"/>
  <c r="S343" i="15"/>
  <c r="T342" i="15"/>
  <c r="S342" i="15"/>
  <c r="T341" i="15"/>
  <c r="S341" i="15"/>
  <c r="T340" i="15"/>
  <c r="S340" i="15"/>
  <c r="T339" i="15"/>
  <c r="S339" i="15"/>
  <c r="T338" i="15"/>
  <c r="S338" i="15"/>
  <c r="T337" i="15"/>
  <c r="S337" i="15"/>
  <c r="T336" i="15"/>
  <c r="S336" i="15"/>
  <c r="T335" i="15"/>
  <c r="S335" i="15"/>
  <c r="T334" i="15"/>
  <c r="S334" i="15"/>
  <c r="T333" i="15"/>
  <c r="S333" i="15"/>
  <c r="T332" i="15"/>
  <c r="S332" i="15"/>
  <c r="T331" i="15"/>
  <c r="S331" i="15"/>
  <c r="T330" i="15"/>
  <c r="S330" i="15"/>
  <c r="T329" i="15"/>
  <c r="S329" i="15"/>
  <c r="T328" i="15"/>
  <c r="S328" i="15"/>
  <c r="T327" i="15"/>
  <c r="S327" i="15"/>
  <c r="T326" i="15"/>
  <c r="S326" i="15"/>
  <c r="T325" i="15"/>
  <c r="S325" i="15"/>
  <c r="T324" i="15"/>
  <c r="S324" i="15"/>
  <c r="T323" i="15"/>
  <c r="S323" i="15"/>
  <c r="T322" i="15"/>
  <c r="S322" i="15"/>
  <c r="T321" i="15"/>
  <c r="S321" i="15"/>
  <c r="T320" i="15"/>
  <c r="S320" i="15"/>
  <c r="T319" i="15"/>
  <c r="S319" i="15"/>
  <c r="T318" i="15"/>
  <c r="S318" i="15"/>
  <c r="T317" i="15"/>
  <c r="S317" i="15"/>
  <c r="T316" i="15"/>
  <c r="S316" i="15"/>
  <c r="T315" i="15"/>
  <c r="S315" i="15"/>
  <c r="T314" i="15"/>
  <c r="S314" i="15"/>
  <c r="T313" i="15"/>
  <c r="S313" i="15"/>
  <c r="T312" i="15"/>
  <c r="S312" i="15"/>
  <c r="T311" i="15"/>
  <c r="S311" i="15"/>
  <c r="T310" i="15"/>
  <c r="S310" i="15"/>
  <c r="T309" i="15"/>
  <c r="S309" i="15"/>
  <c r="T308" i="15"/>
  <c r="S308" i="15"/>
  <c r="T307" i="15"/>
  <c r="S307" i="15"/>
  <c r="T306" i="15"/>
  <c r="S306" i="15"/>
  <c r="T305" i="15"/>
  <c r="S305" i="15"/>
  <c r="T304" i="15"/>
  <c r="S304" i="15"/>
  <c r="T303" i="15"/>
  <c r="S303" i="15"/>
  <c r="T302" i="15"/>
  <c r="S302" i="15"/>
  <c r="T301" i="15"/>
  <c r="S301" i="15"/>
  <c r="T300" i="15"/>
  <c r="S300" i="15"/>
  <c r="T299" i="15"/>
  <c r="S299" i="15"/>
  <c r="T298" i="15"/>
  <c r="S298" i="15"/>
  <c r="T297" i="15"/>
  <c r="S297" i="15"/>
  <c r="T296" i="15"/>
  <c r="S296" i="15"/>
  <c r="T295" i="15"/>
  <c r="S295" i="15"/>
  <c r="T294" i="15"/>
  <c r="S294" i="15"/>
  <c r="T293" i="15"/>
  <c r="S293" i="15"/>
  <c r="T292" i="15"/>
  <c r="S292" i="15"/>
  <c r="T291" i="15"/>
  <c r="S291" i="15"/>
  <c r="T290" i="15"/>
  <c r="S290" i="15"/>
  <c r="T289" i="15"/>
  <c r="S289" i="15"/>
  <c r="T288" i="15"/>
  <c r="S288" i="15"/>
  <c r="T287" i="15"/>
  <c r="S287" i="15"/>
  <c r="T286" i="15"/>
  <c r="S286" i="15"/>
  <c r="T285" i="15"/>
  <c r="S285" i="15"/>
  <c r="T284" i="15"/>
  <c r="S284" i="15"/>
  <c r="T283" i="15"/>
  <c r="S283" i="15"/>
  <c r="T282" i="15"/>
  <c r="S282" i="15"/>
  <c r="T281" i="15"/>
  <c r="S281" i="15"/>
  <c r="T280" i="15"/>
  <c r="S280" i="15"/>
  <c r="T279" i="15"/>
  <c r="S279" i="15"/>
  <c r="T278" i="15"/>
  <c r="S278" i="15"/>
  <c r="T277" i="15"/>
  <c r="S277" i="15"/>
  <c r="T276" i="15"/>
  <c r="S276" i="15"/>
  <c r="T275" i="15"/>
  <c r="S275" i="15"/>
  <c r="T274" i="15"/>
  <c r="S274" i="15"/>
  <c r="T273" i="15"/>
  <c r="S273" i="15"/>
  <c r="T272" i="15"/>
  <c r="S272" i="15"/>
  <c r="T271" i="15"/>
  <c r="S271" i="15"/>
  <c r="T270" i="15"/>
  <c r="S270" i="15"/>
  <c r="T269" i="15"/>
  <c r="S269" i="15"/>
  <c r="T268" i="15"/>
  <c r="S268" i="15"/>
  <c r="T267" i="15"/>
  <c r="S267" i="15"/>
  <c r="T266" i="15"/>
  <c r="S266" i="15"/>
  <c r="T265" i="15"/>
  <c r="S265" i="15"/>
  <c r="T264" i="15"/>
  <c r="S264" i="15"/>
  <c r="T263" i="15"/>
  <c r="S263" i="15"/>
  <c r="T262" i="15"/>
  <c r="S262" i="15"/>
  <c r="T261" i="15"/>
  <c r="S261" i="15"/>
  <c r="T260" i="15"/>
  <c r="S260" i="15"/>
  <c r="T259" i="15"/>
  <c r="S259" i="15"/>
  <c r="T258" i="15"/>
  <c r="S258" i="15"/>
  <c r="T257" i="15"/>
  <c r="S257" i="15"/>
  <c r="T256" i="15"/>
  <c r="S256" i="15"/>
  <c r="T255" i="15"/>
  <c r="S255" i="15"/>
  <c r="T254" i="15"/>
  <c r="S254" i="15"/>
  <c r="T253" i="15"/>
  <c r="S253" i="15"/>
  <c r="T252" i="15"/>
  <c r="S252" i="15"/>
  <c r="T251" i="15"/>
  <c r="S251" i="15"/>
  <c r="T250" i="15"/>
  <c r="S250" i="15"/>
  <c r="T249" i="15"/>
  <c r="S249" i="15"/>
  <c r="T248" i="15"/>
  <c r="S248" i="15"/>
  <c r="T247" i="15"/>
  <c r="S247" i="15"/>
  <c r="T246" i="15"/>
  <c r="S246" i="15"/>
  <c r="T245" i="15"/>
  <c r="S245" i="15"/>
  <c r="T244" i="15"/>
  <c r="S244" i="15"/>
  <c r="T243" i="15"/>
  <c r="S243" i="15"/>
  <c r="T242" i="15"/>
  <c r="S242" i="15"/>
  <c r="T241" i="15"/>
  <c r="S241" i="15"/>
  <c r="T240" i="15"/>
  <c r="S240" i="15"/>
  <c r="T239" i="15"/>
  <c r="S239" i="15"/>
  <c r="T238" i="15"/>
  <c r="S238" i="15"/>
  <c r="T237" i="15"/>
  <c r="S237" i="15"/>
  <c r="T236" i="15"/>
  <c r="S236" i="15"/>
  <c r="T235" i="15"/>
  <c r="S235" i="15"/>
  <c r="T234" i="15"/>
  <c r="S234" i="15"/>
  <c r="T233" i="15"/>
  <c r="S233" i="15"/>
  <c r="T232" i="15"/>
  <c r="S232" i="15"/>
  <c r="T231" i="15"/>
  <c r="S231" i="15"/>
  <c r="T230" i="15"/>
  <c r="S230" i="15"/>
  <c r="T229" i="15"/>
  <c r="S229" i="15"/>
  <c r="T228" i="15"/>
  <c r="S228" i="15"/>
  <c r="T227" i="15"/>
  <c r="S227" i="15"/>
  <c r="T226" i="15"/>
  <c r="S226" i="15"/>
  <c r="T225" i="15"/>
  <c r="S225" i="15"/>
  <c r="T224" i="15"/>
  <c r="S224" i="15"/>
  <c r="T223" i="15"/>
  <c r="S223" i="15"/>
  <c r="T222" i="15"/>
  <c r="S222" i="15"/>
  <c r="T221" i="15"/>
  <c r="S221" i="15"/>
  <c r="T220" i="15"/>
  <c r="S220" i="15"/>
  <c r="T219" i="15"/>
  <c r="S219" i="15"/>
  <c r="T218" i="15"/>
  <c r="S218" i="15"/>
  <c r="T217" i="15"/>
  <c r="S217" i="15"/>
  <c r="T216" i="15"/>
  <c r="S216" i="15"/>
  <c r="T215" i="15"/>
  <c r="S215" i="15"/>
  <c r="T214" i="15"/>
  <c r="S214" i="15"/>
  <c r="T213" i="15"/>
  <c r="S213" i="15"/>
  <c r="T212" i="15"/>
  <c r="S212" i="15"/>
  <c r="T211" i="15"/>
  <c r="S211" i="15"/>
  <c r="T210" i="15"/>
  <c r="S210" i="15"/>
  <c r="T209" i="15"/>
  <c r="S209" i="15"/>
  <c r="T208" i="15"/>
  <c r="S208" i="15"/>
  <c r="T207" i="15"/>
  <c r="S207" i="15"/>
  <c r="T206" i="15"/>
  <c r="S206" i="15"/>
  <c r="T205" i="15"/>
  <c r="S205" i="15"/>
  <c r="T204" i="15"/>
  <c r="S204" i="15"/>
  <c r="T203" i="15"/>
  <c r="S203" i="15"/>
  <c r="T202" i="15"/>
  <c r="S202" i="15"/>
  <c r="T201" i="15"/>
  <c r="S201" i="15"/>
  <c r="T200" i="15"/>
  <c r="S200" i="15"/>
  <c r="T199" i="15"/>
  <c r="S199" i="15"/>
  <c r="T198" i="15"/>
  <c r="S198" i="15"/>
  <c r="T197" i="15"/>
  <c r="S197" i="15"/>
  <c r="T196" i="15"/>
  <c r="S196" i="15"/>
  <c r="T195" i="15"/>
  <c r="S195" i="15"/>
  <c r="T194" i="15"/>
  <c r="S194" i="15"/>
  <c r="T193" i="15"/>
  <c r="S193" i="15"/>
  <c r="T192" i="15"/>
  <c r="S192" i="15"/>
  <c r="T191" i="15"/>
  <c r="S191" i="15"/>
  <c r="T190" i="15"/>
  <c r="S190" i="15"/>
  <c r="T189" i="15"/>
  <c r="S189" i="15"/>
  <c r="T188" i="15"/>
  <c r="S188" i="15"/>
  <c r="T187" i="15"/>
  <c r="S187" i="15"/>
  <c r="T186" i="15"/>
  <c r="S186" i="15"/>
  <c r="T185" i="15"/>
  <c r="S185" i="15"/>
  <c r="T184" i="15"/>
  <c r="S184" i="15"/>
  <c r="T183" i="15"/>
  <c r="S183" i="15"/>
  <c r="T182" i="15"/>
  <c r="S182" i="15"/>
  <c r="T181" i="15"/>
  <c r="S181" i="15"/>
  <c r="T180" i="15"/>
  <c r="S180" i="15"/>
  <c r="T179" i="15"/>
  <c r="S179" i="15"/>
  <c r="T178" i="15"/>
  <c r="S178" i="15"/>
  <c r="T177" i="15"/>
  <c r="S177" i="15"/>
  <c r="T176" i="15"/>
  <c r="S176" i="15"/>
  <c r="T175" i="15"/>
  <c r="S175" i="15"/>
  <c r="T174" i="15"/>
  <c r="S174" i="15"/>
  <c r="T173" i="15"/>
  <c r="S173" i="15"/>
  <c r="T172" i="15"/>
  <c r="S172" i="15"/>
  <c r="T171" i="15"/>
  <c r="S171" i="15"/>
  <c r="T170" i="15"/>
  <c r="S170" i="15"/>
  <c r="T169" i="15"/>
  <c r="S169" i="15"/>
  <c r="T168" i="15"/>
  <c r="S168" i="15"/>
  <c r="T167" i="15"/>
  <c r="S167" i="15"/>
  <c r="T166" i="15"/>
  <c r="S166" i="15"/>
  <c r="T165" i="15"/>
  <c r="S165" i="15"/>
  <c r="T164" i="15"/>
  <c r="S164" i="15"/>
  <c r="T163" i="15"/>
  <c r="S163" i="15"/>
  <c r="T162" i="15"/>
  <c r="S162" i="15"/>
  <c r="T161" i="15"/>
  <c r="S161" i="15"/>
  <c r="T160" i="15"/>
  <c r="S160" i="15"/>
  <c r="T159" i="15"/>
  <c r="S159" i="15"/>
  <c r="T158" i="15"/>
  <c r="S158" i="15"/>
  <c r="T157" i="15"/>
  <c r="S157" i="15"/>
  <c r="T156" i="15"/>
  <c r="S156" i="15"/>
  <c r="T155" i="15"/>
  <c r="S155" i="15"/>
  <c r="T154" i="15"/>
  <c r="S154" i="15"/>
  <c r="T153" i="15"/>
  <c r="S153" i="15"/>
  <c r="T152" i="15"/>
  <c r="S152" i="15"/>
  <c r="T151" i="15"/>
  <c r="S151" i="15"/>
  <c r="T150" i="15"/>
  <c r="S150" i="15"/>
  <c r="T149" i="15"/>
  <c r="S149" i="15"/>
  <c r="T148" i="15"/>
  <c r="S148" i="15"/>
  <c r="T147" i="15"/>
  <c r="S147" i="15"/>
  <c r="T146" i="15"/>
  <c r="S146" i="15"/>
  <c r="T145" i="15"/>
  <c r="S145" i="15"/>
  <c r="T144" i="15"/>
  <c r="S144" i="15"/>
  <c r="T143" i="15"/>
  <c r="S143" i="15"/>
  <c r="T142" i="15"/>
  <c r="S142" i="15"/>
  <c r="T141" i="15"/>
  <c r="S141" i="15"/>
  <c r="T140" i="15"/>
  <c r="S140" i="15"/>
  <c r="T139" i="15"/>
  <c r="S139" i="15"/>
  <c r="T138" i="15"/>
  <c r="S138" i="15"/>
  <c r="T137" i="15"/>
  <c r="S137" i="15"/>
  <c r="T136" i="15"/>
  <c r="S136" i="15"/>
  <c r="T135" i="15"/>
  <c r="S135" i="15"/>
  <c r="T134" i="15"/>
  <c r="S134" i="15"/>
  <c r="T133" i="15"/>
  <c r="S133" i="15"/>
  <c r="T132" i="15"/>
  <c r="S132" i="15"/>
  <c r="T131" i="15"/>
  <c r="S131" i="15"/>
  <c r="T130" i="15"/>
  <c r="S130" i="15"/>
  <c r="T129" i="15"/>
  <c r="S129" i="15"/>
  <c r="T128" i="15"/>
  <c r="S128" i="15"/>
  <c r="T127" i="15"/>
  <c r="S127" i="15"/>
  <c r="T126" i="15"/>
  <c r="S126" i="15"/>
  <c r="T125" i="15"/>
  <c r="S125" i="15"/>
  <c r="T124" i="15"/>
  <c r="S124" i="15"/>
  <c r="T123" i="15"/>
  <c r="S123" i="15"/>
  <c r="T122" i="15"/>
  <c r="S122" i="15"/>
  <c r="T121" i="15"/>
  <c r="S121" i="15"/>
  <c r="T120" i="15"/>
  <c r="S120" i="15"/>
  <c r="T119" i="15"/>
  <c r="S119" i="15"/>
  <c r="T118" i="15"/>
  <c r="S118" i="15"/>
  <c r="T117" i="15"/>
  <c r="S117" i="15"/>
  <c r="T116" i="15"/>
  <c r="S116" i="15"/>
  <c r="T115" i="15"/>
  <c r="S115" i="15"/>
  <c r="T114" i="15"/>
  <c r="S114" i="15"/>
  <c r="T113" i="15"/>
  <c r="S113" i="15"/>
  <c r="T112" i="15"/>
  <c r="S112" i="15"/>
  <c r="T111" i="15"/>
  <c r="S111" i="15"/>
  <c r="T110" i="15"/>
  <c r="S110" i="15"/>
  <c r="T109" i="15"/>
  <c r="S109" i="15"/>
  <c r="T108" i="15"/>
  <c r="S108" i="15"/>
  <c r="T107" i="15"/>
  <c r="S107" i="15"/>
  <c r="T106" i="15"/>
  <c r="S106" i="15"/>
  <c r="T105" i="15"/>
  <c r="S105" i="15"/>
  <c r="T104" i="15"/>
  <c r="S104" i="15"/>
  <c r="T103" i="15"/>
  <c r="S103" i="15"/>
  <c r="T102" i="15"/>
  <c r="S102" i="15"/>
  <c r="T101" i="15"/>
  <c r="S101" i="15"/>
  <c r="T100" i="15"/>
  <c r="S100" i="15"/>
  <c r="T99" i="15"/>
  <c r="S99" i="15"/>
  <c r="T98" i="15"/>
  <c r="S98" i="15"/>
  <c r="T97" i="15"/>
  <c r="S97" i="15"/>
  <c r="T96" i="15"/>
  <c r="S96" i="15"/>
  <c r="T95" i="15"/>
  <c r="S95" i="15"/>
  <c r="T94" i="15"/>
  <c r="S94" i="15"/>
  <c r="T93" i="15"/>
  <c r="S93" i="15"/>
  <c r="T92" i="15"/>
  <c r="S92" i="15"/>
  <c r="T91" i="15"/>
  <c r="S91" i="15"/>
  <c r="T90" i="15"/>
  <c r="S90" i="15"/>
  <c r="T89" i="15"/>
  <c r="S89" i="15"/>
  <c r="T88" i="15"/>
  <c r="S88" i="15"/>
  <c r="T87" i="15"/>
  <c r="S87" i="15"/>
  <c r="T86" i="15"/>
  <c r="S86" i="15"/>
  <c r="T85" i="15"/>
  <c r="S85" i="15"/>
  <c r="T84" i="15"/>
  <c r="S84" i="15"/>
  <c r="T83" i="15"/>
  <c r="S83" i="15"/>
  <c r="T82" i="15"/>
  <c r="S82" i="15"/>
  <c r="T81" i="15"/>
  <c r="S81" i="15"/>
  <c r="T80" i="15"/>
  <c r="S80" i="15"/>
  <c r="T79" i="15"/>
  <c r="S79" i="15"/>
  <c r="T78" i="15"/>
  <c r="S78" i="15"/>
  <c r="T77" i="15"/>
  <c r="S77" i="15"/>
  <c r="T76" i="15"/>
  <c r="S76" i="15"/>
  <c r="T75" i="15"/>
  <c r="S75" i="15"/>
  <c r="T74" i="15"/>
  <c r="S74" i="15"/>
  <c r="T73" i="15"/>
  <c r="S73" i="15"/>
  <c r="T72" i="15"/>
  <c r="S72" i="15"/>
  <c r="T71" i="15"/>
  <c r="S71" i="15"/>
  <c r="T70" i="15"/>
  <c r="S70" i="15"/>
  <c r="T69" i="15"/>
  <c r="S69" i="15"/>
  <c r="T68" i="15"/>
  <c r="S68" i="15"/>
  <c r="T67" i="15"/>
  <c r="S67" i="15"/>
  <c r="T66" i="15"/>
  <c r="S66" i="15"/>
  <c r="T65" i="15"/>
  <c r="S65" i="15"/>
  <c r="T64" i="15"/>
  <c r="S64" i="15"/>
  <c r="T63" i="15"/>
  <c r="S63" i="15"/>
  <c r="T62" i="15"/>
  <c r="S62" i="15"/>
  <c r="T61" i="15"/>
  <c r="S61" i="15"/>
  <c r="T60" i="15"/>
  <c r="S60" i="15"/>
  <c r="T59" i="15"/>
  <c r="S59" i="15"/>
  <c r="T58" i="15"/>
  <c r="S58" i="15"/>
  <c r="T57" i="15"/>
  <c r="S57" i="15"/>
  <c r="T56" i="15"/>
  <c r="S56" i="15"/>
  <c r="T55" i="15"/>
  <c r="S55" i="15"/>
  <c r="T54" i="15"/>
  <c r="S54" i="15"/>
  <c r="T53" i="15"/>
  <c r="S53" i="15"/>
  <c r="T52" i="15"/>
  <c r="S52" i="15"/>
  <c r="T51" i="15"/>
  <c r="S51" i="15"/>
  <c r="T50" i="15"/>
  <c r="S50" i="15"/>
  <c r="T49" i="15"/>
  <c r="S49" i="15"/>
  <c r="T48" i="15"/>
  <c r="S48" i="15"/>
  <c r="T47" i="15"/>
  <c r="S47" i="15"/>
  <c r="T46" i="15"/>
  <c r="S46" i="15"/>
  <c r="T45" i="15"/>
  <c r="S45" i="15"/>
  <c r="T44" i="15"/>
  <c r="S44" i="15"/>
  <c r="T43" i="15"/>
  <c r="S43" i="15"/>
  <c r="T42" i="15"/>
  <c r="S42" i="15"/>
  <c r="T41" i="15"/>
  <c r="S41" i="15"/>
  <c r="T40" i="15"/>
  <c r="S40" i="15"/>
  <c r="T39" i="15"/>
  <c r="S39" i="15"/>
  <c r="T38" i="15"/>
  <c r="S38" i="15"/>
  <c r="T37" i="15"/>
  <c r="S37" i="15"/>
  <c r="T36" i="15"/>
  <c r="S36" i="15"/>
  <c r="T35" i="15"/>
  <c r="S35" i="15"/>
  <c r="T34" i="15"/>
  <c r="S34" i="15"/>
  <c r="T33" i="15"/>
  <c r="S33" i="15"/>
  <c r="T32" i="15"/>
  <c r="S32" i="15"/>
  <c r="T31" i="15"/>
  <c r="S31" i="15"/>
  <c r="T30" i="15"/>
  <c r="S30" i="15"/>
  <c r="T29" i="15"/>
  <c r="S29" i="15"/>
  <c r="T28" i="15"/>
  <c r="S28" i="15"/>
  <c r="T27" i="15"/>
  <c r="S27" i="15"/>
  <c r="T26" i="15"/>
  <c r="S26" i="15"/>
  <c r="T25" i="15"/>
  <c r="S25" i="15"/>
  <c r="T24" i="15"/>
  <c r="S24" i="15"/>
  <c r="T23" i="15"/>
  <c r="S23" i="15"/>
  <c r="T22" i="15"/>
  <c r="S22" i="15"/>
  <c r="T21" i="15"/>
  <c r="S21" i="15"/>
  <c r="T20" i="15"/>
  <c r="S20" i="15"/>
  <c r="T19" i="15"/>
  <c r="S19" i="15"/>
  <c r="T18" i="15"/>
  <c r="S18" i="15"/>
  <c r="T17" i="15"/>
  <c r="S17" i="15"/>
  <c r="T16" i="15"/>
  <c r="S16" i="15"/>
  <c r="T15" i="15"/>
  <c r="S15" i="15"/>
  <c r="T14" i="15"/>
  <c r="S14" i="15"/>
  <c r="T13" i="15"/>
  <c r="S13" i="15"/>
  <c r="T12" i="15"/>
  <c r="S12" i="15"/>
  <c r="T11" i="15"/>
  <c r="S11" i="15"/>
  <c r="T10" i="15"/>
  <c r="S10" i="15"/>
  <c r="T9" i="15"/>
  <c r="S9" i="15"/>
  <c r="T8" i="15"/>
  <c r="S8" i="15"/>
  <c r="T7" i="15"/>
  <c r="S7" i="15"/>
  <c r="T6" i="15"/>
  <c r="S6" i="15"/>
  <c r="T5" i="15"/>
  <c r="S5" i="15"/>
  <c r="T4" i="15"/>
  <c r="S4" i="15"/>
  <c r="T3" i="15"/>
  <c r="S3" i="15"/>
  <c r="T2" i="15"/>
  <c r="S2" i="15"/>
  <c r="S86" i="14"/>
  <c r="R86" i="14"/>
  <c r="S85" i="14"/>
  <c r="R85" i="14"/>
  <c r="S84" i="14"/>
  <c r="R84" i="14"/>
  <c r="S83" i="14"/>
  <c r="R83" i="14"/>
  <c r="S82" i="14"/>
  <c r="R82" i="14"/>
  <c r="S81" i="14"/>
  <c r="R81" i="14"/>
  <c r="S80" i="14"/>
  <c r="R80" i="14"/>
  <c r="S79" i="14"/>
  <c r="R79" i="14"/>
  <c r="S78" i="14"/>
  <c r="R78" i="14"/>
  <c r="S77" i="14"/>
  <c r="R77" i="14"/>
  <c r="S76" i="14"/>
  <c r="R76" i="14"/>
  <c r="S75" i="14"/>
  <c r="R75" i="14"/>
  <c r="S74" i="14"/>
  <c r="R74" i="14"/>
  <c r="S73" i="14"/>
  <c r="R73" i="14"/>
  <c r="S72" i="14"/>
  <c r="R72" i="14"/>
  <c r="S71" i="14"/>
  <c r="R71" i="14"/>
  <c r="S70" i="14"/>
  <c r="R70" i="14"/>
  <c r="S69" i="14"/>
  <c r="R69" i="14"/>
  <c r="S68" i="14"/>
  <c r="R68" i="14"/>
  <c r="S67" i="14"/>
  <c r="R67" i="14"/>
  <c r="S66" i="14"/>
  <c r="R66" i="14"/>
  <c r="S65" i="14"/>
  <c r="R65" i="14"/>
  <c r="S64" i="14"/>
  <c r="R64" i="14"/>
  <c r="S63" i="14"/>
  <c r="R63" i="14"/>
  <c r="S62" i="14"/>
  <c r="R62" i="14"/>
  <c r="S61" i="14"/>
  <c r="R61" i="14"/>
  <c r="S60" i="14"/>
  <c r="R60" i="14"/>
  <c r="S59" i="14"/>
  <c r="R59" i="14"/>
  <c r="S58" i="14"/>
  <c r="R58" i="14"/>
  <c r="S57" i="14"/>
  <c r="R57" i="14"/>
  <c r="S56" i="14"/>
  <c r="R56" i="14"/>
  <c r="S55" i="14"/>
  <c r="R55" i="14"/>
  <c r="S54" i="14"/>
  <c r="R54" i="14"/>
  <c r="S53" i="14"/>
  <c r="R53" i="14"/>
  <c r="S52" i="14"/>
  <c r="R52" i="14"/>
  <c r="S51" i="14"/>
  <c r="R51" i="14"/>
  <c r="S50" i="14"/>
  <c r="R50" i="14"/>
  <c r="S49" i="14"/>
  <c r="R49" i="14"/>
  <c r="S48" i="14"/>
  <c r="R48" i="14"/>
  <c r="S47" i="14"/>
  <c r="R47" i="14"/>
  <c r="S46" i="14"/>
  <c r="R46" i="14"/>
  <c r="S45" i="14"/>
  <c r="R45" i="14"/>
  <c r="S44" i="14"/>
  <c r="R44" i="14"/>
  <c r="S43" i="14"/>
  <c r="R43" i="14"/>
  <c r="S42" i="14"/>
  <c r="R42" i="14"/>
  <c r="S41" i="14"/>
  <c r="R41" i="14"/>
  <c r="S40" i="14"/>
  <c r="R40" i="14"/>
  <c r="S39" i="14"/>
  <c r="R39" i="14"/>
  <c r="S38" i="14"/>
  <c r="R38" i="14"/>
  <c r="S37" i="14"/>
  <c r="R37" i="14"/>
  <c r="S36" i="14"/>
  <c r="R36" i="14"/>
  <c r="S35" i="14"/>
  <c r="R35" i="14"/>
  <c r="S34" i="14"/>
  <c r="R34" i="14"/>
  <c r="S33" i="14"/>
  <c r="R33" i="14"/>
  <c r="S32" i="14"/>
  <c r="R32" i="14"/>
  <c r="S31" i="14"/>
  <c r="R31" i="14"/>
  <c r="S30" i="14"/>
  <c r="R30" i="14"/>
  <c r="S29" i="14"/>
  <c r="R29" i="14"/>
  <c r="S28" i="14"/>
  <c r="R28" i="14"/>
  <c r="S27" i="14"/>
  <c r="R27" i="14"/>
  <c r="S26" i="14"/>
  <c r="R26" i="14"/>
  <c r="S25" i="14"/>
  <c r="R25" i="14"/>
  <c r="S24" i="14"/>
  <c r="R24" i="14"/>
  <c r="S23" i="14"/>
  <c r="R23" i="14"/>
  <c r="S22" i="14"/>
  <c r="R22" i="14"/>
  <c r="S21" i="14"/>
  <c r="R21" i="14"/>
  <c r="S20" i="14"/>
  <c r="R20" i="14"/>
  <c r="S19" i="14"/>
  <c r="R19" i="14"/>
  <c r="S18" i="14"/>
  <c r="R18" i="14"/>
  <c r="S17" i="14"/>
  <c r="R17" i="14"/>
  <c r="S16" i="14"/>
  <c r="R16" i="14"/>
  <c r="S15" i="14"/>
  <c r="R15" i="14"/>
  <c r="S14" i="14"/>
  <c r="R14" i="14"/>
  <c r="S13" i="14"/>
  <c r="R13" i="14"/>
  <c r="S12" i="14"/>
  <c r="R12" i="14"/>
  <c r="S11" i="14"/>
  <c r="R11" i="14"/>
  <c r="S10" i="14"/>
  <c r="R10" i="14"/>
  <c r="S9" i="14"/>
  <c r="R9" i="14"/>
  <c r="S8" i="14"/>
  <c r="R8" i="14"/>
  <c r="S7" i="14"/>
  <c r="R7" i="14"/>
  <c r="S6" i="14"/>
  <c r="R6" i="14"/>
  <c r="S5" i="14"/>
  <c r="R5" i="14"/>
  <c r="S4" i="14"/>
  <c r="R4" i="14"/>
  <c r="S3" i="14"/>
  <c r="R3" i="14"/>
  <c r="S2" i="14"/>
  <c r="R2" i="14"/>
  <c r="I86" i="13"/>
  <c r="I85" i="13"/>
  <c r="I84" i="13"/>
  <c r="I83" i="13"/>
  <c r="I82" i="13"/>
  <c r="I81" i="13"/>
  <c r="I80" i="13"/>
  <c r="I79" i="13"/>
  <c r="I78" i="13"/>
  <c r="I77" i="13"/>
  <c r="I76" i="13"/>
  <c r="I75" i="13"/>
  <c r="I74" i="13"/>
  <c r="I73" i="13"/>
  <c r="I72" i="13"/>
  <c r="I71" i="13"/>
  <c r="I70" i="13"/>
  <c r="I69" i="13"/>
  <c r="I68" i="13"/>
  <c r="I67" i="13"/>
  <c r="I66" i="13"/>
  <c r="I65" i="13"/>
  <c r="I64" i="13"/>
  <c r="I63" i="13"/>
  <c r="I62" i="13"/>
  <c r="I61" i="13"/>
  <c r="I60" i="13"/>
  <c r="I59" i="13"/>
  <c r="I58" i="13"/>
  <c r="I57" i="13"/>
  <c r="I56" i="13"/>
  <c r="I55" i="13"/>
  <c r="I54" i="13"/>
  <c r="I53" i="13"/>
  <c r="I52" i="13"/>
  <c r="I51" i="13"/>
  <c r="I50" i="13"/>
  <c r="I49" i="13"/>
  <c r="I48" i="13"/>
  <c r="I47" i="13"/>
  <c r="I46" i="13"/>
  <c r="I45" i="13"/>
  <c r="I44" i="13"/>
  <c r="I43" i="13"/>
  <c r="I42" i="13"/>
  <c r="I41" i="13"/>
  <c r="I40" i="13"/>
  <c r="I39" i="13"/>
  <c r="I38" i="13"/>
  <c r="I37" i="13"/>
  <c r="I36" i="13"/>
  <c r="I35" i="13"/>
  <c r="I34" i="13"/>
  <c r="I33" i="13"/>
  <c r="I32" i="13"/>
  <c r="I31" i="13"/>
  <c r="I30" i="13"/>
  <c r="I29" i="13"/>
  <c r="I28" i="13"/>
  <c r="I27" i="13"/>
  <c r="I26" i="13"/>
  <c r="I25" i="13"/>
  <c r="I24" i="13"/>
  <c r="I23" i="13"/>
  <c r="I22" i="13"/>
  <c r="I21" i="13"/>
  <c r="I20" i="13"/>
  <c r="I19" i="13"/>
  <c r="I18" i="13"/>
  <c r="I17" i="13"/>
  <c r="I16" i="13"/>
  <c r="I15" i="13"/>
  <c r="I14" i="13"/>
  <c r="I13" i="13"/>
  <c r="I12" i="13"/>
  <c r="I11" i="13"/>
  <c r="I10" i="13"/>
  <c r="I9" i="13"/>
  <c r="I8" i="13"/>
  <c r="I7" i="13"/>
  <c r="I6" i="13"/>
  <c r="I5" i="13"/>
  <c r="I4" i="13"/>
  <c r="I3" i="13"/>
  <c r="I2" i="13"/>
  <c r="L86" i="12"/>
  <c r="L85" i="12"/>
  <c r="L84" i="12"/>
  <c r="L83" i="12"/>
  <c r="L82" i="12"/>
  <c r="L81" i="12"/>
  <c r="L80" i="12"/>
  <c r="L79" i="12"/>
  <c r="L78" i="12"/>
  <c r="L77" i="12"/>
  <c r="L76" i="12"/>
  <c r="L75" i="12"/>
  <c r="L74" i="12"/>
  <c r="L73" i="12"/>
  <c r="L72" i="12"/>
  <c r="L71" i="12"/>
  <c r="L70" i="12"/>
  <c r="L69" i="12"/>
  <c r="L68" i="12"/>
  <c r="L67" i="12"/>
  <c r="L66" i="12"/>
  <c r="L65" i="12"/>
  <c r="L64" i="12"/>
  <c r="L63" i="12"/>
  <c r="L62" i="12"/>
  <c r="L61" i="12"/>
  <c r="L60" i="12"/>
  <c r="L59" i="12"/>
  <c r="L58" i="12"/>
  <c r="L57" i="12"/>
  <c r="L56" i="12"/>
  <c r="L55" i="12"/>
  <c r="L54" i="12"/>
  <c r="L53" i="12"/>
  <c r="L52" i="12"/>
  <c r="L51" i="12"/>
  <c r="L50" i="12"/>
  <c r="L49" i="12"/>
  <c r="L48"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8" i="12"/>
  <c r="L7" i="12"/>
  <c r="L6" i="12"/>
  <c r="L5" i="12"/>
  <c r="L4" i="12"/>
  <c r="L3" i="12"/>
  <c r="L2" i="12"/>
  <c r="K86" i="11"/>
  <c r="K85" i="11"/>
  <c r="K84" i="11"/>
  <c r="K83" i="11"/>
  <c r="K82" i="11"/>
  <c r="K81" i="11"/>
  <c r="K80" i="11"/>
  <c r="K79" i="11"/>
  <c r="K78" i="11"/>
  <c r="K77" i="11"/>
  <c r="K76" i="11"/>
  <c r="K75" i="11"/>
  <c r="K74" i="11"/>
  <c r="K73" i="11"/>
  <c r="K72" i="11"/>
  <c r="K71" i="11"/>
  <c r="K70" i="11"/>
  <c r="K69" i="11"/>
  <c r="K68" i="11"/>
  <c r="K67" i="11"/>
  <c r="K66" i="11"/>
  <c r="K65" i="11"/>
  <c r="K64" i="11"/>
  <c r="K63" i="11"/>
  <c r="K62" i="11"/>
  <c r="K61" i="11"/>
  <c r="K60" i="11"/>
  <c r="K59" i="11"/>
  <c r="K58" i="11"/>
  <c r="K57" i="11"/>
  <c r="K56" i="11"/>
  <c r="K55" i="11"/>
  <c r="K54" i="11"/>
  <c r="K53" i="11"/>
  <c r="K52" i="11"/>
  <c r="K51" i="11"/>
  <c r="K50" i="11"/>
  <c r="K49" i="11"/>
  <c r="K48" i="11"/>
  <c r="K47" i="11"/>
  <c r="K46" i="11"/>
  <c r="K45" i="11"/>
  <c r="K44" i="11"/>
  <c r="K43" i="11"/>
  <c r="K42" i="11"/>
  <c r="K41" i="11"/>
  <c r="K40" i="11"/>
  <c r="K39" i="11"/>
  <c r="K38" i="11"/>
  <c r="K37" i="11"/>
  <c r="K36" i="11"/>
  <c r="K35" i="11"/>
  <c r="K34" i="11"/>
  <c r="K33" i="11"/>
  <c r="K32" i="11"/>
  <c r="K31" i="11"/>
  <c r="K30" i="11"/>
  <c r="K29" i="11"/>
  <c r="K28" i="11"/>
  <c r="K27" i="11"/>
  <c r="K26" i="11"/>
  <c r="K25" i="11"/>
  <c r="K24" i="11"/>
  <c r="K23" i="11"/>
  <c r="K22" i="11"/>
  <c r="K21" i="11"/>
  <c r="K20" i="11"/>
  <c r="K19" i="11"/>
  <c r="K18" i="11"/>
  <c r="K17" i="11"/>
  <c r="K16" i="11"/>
  <c r="K15" i="11"/>
  <c r="K14" i="11"/>
  <c r="K13" i="11"/>
  <c r="K12" i="11"/>
  <c r="K11" i="11"/>
  <c r="K10" i="11"/>
  <c r="K9" i="11"/>
  <c r="K8" i="11"/>
  <c r="K7" i="11"/>
  <c r="K6" i="11"/>
  <c r="K5" i="11"/>
  <c r="K4" i="11"/>
  <c r="K3" i="11"/>
  <c r="K2" i="11"/>
  <c r="J86" i="10"/>
  <c r="J85" i="10"/>
  <c r="J84" i="10"/>
  <c r="J83" i="10"/>
  <c r="J82" i="10"/>
  <c r="J81" i="10"/>
  <c r="J80" i="10"/>
  <c r="J79" i="10"/>
  <c r="J78" i="10"/>
  <c r="J77" i="10"/>
  <c r="J76" i="10"/>
  <c r="J75" i="10"/>
  <c r="J74" i="10"/>
  <c r="J73" i="10"/>
  <c r="J72" i="10"/>
  <c r="J71" i="10"/>
  <c r="J70" i="10"/>
  <c r="J69" i="10"/>
  <c r="J68" i="10"/>
  <c r="J67" i="10"/>
  <c r="J66" i="10"/>
  <c r="J65" i="10"/>
  <c r="J64" i="10"/>
  <c r="J63" i="10"/>
  <c r="J62" i="10"/>
  <c r="J61" i="10"/>
  <c r="J60" i="10"/>
  <c r="J59" i="10"/>
  <c r="J58" i="10"/>
  <c r="J57" i="10"/>
  <c r="J56" i="10"/>
  <c r="J55" i="10"/>
  <c r="J54" i="10"/>
  <c r="J53" i="10"/>
  <c r="J52" i="10"/>
  <c r="J51" i="10"/>
  <c r="J50" i="10"/>
  <c r="J49" i="10"/>
  <c r="J48" i="10"/>
  <c r="J47" i="10"/>
  <c r="J46" i="10"/>
  <c r="J45" i="10"/>
  <c r="J44" i="10"/>
  <c r="J43" i="10"/>
  <c r="J42" i="10"/>
  <c r="J41" i="10"/>
  <c r="J40" i="10"/>
  <c r="J39" i="10"/>
  <c r="J38" i="10"/>
  <c r="J37" i="10"/>
  <c r="J36" i="10"/>
  <c r="J35" i="10"/>
  <c r="J34" i="10"/>
  <c r="J33" i="10"/>
  <c r="J32" i="10"/>
  <c r="J31" i="10"/>
  <c r="J30" i="10"/>
  <c r="J29" i="10"/>
  <c r="J28" i="10"/>
  <c r="J27" i="10"/>
  <c r="J26" i="10"/>
  <c r="J25" i="10"/>
  <c r="J24" i="10"/>
  <c r="J23" i="10"/>
  <c r="J22" i="10"/>
  <c r="J21" i="10"/>
  <c r="J20" i="10"/>
  <c r="J19" i="10"/>
  <c r="J18" i="10"/>
  <c r="J17" i="10"/>
  <c r="J16" i="10"/>
  <c r="J15" i="10"/>
  <c r="J14" i="10"/>
  <c r="J13" i="10"/>
  <c r="J12" i="10"/>
  <c r="J11" i="10"/>
  <c r="J10" i="10"/>
  <c r="J9" i="10"/>
  <c r="J8" i="10"/>
  <c r="J7" i="10"/>
  <c r="J6" i="10"/>
  <c r="J5" i="10"/>
  <c r="J4" i="10"/>
  <c r="J3" i="10"/>
  <c r="J2" i="10"/>
  <c r="R86" i="9"/>
  <c r="R85" i="9"/>
  <c r="R84" i="9"/>
  <c r="R83" i="9"/>
  <c r="R82" i="9"/>
  <c r="R81" i="9"/>
  <c r="R80" i="9"/>
  <c r="R79" i="9"/>
  <c r="R78" i="9"/>
  <c r="R77" i="9"/>
  <c r="R76" i="9"/>
  <c r="R75" i="9"/>
  <c r="R74" i="9"/>
  <c r="R73" i="9"/>
  <c r="R72" i="9"/>
  <c r="R71" i="9"/>
  <c r="R70" i="9"/>
  <c r="R69" i="9"/>
  <c r="R68" i="9"/>
  <c r="R67" i="9"/>
  <c r="R66" i="9"/>
  <c r="R65" i="9"/>
  <c r="R64" i="9"/>
  <c r="R63" i="9"/>
  <c r="R62" i="9"/>
  <c r="R61" i="9"/>
  <c r="R60" i="9"/>
  <c r="R59" i="9"/>
  <c r="R58" i="9"/>
  <c r="R57" i="9"/>
  <c r="R56" i="9"/>
  <c r="R55" i="9"/>
  <c r="R54" i="9"/>
  <c r="R53" i="9"/>
  <c r="R52" i="9"/>
  <c r="R51" i="9"/>
  <c r="R50" i="9"/>
  <c r="R49" i="9"/>
  <c r="R48" i="9"/>
  <c r="R47" i="9"/>
  <c r="R46" i="9"/>
  <c r="R45" i="9"/>
  <c r="R44" i="9"/>
  <c r="R43" i="9"/>
  <c r="R42" i="9"/>
  <c r="R41" i="9"/>
  <c r="R40" i="9"/>
  <c r="R39" i="9"/>
  <c r="R38" i="9"/>
  <c r="R37" i="9"/>
  <c r="R36" i="9"/>
  <c r="R35" i="9"/>
  <c r="R34" i="9"/>
  <c r="R33" i="9"/>
  <c r="R32" i="9"/>
  <c r="R31" i="9"/>
  <c r="R30" i="9"/>
  <c r="R29" i="9"/>
  <c r="R28" i="9"/>
  <c r="R27" i="9"/>
  <c r="R26" i="9"/>
  <c r="R25" i="9"/>
  <c r="R24" i="9"/>
  <c r="R23" i="9"/>
  <c r="R22" i="9"/>
  <c r="R21" i="9"/>
  <c r="R20" i="9"/>
  <c r="R19" i="9"/>
  <c r="R18" i="9"/>
  <c r="R17" i="9"/>
  <c r="R16" i="9"/>
  <c r="R15" i="9"/>
  <c r="R14" i="9"/>
  <c r="R13" i="9"/>
  <c r="R12" i="9"/>
  <c r="R11" i="9"/>
  <c r="R10" i="9"/>
  <c r="R9" i="9"/>
  <c r="R8" i="9"/>
  <c r="R7" i="9"/>
  <c r="R6" i="9"/>
  <c r="R5" i="9"/>
  <c r="R4" i="9"/>
  <c r="R3" i="9"/>
  <c r="R2" i="9"/>
  <c r="M86" i="8"/>
  <c r="M85" i="8"/>
  <c r="M84" i="8"/>
  <c r="M83" i="8"/>
  <c r="M82" i="8"/>
  <c r="M81" i="8"/>
  <c r="M80" i="8"/>
  <c r="M79" i="8"/>
  <c r="M78" i="8"/>
  <c r="M77" i="8"/>
  <c r="M76" i="8"/>
  <c r="M75" i="8"/>
  <c r="M74" i="8"/>
  <c r="M73" i="8"/>
  <c r="M72" i="8"/>
  <c r="M71" i="8"/>
  <c r="M70" i="8"/>
  <c r="M69" i="8"/>
  <c r="M68" i="8"/>
  <c r="M67" i="8"/>
  <c r="M66" i="8"/>
  <c r="M65" i="8"/>
  <c r="M64" i="8"/>
  <c r="M63" i="8"/>
  <c r="M62" i="8"/>
  <c r="M61" i="8"/>
  <c r="M60" i="8"/>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M27" i="8"/>
  <c r="M26" i="8"/>
  <c r="M25" i="8"/>
  <c r="M24" i="8"/>
  <c r="M23" i="8"/>
  <c r="M22" i="8"/>
  <c r="M21" i="8"/>
  <c r="M20" i="8"/>
  <c r="M19" i="8"/>
  <c r="M18" i="8"/>
  <c r="M17" i="8"/>
  <c r="M16" i="8"/>
  <c r="M15" i="8"/>
  <c r="M14" i="8"/>
  <c r="M13" i="8"/>
  <c r="M12" i="8"/>
  <c r="M11" i="8"/>
  <c r="M10" i="8"/>
  <c r="M9" i="8"/>
  <c r="M8" i="8"/>
  <c r="M7" i="8"/>
  <c r="M6" i="8"/>
  <c r="M5" i="8"/>
  <c r="M4" i="8"/>
  <c r="M3" i="8"/>
  <c r="M2" i="8"/>
  <c r="CO86" i="7"/>
  <c r="CO85" i="7"/>
  <c r="CO84" i="7"/>
  <c r="CO83" i="7"/>
  <c r="CO82" i="7"/>
  <c r="CO81" i="7"/>
  <c r="CO80" i="7"/>
  <c r="CO79" i="7"/>
  <c r="CO78" i="7"/>
  <c r="CO77" i="7"/>
  <c r="CO76" i="7"/>
  <c r="CO75" i="7"/>
  <c r="CO74" i="7"/>
  <c r="CO73" i="7"/>
  <c r="CO72" i="7"/>
  <c r="CO71" i="7"/>
  <c r="CO70" i="7"/>
  <c r="CO69" i="7"/>
  <c r="CO68" i="7"/>
  <c r="CO67" i="7"/>
  <c r="CO66" i="7"/>
  <c r="CO65" i="7"/>
  <c r="CO64" i="7"/>
  <c r="CO63" i="7"/>
  <c r="CO62" i="7"/>
  <c r="CO61" i="7"/>
  <c r="CO60" i="7"/>
  <c r="CO59" i="7"/>
  <c r="CO58" i="7"/>
  <c r="CO57" i="7"/>
  <c r="CO56" i="7"/>
  <c r="CO55" i="7"/>
  <c r="CO54" i="7"/>
  <c r="CO53" i="7"/>
  <c r="CO52" i="7"/>
  <c r="CO51" i="7"/>
  <c r="CO50" i="7"/>
  <c r="CO49" i="7"/>
  <c r="CO48" i="7"/>
  <c r="CO47" i="7"/>
  <c r="CO46" i="7"/>
  <c r="CO45" i="7"/>
  <c r="CO44" i="7"/>
  <c r="CO43" i="7"/>
  <c r="CO42" i="7"/>
  <c r="CO41" i="7"/>
  <c r="CO40" i="7"/>
  <c r="CO39" i="7"/>
  <c r="CO38" i="7"/>
  <c r="CO37" i="7"/>
  <c r="CO36" i="7"/>
  <c r="CO35" i="7"/>
  <c r="CO34" i="7"/>
  <c r="CO33" i="7"/>
  <c r="CO32" i="7"/>
  <c r="CO31" i="7"/>
  <c r="CO30" i="7"/>
  <c r="CO29" i="7"/>
  <c r="CO28" i="7"/>
  <c r="CO27" i="7"/>
  <c r="CO26" i="7"/>
  <c r="CO25" i="7"/>
  <c r="CO24" i="7"/>
  <c r="CO23" i="7"/>
  <c r="CO22" i="7"/>
  <c r="CO21" i="7"/>
  <c r="CO20" i="7"/>
  <c r="CO19" i="7"/>
  <c r="CO18" i="7"/>
  <c r="CO17" i="7"/>
  <c r="CO16" i="7"/>
  <c r="CO15" i="7"/>
  <c r="CO14" i="7"/>
  <c r="CO13" i="7"/>
  <c r="CO12" i="7"/>
  <c r="CO11" i="7"/>
  <c r="CO10" i="7"/>
  <c r="CO9" i="7"/>
  <c r="CO8" i="7"/>
  <c r="CO7" i="7"/>
  <c r="CO6" i="7"/>
  <c r="CO5" i="7"/>
  <c r="CO4" i="7"/>
  <c r="CO3" i="7"/>
  <c r="CO2" i="7"/>
  <c r="AY86" i="6"/>
  <c r="AY85" i="6"/>
  <c r="AY84" i="6"/>
  <c r="AY83" i="6"/>
  <c r="AY82" i="6"/>
  <c r="AY81" i="6"/>
  <c r="AY80" i="6"/>
  <c r="AY79" i="6"/>
  <c r="AY78" i="6"/>
  <c r="AY77" i="6"/>
  <c r="AY76" i="6"/>
  <c r="AY75" i="6"/>
  <c r="AY74" i="6"/>
  <c r="AY73" i="6"/>
  <c r="AY72" i="6"/>
  <c r="AY71" i="6"/>
  <c r="AY70" i="6"/>
  <c r="AY69" i="6"/>
  <c r="AY68" i="6"/>
  <c r="AY67" i="6"/>
  <c r="AY66" i="6"/>
  <c r="AY65" i="6"/>
  <c r="AY64" i="6"/>
  <c r="AY63" i="6"/>
  <c r="AY62" i="6"/>
  <c r="AY61" i="6"/>
  <c r="AY60" i="6"/>
  <c r="AY59" i="6"/>
  <c r="AY58" i="6"/>
  <c r="AY57" i="6"/>
  <c r="AY56" i="6"/>
  <c r="AY55" i="6"/>
  <c r="AY54" i="6"/>
  <c r="AY53" i="6"/>
  <c r="AY52" i="6"/>
  <c r="AY51" i="6"/>
  <c r="AY50" i="6"/>
  <c r="AY49" i="6"/>
  <c r="AY48" i="6"/>
  <c r="AY47" i="6"/>
  <c r="AY46" i="6"/>
  <c r="AY45" i="6"/>
  <c r="AY44" i="6"/>
  <c r="AY43" i="6"/>
  <c r="AY42" i="6"/>
  <c r="AY41" i="6"/>
  <c r="AY40" i="6"/>
  <c r="AY39" i="6"/>
  <c r="AY38" i="6"/>
  <c r="AY37" i="6"/>
  <c r="AY36" i="6"/>
  <c r="AY35" i="6"/>
  <c r="AY34" i="6"/>
  <c r="AY33" i="6"/>
  <c r="AY32" i="6"/>
  <c r="AY31" i="6"/>
  <c r="AY30" i="6"/>
  <c r="AY29" i="6"/>
  <c r="AY28" i="6"/>
  <c r="AY27" i="6"/>
  <c r="AY26" i="6"/>
  <c r="AY25" i="6"/>
  <c r="AY24" i="6"/>
  <c r="AY23" i="6"/>
  <c r="AY22" i="6"/>
  <c r="AY21" i="6"/>
  <c r="AY20" i="6"/>
  <c r="AY19" i="6"/>
  <c r="AY18" i="6"/>
  <c r="AY17" i="6"/>
  <c r="AY16" i="6"/>
  <c r="AY15" i="6"/>
  <c r="AY14" i="6"/>
  <c r="AY13" i="6"/>
  <c r="AY12" i="6"/>
  <c r="AY11" i="6"/>
  <c r="AY10" i="6"/>
  <c r="AY9" i="6"/>
  <c r="AY8" i="6"/>
  <c r="AY7" i="6"/>
  <c r="AY6" i="6"/>
  <c r="AY5" i="6"/>
  <c r="AY4" i="6"/>
  <c r="AY3" i="6"/>
  <c r="AY2" i="6"/>
  <c r="AE35" i="5"/>
  <c r="AD35" i="5"/>
  <c r="AE34" i="5"/>
  <c r="AD34" i="5"/>
  <c r="AE33" i="5"/>
  <c r="AD33" i="5"/>
  <c r="AE32" i="5"/>
  <c r="AD32" i="5"/>
  <c r="AE31" i="5"/>
  <c r="AD31" i="5"/>
  <c r="AE30" i="5"/>
  <c r="AD30" i="5"/>
  <c r="AE29" i="5"/>
  <c r="AD29" i="5"/>
  <c r="AE28" i="5"/>
  <c r="AD28" i="5"/>
  <c r="AE27" i="5"/>
  <c r="AD27" i="5"/>
  <c r="AE26" i="5"/>
  <c r="AD26" i="5"/>
  <c r="AE25" i="5"/>
  <c r="AD25" i="5"/>
  <c r="AE24" i="5"/>
  <c r="AD24" i="5"/>
  <c r="AE23" i="5"/>
  <c r="AD23" i="5"/>
  <c r="AE22" i="5"/>
  <c r="AD22" i="5"/>
  <c r="AE21" i="5"/>
  <c r="AD21" i="5"/>
  <c r="AE20" i="5"/>
  <c r="AD20" i="5"/>
  <c r="AE19" i="5"/>
  <c r="AD19" i="5"/>
  <c r="AE18" i="5"/>
  <c r="AD18" i="5"/>
  <c r="AE17" i="5"/>
  <c r="AD17" i="5"/>
  <c r="AE16" i="5"/>
  <c r="AD16" i="5"/>
  <c r="AE15" i="5"/>
  <c r="AD15" i="5"/>
  <c r="AE14" i="5"/>
  <c r="AD14" i="5"/>
  <c r="AE13" i="5"/>
  <c r="AD13" i="5"/>
  <c r="AE12" i="5"/>
  <c r="AD12" i="5"/>
  <c r="AE11" i="5"/>
  <c r="AD11" i="5"/>
  <c r="AE10" i="5"/>
  <c r="AD10" i="5"/>
  <c r="AE9" i="5"/>
  <c r="AD9" i="5"/>
  <c r="AE8" i="5"/>
  <c r="AD8" i="5"/>
  <c r="AE7" i="5"/>
  <c r="AD7" i="5"/>
  <c r="AE6" i="5"/>
  <c r="AD6" i="5"/>
  <c r="AE5" i="5"/>
  <c r="AD5" i="5"/>
  <c r="AE4" i="5"/>
  <c r="AD4" i="5"/>
  <c r="AE3" i="5"/>
  <c r="AD3" i="5"/>
  <c r="AE2" i="5"/>
  <c r="AD2" i="5"/>
  <c r="Y17" i="3"/>
  <c r="T17" i="3"/>
  <c r="Y16" i="3"/>
  <c r="T16" i="3"/>
  <c r="Y15" i="3"/>
  <c r="T15" i="3"/>
  <c r="Y14" i="3"/>
  <c r="T14" i="3"/>
  <c r="Y13" i="3"/>
  <c r="T13" i="3"/>
  <c r="Y12" i="3"/>
  <c r="T12" i="3"/>
  <c r="Y11" i="3"/>
  <c r="T11" i="3"/>
  <c r="Y10" i="3"/>
  <c r="T10" i="3"/>
  <c r="Y9" i="3"/>
  <c r="T9" i="3"/>
  <c r="Y8" i="3"/>
  <c r="T8" i="3"/>
  <c r="Y7" i="3"/>
  <c r="T7" i="3"/>
  <c r="Y6" i="3"/>
  <c r="T6" i="3"/>
  <c r="Y5" i="3"/>
  <c r="T5" i="3"/>
  <c r="Y4" i="3"/>
  <c r="T4" i="3"/>
  <c r="Y3" i="3"/>
  <c r="T3" i="3"/>
  <c r="B49" i="2"/>
  <c r="B48" i="2"/>
  <c r="B47" i="2"/>
  <c r="B46" i="2"/>
  <c r="B45" i="2"/>
  <c r="A19" i="2"/>
  <c r="K18" i="2"/>
  <c r="A18" i="2"/>
  <c r="K17" i="2"/>
  <c r="B17" i="2"/>
  <c r="A17" i="2"/>
  <c r="K16" i="2"/>
  <c r="K15" i="2"/>
  <c r="K14" i="2"/>
  <c r="B14" i="2"/>
  <c r="A14" i="2"/>
  <c r="K13" i="2"/>
  <c r="B13" i="2"/>
  <c r="A13" i="2"/>
  <c r="B12" i="2"/>
  <c r="A12" i="2"/>
  <c r="B11" i="2"/>
  <c r="A11" i="2"/>
  <c r="A10" i="2"/>
  <c r="A9" i="2"/>
  <c r="G8" i="2"/>
  <c r="A8" i="2"/>
  <c r="G7" i="2"/>
  <c r="A7" i="2"/>
  <c r="G6" i="2"/>
  <c r="B6" i="2"/>
  <c r="A6" i="2"/>
  <c r="A5" i="2"/>
  <c r="B30" i="1"/>
  <c r="B29" i="1"/>
  <c r="B28" i="1"/>
  <c r="B27" i="1"/>
  <c r="B26" i="1"/>
  <c r="B25" i="1"/>
  <c r="B24" i="1"/>
  <c r="B23" i="1"/>
  <c r="B22" i="1"/>
  <c r="B21" i="1"/>
  <c r="B20" i="1"/>
  <c r="B19" i="1"/>
  <c r="B18" i="1"/>
  <c r="B17" i="1"/>
  <c r="B16" i="1"/>
  <c r="B15" i="1"/>
  <c r="B14" i="1"/>
  <c r="B13" i="1"/>
  <c r="B12" i="1"/>
  <c r="B11" i="1"/>
  <c r="B10" i="1"/>
  <c r="B9" i="1"/>
  <c r="B8" i="1"/>
  <c r="B7" i="1"/>
  <c r="B6" i="1"/>
  <c r="B5" i="1"/>
  <c r="B4" i="1"/>
  <c r="B3" i="1"/>
  <c r="J81" i="23"/>
  <c r="J65" i="23"/>
  <c r="J49" i="23"/>
  <c r="J33" i="23"/>
  <c r="J17" i="23"/>
  <c r="J80" i="23"/>
  <c r="J64" i="23"/>
  <c r="J48" i="23"/>
  <c r="J32" i="23"/>
  <c r="J16" i="23"/>
  <c r="J79" i="23"/>
  <c r="J63" i="23"/>
  <c r="J47" i="23"/>
  <c r="J31" i="23"/>
  <c r="J15" i="23"/>
  <c r="J78" i="23"/>
  <c r="J62" i="23"/>
  <c r="J46" i="23"/>
  <c r="J30" i="23"/>
  <c r="J14" i="23"/>
  <c r="J77" i="23"/>
  <c r="J61" i="23"/>
  <c r="J45" i="23"/>
  <c r="J29" i="23"/>
  <c r="J13" i="23"/>
  <c r="J76" i="23"/>
  <c r="J60" i="23"/>
  <c r="J44" i="23"/>
  <c r="J28" i="23"/>
  <c r="J12" i="23"/>
  <c r="J75" i="23"/>
  <c r="J59" i="23"/>
  <c r="J43" i="23"/>
  <c r="J27" i="23"/>
  <c r="J11" i="23"/>
  <c r="J74" i="23"/>
  <c r="J58" i="23"/>
  <c r="J42" i="23"/>
  <c r="J26" i="23"/>
  <c r="J10" i="23"/>
  <c r="J73" i="23"/>
  <c r="J57" i="23"/>
  <c r="J41" i="23"/>
  <c r="J25" i="23"/>
  <c r="J9" i="23"/>
  <c r="J72" i="23"/>
  <c r="J56" i="23"/>
  <c r="J40" i="23"/>
  <c r="J24" i="23"/>
  <c r="J8" i="23"/>
  <c r="J71" i="23"/>
  <c r="J55" i="23"/>
  <c r="J39" i="23"/>
  <c r="J23" i="23"/>
  <c r="J7" i="23"/>
  <c r="J86" i="23"/>
  <c r="J70" i="23"/>
  <c r="J54" i="23"/>
  <c r="J38" i="23"/>
  <c r="J22" i="23"/>
  <c r="J6" i="23"/>
  <c r="J85" i="23"/>
  <c r="J69" i="23"/>
  <c r="J53" i="23"/>
  <c r="J37" i="23"/>
  <c r="J21" i="23"/>
  <c r="J5" i="23"/>
  <c r="J84" i="23"/>
  <c r="J68" i="23"/>
  <c r="J52" i="23"/>
  <c r="J36" i="23"/>
  <c r="J20" i="23"/>
  <c r="J4" i="23"/>
  <c r="J83" i="23"/>
  <c r="J67" i="23"/>
  <c r="J51" i="23"/>
  <c r="J35" i="23"/>
  <c r="J19" i="23"/>
  <c r="J3" i="23"/>
  <c r="J82" i="23"/>
  <c r="J66" i="23"/>
  <c r="J50" i="23"/>
  <c r="J34" i="23"/>
  <c r="J18" i="23"/>
  <c r="J2"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SEO Audit Bot</author>
  </authors>
  <commentList>
    <comment ref="D1" authorId="0" shapeId="0" xr:uid="{00000000-0006-0000-1500-000001000000}">
      <text>
        <r>
          <rPr>
            <sz val="11"/>
            <color theme="1"/>
            <rFont val="Calibri"/>
            <family val="2"/>
            <scheme val="minor"/>
          </rPr>
          <t>Largest Contentful Paint. Target: &lt; 2.5 seconds.</t>
        </r>
      </text>
    </comment>
    <comment ref="E1" authorId="0" shapeId="0" xr:uid="{00000000-0006-0000-1500-000002000000}">
      <text>
        <r>
          <rPr>
            <sz val="11"/>
            <color theme="1"/>
            <rFont val="Calibri"/>
            <family val="2"/>
            <scheme val="minor"/>
          </rPr>
          <t>Cumulative Layout Shift. Target: &lt; 0.1.</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<sst xmlns="http://schemas.openxmlformats.org/spreadsheetml/2006/main" count="35179" uniqueCount="3632">
  <si>
    <t>Table of Contents</t>
  </si>
  <si>
    <t>Section</t>
  </si>
  <si>
    <t>Open</t>
  </si>
  <si>
    <t>Description</t>
  </si>
  <si>
    <t>Dashboard</t>
  </si>
  <si>
    <t>Primary columns: Executive SEO &amp; AEO Performance Report</t>
  </si>
  <si>
    <t>Content Optimization Hub</t>
  </si>
  <si>
    <t>Primary columns: Action Required, Status, Assigned Owner, Content Cluster ID, URL, Elementor Builder Link, Target Keywords, Current Page Copy Snippet, Current Title, Proposed Title (50-60 Chars)</t>
  </si>
  <si>
    <t>Quick Reference Guide</t>
  </si>
  <si>
    <t>Primary columns: Section, Item, Guideline, Why It Matters, BACK TO DASHBOARD</t>
  </si>
  <si>
    <t>FixPlan</t>
  </si>
  <si>
    <t>Primary columns: Non-200 Status, Critical, 105, 0, Technical, Manual Content, Fix status code, restore page, or implement correct redirect to canonical destination., URL returns 4xx/5xx or equivalent failure., Server/Ho…</t>
  </si>
  <si>
    <t>Main</t>
  </si>
  <si>
    <t>Primary columns: Health Icon, URL, Status Code, Indexability, Load Time (s), Title, Meta Description, Word Count (Body), SEO Health Score, Severity Badge</t>
  </si>
  <si>
    <t>Technical</t>
  </si>
  <si>
    <t>Primary columns: URL, Status Code, Status Class, SEO Health Score, Severity Badge, Action Needed, Indexability Reason, TTFB (ms), Total Request Time (ms), Final URL</t>
  </si>
  <si>
    <t>PSI Performance</t>
  </si>
  <si>
    <t>Primary columns: URL, Desktop Score, Mobile Score, Mobile LCP, Mobile CLS, Mobile TTFB, Open in Main, BACK TO DASHBOARD</t>
  </si>
  <si>
    <t>Content</t>
  </si>
  <si>
    <t>Primary columns: URL, Word Count, Word Count Band, Readability (Rough Flesch), H1 Count, Missing H1 Flag, Multiple H1 Flag, Title Missing, Meta Description Missing, Thin Content Flag</t>
  </si>
  <si>
    <t>AEO</t>
  </si>
  <si>
    <t>Primary columns: URL, AEO Readiness Score, AEO Badge, Why It Matters, FAQ Section Count, Question Heading Count, Paragraphs 40-60 Words Count, QAPage/FAQ Schema Present, Speakable Schema Present, HowTo Signal</t>
  </si>
  <si>
    <t>Schema &amp; Metadata</t>
  </si>
  <si>
    <t>Primary columns: URL, Schema Types Found, Schema Types Count, Schema Parse Errors, OG Title, OG Description, OG Image, Open Graph Complete, Twitter Card Type, Open in Main</t>
  </si>
  <si>
    <t>Links</t>
  </si>
  <si>
    <t>Primary columns: URL, Internal Links Count, Unique Internal Links Count, Broken Internal Links Count, Unresolved Internal Links Count, Generic Anchor Text Count, External Links Count, Nofollow Internal Links Count, Nofo…</t>
  </si>
  <si>
    <t>Indexability</t>
  </si>
  <si>
    <t>Primary columns: URL, Status Code, Status Class, Indexability Reason, Canonical URL, Canonical Type, Canonical Matches Final URL, Canonical in Sitemap Match, Meta Robots Raw, X-Robots-Tag</t>
  </si>
  <si>
    <t>Redirects</t>
  </si>
  <si>
    <t>Primary columns: URL, Status Code, Final URL, Redirect Chain Length, Redirect Target, Redirect Hops, HTTP-&gt;HTTPS Redirect, Redirect Loop Flag, Open in Main, BACK TO DASHBOARD</t>
  </si>
  <si>
    <t>Priority URLs</t>
  </si>
  <si>
    <t>Primary columns: URL, Business Risk Score, Severity Badge, SEO Health Score, GSC Impressions, GSC CTR, Revenue Intent, Critical Issues Count, Warning Issues Count, Action Needed</t>
  </si>
  <si>
    <t>AIOSEO</t>
  </si>
  <si>
    <t>Primary columns: URL, WordPress Post ID, Direct Edit Link, AIOSEO Panel, Severity, Issue, Priority Score, Current Value, Recommended Target, How to Fix in AIOSEO</t>
  </si>
  <si>
    <t>Security</t>
  </si>
  <si>
    <t>Primary columns: URL, Strict-Transport-Security, Content-Security-Policy, X-Content-Type-Options, X-Frame-Options, Referrer-Policy, Permissions-Policy, Robots.txt Accessible, Sitemap in Robots.txt, Robots.txt Crawl-Delay</t>
  </si>
  <si>
    <t>Summary</t>
  </si>
  <si>
    <t>Primary columns: Section, Severity, Issue, Affected URL Count, Reference Tab, Affected URLs (sample), BACK TO DASHBOARD</t>
  </si>
  <si>
    <t>LinksDetail</t>
  </si>
  <si>
    <t>Primary columns: Source URL, Target URL, Anchor Text, Rel, Link Type, Nofollow, Target Status (if crawled), Crawlable, BACK TO DASHBOARD</t>
  </si>
  <si>
    <t>Media</t>
  </si>
  <si>
    <t>Primary columns: URL, Image Count, Images, Images Missing Alt, Image Alt Coverage (%), Image Extension Distribution, Likely Large Image Count, Image Filename Quality Issues, Image On Canonical Domain (%), Mixed Content…</t>
  </si>
  <si>
    <t>Pattern and Template Issues</t>
  </si>
  <si>
    <t>Primary columns: Subfolder, URL Count, Systemic Issue, Affected Ratio, Exact Action</t>
  </si>
  <si>
    <t>Duplicates</t>
  </si>
  <si>
    <t>Primary columns: URL, Title Duplicate Count, Meta Description Duplicate Count, Title Duplicate URLs, Meta Duplicate URLs, Open in Main, BACK TO DASHBOARD</t>
  </si>
  <si>
    <t>IssueInventory</t>
  </si>
  <si>
    <t>Primary columns: URL, Issue, Severity, Reference Tab, Stable Issue ID, Owner, Status, Sprint, Open in Main, Open in Reference</t>
  </si>
  <si>
    <t>RunMetadata</t>
  </si>
  <si>
    <t>Primary columns: Key, Value, BACK TO DASHBOARD</t>
  </si>
  <si>
    <t>DeltaFromPreviousRun</t>
  </si>
  <si>
    <t>Primary columns: Metric, Count, BACK TO DASHBOARD</t>
  </si>
  <si>
    <t>ResolvedIssues</t>
  </si>
  <si>
    <t>Primary columns: Stable Issue ID, Issue, URL, Open in Main, BACK TO DASHBOARD</t>
  </si>
  <si>
    <t>Glossary &amp; Legend</t>
  </si>
  <si>
    <t>Primary columns: Section, Term, Meaning, Values/Threshold, Related Tabs, BACK TO DASHBOARD</t>
  </si>
  <si>
    <t>CrawlGraph</t>
  </si>
  <si>
    <t>Primary columns: URL, Inlinks Count, Inlinks URLs, Orphan Candidate, Click Depth, Internal PageRank, Open in Main, BACK TO DASHBOARD</t>
  </si>
  <si>
    <t>SitemapQA</t>
  </si>
  <si>
    <t>Primary columns: Sitemap URL, Final URL, Status Code, Found via Crawl, Found via Sitemap, Discovery Source, In Sitemap but Non-200, Sitemap URL Redirects, In Sitemap but Canonicalized Elsewhere, Missing &lt;lastmod&gt;</t>
  </si>
  <si>
    <t>Executive SEO &amp; AEO Performance Report</t>
  </si>
  <si>
    <t>Executive SEO &amp; AEO Dashboard</t>
  </si>
  <si>
    <t>EXECUTIVE METRICS</t>
  </si>
  <si>
    <t>Value</t>
  </si>
  <si>
    <t>Status</t>
  </si>
  <si>
    <t>Count</t>
  </si>
  <si>
    <t>OWNER ISSUE SUMMARY</t>
  </si>
  <si>
    <t>200 OK</t>
  </si>
  <si>
    <t>Owner</t>
  </si>
  <si>
    <t>Issue Rows</t>
  </si>
  <si>
    <t>Affected URLs</t>
  </si>
  <si>
    <t>Critical</t>
  </si>
  <si>
    <t>Warning</t>
  </si>
  <si>
    <t>3xx Redirects</t>
  </si>
  <si>
    <t>4xx Errors</t>
  </si>
  <si>
    <t>5xx Errors</t>
  </si>
  <si>
    <t>Other</t>
  </si>
  <si>
    <t>Severity</t>
  </si>
  <si>
    <t>Quick Navigation</t>
  </si>
  <si>
    <t>Fix Plan</t>
  </si>
  <si>
    <t>Main URL Data</t>
  </si>
  <si>
    <t>Projected Health Score % (if all To Do done)</t>
  </si>
  <si>
    <t>Medium</t>
  </si>
  <si>
    <t>Technical Diagnostics</t>
  </si>
  <si>
    <t>Projected Pass Rate % (if all To Do done)</t>
  </si>
  <si>
    <t>Low</t>
  </si>
  <si>
    <t>AEO Opportunities</t>
  </si>
  <si>
    <t>AIOSEO Action Queue</t>
  </si>
  <si>
    <t>Traditional SEO vs. 2026 AEO Readiness</t>
  </si>
  <si>
    <t>BUSINESS IMPACT SUMMARY</t>
  </si>
  <si>
    <t>Dimension</t>
  </si>
  <si>
    <t>Score</t>
  </si>
  <si>
    <t>2 error URLs detected (2 4xx / 0 5xx). Critical issue volume is 0 URLs and warning volume is 0. Top blocker: N/A affecting 0 URLs.</t>
  </si>
  <si>
    <t>Traditional SEO</t>
  </si>
  <si>
    <t>2026 AEO Readiness</t>
  </si>
  <si>
    <t>Strategic Narrative</t>
  </si>
  <si>
    <t>High SEO / Low AEO suggests the site is visible to humans but invisible to AI answer engines.</t>
  </si>
  <si>
    <t>TOP ISSUES TO FIX FIRST</t>
  </si>
  <si>
    <t>CONTENT HUB INSTRUCTIONS: 1. Draft in 'Proposed' columns. | 2. Watch 'Count' for Green. | 3. Click 'Elementor' link. | 4. Mark 'Status' as 'Completed'. | NOTE: If images show '#BLOCKED!', click the 'Security Warning' bar at the top of Excel and select 'Enable Content'.</t>
  </si>
  <si>
    <t>Action Required</t>
  </si>
  <si>
    <t>Assigned Owner</t>
  </si>
  <si>
    <t>Content Cluster ID</t>
  </si>
  <si>
    <t>URL</t>
  </si>
  <si>
    <t>Elementor Builder Link</t>
  </si>
  <si>
    <t>Target Keywords</t>
  </si>
  <si>
    <t>Current Page Copy Snippet</t>
  </si>
  <si>
    <t>Current Title</t>
  </si>
  <si>
    <t>Proposed Title (50-60 Chars)</t>
  </si>
  <si>
    <t>Title Count</t>
  </si>
  <si>
    <t>Current Meta Desc</t>
  </si>
  <si>
    <t>Proposed Meta Desc (120-160 Chars)</t>
  </si>
  <si>
    <t>Desc Count</t>
  </si>
  <si>
    <t>Current H-Tag Structure</t>
  </si>
  <si>
    <t>Proposed H-Tag Fixes</t>
  </si>
  <si>
    <t>AEO Answer Block Draft</t>
  </si>
  <si>
    <t>FAQ/QA Draft</t>
  </si>
  <si>
    <t>Current OG-Image URL</t>
  </si>
  <si>
    <t>OG Image Preview</t>
  </si>
  <si>
    <t>Social Share Note</t>
  </si>
  <si>
    <t>SEO Score</t>
  </si>
  <si>
    <t>Technical Health</t>
  </si>
  <si>
    <t>Copy Score</t>
  </si>
  <si>
    <t>Open in Main</t>
  </si>
  <si>
    <t>Needs Copy</t>
  </si>
  <si>
    <t>To Do</t>
  </si>
  <si>
    <t>Unassigned</t>
  </si>
  <si>
    <t>home-african-marketing-confed</t>
  </si>
  <si>
    <t>https://africanmarketingconfederation.org/</t>
  </si>
  <si>
    <t>https://africanmarketingconfederation.org/wp-admin/post.php?post=8&amp;action=elementor</t>
  </si>
  <si>
    <t>European marketers gather to choose their top achievers for 2026 Marketing associations from across Europe nominated national champions, with 10 finalists competing for the Marketer of the Year title. Read More » April 30, 2026</t>
  </si>
  <si>
    <t>African Marketing Confederation - Uniting Marketers for Excellence</t>
  </si>
  <si>
    <t>The African Marketing Confederation is the ground-breaking Pan-African body driving the development of top marketing standards across Africa and beyond.</t>
  </si>
  <si>
    <t>H1: ABOUT The African Marketing Confederation
H2: The 2026 AMC Conference
H2: Meets the Mighty Victoria Falls
H2: 23-25 September | Livingstone, Zambia
H2: The 2026 AMC Conference
H2: Meets the Mighty Victoria Falls</t>
  </si>
  <si>
    <t>https://africanmarketingconfederation.org/wp-content/uploads/2026/03/og-image.png</t>
  </si>
  <si>
    <t>about-us-african-marketing-confed</t>
  </si>
  <si>
    <t>https://africanmarketingconfederation.org/about-us</t>
  </si>
  <si>
    <t>https://africanmarketingconfederation.org/wp-admin/post.php?post=84&amp;action=elementor</t>
  </si>
  <si>
    <t>About Us</t>
  </si>
  <si>
    <t>Skip to content ABOUT The African Marketing Confederation The African Marketing Confederation is the ground-breaking Pan African body of marketing professionals spearheading the ongoing development of the highest possible standards of marketing acro...</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</si>
  <si>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</si>
  <si>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</si>
  <si>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H1: ABOUT The African Marketing Confederation
H3: African Marketing Confederation  PRESIDENT’S COUNCIL
H2: Helen McIntee
H2: President and  Co-founder
H2: David Balikuddembe
H2: Secretary General</t>
  </si>
  <si>
    <t>Needs Optimization</t>
  </si>
  <si>
    <t>african-marketing-confederation-tourism-chapter-african-marketing-confed</t>
  </si>
  <si>
    <t>https://africanmarketingconfederation.org/african-marketing-confederation-tourism-chapter</t>
  </si>
  <si>
    <t>https://africanmarketingconfederation.org/wp-admin/post.php?post=28165&amp;action=elementor</t>
  </si>
  <si>
    <t>African Marketing Confederation Tourism Chapter</t>
  </si>
  <si>
    <t>Skip to content African Marketing Confederation Tourism Chapter Shaping Africa’s Tourism Narrative Through Strategic Marketing Tourism is one of Africa’s most powerful economic engines – generating jobs, stimulating investment, and fostering cultural...</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</si>
  <si>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</si>
  <si>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</si>
  <si>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H1: African Marketing Confederation Tourism Chapter
H3: Shaping Africa’s Tourism Narrative Through Strategic Marketing
H2: Charting the Course: Purpose, Mission &amp; Vision for Africa’s Tourism Future
H2: Our Goals and Objectives:</t>
  </si>
  <si>
    <t>amc-awards-2024-amc-awards-{n}-–-african</t>
  </si>
  <si>
    <t>https://africanmarketingconfederation.org/amc-awards-2024</t>
  </si>
  <si>
    <t>https://africanmarketingconfederation.org/wp-admin/post.php?post=16125&amp;action=elementor</t>
  </si>
  <si>
    <t>Amc Awards 2024</t>
  </si>
  <si>
    <t>English Français Português Español Igbo Deutsch Kiswahili ພາສາລາວ العربية Afsoomaali Sesotho 简体中文 Русский Zulu en NOMINATIONS are Open ! AMC Awards The African Marketing Confederation Awards event is held annually as part of the African Marketing Con...</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</si>
  <si>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</si>
  <si>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</si>
  <si>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H1: NOMINATIONS are Open !
H2: Awards Categories
H2: Tourism &amp; Destination Marketing Campaign
H2: of the Year
H2: Best Social Media Campaign
of the Year
H2: Best Social Media Campaign</t>
  </si>
  <si>
    <t>https://africanmarketingconfederation.org/wp-content/uploads/2021/08/amc_faw.png</t>
  </si>
  <si>
    <t>amc-conference-2022-amc-conference-{n}-–-afr</t>
  </si>
  <si>
    <t>https://africanmarketingconfederation.org/amc-conference-2022</t>
  </si>
  <si>
    <t>https://africanmarketingconfederation.org/wp-admin/post.php?post=4494&amp;action=elementor</t>
  </si>
  <si>
    <t>Amc Conference 2022</t>
  </si>
  <si>
    <t>AMC officially welcomes new member associations into the fold October 8, 2024 No Comments Angola, Botswana, Ethiopia, Mozambique and Tanzania receive their membership certificates. AMC now has 16 members. Read More »</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</si>
  <si>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</si>
  <si>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</si>
  <si>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H2: AMC Conference 2022
H2: Event Highlights
H3: AMC officially welcomes new member associations into the fold
H3: Marketers are placing the ads where consumers don’t want to see them
H3: Time for Africa to control its own narrative and image, delegates told
H3: Excitement as Ghana announced as host of 2025 AMC marketing conference</t>
  </si>
  <si>
    <t>amc-conference-2022-prospectus-amc-conference-{n}-–-pro</t>
  </si>
  <si>
    <t>https://africanmarketingconfederation.org/amc-conference-2022-prospectus</t>
  </si>
  <si>
    <t>https://africanmarketingconfederation.org/wp-admin/post.php?post=5619&amp;action=elementor</t>
  </si>
  <si>
    <t>Amc Conference 2022 Prospectus</t>
  </si>
  <si>
    <t>Skip to content AMC Conference 2022 23 - 24 March 2022 Navigating Africa’s Unique Marketing Mix BOOK NOW 00 Days 00 Hours 00 Minutes 00 Seconds download prospectus To download the AMC 2022 Conference Prospectus please complete the form below: First ...</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</si>
  <si>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</si>
  <si>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</si>
  <si>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H2: AMC Conference 2022
H2: download prospectus
H2: BOOK NOW FOR THE AMC CONFERENCE 2022</t>
  </si>
  <si>
    <t>amc-conference-2022-thank-you-amc-conference-{n}-–-tha</t>
  </si>
  <si>
    <t>https://africanmarketingconfederation.org/amc-conference-2022-thank-you</t>
  </si>
  <si>
    <t>https://africanmarketingconfederation.org/wp-admin/post.php?post=4941&amp;action=elementor</t>
  </si>
  <si>
    <t>Amc Conference 2022 Thank You</t>
  </si>
  <si>
    <t>Skip to content AMC Conference 2022 23 - 24 March 2022 Navigating Africa’s Unique Marketing Mix ENQUIRE NOW 00 Days 00 Hours 00 Minutes 00 Seconds Success! Thank you for completing the enquiry form. Our team will contact you shortly! × The AMC Confer...</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</si>
  <si>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</si>
  <si>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</si>
  <si>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H2: AMC Conference 2022
H2: WHO SHOULD ATTEND
H2: Countries Participating
H3: South Africa
H3: Nigeria
H3: Morocco</t>
  </si>
  <si>
    <t>amc-conference-2023-amc-conference-{n}-–-afr</t>
  </si>
  <si>
    <t>https://africanmarketingconfederation.org/amc-conference-2023</t>
  </si>
  <si>
    <t>https://africanmarketingconfederation.org/wp-admin/post.php?post=12371&amp;action=elementor</t>
  </si>
  <si>
    <t>Amc Conference 2023</t>
  </si>
  <si>
    <t>AMC Conference 6 - 9 September 2023 Imperial Botanical Beach Hotel, Entebbe, Uganda Thank you for joining us! View Presentations 2nd Annual African Marketing Confederation Conference Africa's $3.4 trillion Economy: Opportunities for Marketers Welcome...</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</si>
  <si>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</si>
  <si>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</si>
  <si>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H1: AMC Conference
H2: Africa's $3.4 trillion Economy: Opportunities for Marketers
H2: Thank you for joining us!
H2: Topics covered
H3: Africa Free Trade Area
H3: Business Intelligence</t>
  </si>
  <si>
    <t>amc-conference-2023-amc-awards-–-african-mar</t>
  </si>
  <si>
    <t>https://africanmarketingconfederation.org/amc-conference-2023/amc-awards</t>
  </si>
  <si>
    <t>https://africanmarketingconfederation.org/wp-admin/post.php?post=12954&amp;action=elementor</t>
  </si>
  <si>
    <t>Amc Awards</t>
  </si>
  <si>
    <t>Skip to content AMC Awards Welcome to the prestigious African Marketing Confederation Awards, a distinguished event that celebrates and acknowledges the remarkable achievements, cutting-edge innovations, and exceptional leadership demonstrated by out...</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</si>
  <si>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</si>
  <si>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</si>
  <si>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H1: AMC Awards
H2: AMC AWARD Winners</t>
  </si>
  <si>
    <t>amc-conference-2023-amc-awards-|-book-now-–-</t>
  </si>
  <si>
    <t>https://africanmarketingconfederation.org/amc-conference-2023/amc-awards-book-now</t>
  </si>
  <si>
    <t>https://africanmarketingconfederation.org/wp-admin/post.php?post=13164&amp;action=elementor</t>
  </si>
  <si>
    <t>Amc Awards Book Now</t>
  </si>
  <si>
    <t>Skip to content English Français Português Español Igbo Deutsch Kiswahili ພາສາລາວ العربية Afsoomaali Sesotho 简体中文 Русский Zulu en 0 Your Cart Your cart is empty Return to Shop Continue Shopping Notifications</t>
  </si>
  <si>
    <t>AMC Awards | Book Now – African Marketing Confederation</t>
  </si>
  <si>
    <t>MISSING DESCRIPTION</t>
  </si>
  <si>
    <t>amc-conference-2023-book-now-–-african-marke</t>
  </si>
  <si>
    <t>https://africanmarketingconfederation.org/amc-conference-2023/book-now</t>
  </si>
  <si>
    <t>https://africanmarketingconfederation.org/wp-admin/post.php?post=12407&amp;action=elementor</t>
  </si>
  <si>
    <t>Book Now</t>
  </si>
  <si>
    <t>Skip to content Book Now Individual Booking Package Options 1: Full Conference + Accommodation 5 - 9 September 2023 890 USD 3 Day Conference Including Excursions: 5 Sept - Networking evening and light dinner 6 Sept - Official opening and barbecue din...</t>
  </si>
  <si>
    <t>Book Now – African Marketing Confederation</t>
  </si>
  <si>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</si>
  <si>
    <t>H1: Book Now
H3: Individual Booking
H3: Group Bookings
H3: Group Bookings</t>
  </si>
  <si>
    <t>amc-conference-2023-book-now-|-thank-you-–-a</t>
  </si>
  <si>
    <t>https://africanmarketingconfederation.org/amc-conference-2023/book-now-thank-you</t>
  </si>
  <si>
    <t>https://africanmarketingconfederation.org/wp-admin/post.php?post=12497&amp;action=elementor</t>
  </si>
  <si>
    <t>Book Now Thank You</t>
  </si>
  <si>
    <t>Thank you for completing your booking! Congratulations on booking your seat to the 2023 AfricaPro Conference presenting the 2nd Annual African Marketing Confederation Conference and Inaugural Technology Information Confederation Africa Conference! Yo...</t>
  </si>
  <si>
    <t>Book Now | Thank you – African Marketing Confederation</t>
  </si>
  <si>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</si>
  <si>
    <t>H2: Thank you for completing your booking!</t>
  </si>
  <si>
    <t>amc-conference-2023-download-prospectus-–-af</t>
  </si>
  <si>
    <t>https://africanmarketingconfederation.org/amc-conference-2023/download-prospectus</t>
  </si>
  <si>
    <t>https://africanmarketingconfederation.org/wp-admin/post.php?post=13098&amp;action=elementor</t>
  </si>
  <si>
    <t>Download Prospectus</t>
  </si>
  <si>
    <t>BOOK NOW Prospectus Download the African Marketing Confederation Prospectus Learn more about the available sponsorship and exhibitor packages and how you can be a part of this exciting event First Name Last Name Email Position Are you a member of a c...</t>
  </si>
  <si>
    <t>Download Prospectus – African Marketing Confederation</t>
  </si>
  <si>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</si>
  <si>
    <t>H1: Prospectus
H2: Prospectus</t>
  </si>
  <si>
    <t>https://africanmarketingconfederation.org/wp-content/uploads/2023/08/AMC-Logo-03.png</t>
  </si>
  <si>
    <t>amc-conference-2023-gallery-–-african-market</t>
  </si>
  <si>
    <t>https://africanmarketingconfederation.org/amc-conference-2023/gallery</t>
  </si>
  <si>
    <t>https://africanmarketingconfederation.org/wp-admin/post.php?post=13549&amp;action=elementor</t>
  </si>
  <si>
    <t>Gallery</t>
  </si>
  <si>
    <t>Skip to content Conference Gallery All Day 1 Day 2 Day 3 Night 1 Night 2 Night 3 English Français Português Español Igbo Deutsch Kiswahili ພາສາລາວ العربية Afsoomaali Sesotho 简体中文 Русский Zulu en 0 Your Cart Your cart is empty Return to Shop Continue ...</t>
  </si>
  <si>
    <t>Gallery – African Marketing Confederation</t>
  </si>
  <si>
    <t>Conference Gallery sydney sweeney met gala All Day 1 Day 2 Day 3 Night 1 Night 2 Night 3</t>
  </si>
  <si>
    <t>H1: Conference Gallery</t>
  </si>
  <si>
    <t>amc-conference-2023-partners-–-african-marke</t>
  </si>
  <si>
    <t>https://africanmarketingconfederation.org/amc-conference-2023/partners</t>
  </si>
  <si>
    <t>https://africanmarketingconfederation.org/wp-admin/post.php?post=13282&amp;action=elementor</t>
  </si>
  <si>
    <t>Partners</t>
  </si>
  <si>
    <t>Skip to content Conference Partners AMC Member Bodies English Français Português Español Igbo Deutsch Kiswahili ພາສາລາວ العربية Afsoomaali Sesotho 简体中文 Русский Zulu en 0 Your Cart Your cart is empty Return to Shop Continue Shopping Notifications</t>
  </si>
  <si>
    <t>Partners – African Marketing Confederation</t>
  </si>
  <si>
    <t>Conference Partners AMC Member Bodies</t>
  </si>
  <si>
    <t>H1: Conference Partners</t>
  </si>
  <si>
    <t>Item</t>
  </si>
  <si>
    <t>Guideline</t>
  </si>
  <si>
    <t>Why It Matters</t>
  </si>
  <si>
    <t>BACK TO DASHBOARD</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</si>
  <si>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</si>
  <si>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</si>
  <si>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</si>
  <si>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</si>
  <si>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</si>
  <si>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</si>
  <si>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</si>
  <si>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</si>
  <si>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</si>
  <si>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</si>
  <si>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</si>
  <si>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</si>
  <si>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</si>
  <si>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</si>
  <si>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</si>
  <si>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</si>
  <si>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</si>
  <si>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</si>
  <si>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</si>
  <si>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</si>
  <si>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</si>
  <si>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</si>
  <si>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Optimization) &amp; Content]</t>
  </si>
  <si>
    <t>AEO Answer Blocks</t>
  </si>
  <si>
    <t>40-60 words. Placed directly beneath an H2 question. Must be factual, objective, and devoid of marketing fluff (e.g., 'The best way to...').</t>
  </si>
  <si>
    <t>Optimizes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</si>
  <si>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</si>
  <si>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</si>
  <si>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</si>
  <si>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</si>
  <si>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</si>
  <si>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</si>
  <si>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</si>
  <si>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</si>
  <si>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</si>
  <si>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</si>
  <si>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Customize the message for the platform. LinkedIn = Professional insight. X (Twitter) = Quick hook. Facebook = Conversational.</t>
  </si>
  <si>
    <t>Improves engagement by matching platform context.</t>
  </si>
  <si>
    <t>Issue Type</t>
  </si>
  <si>
    <t>Priority Score</t>
  </si>
  <si>
    <t>Affected Count</t>
  </si>
  <si>
    <t>Detail Reference Tab</t>
  </si>
  <si>
    <t>Resolution Type</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</si>
  <si>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</si>
  <si>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</si>
  <si>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</si>
  <si>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</si>
  <si>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</si>
  <si>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</si>
  <si>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</si>
  <si>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</si>
  <si>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</si>
  <si>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</si>
  <si>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</si>
  <si>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</si>
  <si>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</si>
  <si>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</si>
  <si>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Fix Type</t>
  </si>
  <si>
    <t>Estimated Traffic Impact</t>
  </si>
  <si>
    <t>Fix Effort</t>
  </si>
  <si>
    <t>ROI Score</t>
  </si>
  <si>
    <t>Exact Action</t>
  </si>
  <si>
    <t>Hub Status (Content Hub)</t>
  </si>
  <si>
    <t>Non-200 Status</t>
  </si>
  <si>
    <t>Manual Content</t>
  </si>
  <si>
    <t>Fix status code, restore page, or implement correct redirect to canonical destination.</t>
  </si>
  <si>
    <t>URL returns 4xx/5xx or equivalent failure.</t>
  </si>
  <si>
    <t>Server/Host</t>
  </si>
  <si>
    <t>M</t>
  </si>
  <si>
    <t>Immediate (Current Sprint)</t>
  </si>
  <si>
    <t>High Risk</t>
  </si>
  <si>
    <t>Yes</t>
  </si>
  <si>
    <t>Open in Main Tab</t>
  </si>
  <si>
    <t>SEO</t>
  </si>
  <si>
    <t>Resolve 'Non-200 Status' using technical best practices and validate in the related detail tab.</t>
  </si>
  <si>
    <t>Missing Title</t>
  </si>
  <si>
    <t>Add unique descriptive title on affected template/page type.</t>
  </si>
  <si>
    <t>Template/page missing title tag.</t>
  </si>
  <si>
    <t>Copy Writer</t>
  </si>
  <si>
    <t>Resolve 'Missing Title' using content best practices and validate in the related detail tab.</t>
  </si>
  <si>
    <t>Noindex Directive</t>
  </si>
  <si>
    <t>Remove unintended noindex directives on index-worthy URLs.</t>
  </si>
  <si>
    <t>Meta robots or X-Robots-Tag contains noindex.</t>
  </si>
  <si>
    <t>Dev</t>
  </si>
  <si>
    <t>Resolve 'Noindex Directive' using technical best practices and validate in the related detail tab.</t>
  </si>
  <si>
    <t>Canonical Points Elsewhere</t>
  </si>
  <si>
    <t>Global Template</t>
  </si>
  <si>
    <t>Align canonical to preferred final URL and ensure internal links use canonical target.</t>
  </si>
  <si>
    <t>Canonical targets a different URL variant.</t>
  </si>
  <si>
    <t>Resolve 'Canonical Points Elsewhere' using technical best practices and validate in the related detail tab.</t>
  </si>
  <si>
    <t>Robots.txt Disallow Root</t>
  </si>
  <si>
    <t>Apply fix based on issue type and re-run audit.</t>
  </si>
  <si>
    <t>Template/technical implementation quality issue.</t>
  </si>
  <si>
    <t>Resolve 'Robots.txt Disallow Root' using content best practices and validate in the related detail tab.</t>
  </si>
  <si>
    <t>CWV LCP Above 4.0s</t>
  </si>
  <si>
    <t>Resolve 'CWV LCP Above 4.0s' using content best practices and validate in the related detail tab.</t>
  </si>
  <si>
    <t>Broken Internal Links</t>
  </si>
  <si>
    <t>Update internal links to valid URLs and remove dead references.</t>
  </si>
  <si>
    <t>Internal links resolve to missing or error pages.</t>
  </si>
  <si>
    <t>Resolve 'Broken Internal Links' using content best practices and validate in the related detail tab.</t>
  </si>
  <si>
    <t>Redirect Chains</t>
  </si>
  <si>
    <t>S</t>
  </si>
  <si>
    <t>Next Sprint</t>
  </si>
  <si>
    <t>Medium Risk</t>
  </si>
  <si>
    <t>Resolve 'Redirect Chains' using technical best practices and validate in the related detail tab.</t>
  </si>
  <si>
    <t>Missing Meta Description</t>
  </si>
  <si>
    <t>Add concise unique description aligned with user intent.</t>
  </si>
  <si>
    <t>Meta description missing or empty.</t>
  </si>
  <si>
    <t>Resolve 'Missing Meta Description' using content best practices and validate in the related detail tab.</t>
  </si>
  <si>
    <t>Missing H1</t>
  </si>
  <si>
    <t>Resolve 'Missing H1' using content best practices and validate in the related detail tab.</t>
  </si>
  <si>
    <t>Multiple H1</t>
  </si>
  <si>
    <t>Resolve 'Multiple H1' using content best practices and validate in the related detail tab.</t>
  </si>
  <si>
    <t>CWV LCP Needs Improvement (2.5-4.0s)</t>
  </si>
  <si>
    <t>Resolve 'CWV LCP Needs Improvement (2.5-4.0s)' using content best practices and validate in the related detail tab.</t>
  </si>
  <si>
    <t>Missing FAQ/QA Schema</t>
  </si>
  <si>
    <t>Add valid FAQPage or QAPage JSON-LD where appropriate and ensure on-page parity.</t>
  </si>
  <si>
    <t>No FAQPage/QAPage schema found for likely Q&amp;A style content.</t>
  </si>
  <si>
    <t>Resolve 'Missing FAQ/QA Schema' using content best practices and validate in the related detail tab.</t>
  </si>
  <si>
    <t>Deep URL (&gt;3 clicks)</t>
  </si>
  <si>
    <t>Resolve 'Deep URL (&gt;3 clicks)' using content best practices and validate in the related detail tab.</t>
  </si>
  <si>
    <t>Low Image Alt Coverage</t>
  </si>
  <si>
    <t>Resolve 'Low Image Alt Coverage' using content best practices and validate in the related detail tab.</t>
  </si>
  <si>
    <t>Mixed Content</t>
  </si>
  <si>
    <t>Serve all assets over HTTPS and update hardcoded URLs.</t>
  </si>
  <si>
    <t>HTTPS page references insecure HTTP assets.</t>
  </si>
  <si>
    <t>Resolve 'Mixed Content' using content best practices and validate in the related detail tab.</t>
  </si>
  <si>
    <t>Canonical Missing</t>
  </si>
  <si>
    <t>Resolve 'Canonical Missing' using technical best practices and validate in the related detail tab.</t>
  </si>
  <si>
    <t>Hreflang Without Reciprocity</t>
  </si>
  <si>
    <t>Resolve 'Hreflang Without Reciprocity' using content best practices and validate in the related detail tab.</t>
  </si>
  <si>
    <t>Low AEO Readiness Score</t>
  </si>
  <si>
    <t>Add short direct answer blocks, question-led headings, and answer-ready formatting.</t>
  </si>
  <si>
    <t>Page lacks concise answer-oriented signals and structured answer patterns.</t>
  </si>
  <si>
    <t>Resolve 'Low AEO Readiness Score' using content best practices and validate in the related detail tab.</t>
  </si>
  <si>
    <t>Uses URL Parameters</t>
  </si>
  <si>
    <t>Observation</t>
  </si>
  <si>
    <t>Backlog</t>
  </si>
  <si>
    <t>In Review</t>
  </si>
  <si>
    <t>Monitor</t>
  </si>
  <si>
    <t>No</t>
  </si>
  <si>
    <t>Resolve 'Uses URL Parameters' using content best practices and validate in the related detail tab.</t>
  </si>
  <si>
    <t>Generic Anchor Text Present</t>
  </si>
  <si>
    <t>Resolve 'Generic Anchor Text Present' using content best practices and validate in the related detail tab.</t>
  </si>
  <si>
    <t>Image Filename Quality Issues</t>
  </si>
  <si>
    <t>Resolve 'Image Filename Quality Issues' using content best practices and validate in the related detail tab.</t>
  </si>
  <si>
    <t>No Compression Header</t>
  </si>
  <si>
    <t>Resolve 'No Compression Header' using content best practices and validate in the related detail tab.</t>
  </si>
  <si>
    <t>No Cache-Control Header</t>
  </si>
  <si>
    <t>Resolve 'No Cache-Control Header' using content best practices and validate in the related detail tab.</t>
  </si>
  <si>
    <t>No ETag Header</t>
  </si>
  <si>
    <t>Resolve 'No ETag Header' using content best practices and validate in the related detail tab.</t>
  </si>
  <si>
    <t>Thin Content</t>
  </si>
  <si>
    <t>Expand page with helpful, unique, intent-matching content.</t>
  </si>
  <si>
    <t>Insufficient body content for indexing confidence.</t>
  </si>
  <si>
    <t>Resolve 'Thin Content' using content best practices and validate in the related detail tab.</t>
  </si>
  <si>
    <t>No Question Headings</t>
  </si>
  <si>
    <t>Add clear question-style headings (especially H2/H3) for key intents.</t>
  </si>
  <si>
    <t>Headings are not phrased as user questions.</t>
  </si>
  <si>
    <t>Resolve 'No Question Headings' using content best practices and validate in the related detail tab.</t>
  </si>
  <si>
    <t>No Answer-Friendly Structure</t>
  </si>
  <si>
    <t>Introduce structured bullets, ordered steps, or tables for key answers.</t>
  </si>
  <si>
    <t>Page lacks lists/tables that help concise answer extraction.</t>
  </si>
  <si>
    <t>Resolve 'No Answer-Friendly Structure' using content best practices and validate in the related detail tab.</t>
  </si>
  <si>
    <t>No 40-60 Word Answer Paragraphs</t>
  </si>
  <si>
    <t>Add a direct 30-60 word answer summary near question headings.</t>
  </si>
  <si>
    <t>No concise answer-length paragraph detected.</t>
  </si>
  <si>
    <t>Resolve 'No 40-60 Word Answer Paragraphs' using content best practices and validate in the related detail tab.</t>
  </si>
  <si>
    <t>INP Above 100ms</t>
  </si>
  <si>
    <t>Resolve 'INP Above 100ms' using content best practices and validate in the related detail tab.</t>
  </si>
  <si>
    <t>CLS Above 0.1</t>
  </si>
  <si>
    <t>Resolve 'CLS Above 0.1' using content best practices and validate in the related detail tab.</t>
  </si>
  <si>
    <t>Low Regional Authority</t>
  </si>
  <si>
    <t>Resolve 'Low Regional Authority' using content best practices and validate in the related detail tab.</t>
  </si>
  <si>
    <t>llms.txt Missing</t>
  </si>
  <si>
    <t>Resolve 'llms.txt Missing' using content best practices and validate in the related detail tab.</t>
  </si>
  <si>
    <t>AI Crawlers Not Explicitly Allowed</t>
  </si>
  <si>
    <t>Resolve 'AI Crawlers Not Explicitly Allowed' using content best practices and validate in the related detail tab.</t>
  </si>
  <si>
    <t>Health Icon</t>
  </si>
  <si>
    <t>Status Code</t>
  </si>
  <si>
    <t>Load Time (s)</t>
  </si>
  <si>
    <t>Title</t>
  </si>
  <si>
    <t>Word Count (Body)</t>
  </si>
  <si>
    <t>SEO Health Score</t>
  </si>
  <si>
    <t>Severity Badge</t>
  </si>
  <si>
    <t>Extraction State</t>
  </si>
  <si>
    <t>Extraction Source</t>
  </si>
  <si>
    <t>Title Length</t>
  </si>
  <si>
    <t>Meta Desc Length</t>
  </si>
  <si>
    <t>OG-Image</t>
  </si>
  <si>
    <t>Has Valid JSON-LD</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</si>
  <si>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</si>
  <si>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</si>
  <si>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</si>
  <si>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</si>
  <si>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</si>
  <si>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</si>
  <si>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</si>
  <si>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</si>
  <si>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</si>
  <si>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</si>
  <si>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</si>
  <si>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</si>
  <si>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</si>
  <si>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</si>
  <si>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</si>
  <si>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</si>
  <si>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Desktop PSI Score</t>
  </si>
  <si>
    <t>Mobile PSI Score</t>
  </si>
  <si>
    <t>Mobile LCP (s)</t>
  </si>
  <si>
    <t>Mobile CLS</t>
  </si>
  <si>
    <t>Mobile TTFB (s)</t>
  </si>
  <si>
    <t>GSC Clicks</t>
  </si>
  <si>
    <t>GSC Impressions</t>
  </si>
  <si>
    <t>GSC CTR</t>
  </si>
  <si>
    <t>GSC Avg Position</t>
  </si>
  <si>
    <t>Click Depth</t>
  </si>
  <si>
    <t>Orphan Pages</t>
  </si>
  <si>
    <t>Internal PageRank</t>
  </si>
  <si>
    <t>Found via Sitemap</t>
  </si>
  <si>
    <t>Found via Crawl</t>
  </si>
  <si>
    <t>Discovery Source</t>
  </si>
  <si>
    <t>Technical View</t>
  </si>
  <si>
    <t>UNMEASURED</t>
  </si>
  <si>
    <t>https://africanmarketingconfederation.org/amc-conference-sponsors</t>
  </si>
  <si>
    <t>Indexable</t>
  </si>
  <si>
    <t>Unmeasured</t>
  </si>
  <si>
    <t>partial</t>
  </si>
  <si>
    <t>raw_http</t>
  </si>
  <si>
    <t>Lab</t>
  </si>
  <si>
    <t>Both</t>
  </si>
  <si>
    <t>https://africanmarketingconfederation.org/amc-marketing-conference-2024/speakers-2024</t>
  </si>
  <si>
    <t>rendered_browser</t>
  </si>
  <si>
    <t>https://africanmarketingconfederation.org/amc-conference-2023/programme</t>
  </si>
  <si>
    <t>Programme – African Marketing Confederation</t>
  </si>
  <si>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</si>
  <si>
    <t>https://africanmarketingconfederation.org/amc-conference-2023/speakers</t>
  </si>
  <si>
    <t>Speakers – African Marketing Confederation</t>
  </si>
  <si>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</si>
  <si>
    <t>https://africanmarketingconfederation.org/amc-conference-2024-recap</t>
  </si>
  <si>
    <t>AMC Conference 2024 Recap – African Marketing Confederation</t>
  </si>
  <si>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</si>
  <si>
    <t>https://africanmarketingconfederation.org/amc-conference-2024-sponsors-packages</t>
  </si>
  <si>
    <t>Sponsors Packages – African Marketing Confederation</t>
  </si>
  <si>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</si>
  <si>
    <t>https://africanmarketingconfederation.org/amc-conference-2025</t>
  </si>
  <si>
    <t>AMC Conference 2025</t>
  </si>
  <si>
    <t>Join Africa's top marketers at the AMC Conference 2025 n Accra, Ghana from 20-22 August - 3 days of insights, innovation, and powerful networking.</t>
  </si>
  <si>
    <t>https://africanmarketingconfederation.org/amc-conference-2025-highlights</t>
  </si>
  <si>
    <t>AMC Conference 2025 Highlights – African Marketing Confederation</t>
  </si>
  <si>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</si>
  <si>
    <t>https://africanmarketingconfederation.org/amc-conference-2026</t>
  </si>
  <si>
    <t>AMC Conference 2026 – African Marketing Confederation</t>
  </si>
  <si>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</si>
  <si>
    <t>https://africanmarketingconfederation.org/amc-conference-2026-awards-nominations-thank-you</t>
  </si>
  <si>
    <t>AMC Conference 2026 Awards Nominations Thank You – African Marketing Confederation</t>
  </si>
  <si>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</si>
  <si>
    <t>https://africanmarketingconfederation.org/amc-conference-2026-zambia-thank-you</t>
  </si>
  <si>
    <t>AMC Conference 2026 Zambia Thank You – African Marketing Confederation</t>
  </si>
  <si>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</si>
  <si>
    <t>https://africanmarketingconfederation.org/amc-conference-programme</t>
  </si>
  <si>
    <t>HYBRID PROGRAMME – African Marketing Confederation</t>
  </si>
  <si>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</si>
  <si>
    <t>https://africanmarketingconfederation.org/amc-conference-thank-you</t>
  </si>
  <si>
    <t>AMC Conference | Thank You – African Marketing Confederation</t>
  </si>
  <si>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</si>
  <si>
    <t>https://africanmarketingconfederation.org/amc-forum-mombasa</t>
  </si>
  <si>
    <t>AMC Forum Mombasa – African Marketing Confederation</t>
  </si>
  <si>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</si>
  <si>
    <t>https://africanmarketingconfederation.org/amc-forum-payments</t>
  </si>
  <si>
    <t>AMC Forum Payments – African Marketing Confederation</t>
  </si>
  <si>
    <t>AMC Conference 2025 Thriving in Africa’s Evolving Markets:Trust, Trends &amp; Technology No products found! PUBLICATIONS Strategic Marketing for Africa Magazine CONTACT INFORMATION info@africanmarketingconfederation.org © 2021 by African Marketing Confederation | Privacy Policy</t>
  </si>
  <si>
    <t>https://africanmarketingconfederation.org/amc-launch-event-zambia-thank-you-2026</t>
  </si>
  <si>
    <t>AMC Launch Event Zambia Thank You 2026 – African Marketing Confederation</t>
  </si>
  <si>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</si>
  <si>
    <t>https://africanmarketingconfederation.org/amc-marketing-conference-2024</t>
  </si>
  <si>
    <t>https://africanmarketingconfederation.org/amc-marketing-conference-2024/amc-conference-2025-ghana-sponsors</t>
  </si>
  <si>
    <t>AMC Conference 2025 Ghana Sponsors – African Marketing Confederation</t>
  </si>
  <si>
    <t>2025 AMC conference Thank you for your interest in sponsoring the 2025 AMC Conference. A member of our team will be in touch to discuss available opportunities and next steps. PUBLICATIONS Strategic Marketing for Africa Magazine CONTACT INFORMATION info@africanmarketingconfederation.org © 2021 by African Marketing Confederation | Privacy Policy</t>
  </si>
  <si>
    <t>https://africanmarketingconfederation.org/amc-marketing-conference-2024/amc-launch-event-2025</t>
  </si>
  <si>
    <t>AMC Launch Event 2025 – African Marketing Confederation</t>
  </si>
  <si>
    <t>AMC Conference launch 2025 Labadi Beach Hotel or Online15 May 2025 I 10 AM – 12 PM GMT AMC Conference launch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t>
  </si>
  <si>
    <t>https://africanmarketingconfederation.org/amc-marketing-conference-2024/amc-preregister-2025</t>
  </si>
  <si>
    <t>AMC Preregister 2025 – African Marketing Confederation</t>
  </si>
  <si>
    <t>Pre-register for AMC Conference 2025 20 - 22 August | Accra, Ghana Complete the form below to be notified as soon as final registration and payment options become available. AMC Conference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t>
  </si>
  <si>
    <t>https://africanmarketingconfederation.org/amc-marketing-conference-2024/amc-programme-2025</t>
  </si>
  <si>
    <t>2025 AMC Conference Awards</t>
  </si>
  <si>
    <t>Celebrate excellence at the 2025 AMC Conference Awards as we honour outstanding achievements, innovation and leadership in Africa’s marketing industry.</t>
  </si>
  <si>
    <t>https://africanmarketingconfederation.org/amc-marketing-conference-2024/amc-speakers-presentations-2024</t>
  </si>
  <si>
    <t>AMC speakers presentations 2024 – African Marketing Confederation</t>
  </si>
  <si>
    <t>AMC speakers presentations 2024 Day 1 https://youtu.be/daWjshF4Bdc Day 2 https://youtu.be/7Qf2P8YLD7I Day 3 PUBLICATIONS Strategic Marketing for Africa Magazine CONTACT INFORMATION info@africanmarketingconfederation.org © 2021 by African Marketing Confederation | Privacy Policy</t>
  </si>
  <si>
    <t>https://africanmarketingconfederation.org/amc-marketing-conference-2024/awards-2025</t>
  </si>
  <si>
    <t>Awards 2025 – African Marketing Confederation</t>
  </si>
  <si>
    <t>Conference Menu AMC Conference Awards 2025 AMC Awards 2025 Categories View detailed explanations of each award below.Click on the awards below to view detailed explanations of each criterion. Tourism &amp; Destination Marketing Campaign of the Year Best Social Media Campaignof the Year Most Effective Campaignof the Year Best Use of Local Insights Best Cause-Related Campaign</t>
  </si>
  <si>
    <t>https://africanmarketingconfederation.org/amc-marketing-conference-2024/programme-2024</t>
  </si>
  <si>
    <t>Programme 2024 – African Marketing Confederation</t>
  </si>
  <si>
    <t>Programme AMC 3rd Annual Conference 2024 Join us for an unparalleled marketing experience at the upcoming conference hosted by the African Marketing Confederation (AMC) in Kenya. From August 28th to 30th, 2024, immerse yourself in insightful discussions, cutting-edge strategies, and industry trends that are shaping the future of marketing across the continent. Engage with top-notch</t>
  </si>
  <si>
    <t>https://africanmarketingconfederation.org/amc-marketing-conference-2024/testimony-thank-you-page</t>
  </si>
  <si>
    <t>Testimony Thank you Page – African Marketing Confederation</t>
  </si>
  <si>
    <t>Thank you For your Feedback Thank you For the Feedback PUBLICATIONS Strategic Marketing for Africa Magazine CONTACT INFORMATION info@africanmarketingconfederation.org © 2021 by African Marketing Confederation | Privacy Policy</t>
  </si>
  <si>
    <t>https://africanmarketingconfederation.org/amc-masterclass</t>
  </si>
  <si>
    <t>AMC Masterclass – African Marketing Confederation</t>
  </si>
  <si>
    <t>AMC VIRTUAL MASTERCLASS 31 May 2022 Thank you for attending Building The Perfect Blueprint for Digital and Strategic Marketing Align your digital efforts with your strategic goals and develop strong online marketing capabilities to help your company stay ahead of the curve.Masterclass Outcomes: You will receive all the tools you need to overcome and avoid</t>
  </si>
  <si>
    <t>https://africanmarketingconfederation.org/amc-masterclass-bookings</t>
  </si>
  <si>
    <t>AMC Masterclass | Bookings – African Marketing Confederation</t>
  </si>
  <si>
    <t>https://africanmarketingconfederation.org/amc-masterclass-thank-you</t>
  </si>
  <si>
    <t>AMC Masterclass | Thank you – African Marketing Confederation</t>
  </si>
  <si>
    <t>AMC VIRTUAL MASTERCLASS 31 May 2022 Thank you for your Booking We received your booking and will contact you shortly!</t>
  </si>
  <si>
    <t>https://africanmarketingconfederation.org/amc-relaunch-programme</t>
  </si>
  <si>
    <t>AMC RELAUNCH – PROGRAMME – African Marketing Confederation</t>
  </si>
  <si>
    <t>amc relaunch Thank you for joining our first online gathering! WATCH RECORDINGS NOW WATCH NOW AMC RELAUNCH RECORDINGS The AMC relaunch event shared the vision and goals of the AMC, as well as hosting talks and discussions with top marketing thought leaders and professionals. The African Marketing Confederation (AMC) – the ground breaking Pan-African body</t>
  </si>
  <si>
    <t>https://africanmarketingconfederation.org/amc-sign-up-now-form-2025</t>
  </si>
  <si>
    <t>AMC Sign up now Form 2025 – African Marketing Confederation</t>
  </si>
  <si>
    <t>Get Ready for Ghana in 2025! Name(Required) First Last Email(Required) Enter Email Confirm Email Phone Number(Required)CountryAfghanistanAlbaniaAlgeriaAmerican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t>
  </si>
  <si>
    <t>https://africanmarketingconfederation.org/amc-sponsors-2025</t>
  </si>
  <si>
    <t>Sponsorship Opportunities – 2025 AMC Conference</t>
  </si>
  <si>
    <t>Explore sponsorship opportunities for AMC Conference 2025 and position your brand alongside Africa’s leading marketers, innovators, and industry decision-makers.</t>
  </si>
  <si>
    <t>https://africanmarketingconfederation.org/wp-content/uploads/2024/04/AMC-Website-Elements-7.png</t>
  </si>
  <si>
    <t>https://africanmarketingconfederation.org/amc-testimony-page-2024</t>
  </si>
  <si>
    <t>AMC Testimony page 2024 – African Marketing Confederation</t>
  </si>
  <si>
    <t>How was your experience at the2024 AMC Conference? Name(Required) First Last Email(Required) Company Name How was your experience at the AMC Conference 2024? We'd love to hear about your key takeaways and memorable moments!What improvements would you recommend for the next AMC Conference to make it even more impactful? Sponsors Previous Next PUBLICATIONS Strategic Marketing</t>
  </si>
  <si>
    <t>https://africanmarketingconfederation.org/awards-2026</t>
  </si>
  <si>
    <t>2026 AMC Awards – African Marketing Confederation</t>
  </si>
  <si>
    <t>The African Marketing Confederation presents the 2026 AMC Awards. Submit your nominations to recognise innovative strategies, impact, and marketing results.</t>
  </si>
  <si>
    <t>https://africanmarketingconfederation.org/wp-content/uploads/2026/03/Artboard-2-90.png</t>
  </si>
  <si>
    <t>https://africanmarketingconfederation.org/awards-2026-1</t>
  </si>
  <si>
    <t>2026 AMC Awards-1 – African Marketing Confederation</t>
  </si>
  <si>
    <t>https://africanmarketingconfederation.org/awards-2026-test</t>
  </si>
  <si>
    <t>Awards 2026 test – African Marketing Confederation</t>
  </si>
  <si>
    <t>2026 AMC AWARDS 2026AMC Awards Submit Your Nomination View Awards Brochure Where Africa’s Boldest Ideas Take the Stage https://africanmarketingconfederation.org/wp-content/uploads/2026/03/16x9-AMC-Awards-Nominations-Video-2026.mp4 Entries Close: 26 July Held annually at the African Marketing Confederation Conference, the AMC Awards stand as the definitive celebration of marketing excellence across the continent. This distinguished platform brings together Africa’s leading minds and boldest work, recognising campaigns and</t>
  </si>
  <si>
    <t>https://africanmarketingconfederation.org/certified-professional-marketer-africa</t>
  </si>
  <si>
    <t>Certified Professional Marketer (Africa) – African Marketing Confederation</t>
  </si>
  <si>
    <t>Certified Professional Marketer (Africa), CPM(A) The only designation of its kind on the continent - built for Africa, by Africa. Strategic Flexible Uniquely Africa Take your place among Africa’s marketing leaders with the Certified Professional Marketer (Africa) – CPM(A) A prestigious, Pan-African designation offered exclusively through the African Marketing Confederation (AMC).This is not just a</t>
  </si>
  <si>
    <t>https://africanmarketingconfederation.org/chartered-marketer-africa</t>
  </si>
  <si>
    <t>The Chartered Marketer Africa – African Marketing Confederation</t>
  </si>
  <si>
    <t>Become one of Africa’s marketing titans. The Chartered Marketer Africa is awarded to the top marketing professionals on the continent.</t>
  </si>
  <si>
    <t>https://africanmarketingconfederation.org/chartered-marketer-africa-final-submission-fee</t>
  </si>
  <si>
    <t>Chartered Marketer (Africa) Final submission fee – African Marketing Confederation</t>
  </si>
  <si>
    <t>Final Submission Fee Receive a 15% discount on your final submission feeby making payment before 31 August 2024. Add to cart $2190,00 Original price was: $2190,00.$1862,00Current price is: $1862,00. Add to cart</t>
  </si>
  <si>
    <t>https://africanmarketingconfederation.org/chartered-marketer-africa-programme-fee</t>
  </si>
  <si>
    <t>Chartered Marketer (Africa) Programme fee – African Marketing Confederation</t>
  </si>
  <si>
    <t>Programme Fee Receive a 15% discount on your programme fee by making payment before 31 August 2024. Add to cart $810,00 Original price was: $810,00.$689,00Current price is: $689,00. Add to cart</t>
  </si>
  <si>
    <t>https://africanmarketingconfederation.org/chartered-marketer-africa-thank-you</t>
  </si>
  <si>
    <t>Chartered Marketer (Africa) | Thank You – African Marketing Confederation</t>
  </si>
  <si>
    <t>Thank You! Thank you for your enquiry - you can now download the brochure. Download Brochure</t>
  </si>
  <si>
    <t>https://africanmarketingconfederation.org/checkout</t>
  </si>
  <si>
    <t>Noindex</t>
  </si>
  <si>
    <t>Cart – African Marketing Confederation</t>
  </si>
  <si>
    <t>Your cart is currently empty. Return to shop</t>
  </si>
  <si>
    <t>https://africanmarketingconfederation.org/conference-faq-2025</t>
  </si>
  <si>
    <t>2025 AMC Conference – FAQs Page</t>
  </si>
  <si>
    <t>Find answers to all your questions about the AMC Conference 2025 - venue, registration, speakers, agenda, sponsorship, and more information in our FAQs section.</t>
  </si>
  <si>
    <t>https://africanmarketingconfederation.org/conference-registrations-2024</t>
  </si>
  <si>
    <t>Conference Registrations 2024 – African Marketing Confederation</t>
  </si>
  <si>
    <t>realalexisbreeze selfieAMC Conference Brand Resilience Amidst Economic Uncertainty 25 - 27 September 2024 In collaboration with: View Presentations Interested in our 2024 Conference? Complete the form below to receive further information. #gform_wrapper_3[data-form-index="2"].gform-theme,[data-parent-form="3_2"]{--gf-color-primary: #204ce5;--gf-color-primary-rgb: 32, 76, 229;--gf-color-primary-contrast: #fff;--gf-color-primary-contrast-rgb: 255, 255, 255;--gf-color-primary-darker: #001AB3;--gf-color-primary-lighter: #527EFF;--gf-color-secondary: #fff;--gf-color-secondary-rgb: 255, 255, 255;--gf-color-secondary-contrast: #112337;--gf-color-secondary-contrast-rgb: 17, 35, 55;--gf-color-secondary-darker: #F5F5F5;--gf-color-secondary-lighter: #FFFFFF;--gf-color-out-ctrl-light: rgba(17, 35, 55,</t>
  </si>
  <si>
    <t>https://africanmarketingconfederation.org/wp-content/uploads/2024/03/AMC-Conference-Event-Design-2.png</t>
  </si>
  <si>
    <t>https://africanmarketingconfederation.org/contact-us</t>
  </si>
  <si>
    <t>Contact Us – African Marketing Confederation</t>
  </si>
  <si>
    <t>Contact us to know more about membership, courses, and our upcoming conference.</t>
  </si>
  <si>
    <t>https://africanmarketingconfederation.org/download-brochure</t>
  </si>
  <si>
    <t>Download Brochure – African Marketing Confederation</t>
  </si>
  <si>
    <t>Download Brochure Download Brochure Download Form Download Code of Conduct Submit relevant Documents</t>
  </si>
  <si>
    <t>https://africanmarketingconfederation.org/wp-content/uploads/2024/02/AMC-Profesional.2.png</t>
  </si>
  <si>
    <t>https://africanmarketingconfederation.org/download-prospectus-2024</t>
  </si>
  <si>
    <t>Download Prospectus 2024 – African Marketing Confederation</t>
  </si>
  <si>
    <t>Download Prospectus Thank you for your interest. Download Prospectus</t>
  </si>
  <si>
    <t>https://africanmarketingconfederation.org/education</t>
  </si>
  <si>
    <t>Education – African Marketing Confederation</t>
  </si>
  <si>
    <t>short Courses For over a decade, we've been empowering Pan-African marketers to achieve greatness. Now, we're taking things to the next level with our AMC Short Courses - designed by marketers for marketers. Our comprehensive courses cover the full scope of practical marketing and sales topics, helping you stay ahead of the curve and increase</t>
  </si>
  <si>
    <t>https://africanmarketingconfederation.org/elementor-16548</t>
  </si>
  <si>
    <t>Thank you for registering – African Marketing Confederation</t>
  </si>
  <si>
    <t>SUBMISSION RECEIVED Thank you for submitting your information! We appreciate your interest in the 2024 AMC Conference and will keep you updated with all the details about the upcoming event. Speakers Programme Awards</t>
  </si>
  <si>
    <t>https://africanmarketingconfederation.org/elementor-20341</t>
  </si>
  <si>
    <t>Elementor #20341 – African Marketing Confederation</t>
  </si>
  <si>
    <t>https://africanmarketingconfederation.org/elementor-31820</t>
  </si>
  <si>
    <t>Elementor #31820 – African Marketing Confederation</t>
  </si>
  <si>
    <t>2026 TICON Africa Conference In partnership with the ICT Association of Zambia 23-25 September 2026 24-26 September 2026 Livingstone, Zambia Livingstone, Zambia Powering Africa’s Digital Rise Sign Up for Updates Join the TICON Africa Conference 2026 TICON Africa Conference 2026 in Zambia The TICON Africa Conference returns in 2026 for its fourth iteration, this time</t>
  </si>
  <si>
    <t>https://africanmarketingconfederation.org/general-enquiry-form-thank-you</t>
  </si>
  <si>
    <t>General Enquiry Form – Thank You – African Marketing Confederation</t>
  </si>
  <si>
    <t>Thank You! Thank you for getting in touch! We appreciate you contacting us. One of our members will be getting back to you soon.</t>
  </si>
  <si>
    <t>https://africanmarketingconfederation.org/launch-event-2026-amc-conference</t>
  </si>
  <si>
    <t>Launch Event 2026 AMC Conference – African Marketing Confederation</t>
  </si>
  <si>
    <t>The Official Launch of the 2026 AMC Conference 10:00 CAT (GMT +2) | 16 March 2026 | Live Online from Lusaka 10:00 CAT (GMT +2) 16 March 2026 Live Online from Lusaka The livestream is available for viewing. Click on the link below to watch. Watch the Launch Event Three Conferences. One United Movement. The</t>
  </si>
  <si>
    <t>https://africanmarketingconfederation.org/members</t>
  </si>
  <si>
    <t>Members – African Marketing Confederation</t>
  </si>
  <si>
    <t>OUR MEMBERS Marketers Association of Zimbabwe The Marketers Association of Zimbabwe was launched in 2007 with a vision to be a leading body of marketing professionals promoting professionalism of the highest standards and establishing channels of career development for the benefit of organisations and the economy at large. Visit Website IMM Institute, South Africa The</t>
  </si>
  <si>
    <t>https://africanmarketingconfederation.org/news-articles</t>
  </si>
  <si>
    <t>News Articles – African Marketing Confederation</t>
  </si>
  <si>
    <t>AMC Conference Featured Marketing News LATEST news Subscribe Now Free monthly marketing news, articles, events and publication release notifications. Subscribe</t>
  </si>
  <si>
    <t>https://africanmarketingconfederation.org/privacy-policy</t>
  </si>
  <si>
    <t>Privacy Policy – African Marketing Confederation</t>
  </si>
  <si>
    <t>Privacy Policy Who we are The ground-breaking African Marketing Confederation (AMC) was founded in 2011 when marketing associations from four African countries met in Livingston, Zambia, to discuss the status and development of the marketing profession across Africa. Collaboration between the various national bodies and associations was deemed to be of the utmost importance in</t>
  </si>
  <si>
    <t>https://africanmarketingconfederation.org/publication-download-list</t>
  </si>
  <si>
    <t>Publication Download List – African Marketing Confederation</t>
  </si>
  <si>
    <t>Download All Publications now Click on the publication edition below to download! Edition 1 | 2026 Edition 1 | 2026 Edition 4 | 2025 Edition 4 | 2025 Edition 3 | 2025 Edition 3 | 2025 Edition 2 | 2025 Edition 1 | 2025 Edition 4 | 2024 Edition 3 | 2024 Edition 2 |</t>
  </si>
  <si>
    <t>https://africanmarketingconfederation.org/publications-2</t>
  </si>
  <si>
    <t>Publications – African Marketing Confederation</t>
  </si>
  <si>
    <t>Download Strategic Marketing for Africa, the continent's premier marketing publication. Discover the latest industry insights and trends from top experts today.</t>
  </si>
  <si>
    <t>https://africanmarketingconfederation.org/speakers</t>
  </si>
  <si>
    <t>amc relaunch JOIN OUR FIRST ONLINE GATHERING! WATCH RECORDINGS NOW WATCH NOW amc relaunch THANK YOU FOR JOINING OUR FIRST ONLINE GATHERING! WATCH RECORDINGS NOW WATCH NOW speakers Ms Harriet KhatabaThought Leader and Chief Executive Officer, Her Story Matters Mr Gillian RusikeExecutive, African Marketing Confederation Mrs Helen McInteePresident, African Marketing Confederation Dr. Alistair MokoenaCountry Director,</t>
  </si>
  <si>
    <t>https://africanmarketingconfederation.org/speakers-2025</t>
  </si>
  <si>
    <t>Our Speakers – 2025 AMC Conference</t>
  </si>
  <si>
    <t>Discover what to expect from the AMC Conference 2025 speaker lineup, including insightful sessions led by Africa’s brightest marketing minds and thought leaders</t>
  </si>
  <si>
    <t>https://africanmarketingconfederation.org/sub-committees</t>
  </si>
  <si>
    <t>Sub Committees – African Marketing Confederation</t>
  </si>
  <si>
    <t>Sub Committees AMC’s Education and Membership Committee The AMC’s Education and Membership Committee is committed to assisting in the skills enhancement of marketing professionals on the continent, ensuring qualification mobility around the globe. To these ends the Committee is currently focusing on the following projects: The Chartered Marketer (Africa) programme (set to be launched early</t>
  </si>
  <si>
    <t>https://africanmarketingconfederation.org/subscribe</t>
  </si>
  <si>
    <t>Subscribe – African Marketing Confederation</t>
  </si>
  <si>
    <t>Subscribe Now Subscribe Name First Last Email Select your 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t>
  </si>
  <si>
    <t>https://africanmarketingconfederation.org/test-homeslider</t>
  </si>
  <si>
    <t>Test HomeSlider – African Marketing Confederation</t>
  </si>
  <si>
    <t>ConferenceBook NowConnecting Marketing Professionals A must read for all marketersThe 2nd edition of the Strategic Marketing for Africa magazine is now available. Read Now Previous Next conferenceBook NowConnecting Marketing Professionals A must read for all marketersThe 2nd edition of the Strategic Marketing for Africa magazine is now available. Read Now Previous Next</t>
  </si>
  <si>
    <t>https://africanmarketingconfederation.org/test-payment-gate</t>
  </si>
  <si>
    <t>Test payment gate – African Marketing Confederation</t>
  </si>
  <si>
    <t>Add to cart Rated 0 out of 5 CELEBRITY ENDORSEMENTS TEST 2$ $2 Add to cart View Product Add to cart Rated 0 out of 5 Application Fee Non-refundable application fee: $150 Add to cart View Product Add to cart Rated 0 out of 5 SPONSORSHIP PACKAGES AMC Day Attendance Package Full-day conference attendance All</t>
  </si>
  <si>
    <t>https://africanmarketingconfederation.org/thank-you-for-registering-2024-registrations</t>
  </si>
  <si>
    <t>Thank you for registering 2024 Registrations – African Marketing Confederation</t>
  </si>
  <si>
    <t>Thank You FOr Registering Please finalise your booking by selecting one of our tailored packages and completing payment via our secure online payment gateway. View Packages Download Prospectus</t>
  </si>
  <si>
    <t>https://africanmarketingconfederation.org/thank-you-for-registering-2024-registrations-kenya</t>
  </si>
  <si>
    <t>Thank you for registering 2024 Registrations KENYA – African Marketing Confederation</t>
  </si>
  <si>
    <t>Thank You FOr Registering Kenyan delegates, don’t miss your chance to grab discounted tickets! Buy Tickets</t>
  </si>
  <si>
    <t>https://africanmarketingconfederation.org/thank-you-for-subscribing</t>
  </si>
  <si>
    <t>Thank You for Subscribing – African Marketing Confederation</t>
  </si>
  <si>
    <t>Thank You for Subscribing to the The African Marketing Confederation newsletter. The AMC newsletter will keep you up to date with the latest marketing news, articles,event and publication release notifications. Here is what you can expect from us: Top industry articles The AMC newsletter will keep you up to date with the latest marketing news,</t>
  </si>
  <si>
    <t>https://africanmarketingconfederation.org/wp-content/uploads/2022/07/amc_Thank-You-for-Subscribing.png</t>
  </si>
  <si>
    <t>https://africanmarketingconfederation.org/thank-you-for-the-nomination-2024</t>
  </si>
  <si>
    <t>Thank you for the nomination 2024 – African Marketing Confederation</t>
  </si>
  <si>
    <t>Thank You for your nomination! Speakers Programme Awards</t>
  </si>
  <si>
    <t>https://africanmarketingconfederation.org/thank-you-for-the-submission-2024</t>
  </si>
  <si>
    <t>Thank you for the Submission 2024 – African Marketing Confederation</t>
  </si>
  <si>
    <t>Thank You for your Submission! Speakers Programme Awards</t>
  </si>
  <si>
    <t>https://africanmarketingconfederation.org/upcoming-events</t>
  </si>
  <si>
    <t>Upcoming Events – African Marketing Confederation</t>
  </si>
  <si>
    <t>UPCOMING EVENTS upcoming events AMC Conference 2022 19- 22 October The AMC Conference is the must attend Pan African event for marketing professionals. It will focus on solutions for marketers across the continent and will provide practical tools for marketers to use in appealing to its diverse audience. More Info Subscribe Now Free monthly marketing</t>
  </si>
  <si>
    <t>https://africanmarketingconfederation.org/virtual-programme</t>
  </si>
  <si>
    <t>VIRTUAL PROGRAMME – African Marketing Confederation</t>
  </si>
  <si>
    <t>AMC Conference 2022 virtual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</si>
  <si>
    <t>Status Class</t>
  </si>
  <si>
    <t>Indexability Reason</t>
  </si>
  <si>
    <t>TTFB (ms)</t>
  </si>
  <si>
    <t>Total Request Time (ms)</t>
  </si>
  <si>
    <t>Final URL</t>
  </si>
  <si>
    <t>Canonical URL</t>
  </si>
  <si>
    <t>Canonical Type</t>
  </si>
  <si>
    <t>Protocol</t>
  </si>
  <si>
    <t>Redirect Chain Length</t>
  </si>
  <si>
    <t>Redirect Target</t>
  </si>
  <si>
    <t>Redirect Hops</t>
  </si>
  <si>
    <t>HTTP-&gt;HTTPS Redirect</t>
  </si>
  <si>
    <t>Content-Type</t>
  </si>
  <si>
    <t>HTTP Version</t>
  </si>
  <si>
    <t>HTML Size (KB)</t>
  </si>
  <si>
    <t>Compression Enabled</t>
  </si>
  <si>
    <t>Cache-Control</t>
  </si>
  <si>
    <t>ETag</t>
  </si>
  <si>
    <t>X-Robots-Tag</t>
  </si>
  <si>
    <t>Meta Robots Raw</t>
  </si>
  <si>
    <t>Canonical Matches Final URL</t>
  </si>
  <si>
    <t>Canonical Absolute URL</t>
  </si>
  <si>
    <t>Canonical in Sitemap Match</t>
  </si>
  <si>
    <t>Hreflang Present</t>
  </si>
  <si>
    <t>Hreflang Count</t>
  </si>
  <si>
    <t>Hreflang Self Reference</t>
  </si>
  <si>
    <t>Hreflang Reciprocal Check</t>
  </si>
  <si>
    <t>Hreflang Canonical Consistency</t>
  </si>
  <si>
    <t>x-default Present</t>
  </si>
  <si>
    <t>Pagination rel=next</t>
  </si>
  <si>
    <t>Pagination rel=prev</t>
  </si>
  <si>
    <t>Last-Modified</t>
  </si>
  <si>
    <t>Published Date</t>
  </si>
  <si>
    <t>Modified Date</t>
  </si>
  <si>
    <t>Last Updated</t>
  </si>
  <si>
    <t>Change Frequency</t>
  </si>
  <si>
    <t>Priority</t>
  </si>
  <si>
    <t>Schema Types Count</t>
  </si>
  <si>
    <t>Schema Types Found</t>
  </si>
  <si>
    <t>Internal Links Count</t>
  </si>
  <si>
    <t>Unique Internal Links Count</t>
  </si>
  <si>
    <t>External Links Count</t>
  </si>
  <si>
    <t>AI Crawlers Allowed (GPTBot/ClaudeBot/PerplexityBot)</t>
  </si>
  <si>
    <t>llms.txt Present</t>
  </si>
  <si>
    <t>CWV Data Source</t>
  </si>
  <si>
    <t>Internal Inlinks</t>
  </si>
  <si>
    <t>Regional Entity Hits</t>
  </si>
  <si>
    <t>Answer Block Detected (First 60 Words)</t>
  </si>
  <si>
    <t>AEO Extractability Score</t>
  </si>
  <si>
    <t>Critical Issues Count</t>
  </si>
  <si>
    <t>Warning Issues Count</t>
  </si>
  <si>
    <t>Observation Issues Count</t>
  </si>
  <si>
    <t>Inlinks Bucket</t>
  </si>
  <si>
    <t>Important But Underlinked</t>
  </si>
  <si>
    <t>SERP Title Truncation Risk</t>
  </si>
  <si>
    <t>SERP Meta Truncation Risk</t>
  </si>
  <si>
    <t>SERP Title Pixel Approx</t>
  </si>
  <si>
    <t>SERP Meta Pixel Approx</t>
  </si>
  <si>
    <t>Cannibalization Hint</t>
  </si>
  <si>
    <t>Stable Issue IDs</t>
  </si>
  <si>
    <t>URL Depth</t>
  </si>
  <si>
    <t>Param URL Flag</t>
  </si>
  <si>
    <t>4xx</t>
  </si>
  <si>
    <t>HTTP 404</t>
  </si>
  <si>
    <t>https://africanmarketingconfederation.org/amc-forum-sponsors</t>
  </si>
  <si>
    <t>https</t>
  </si>
  <si>
    <t>https://africanmarketingconfederation.org/amc-forum-sponsors/</t>
  </si>
  <si>
    <t>https://africanmarketingconfederation.org/amc-conference-sponsors/ -&gt; https://africanmarketingconfederation.org/amc-forum-sponsors/</t>
  </si>
  <si>
    <t>text/html; charset=UTF-8</t>
  </si>
  <si>
    <t>HTTP/1.1</t>
  </si>
  <si>
    <t>no-cache, must-revalidate, max-age=0, no-store, private</t>
  </si>
  <si>
    <t>2024-09-18T12:27:33+00:00</t>
  </si>
  <si>
    <t>weekly</t>
  </si>
  <si>
    <t>0.7</t>
  </si>
  <si>
    <t>0</t>
  </si>
  <si>
    <t>https://africanmarketingconfederation.org/amc-forum-speakers</t>
  </si>
  <si>
    <t>https://africanmarketingconfederation.org/amc-forum-speakers/</t>
  </si>
  <si>
    <t>https://africanmarketingconfederation.org/amc-marketing-conference-2024/speakers-2024/ -&gt; https://africanmarketingconfederation.org/amc-forum-speakers/</t>
  </si>
  <si>
    <t>2024-09-18T12:11:23+00:00</t>
  </si>
  <si>
    <t>2xx</t>
  </si>
  <si>
    <t>self</t>
  </si>
  <si>
    <t>max-age=0</t>
  </si>
  <si>
    <t>max-image-preview:large</t>
  </si>
  <si>
    <t>2026-04-29T08:23:06+00:00</t>
  </si>
  <si>
    <t>always</t>
  </si>
  <si>
    <t>1</t>
  </si>
  <si>
    <t>PSI API</t>
  </si>
  <si>
    <t>10+</t>
  </si>
  <si>
    <t>2026-04-17T08:53:24+00:00</t>
  </si>
  <si>
    <t>2026-04-17T08:55:48+00:00</t>
  </si>
  <si>
    <t>2025-04-24T13:54:46+00:00</t>
  </si>
  <si>
    <t>2026-01-21T00:07:32+00:00</t>
  </si>
  <si>
    <t>1-2</t>
  </si>
  <si>
    <t>2025-07-14T07:22:03+00:00</t>
  </si>
  <si>
    <t>2021-11-26T08:41:00+00:00</t>
  </si>
  <si>
    <t>2025-03-03T07:59:34+00:00</t>
  </si>
  <si>
    <t>2023-11-23T11:51:22+00:00</t>
  </si>
  <si>
    <t>3-10</t>
  </si>
  <si>
    <t>2023-08-22T14:14:41+00:00</t>
  </si>
  <si>
    <t>2023-08-21T11:57:28+00:00</t>
  </si>
  <si>
    <t>2023-07-03T10:10:31+00:00</t>
  </si>
  <si>
    <t>2023-08-21T10:54:35+00:00</t>
  </si>
  <si>
    <t>2026-01-09T00:06:37+00:00</t>
  </si>
  <si>
    <t>2023-08-24T11:13:02+00:00</t>
  </si>
  <si>
    <t>2023-11-23T11:27:20+00:00</t>
  </si>
  <si>
    <t>2023-08-24T10:11:48+00:00</t>
  </si>
  <si>
    <t>Near-duplicate title cluster</t>
  </si>
  <si>
    <t>2025-09-04T11:53:34+00:00</t>
  </si>
  <si>
    <t>2024-06-10T14:12:23+00:00</t>
  </si>
  <si>
    <t>2025-08-19T11:23:21+00:00</t>
  </si>
  <si>
    <t>2026-01-28T11:37:11+00:00</t>
  </si>
  <si>
    <t>2026-04-24T06:54:40+00:00</t>
  </si>
  <si>
    <t>2026-03-04T07:14:00+00:00</t>
  </si>
  <si>
    <t>2026-03-04T06:43:52+00:00</t>
  </si>
  <si>
    <t>2022-01-17T12:56:25+00:00</t>
  </si>
  <si>
    <t>2023-07-03T08:39:05+00:00</t>
  </si>
  <si>
    <t>2025-02-18T07:06:42+00:00</t>
  </si>
  <si>
    <t>Near-duplicate title cluster | Near-duplicate meta description cluster</t>
  </si>
  <si>
    <t>2025-05-14T06:45:46+00:00</t>
  </si>
  <si>
    <t>2026-03-04T06:43:51+00:00</t>
  </si>
  <si>
    <t>https://africanmarketingconfederation.org/amc-forum-mombasa/</t>
  </si>
  <si>
    <t>https://africanmarketingconfederation.org/amc-marketing-conference-2024/ -&gt; https://africanmarketingconfederation.org/amc-forum-mombasa/</t>
  </si>
  <si>
    <t>2025-02-10T13:53:27+00:00</t>
  </si>
  <si>
    <t>2025-05-15T13:46:52+00:00</t>
  </si>
  <si>
    <t>2025-05-06T09:54:46+00:00</t>
  </si>
  <si>
    <t>2025-05-21T07:15:39+00:00</t>
  </si>
  <si>
    <t>2025-08-22T08:14:01+00:00</t>
  </si>
  <si>
    <t>2024-11-15T12:51:27+00:00</t>
  </si>
  <si>
    <t>2026-02-05T07:09:45+00:00</t>
  </si>
  <si>
    <t>2024-02-28T14:18:29+00:00</t>
  </si>
  <si>
    <t>2024-11-07T06:26:44+00:00</t>
  </si>
  <si>
    <t>2022-06-02T12:03:41+00:00</t>
  </si>
  <si>
    <t>2022-04-22T10:58:21+00:00</t>
  </si>
  <si>
    <t>2022-04-22T11:41:56+00:00</t>
  </si>
  <si>
    <t>2022-06-03T08:52:21+00:00</t>
  </si>
  <si>
    <t>2024-11-05T13:50:35+00:00</t>
  </si>
  <si>
    <t>2025-08-18T11:53:25+00:00</t>
  </si>
  <si>
    <t>2024-11-04T11:11:25+00:00</t>
  </si>
  <si>
    <t>2026-04-17T09:26:48+00:00</t>
  </si>
  <si>
    <t>Near-duplicate meta description cluster</t>
  </si>
  <si>
    <t>2026-04-08T11:43:29+00:00</t>
  </si>
  <si>
    <t>2026-04-08T09:47:58+00:00</t>
  </si>
  <si>
    <t>2026-04-20T08:17:50+00:00</t>
  </si>
  <si>
    <t>2026-04-20T07:58:07+00:00</t>
  </si>
  <si>
    <t>2024-07-19T08:34:52+00:00</t>
  </si>
  <si>
    <t>2024-07-19T08:44:04+00:00</t>
  </si>
  <si>
    <t>2023-08-24T09:37:32+00:00</t>
  </si>
  <si>
    <t>https://africanmarketingconfederation.org/cart</t>
  </si>
  <si>
    <t>https://africanmarketingconfederation.org/cart/</t>
  </si>
  <si>
    <t>https://africanmarketingconfederation.org/checkout/ -&gt; https://africanmarketingconfederation.org/cart/</t>
  </si>
  <si>
    <t>no-cache, must-revalidate, max-age=0, private</t>
  </si>
  <si>
    <t>noindex, max-image-preview:large</t>
  </si>
  <si>
    <t>2025-06-25T06:43:08+00:00</t>
  </si>
  <si>
    <t>2025-05-16T09:55:10+00:00</t>
  </si>
  <si>
    <t>2026-01-06T00:02:42+00:00</t>
  </si>
  <si>
    <t>2026-04-17T08:58:32+00:00</t>
  </si>
  <si>
    <t>2024-07-09T14:28:38+00:00</t>
  </si>
  <si>
    <t>2024-09-18T09:39:20+00:00</t>
  </si>
  <si>
    <t>2026-04-20T06:32:38+00:00</t>
  </si>
  <si>
    <t>2024-03-13T12:47:07+00:00</t>
  </si>
  <si>
    <t>2024-08-02T13:04:38+00:00</t>
  </si>
  <si>
    <t>2025-12-10T08:14:03+00:00</t>
  </si>
  <si>
    <t>2022-01-14T08:35:45+00:00</t>
  </si>
  <si>
    <t>2026-04-24T07:07:22+00:00</t>
  </si>
  <si>
    <t>2026-04-17T08:55:31+00:00</t>
  </si>
  <si>
    <t>2026-04-17T08:58:00+00:00</t>
  </si>
  <si>
    <t>2021-08-31T10:56:05+00:00</t>
  </si>
  <si>
    <t>2026-04-28T12:04:20+00:00</t>
  </si>
  <si>
    <t>2026-04-29T07:05:09+00:00</t>
  </si>
  <si>
    <t>2021-10-12T12:43:05+00:00</t>
  </si>
  <si>
    <t>2026-03-26T12:27:48+00:00</t>
  </si>
  <si>
    <t>2026-04-17T08:53:47+00:00</t>
  </si>
  <si>
    <t>2024-08-28T07:27:46+00:00</t>
  </si>
  <si>
    <t>2022-01-14T11:59:51+00:00</t>
  </si>
  <si>
    <t>2025-06-24T13:09:52+00:00</t>
  </si>
  <si>
    <t>2024-09-18T09:45:04+00:00</t>
  </si>
  <si>
    <t>2024-09-12T07:26:50+00:00</t>
  </si>
  <si>
    <t>2022-07-20T13:41:07+00:00</t>
  </si>
  <si>
    <t>2024-06-27T12:24:46+00:00</t>
  </si>
  <si>
    <t>2024-04-11T06:14:27+00:00</t>
  </si>
  <si>
    <t>2023-01-18T11:02:32+00:00</t>
  </si>
  <si>
    <t>2022-01-17T12:56:22+00:00</t>
  </si>
  <si>
    <t>Word Count</t>
  </si>
  <si>
    <t>Word Count Band</t>
  </si>
  <si>
    <t>Readability (Rough Flesch)</t>
  </si>
  <si>
    <t>H1 Count</t>
  </si>
  <si>
    <t>Missing H1 Flag</t>
  </si>
  <si>
    <t>Multiple H1 Flag</t>
  </si>
  <si>
    <t>Title Missing</t>
  </si>
  <si>
    <t>Meta Description Missing</t>
  </si>
  <si>
    <t>Thin Content Flag</t>
  </si>
  <si>
    <t>Sentence Count</t>
  </si>
  <si>
    <t>Body Text-to-HTML Ratio</t>
  </si>
  <si>
    <t>Thin</t>
  </si>
  <si>
    <t>OK</t>
  </si>
  <si>
    <t>Strong</t>
  </si>
  <si>
    <t>AEO Readiness Score</t>
  </si>
  <si>
    <t>AEO Badge</t>
  </si>
  <si>
    <t>FAQ Section Count</t>
  </si>
  <si>
    <t>Question Heading Count</t>
  </si>
  <si>
    <t>Paragraphs 40-60 Words Count</t>
  </si>
  <si>
    <t>QAPage/FAQ Schema Present</t>
  </si>
  <si>
    <t>Speakable Schema Present</t>
  </si>
  <si>
    <t>HowTo Signal</t>
  </si>
  <si>
    <t>Definition Signal</t>
  </si>
  <si>
    <t>List/Table Answer Signal</t>
  </si>
  <si>
    <t>Snippet Preview Mockup</t>
  </si>
  <si>
    <t>Needs Work</t>
  </si>
  <si>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</si>
  <si>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</si>
  <si>
    <t>Schema Parse Errors</t>
  </si>
  <si>
    <t>OG Title</t>
  </si>
  <si>
    <t>OG Description</t>
  </si>
  <si>
    <t>Open Graph Complete</t>
  </si>
  <si>
    <t>Twitter Card Type</t>
  </si>
  <si>
    <t>Home page of the african marketing confederation</t>
  </si>
  <si>
    <t>The 2026 AMC Conference Meets the Mighty Victoria Falls 23-25 September | Livingstone, Zambia Sign Up for Updates The 2026 AMC Conference Meets the Mighty Victoria Falls 23-25 September | Livingstone, Zambia Sign Up for Updates Certified Professional Marketer (Africa) - CPM(A) The designation where global marketing standards meet African realities Learn More ABOUT The</t>
  </si>
  <si>
    <t>summary_large_image</t>
  </si>
  <si>
    <t>Broken Internal Links Count</t>
  </si>
  <si>
    <t>Unresolved Internal Links Count</t>
  </si>
  <si>
    <t>Generic Anchor Text Count</t>
  </si>
  <si>
    <t>Nofollow Internal Links Count</t>
  </si>
  <si>
    <t>Nofollow External Links Count</t>
  </si>
  <si>
    <t>Internal Link Statuses</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</si>
  <si>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https://africanmarketingconfederation.org/chatgpt-ads-in-africa-a-game-changer-or-a-trust-gamble =&gt; 200 | https://africanmarketingconfederation.org/contact-us =&gt; 200 | https://africanmarketingconfederation.org/education =&gt; 200 | https://africanmarketingconfederation.org/european-marketers-gather-to-choose-their-top-achievers-for-2026 =&gt; 200 | https://africanmarketingconfederation.org/members =&gt; 200 | https://africanmarketingconfederation.org/namibia-bets-on-walvis-bay-port-as-increasingly-viable-alternative =&gt; 200 | https://africanmarketingconfederation.org/news-articles =&gt; 200 | https://africanmarketingconfederation.org/omnicom-media-study-warns-negative-reach-can-undermine-ad-campaigns =&gt; 200 | https://africanmarketingconfederation.org/out-now-new-issue-brings-latest-news-and-insights-for-africas-marketers =&gt; 200 | https://africanmarketingconfederation.org/privacy-policy =&gt; 200 | https://africanmarketingconfederation.org/publications-2 =&gt; 200 | https://africanmarketingconfederation.org/report-identifies-five-forces-influencing-global-purchasing-decisions =&gt; 200 | https://africanmarketingconfederation.org/sub-committees =&gt; 200 | https://africanmarketingconfederation.org/subscribe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</si>
  <si>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</si>
  <si>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</si>
  <si>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</si>
  <si>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</si>
  <si>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</si>
  <si>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</si>
  <si>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</si>
  <si>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https://africanmarketingconfederation.org/amc-conference-2025-delegate-packages =&gt; 404</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</si>
  <si>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https://africanmarketingconfederation.org/book-now =&gt; 200 | https://africanmarketingconfederation.org/calendar_events =&gt; 404 | https://africanmarketingconfederation.org/privacy-policy =&gt; 200 | https://africanmarketingconfederation.org/publications-2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</si>
  <si>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 | https://africanmarketingconfederation.org/wp-content/uploads/2023/09/AMC-TICON-0008.jpg =&gt; 200 | https://africanmarketingconfederation.org/wp-content/uploads/2023/09/AMC-TICON-0013.jpg =&gt; 200 | https://africanmarketingconfederation.org/wp-content/uploads/2023/09/AMC-TICON-0017.jpg =&gt; 200 | https://africanmarketingconfederation.org/wp-content/uploads/2023/09/AMC-TICON-0033.jpg =&gt; 200 | https://africanmarketingconfederation.org/wp-content/uploads/2023/09/AMC-TICON-0034.jpg =&gt; 200 | https://africanmarketingconfederation.org/wp-content/uploads/2023/09/AMC-TICON-0047.jpg =&gt; 200 | https://africanmarketingconfederation.org/wp-content/uploads/2023/09/AMC-TICON-0048.jpg =&gt; 200 | https://africanmarketingconfederation.org/wp-content/uploads/2023/09/AMC-TICON-0050.jpg =&gt; 200 | https://africanmarketingconfederation.org/wp-content/uploads/2023/09/AMC-TICON-0051.jpg =&gt; 200 | https://africanmarketingconfederation.org/wp-content/uploads/2023/09/AMC-TICON-0052.jpg =&gt; 200 | https://africanmarketingconfederation.org/wp-content/uploads/2023/09/AMC-TICON-0060.jpg =&gt; 200 | https://africanmarketingconfederation.org/wp-content/uploads/2023/09/AMC-TICON-0065.jpg =&gt; 200 | https://africanmarketingconfederation.org/wp-content/uploads/2023/09/AMC-TICON-0078.jpg =&gt; 200 | https://africanmarketingconfederation.org/wp-content/uploads/2023/09/AMC-TICON-0136.jpg =&gt; 200 | https://africanmarketingconfederation.org/wp-content/uploads/2023/09/AMC-TICON-0150.jpg =&gt; 200 | https://africanmarketingconfederation.org/wp-content/uploads/2023/09/AMC-TICON-0151.jpg =&gt; 200 | https://africanmarketingconfederation.org/wp-content/uploads/2023/09/AMC-TICON-0152.jpg =&gt; 200 | https://africanmarketingconfederation.org/wp-content/uploads/2023/09/AMC-TICON-0155.jpg =&gt; 200 | https://africanmarketingconfederation.org/wp-content/uploads/2023/09/AMC-TICON-0156.jpg =&gt; 200 | https://africanmarketingconfederation.org/wp-content/uploads/2023/09/AMC-TICON-0164.jpg =&gt; 200 | https://africanmarketingconfederation.org/wp-content/uploads/2023/09/AMC-TICON-0174.jpg =&gt; 200 | https://africanmarketingconfederation.org/wp-content/uploads/2023/09/AMC-TICON-0185.jpg =&gt; 200 | https://africanmarketingconfederation.org/wp-content/uploads/2023/09/AMC-TICON-0186.jpg =&gt; 200 | https://africanmarketingconfederation.org/wp-content/uploads/2023/09/AMC-TICON-0201.jpg =&gt; 200 | https://africanmarketingconfederation.org/wp-content/uploads/2023/09/AMC-TICON-0202.jpg =&gt; 200 | https://africanmarketingconfederation.org/wp-content/uploads/2023/09/AMC-TICON-0205.jpg =&gt; 200 | https://africanmarketingconfederation.org/wp-content/uploads/2023/09/AMC-TICON-0206.jpg =&gt; 200 | https://africanmarketingconfederation.org/wp-content/uploads/2023/09/AMC-TICON-0209.jpg =&gt; 200 | https://africanmarketingconfederation.org/wp-content/uploads/2023/09/AMC-TICON-0213.jpg =&gt; 200 | https://africanmarketingconfederation.org/wp-content/uploads/2023/09/AMC-TICON-0218.jpg =&gt; 200 | https://africanmarketingconfederation.org/wp-content/uploads/2023/09/AMC-TICON-0794.jpg =&gt; 200 | https://africanmarketingconfederation.org/wp-content/uploads/2023/09/AMC-TICON-0795.jpg =&gt; 200 | https://africanmarketingconfederation.org/wp-content/uploads/2023/09/AMC-TICON-0801.jpg =&gt; 200 | https://africanmarketingconfederation.org/wp-content/uploads/2023/09/AMC-TICON-0803.jpg =&gt; 200 | https://africanmarketingconfederation.org/wp-content/uploads/2023/09/AMC-TICON-0804.jpg =&gt; 200 | https://africanmarketingconfederation.org/wp-content/uploads/2023/09/AMC-TICON-0806.jpg =&gt; 200 | https://africanmarketingconfederation.org/wp-content/uploads/2023/09/AMC-TICON-0808.jpg =&gt; 200 | https://africanmarketingconfederation.org/wp-content/uploads/2023/09/AMC-TICON-0812.jpg =&gt; 200 | https://africanmarketingconfederation.org/wp-content/uploads/2023/09/AMC-TICON-0818.jpg =&gt; 200 | https://africanmarketingconfederation.org/wp-content/uploads/2023/09/AMC-TICON-0819.jpg =&gt; 200 | https://africanmarketingconfederation.org/wp-content/uploads/2023/09/AMC-TICON-0821.jpg =&gt; 200 | https://africanmarketingconfederation.org/wp-content/uploads/2023/09/AMC-TICON-0822.jpg =&gt; 200 | https://africanmarketingconfederation.org/wp-content/uploads/2023/09/AMC-TICON-0825.jpg =&gt; 200 | https://africanmarketingconfederation.org/wp-content/uploads/2023/09/AMC-TICON-0827.jpg =&gt; 200 | https://africanmarketingconfederation.org/wp-content/uploads/2023/09/AMC-TICON-0840.jpg =&gt; 200 | https://africanmarketingconfederation.org/wp-content/uploads/2023/09/AMC-TICON-0842.jpg =&gt; 200 | https://africanmarketingconfederation.org/wp-content/uploads/2023/09/AMC-TICON-0843.jpg =&gt; 200 | https://africanmarketingconfederation.org/wp-content/uploads/2023/09/AMC-TICON-0844.jpg =&gt; 200 | https://africanmarketingconfederation.org/wp-content/uploads/2023/09/AMC-TICON-0845.jpg =&gt; 200 | https://africanmarketingconfederation.org/wp-content/uploads/2023/09/AMC-TICON-0850.jpg =&gt; 200 | https://africanmarketingconfederation.org/wp-content/uploads/2023/09/AMC-TICON-0855.jpg =&gt; 200 | https://africanmarketingconfederation.org/wp-content/uploads/2023/09/AMC-TICON-0857.jpg =&gt; 200 | https://africanmarketingconfederation.org/wp-content/uploads/2023/09/AMC-TICON-0865.jpg =&gt; 200 | https://africanmarketingconfederation.org/wp-content/uploads/2023/09/AMC-TICON-0874.jpg =&gt; 200 | https://africanmarketingconfederation.org/wp-content/uploads/2023/09/AMC-TICON-0880.jpg =&gt; 200 | https://africanmarketingconfederation.org/wp-content/uploads/2023/09/AMC-TICON-0881.jpg =&gt; 200 | https://africanmarketingconfederation.org/wp-content/uploads/2023/09/AMC-TICON-0884.jpg =&gt; 200 | https://africanmarketingconfederation.org/wp-content/uploads/2023/09/AMC-TICON-0886.jpg =&gt; 200 | https://africanmarketingconfederation.org/wp-content/uploads/2023/09/AMC-TICON-0892.jpg =&gt; 200 | https://africanmarketingconfederation.org/wp-content/uploads/2023/09/AMC-TICON-0899.jpg =&gt; 200 | https://africanmarketingconfederation.org/wp-content/uploads/2023/09/AMC-TICON-0900.jpg =&gt; 200 | https://africanmarketingconfederation.org/wp-content/uploads/2023/09/AMC-TICON-1107.jpg =&gt; 200 | https://africanmarketingconfederation.org/wp-content/uploads/2023/09/AMC-TICON-1113.jpg =&gt; 200 | https://africanmarketingconfederation.org/wp-content/uploads/2023/09/AMC-TICON-1114.jpg =&gt; 200 | https://africanmarketingconfederation.org/wp-content/uploads/2023/09/AMC-TICON-1118.jpg =&gt; 200 | https://africanmarketingconfederation.org/wp-content/uploads/2023/09/AMC-TICON-1121.jpg =&gt; 200 | https://africanmarketingconfederation.org/wp-content/uploads/2023/09/AMC-TICON-1127.jpg =&gt; 200 | https://africanmarketingconfederation.org/wp-content/uploads/2023/09/AMC-TICON-1128.jpg =&gt; 200 | https://africanmarketingconfederation.org/wp-content/uploads/2023/09/AMC-TICON-1131.jpg =&gt; 200 | https://africanmarketingconfederation.org/wp-content/uploads/2023/09/AMC-TICON-1132.jpg =&gt; 200 | https://africanmarketingconfederation.org/wp-content/uploads/2023/09/AMC-TICON-1133.jpg =&gt; 200 | https://africanmarketingconfederation.org/wp-content/uploads/2023/09/AMC-TICON-1136.jpg =&gt; 200 | https://africanmarketingconfederation.org/wp-content/uploads/2023/09/AMC-TICON-1137.jpg =&gt; 200 | https://africanmarketingconfederation.org/wp-content/uploads/2023/09/AMC-TICON-1138.jpg =&gt; 200 | https://africanmarketingconfederation.org/wp-content/uploads/2023/09/AMC-TICON-1152.jpg =&gt; 200 | https://africanmarketingconfederation.org/wp-content/uploads/2023/09/AMC-TICON-1153.jpg =&gt; 200 | https://africanmarketingconfederation.org/wp-content/uploads/2023/09/AMC-TICON-1154.jpg =&gt; 200 | https://africanmarketingconfederation.org/wp-content/uploads/2023/09/AMC-TICON-1156.jpg =&gt; 200 | https://africanmarketingconfederation.org/wp-content/uploads/2023/09/AMC-TICON-1161.jpg =&gt; 200 | https://africanmarketingconfederation.org/wp-content/uploads/2023/09/AMC-TICON-1164.jpg =&gt; 200 | https://africanmarketingconfederation.org/wp-content/uploads/2023/09/AMC-TICON-1166.jpg =&gt; 200 | https://africanmarketingconfederation.org/wp-content/uploads/2023/09/AMC-TICON-1174.jpg =&gt; 200 | https://africanmarketingconfederation.org/wp-content/uploads/2023/09/AMC-TICON-1177.jpg =&gt; 200 | https://africanmarketingconfederation.org/wp-content/uploads/2023/09/AMC-TICON-1179.jpg =&gt; 200 | https://africanmarketingconfederation.org/wp-content/uploads/2023/09/AMC-TICON-1180-2.jpg =&gt; 200 | https://africanmarketingconfederation.org/wp-content/uploads/2023/09/AMC-TICON-1180.jpg =&gt; 200 | https://africanmarketingconfederation.org/wp-content/uploads/2023/09/AMC-TICON-1181.jpg =&gt; 200 | https://africanmarketingconfederation.org/wp-content/uploads/2023/09/AMC-TICON-1187.jpg =&gt; 200 | https://africanmarketingconfederation.org/wp-content/uploads/2023/09/AMC-TICON-2-2.jpg =&gt; 200 | https://africanmarketingconfederation.org/wp-content/uploads/2023/09/AMC-TICON-2-3.jpg =&gt; 200 | https://africanmarketingconfederation.org/wp-content/uploads/2023/09/AMC-TICON-2.jpg =&gt; 200 | https://africanmarketingconfederation.org/wp-content/uploads/2023/09/AMC-TICON-9709.jpg =&gt; 200 | https://africanmarketingconfederation.org/wp-content/uploads/2023/09/AMC-TICON-9710.jpg =&gt; 200 | https://africanmarketingconfederation.org/wp-content/uploads/2023/09/AMC-TICON-9716.jpg =&gt; 200 | https://africanmarketingconfederation.org/wp-content/uploads/2023/09/AMC-TICON-9722.jpg =&gt; 200 | https://africanmarketingconfederation.org/wp-content/uploads/2023/09/AMC-TICON-9729.jpg =&gt; 200 | https://africanmarketingconfederation.org/wp-content/uploads/2023/09/AMC-TICON-9730.jpg =&gt; 200 | https://africanmarketingconfederation.org/wp-content/uploads/2023/09/AMC-TICON-9735.jpg =&gt; 200 | https://africanmarketingconfederation.org/wp-content/uploads/2023/09/AMC-TICON-9742.jpg =&gt; 200 | https://africanmarketingconfederation.org/wp-content/uploads/2023/09/AMC-TICON-9743.jpg =&gt; 200 | https://africanmarketingconfederation.org/wp-content/uploads/2023/09/AMC-TICON-9745.jpg =&gt; 200 | https://africanmarketingconfederation.org/wp-content/uploads/2023/09/AMC-TICON-9746.jpg =&gt; 200 | https://africanmarketingconfederation.org/wp-content/uploads/2023/09/AMC-TICON-9749.jpg =&gt; 200 | https://africanmarketingconfederation.org/wp-content/uploads/2023/09/AMC-TICON-9757.jpg =&gt; 200 | https://africanmarketingconfederation.org/wp-content/uploads/2023/09/AMC-TICON-9760.jpg =&gt; 200 | https://africanmarketingconfederation.org/wp-content/uploads/2023/09/AMC-TICON-9768.jpg =&gt; 200 | https://africanmarketingconfederation.org/wp-content/uploads/2023/09/AMC-TICON-9779.jpg =&gt; 200 | https://africanmarketingconfederation.org/wp-content/uploads/2023/09/AMC-TICON-9793.jpg =&gt; 200 | https://africanmarketingconfederation.org/wp-content/uploads/2023/09/AMC-TICON-9794.jpg =&gt; 200 | https://africanmarketingconfederation.org/wp-content/uploads/2023/09/AMC-TICON-9796.jpg =&gt; 200 | https://africanmarketingconfederation.org/wp-content/uploads/2023/09/AMC-TICON-9797.jpg =&gt; 200 | https://africanmarketingconfederation.org/wp-content/uploads/2023/09/AMC-TICON-9801.jpg =&gt; 200 | https://africanmarketingconfederation.org/wp-content/uploads/2023/09/AMC-TICON-9802.jpg =&gt; 200 | https://africanmarketingconfederation.org/wp-content/uploads/2023/09/AMC-TICON-9805.jpg =&gt; 200 | https://africanmarketingconfederation.org/wp-content/uploads/2023/09/AMC-TICON-9806.jpg =&gt; 200 | https://africanmarketingconfederation.org/wp-content/uploads/2023/09/AMC-TICON-9808.jpg =&gt; 200 | https://africanmarketingconfederation.org/wp-content/uploads/2023/09/AMC-TICON-9809.jpg =&gt; 200 | https://africanmarketingconfederation.org/wp-content/uploads/2023/09/AMC-TICON-9819.jpg =&gt; 200 | https://africanmarketingconfederation.org/wp-content/uploads/2023/09/AMC-TICON-9822.jpg =&gt; 200 | https://africanmarketingconfederation.org/wp-content/uploads/2023/09/AMC-TICON-9823.jpg =&gt; 200 | https://africanmarketingconfederation.org/wp-content/uploads/2023/09/AMC-TICON-9825.jpg =&gt; 200 | https://africanmarketingconfederation.org/wp-content/uploads/2023/09/AMC-TICON-9826.jpg =&gt; 200 | https://africanmarketingconfederation.org/wp-content/uploads/2023/09/AMC-TICON-9835.jpg =&gt; 200 | https://africanmarketingconfederation.org/wp-content/uploads/2023/09/AMC-TICON-9838.jpg =&gt; 200 | https://africanmarketingconfederation.org/wp-content/uploads/2023/09/AMC-TICON-9841.jpg =&gt; 200 | https://africanmarketingconfederation.org/wp-content/uploads/2023/09/AMC-TICON-9842.jpg =&gt; 200 | https://africanmarketingconfederation.org/wp-content/uploads/2023/09/AMC-TICON-9843.jpg =&gt; 200 | https://africanmarketingconfederation.org/wp-content/uploads/2023/09/AMC-TICON-9846.jpg =&gt; 200 | https://africanmarketingconfederation.org/wp-content/uploads/2023/09/AMC-TICON-9868.jpg =&gt; 200 | https://africanmarketingconfederation.org/wp-content/uploads/2023/09/AMC-TICON-9871.jpg =&gt; 200 | https://africanmarketingconfederation.org/wp-content/uploads/2023/09/AMC-TICON-9872.jpg =&gt; 200 | https://africanmarketingconfederation.org/wp-content/uploads/2023/09/AMC-TICON-9873.jpg =&gt; 200 | https://africanmarketingconfederation.org/wp-content/uploads/2023/09/AMC-TICON-9883.jpg =&gt; 200 | https://africanmarketingconfederation.org/wp-content/uploads/2023/09/AMC-TICON-9887.jpg =&gt; 200 | https://africanmarketingconfederation.org/wp-content/uploads/2023/09/AMC-TICON-9888.jpg =&gt; 200 | https://africanmarketingconfederation.org/wp-content/uploads/2023/09/AMC-TICON-9890.jpg =&gt; 200 | https://africanmarketingconfederation.org/wp-content/uploads/2023/09/AMC-TICON-9891.jpg =&gt; 200 | https://africanmarketingconfederation.org/wp-content/uploads/2023/09/AMC-TICON-9892.jpg =&gt; 200 | https://africanmarketingconfederation.org/wp-content/uploads/2023/09/AMC-TICON-9898.jpg =&gt; 200 | https://africanmarketingconfederation.org/wp-content/uploads/2023/09/AMC-TICON-9899.jpg =&gt; 200 | https://africanmarketingconfederation.org/wp-content/uploads/2023/09/AMC-TICON-9905.jpg =&gt; 200 | https://africanmarketingconfederation.org/wp-content/uploads/2023/09/AMC-TICON-9910.jpg =&gt; 200 | https://africanmarketingconfederation.org/wp-content/uploads/2023/09/AMC-TICON-9911.jpg =&gt; 200 | https://africanmarketingconfederation.org/wp-content/uploads/2023/09/AMC-TICON-9912.jpg =&gt; 200 | https://africanmarketingconfederation.org/wp-content/uploads/2023/09/AMC-TICON-9913.jpg =&gt; 200 | https://africanmarketingconfederation.org/wp-content/uploads/2023/09/AMC-TICON-9914.jpg =&gt; 200 | https://africanmarketingconfederation.org/wp-content/uploads/2023/09/AMC-TICON-9935.jpg =&gt; 200 | https://africanmarketingconfederation.org/wp-content/uploads/2023/09/AMC-TICON-9941.jpg =&gt; 200 | https://africanmarketingconfederation.org/wp-content/uploads/2023/09/AMC-TICON-9942.jpg =&gt; 200 | https://africanmarketingconfederation.org/wp-content/uploads/2023/09/AMC-TICON-9948.jpg =&gt; 200 | https://africanmarketingconfederation.org/wp-content/uploads/2023/09/AMC-TICON-9960.jpg =&gt; 200 | https://africanmarketingconfederation.org/wp-content/uploads/2023/09/AMC-TICON-9961.jpg =&gt; 200 | https://africanmarketingconfederation.org/wp-content/uploads/2023/09/AMC-TICON-9963.jpg =&gt; 200 | https://africanmarketingconfederation.org/wp-content/uploads/2023/09/AMC-TICON-9964.jpg =&gt; 200 | https://africanmarketingconfederation.org/wp-content/uploads/2023/09/AMC-TICON-9965.jpg =&gt; 200 | https://africanmarketingconfederation.org/wp-content/uploads/2023/09/AMC-TICON-9968.jpg =&gt; 200 | https://africanmarketingconfederation.org/wp-content/uploads/2023/09/AMC-TICON-9969.jpg =&gt; 200 | https://africanmarketingconfederation.org/wp-content/uploads/2023/09/AMC-TICON-9970.jpg =&gt; 200 | https://africanmarketingconfederation.org/wp-content/uploads/2023/09/AMC-TICON-9977.jpg =&gt; 200 | https://africanmarketingconfederation.org/wp-content/uploads/2023/09/AMC-TICON-9979.jpg =&gt; 200 | https://africanmarketingconfederation.org/wp-content/uploads/2023/09/AMC-TICON-9984.jpg =&gt; 200 | https://africanmarketingconfederation.org/wp-content/uploads/2023/09/AMC-TICON-9999.jpg =&gt; 200 | https://africanmarketingconfederation.org/wp-content/uploads/2023/09/AMC-Ticon-00222.jpg =&gt; 200 | https://africanmarketingconfederation.org/wp-content/uploads/2023/09/AMC-Ticon-00223.jpg =&gt; 200 | https://africanmarketingconfederation.org/wp-content/uploads/2023/09/AMC-Ticon-00226.jpg =&gt; 200 | https://africanmarketingconfederation.org/wp-content/uploads/2023/09/AMC-Ticon-00228.jpg =&gt; 200 | https://africanmarketingconfederation.org/wp-content/uploads/2023/09/AMC-Ticon-00236.jpg =&gt; 200 | https://africanmarketingconfederation.org/wp-content/uploads/2023/09/AMC-Ticon-00237.jpg =&gt; 200 | https://africanmarketingconfederation.org/wp-content/uploads/2023/09/AMC-Ticon-00239.jpg =&gt; 200 | https://africanmarketingconfederation.org/wp-content/uploads/2023/09/AMC-Ticon-00242.jpg =&gt; 200 | https://africanmarketingconfederation.org/wp-content/uploads/2023/09/AMC-Ticon-00243.jpg =&gt; 200 | https://africanmarketingconfederation.org/wp-content/uploads/2023/09/AMC-Ticon-00246.jpg =&gt; 200 | https://africanmarketingconfederation.org/wp-content/uploads/2023/09/AMC-Ticon-00250.jpg =&gt; 200 | https://africanmarketingconfederation.org/wp-content/uploads/2023/09/AMC-Ticon-00252.jpg =&gt; 200 | https://africanmarketingconfederation.org/wp-content/uploads/2023/09/AMC-Ticon-00269.jpg =&gt; 200 | https://africanmarketingconfederation.org/wp-content/uploads/2023/09/AMC-Ticon-00273.jpg =&gt; 200 | https://africanmarketingconfederation.org/wp-content/uploads/2023/09/AMC-Ticon-00274.jpg =&gt; 200 | https://africanmarketingconfederation.org/wp-content/uploads/2023/09/AMC-Ticon-00279.jpg =&gt; 200 | https://africanmarketingconfederation.org/wp-content/uploads/2023/09/AMC-Ticon-00280.jpg =&gt; 200 | https://africanmarketingconfederation.org/wp-content/uploads/2023/09/AMC-Ticon-00284.jpg =&gt; 200 | https://africanmarketingconfederation.org/wp-content/uploads/2023/09/AMC-Ticon-00287.jpg =&gt; 200 | https://africanmarketingconfederation.org/wp-content/uploads/2023/09/AMC-Ticon-00291.jpg =&gt; 200 | https://africanmarketingconfederation.org/wp-content/uploads/2023/09/AMC-Ticon-00292.jpg =&gt; 200 | https://africanmarketingconfederation.org/wp-content/uploads/2023/09/AMC-Ticon-00293.jpg =&gt; 200 | https://africanmarketingconfederation.org/wp-content/uploads/2023/09/AMC-Ticon-00296.jpg =&gt; 200 | https://africanmarketingconfederation.org/wp-content/uploads/2023/09/AMC-Ticon-00299.jpg =&gt; 200 | https://africanmarketingconfederation.org/wp-content/uploads/2023/09/AMC-Ticon-00301.jpg =&gt; 200 | https://africanmarketingconfederation.org/wp-content/uploads/2023/09/AMC-Ticon-00302.jpg =&gt; 200 | https://africanmarketingconfederation.org/wp-content/uploads/2023/09/AMC-Ticon-00303.jpg =&gt; 200 | https://africanmarketingconfederation.org/wp-content/uploads/2023/09/AMC-Ticon-00307.jpg =&gt; 200 | https://africanmarketingconfederation.org/wp-content/uploads/2023/09/AMC-Ticon-00309.jpg =&gt; 200 | https://africanmarketingconfederation.org/wp-content/uploads/2023/09/AMC-Ticon-00310.jpg =&gt; 200 | https://africanmarketingconfederation.org/wp-content/uploads/2023/09/AMC-Ticon-00312.jpg =&gt; 200 | https://africanmarketingconfederation.org/wp-content/uploads/2023/09/AMC-Ticon-00313.jpg =&gt; 200 | https://africanmarketingconfederation.org/wp-content/uploads/2023/09/AMC-Ticon-00314.jpg =&gt; 200 | https://africanmarketingconfederation.org/wp-content/uploads/2023/09/AMC-Ticon-00319.jpg =&gt; 200 | https://africanmarketingconfederation.org/wp-content/uploads/2023/09/AMC-Ticon-00320.jpg =&gt; 200 | https://africanmarketingconfederation.org/wp-content/uploads/2023/09/AMC-Ticon-00321.jpg =&gt; 200 | https://africanmarketingconfederation.org/wp-content/uploads/2023/09/AMC-Ticon-00324.jpg =&gt; 200 | https://africanmarketingconfederation.org/wp-content/uploads/2023/09/AMC-Ticon-00326.jpg =&gt; 200 | https://africanmarketingconfederation.org/wp-content/uploads/2023/09/AMC-Ticon-00327.jpg =&gt; 200 | https://africanmarketingconfederation.org/wp-content/uploads/2023/09/AMC-Ticon-00329.jpg =&gt; 200 | https://africanmarketingconfederation.org/wp-content/uploads/2023/09/AMC-Ticon-00330.jpg =&gt; 200 | https://africanmarketingconfederation.org/wp-content/uploads/2023/09/AMC-Ticon-00332.jpg =&gt; 200 | https://africanmarketingconfederation.org/wp-content/uploads/2023/09/AMC-Ticon-00334.jpg =&gt; 200 | https://africanmarketingconfederation.org/wp-content/uploads/2023/09/AMC-Ticon-00335.jpg =&gt; 200 | https://africanmarketingconfederation.org/wp-content/uploads/2023/09/AMC-Ticon-00337.jpg =&gt; 200 | https://africanmarketingconfederation.org/wp-content/uploads/2023/09/AMC-Ticon-00338.jpg =&gt; 200 | https://africanmarketingconfederation.org/wp-content/uploads/2023/09/AMC-Ticon-00340.jpg =&gt; 200 | https://africanmarketingconfederation.org/wp-content/uploads/2023/09/AMC-Ticon-00341.jpg =&gt; 200 | https://africanmarketingconfederation.org/wp-content/uploads/2023/09/AMC-Ticon-00348.jpg =&gt; 200 | https://africanmarketingconfederation.org/wp-content/uploads/2023/09/AMC-Ticon-00350.jpg =&gt; 200 | https://africanmarketingconfederation.org/wp-content/uploads/2023/09/AMC-Ticon-00351.jpg =&gt; 200 | https://africanmarketingconfederation.org/wp-content/uploads/2023/09/AMC-Ticon-00352.jpg =&gt; 200 | https://africanmarketingconfederation.org/wp-content/uploads/2023/09/AMC-Ticon-00354.jpg =&gt; 200 | https://africanmarketingconfederation.org/wp-content/uploads/2023/09/AMC-Ticon-00355.jpg =&gt; 200 | https://africanmarketingconfederation.org/wp-content/uploads/2023/09/AMC-Ticon-00357.jpg =&gt; 200 | https://africanmarketingconfederation.org/wp-content/uploads/2023/09/AMC-Ticon-00358.jpg =&gt; 200 | https://africanmarketingconfederation.org/wp-content/uploads/2023/09/AMC-Ticon-00360.jpg =&gt; 200 | https://africanmarketingconfederation.org/wp-content/uploads/2023/09/AMC-Ticon-00361.jpg =&gt; 200 | https://africanmarketingconfederation.org/wp-content/uploads/2023/09/AMC-Ticon-00364.jpg =&gt; 200 | https://africanmarketingconfederation.org/wp-content/uploads/2023/09/AMC-Ticon-00370.jpg =&gt; 200 | https://africanmarketingconfederation.org/wp-content/uploads/2023/09/AMC-Ticon-00372.jpg =&gt; 200 | https://africanmarketingconfederation.org/wp-content/uploads/2023/09/AMC-Ticon-00375.jpg =&gt; 200 | https://africanmarketingconfederation.org/wp-content/uploads/2023/09/AMC-Ticon-00376.jpg =&gt; 200 | https://africanmarketingconfederation.org/wp-content/uploads/2023/09/AMC-Ticon-00377.jpg =&gt; 200 | https://africanmarketingconfederation.org/wp-content/uploads/2023/09/AMC-Ticon-00380.jpg =&gt; 200 | https://africanmarketingconfederation.org/wp-content/uploads/2023/09/AMC-Ticon-00382.jpg =&gt; 200 | https://africanmarketingconfederation.org/wp-content/uploads/2023/09/AMC-Ticon-00385.jpg =&gt; 200 | https://africanmarketingconfederation.org/wp-content/uploads/2023/09/AMC-Ticon-00386.jpg =&gt; 200 | https://africanmarketingconfederation.org/wp-content/uploads/2023/09/AMC-Ticon-00389.jpg =&gt; 200 | https://africanmarketingconfederation.org/wp-content/uploads/2023/09/AMC-Ticon-00391.jpg =&gt; 200 | https://africanmarketingconfederation.org/wp-content/uploads/2023/09/AMC-Ticon-00392.jpg =&gt; 200 | https://africanmarketingconfederation.org/wp-content/uploads/2023/09/AMC-Ticon-00393.jpg =&gt; 200 | https://africanmarketingconfederation.org/wp-content/uploads/2023/09/AMC-Ticon-00396.jpg =&gt; 200 | https://africanmarketingconfederation.org/wp-content/uploads/2023/09/AMC-Ticon-00399.jpg =&gt; 200 | https://africanmarketingconfederation.org/wp-content/uploads/2023/09/AMC-Ticon-00400.jpg =&gt; 200 | https://africanmarketingconfederation.org/wp-content/uploads/2023/09/AMC-Ticon-00401.jpg =&gt; 200 | https://africanmarketingconfederation.org/wp-content/uploads/2023/09/AMC-Ticon-00402.jpg =&gt; 200 | https://africanmarketingconfederation.org/wp-content/uploads/2023/09/AMC-Ticon-00406.jpg =&gt; 200 | https://africanmarketingconfederation.org/wp-content/uploads/2023/09/AMC-Ticon-00407.jpg =&gt; 200 | https://africanmarketingconfederation.org/wp-content/uploads/2023/09/AMC-Ticon-00408.jpg =&gt; 200 | https://africanmarketingconfederation.org/wp-content/uploads/2023/09/AMC-Ticon-00412.jpg =&gt; 200 | https://africanmarketingconfederation.org/wp-content/uploads/2023/09/AMC-Ticon-00413.jpg =&gt; 200 | https://africanmarketingconfederation.org/wp-content/uploads/2023/09/AMC-Ticon-00414.jpg =&gt; 200 | https://africanmarketingconfederation.org/wp-content/uploads/2023/09/AMC-Ticon-00415.jpg =&gt; 200 | https://africanmarketingconfederation.org/wp-content/uploads/2023/09/AMC-Ticon-00418.jpg =&gt; 200 | https://africanmarketingconfederation.org/wp-content/uploads/2023/09/AMC-Ticon-00419.jpg =&gt; 200 | https://africanmarketingconfederation.org/wp-content/uploads/2023/09/AMC-Ticon-00422.jpg =&gt; 200 | https://africanmarketingconfederation.org/wp-content/uploads/2023/09/AMC-Ticon-00423.jpg =&gt; 200 | https://africanmarketingconfederation.org/wp-content/uploads/2023/09/AMC-Ticon-00428.jpg =&gt; 200 | https://africanmarketingconfederation.org/wp-content/uploads/2023/09/AMC-Ticon-00430.jpg =&gt; 200 | https://africanmarketingconfederation.org/wp-content/uploads/2023/09/AMC-Ticon-00433.jpg =&gt; 200 | https://africanmarketingconfederation.org/wp-content/uploads/2023/09/AMC-Ticon-00438.jpg =&gt; 200 | https://africanmarketingconfederation.org/wp-content/uploads/2023/09/AMC-Ticon-00445.jpg =&gt; 200 | https://africanmarketingconfederation.org/wp-content/uploads/2023/09/AMC-Ticon-00449.jpg =&gt; 200 | https://africanmarketingconfederation.org/wp-content/uploads/2023/09/AMC-Ticon-00451.jpg =&gt; 200 | https://africanmarketingconfederation.org/wp-content/uploads/2023/09/AMC-Ticon-00452.jpg =&gt; 200 | https://africanmarketingconfederation.org/wp-content/uploads/2023/09/AMC-Ticon-00455.jpg =&gt; 200 | https://africanmarketingconfederation.org/wp-content/uploads/2023/09/AMC-Ticon-00457.jpg =&gt; 200 | https://africanmarketingconfederation.org/wp-content/uploads/2023/09/AMC-Ticon-00459.jpg =&gt; 200 | https://africanmarketingconfederation.org/wp-content/uploads/2023/09/AMC-Ticon-00462.jpg =&gt; 200 | https://africanmarketingconfederation.org/wp-content/uploads/2023/09/AMC-Ticon-00463.jpg =&gt; 200 | https://africanmarketingconfederation.org/wp-content/uploads/2023/09/AMC-Ticon-00467.jpg =&gt; 200 | https://africanmarketingconfederation.org/wp-content/uploads/2023/09/AMC-Ticon-00468.jpg =&gt; 200 | https://africanmarketingconfederation.org/wp-content/uploads/2023/09/AMC-Ticon-00471.jpg =&gt; 200 | https://africanmarketingconfederation.org/wp-content/uploads/2023/09/AMC-Ticon-00472.jpg =&gt; 200 | https://africanmarketingconfederation.org/wp-content/uploads/2023/09/AMC-Ticon-00475.jpg =&gt; 200 | https://africanmarketingconfederation.org/wp-content/uploads/2023/09/AMC-Ticon-00478.jpg =&gt; 200 | https://africanmarketingconfederation.org/wp-content/uploads/2023/09/AMC-Ticon-00481.jpg =&gt; 200 | https://africanmarketingconfederation.org/wp-content/uploads/2023/09/AMC-Ticon-00482.jpg =&gt; 200 | https://africanmarketingconfederation.org/wp-content/uploads/2023/09/AMC-Ticon-00484.jpg =&gt; 200 | https://africanmarketingconfederation.org/wp-content/uploads/2023/09/AMC-Ticon-00488.jpg =&gt; 200 | https://africanmarketingconfederation.org/wp-content/uploads/2023/09/AMC-Ticon-00497.jpg =&gt; 200 | https://africanmarketingconfederation.org/wp-content/uploads/2023/09/AMC-Ticon-00503.jpg =&gt; 200 | https://africanmarketingconfederation.org/wp-content/uploads/2023/09/AMC-Ticon-00515.jpg =&gt; 200 | https://africanmarketingconfederation.org/wp-content/uploads/2023/09/AMC-Ticon-00520.jpg =&gt; 200 | https://africanmarketingconfederation.org/wp-content/uploads/2023/09/AMC-Ticon-00521.jpg =&gt; 200 | https://africanmarketingconfederation.org/wp-content/uploads/2023/09/AMC-Ticon-00524.jpg =&gt; 200 | https://africanmarketingconfederation.org/wp-content/uploads/2023/09/AMC-Ticon-00526.jpg =&gt; 200 | https://africanmarketingconfederation.org/wp-content/uploads/2023/09/AMC-Ticon-00529.jpg =&gt; 200 | https://africanmarketingconfederation.org/wp-content/uploads/2023/09/AMC-Ticon-00534.jpg =&gt; 200 | https://africanmarketingconfederation.org/wp-content/uploads/2023/09/AMC-Ticon-00536.jpg =&gt; 200 | https://africanmarketingconfederation.org/wp-content/uploads/2023/09/AMC-Ticon-00576.jpg =&gt; 200 | https://africanmarketingconfederation.org/wp-content/uploads/2023/09/AMC-Ticon-00588.jpg =&gt; 200 | https://africanmarketingconfederation.org/wp-content/uploads/2023/09/AMC-Ticon-00589.jpg =&gt; 200 | https://africanmarketingconfederation.org/wp-content/uploads/2023/09/AMC-Ticon-00590.jpg =&gt; 200 | https://africanmarketingconfederation.org/wp-content/uploads/2023/09/AMC-Ticon-00592.jpg =&gt; 200 | https://africanmarketingconfederation.org/wp-content/uploads/2023/09/AMC-Ticon-00593.jpg =&gt; 200 | https://africanmarketingconfederation.org/wp-content/uploads/2023/09/AMC-Ticon-00594.jpg =&gt; 200 | https://africanmarketingconfederation.org/wp-content/uploads/2023/09/AMC-Ticon-00602.jpg =&gt; 200 | https://africanmarketingconfederation.org/wp-content/uploads/2023/09/AMC-Ticon-00605.jpg =&gt; 200 | https://africanmarketingconfederation.org/wp-content/uploads/2023/09/AMC-Ticon-00608.jpg =&gt; 200 | https://africanmarketingconfederation.org/wp-content/uploads/2023/09/AMC-Ticon-00638.jpg =&gt; 200 | https://africanmarketingconfederation.org/wp-content/uploads/2023/09/AMC-Ticon-00642.jpg =&gt; 200 | https://africanmarketingconfederation.org/wp-content/uploads/2023/09/AMC-Ticon-00646.jpg =&gt; 200 | https://africanmarketingconfederation.org/wp-content/uploads/2023/09/AMC-Ticon-00648.jpg =&gt; 200 | https://africanmarketingconfederation.org/wp-content/uploads/2023/09/AMC-Ticon-00654.jpg =&gt; 200 | https://africanmarketingconfederation.org/wp-content/uploads/2023/09/AMC-Ticon-00655.jpg =&gt; 200 | https://africanmarketingconfederation.org/wp-content/uploads/2023/09/AMC-Ticon-00659.jpg =&gt; 200 | https://africanmarketingconfederation.org/wp-content/uploads/2023/09/AMC-Ticon-00664.jpg =&gt; 200 | https://africanmarketingconfederation.org/wp-content/uploads/2023/09/AMC-Ticon-00677.jpg =&gt; 200 | https://africanmarketingconfederation.org/wp-content/uploads/2023/09/AMC-Ticon-00681.jpg =&gt; 200 | https://africanmarketingconfederation.org/wp-content/uploads/2023/09/AMC-Ticon-00682.jpg =&gt; 200 | https://africanmarketingconfederation.org/wp-content/uploads/2023/09/AMC-Ticon-00683.jpg =&gt; 200 | https://africanmarketingconfederation.org/wp-content/uploads/2023/09/AMC-Ticon-00685.jpg =&gt; 200 | https://africanmarketingconfederation.org/wp-content/uploads/2023/09/AMC-Ticon-00687.jpg =&gt; 200 | https://africanmarketingconfederation.org/wp-content/uploads/2023/09/AMC-Ticon-00689.jpg =&gt; 200 | https://africanmarketingconfederation.org/wp-content/uploads/2023/09/AMC-Ticon-00690.jpg =&gt; 200 | https://africanmarketingconfederation.org/wp-content/uploads/2023/09/AMC-Ticon-00716.jpg =&gt; 200 | https://africanmarketingconfederation.org/wp-content/uploads/2023/09/AMC-Ticon-00721.jpg =&gt; 200 | https://africanmarketingconfederation.org/wp-content/uploads/2023/09/AMC-Ticon-00725.jpg =&gt; 200 | https://africanmarketingconfederation.org/wp-content/uploads/2023/09/AMC-Ticon-00733.jpg =&gt; 200 | https://africanmarketingconfederation.org/wp-content/uploads/2023/09/AMC-Ticon-00742.jpg =&gt; 200 | https://africanmarketingconfederation.org/wp-content/uploads/2023/09/AMC-Ticon-01122.jpg =&gt; 200 | https://africanmarketingconfederation.org/wp-content/uploads/2023/09/AMC-Ticon-01123.jpg =&gt; 200 | https://africanmarketingconfederation.org/wp-content/uploads/2023/09/AMC-Ticon-01127.jpg =&gt; 200 | https://africanmarketingconfederation.org/wp-content/uploads/2023/09/AMC-Ticon-01128.jpg =&gt; 200 | https://africanmarketingconfederation.org/wp-content/uploads/2023/09/AMC-Ticon-01178.jpg =&gt; 200 | https://africanmarketingconfederation.org/wp-content/uploads/2023/09/AMC-Ticon-01181.jpg =&gt; 200 | https://africanmarketingconfederation.org/wp-content/uploads/2023/09/AMC-Ticon-01183.jpg =&gt; 200 | https://africanmarketingconfederation.org/wp-content/uploads/2023/09/AMC-Ticon-01185.jpg =&gt; 200 | https://africanmarketingconfederation.org/wp-content/uploads/2023/09/AMC-Ticon-01188.jpg =&gt; 200 | https://africanmarketingconfederation.org/wp-content/uploads/2023/09/AMC-Ticon-01190.jpg =&gt; 200 | https://africanmarketingconfederation.org/wp-content/uploads/2023/09/AMC-Ticon-01191.jpg =&gt; 200 | https://africanmarketingconfederation.org/wp-content/uploads/2023/09/AMC-Ticon-01194.jpg =&gt; 200 | https://africanmarketingconfederation.org/wp-content/uploads/2023/09/AMC-Ticon-01195.jpg =&gt; 200 | https://africanmarketingconfederation.org/wp-content/uploads/2023/09/AMC-Ticon-01197.jpg =&gt; 200 | https://africanmarketingconfederation.org/</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</si>
  <si>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 | https://africanmarketingconfederation.org/wp-content/uploads/2023/11/AMC-2023-Uganda-Presentation-Final.pdf =&gt; 200 | https://africanmarketingconfederation.org/wp-content/uploads/2023/11/AMC-Leadership-Presentation-2023-Uganda-1.pdf =&gt; 200 | https://africanmarketingconfederation.org/wp-content/uploads/2023/11/AMC-Presentation-Nondumiso-Mabece.pptx =&gt; 200 | https://africanmarketingconfederation.org/wp-content/uploads/2023/11/AMC-Presentation-final-James-stutton_compressed.pdf =&gt; 200 | https://africanmarketingconfederation.org/wp-content/uploads/2023/11/Building-strong-pan-african-brands-NEW.pdf =&gt; 200 | https://africanmarketingconfederation.org/wp-content/uploads/2023/11/DGCEO-AMC-UMS-Presentation-_compressed.pdf =&gt; 200 | https://africanmarketingconfederation.org/wp-content/uploads/2023/11/Prof-Ebo-Final-PpT-Read-Only_compressed.pdf =&gt; 200 | https://africanmarketingconfederation.org/wp-content/uploads/2023/11/Winning-in-African-markets_sml.pdf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</si>
  <si>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https://africanmarketingconfederation.org/amc-testimony-page-2024 =&gt; 200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https://africanmarketingconfederation.org/wp-content/uploads/2024/10/BART-AI-DESCRIPTOR-2.docx =&gt; 200 | https://africanmarketingconfederation.org/wp-content/uploads/2024/10/BRAND.pdf =&gt; 200 | https://africanmarketingconfederation.org/wp-content/uploads/2024/10/GUINNESS-MATCHDAY-DESCRIPTOR-3-1.docx =&gt; 200 | https://africanmarketingconfederation.org/wp-content/uploads/2024/10/MIONE-PRODUCT-LAUNCH-BEST-SOCIAL-MEDIA-CATEGORY.pdf =&gt; 200 | https://africanmarketingconfederation.org/wp-content/uploads/2024/10/SAVING-THE-WHITE-CAPS-DESCRIPTOR.docx =&gt; 200 | https://africanmarketingconfederation.org/wp-content/uploads/2024/10/SNSC1.pdf =&gt; 200 | https://africanmarketingconfederation.org/wp-content/uploads/2025/01/Destination-Zambia-Campaign-Pitch-Document-for-AMC-2024.pdf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</si>
  <si>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</si>
  <si>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https://africanmarketingconfederation.org/wp-content/uploads/2025/06/2025-AMC-Conference-Delegates-Prospectus-Web-1.pdf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</si>
  <si>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https://africanmarketingconfederation.org/amc-conference-2026-awards-nominations-thank-you?add-to-cart=26055 =&gt; 200 | https://africanmarketingconfederation.org/amc-conference-2026-awards-nominations-thank-you?add-to-cart=26182 =&gt; 200 | https://africanmarketingconfederation.org/amc-conference-2026-awards-nominations-thank-you?add-to-cart=26189 =&gt; 200 | https://africanmarketingconfederation.org/amc-conference-2026-awards-nominations-thank-you?add-to-cart=26874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</si>
  <si>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https://africanmarketingconfederation.org/amc-conference-2026-zambia-thank-you?add-to-cart=26055 =&gt; 200 | https://africanmarketingconfederation.org/amc-conference-2026-zambia-thank-you?add-to-cart=26182 =&gt; 200 | https://africanmarketingconfederation.org/amc-conference-2026-zambia-thank-you?add-to-cart=26189 =&gt; 200 | https://africanmarketingconfederation.org/amc-conference-2026-zambia-thank-you?add-to-cart=26874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</si>
  <si>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https://africanmarketingconfederation.org/amc-conference-2025-delegate-packages =&gt; 404 | https://africanmarketingconfederation.org/amc-conference-2025-highlights =&gt; 200 | https://africanmarketingconfederation.org/amc-conference-2026 =&gt; 200 | https://africanmarketingconfederation.org/awards-2026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https://africanmarketingconfederation.org/launch-event-2026-amc-conference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</si>
  <si>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https://africanmarketingconfederation.org/calendar_events =&gt; 404 | https://africanmarketingconfederation.org/privacy-policy =&gt; 200 | https://africanmarketingconfederation.org/publications-2 =&gt; 200</t>
  </si>
  <si>
    <t>https://africanmarketingconfederation.org/amc-conference-2024/amc-awards-2024 =&gt; 200 | https://africanmarketingconfederation.org/amc-conference-2025 =&gt; 200 | https://africanmarketingconfederation.org/amc-conference-2025-delegate-packages =&gt; 404 | https://africanmarketingconfederation.org/amc-marketing-conference-2024/amc-awards-2024 =&gt; 404 | https://africanmarketingconfederation.org/amc-marketing-conference-2024/amc-programme-2025 =&gt; 200 | https://africanmarketingconfederation.org/amc-marketing-conference-2024/awards-2025 =&gt; 200 | https://africanmarketingconfederation.org/amc-marketing-conference-2024/speakers-2024 =&gt; 404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</si>
  <si>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https://africanmarketingconfederation.org/amc-launch-event-zambia-thank-you-2026?add-to-cart=26055 =&gt; 200 | https://africanmarketingconfederation.org/amc-launch-event-zambia-thank-you-2026?add-to-cart=26182 =&gt; 200 | https://africanmarketingconfederation.org/amc-launch-event-zambia-thank-you-2026?add-to-cart=26189 =&gt; 200 | https://africanmarketingconfederation.org/amc-launch-event-zambia-thank-you-2026?add-to-cart=26874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</si>
  <si>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</si>
  <si>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https://africanmarketingconfederation.org/wp-content/uploads/2025/08/AMC-Conference-programme-2025-Day-1.pdf =&gt; 200 | https://africanmarketingconfederation.org/wp-content/uploads/2025/08/AMC-Thu-Conference-programme-2025-1.pdf =&gt; 200 | https://africanmarketingconfederation.org/wp-content/uploads/2025/08/updated-AMC-Fri-Conference-programme-2025.pdf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</si>
  <si>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</si>
  <si>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https://africanmarketingconfederation.org/wp-content/uploads/2025/04/AMC-T-sponsorship-prospectus-2025-compressed_2-1.pdf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</si>
  <si>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https://africanmarketingconfederation.org/winners-of-prestigious-african-marketing-confederation-awards-revealed =&gt; 200 | https://africanmarketingconfederation.org/wp-content/uploads/2026/04/AMC-Awards-booklet-2026_RB-3.pdf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</si>
  <si>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https://africanmarketingconfederation.org/wp-content/uploads/2026/04/AMC-Awards-booklet-2026_RB-3.pdf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</si>
  <si>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https://africanmarketingconfederation.org/awards-2026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https://africanmarketingconfederation.org/launch-event-2026-amc-conference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https://africanmarketingconfederation.org/winners-of-prestigious-african-marketing-confederation-awards-revealed =&gt; 200 | https://africanmarketingconfederation.org/wp-content/uploads/2026/04/AMC-Awards-booklet-2026.pdf =&gt; 200 | https://africanmarketingconfederation.org/wp-content/uploads/2026/04/AMC-Awards-booklet-2026_RB-3.pdf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</si>
  <si>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https://africanmarketingconfederation.org/wp-content/uploads/2023/08/AMC-Chartered-Marketer-Brochure-31-October-2023_compressed.pdf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</si>
  <si>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https://africanmarketingconfederation.org/charter-marketing-form =&gt; 404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https://africanmarketingconfederation.org/wp-content/uploads/2025/07/AMC-Chartered-Marketer-Brochure-2025-web.pdf =&gt; 200</t>
  </si>
  <si>
    <t>https://africanmarketingconfederation.org/ =&gt; 200 | https://africanmarketingconfederation.org/?page_id=17907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</si>
  <si>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https://africanmarketingconfederation.org/amc-conference-2023/programme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</si>
  <si>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https://africanmarketingconfederation.org/wp-content/uploads/2024/07/AMC-Chartered-Marketer-Brochure-2024-.pdf =&gt; 200 | https://africanmarketingconfederation.org/wp-content/uploads/2024/07/Charter-Marketer-form.pdf =&gt; 200 | https://africanmarketingconfederation.org/wp-content/uploads/2024/07/Code-of-Conduct.pdf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</si>
  <si>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https://africanmarketingconfederation.org/wp-content/uploads/2024/09/AMC-Forum-Prospectus-Website.pdf =&gt; 200</t>
  </si>
  <si>
    <t>https://africanmarketingconfederation.org/ =&gt; 200 | https://africanmarketingconfederation.org/about-us =&gt; 200 | https://africanmarketingconfederation.org/african-marketing-confederation-tourism-chapter =&gt; 200 | https://africanmarketingconfederation.org/amc-conference-2024/amc-awards-2024 =&gt; 200 | https://africanmarketingconfederation.org/amc-conference-2024/programme-2024 =&gt; 200 | https://africanmarketingconfederation.org/amc-conference-2024/speakers-2024 =&gt; 404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</si>
  <si>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https://africanmarketingconfederation.org/call-for-nominations-for-south-africas-top-marketing-professionals/11-october-marketing-awards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</si>
  <si>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https://africanmarketingconfederation.org/awards-2026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https://africanmarketingconfederation.org/launch-event-2026-amc-conference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</si>
  <si>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https://africanmarketingconfederation.org/chatgpt-ads-in-africa-a-game-changer-or-a-trust-gamble =&gt; 200 | https://africanmarketingconfederation.org/cimg-and-central-university-partner-on-marketing-education-to-students =&gt; 200 | https://africanmarketingconfederation.org/contact-us =&gt; 200 | https://africanmarketingconfederation.org/education =&gt; 200 | https://africanmarketingconfederation.org/european-marketers-gather-to-choose-their-top-achievers-for-2026 =&gt; 200 | https://africanmarketingconfederation.org/john-bradshaw-joins-spar-supermarket-group-as-chief-marketing-officer =&gt; 200 | https://africanmarketingconfederation.org/members =&gt; 200 | https://africanmarketingconfederation.org/namibia-bets-on-walvis-bay-port-as-increasingly-viable-alternative =&gt; 200 | https://africanmarketingconfederation.org/news-articles =&gt; 200 | https://africanmarketingconfederation.org/news-articles/155 =&gt; 200 | https://africanmarketingconfederation.org/news-articles/2 =&gt; 200 | https://africanmarketingconfederation.org/news-articles/3 =&gt; 200 | https://africanmarketingconfederation.org/nigerian-public-warned-about-suspected-counterfeit-toothpaste-products =&gt; 200 | https://africanmarketingconfederation.org/nyaladzi-moyo-appointed-country-director-for-danone-southern-africa =&gt; 200 | https://africanmarketingconfederation.org/omnicom-media-study-warns-negative-reach-can-undermine-ad-campaigns =&gt; 200 | https://africanmarketingconfederation.org/out-now-new-issue-brings-latest-news-and-insights-for-africas-marketers =&gt; 200 | https://africanmarketingconfederation.org/privacy-policy =&gt; 200 | https://africanmarketingconfederation.org/publications-2 =&gt; 200 | https://africanmarketingconfederation.org/report-identifies-five-forces-influencing-global-purchasing-decisions =&gt; 200 | https://africanmarketingconfederation.org/researchers-find-that-clearing-aisle-islands-boosts-retail-sales =&gt; 200 | https://africanmarketingconfederation.org/retail-group-clicks-continues-expanding-its-store-pharmacy-footprint =&gt; 200 | https://africanmarketingconfederation.org/sa-brand-delivers-impressive-overall-performance-at-kantar-awards =&gt; 200 | https://africanmarketingconfederation.org/soccer-legend-david-beckham-fronts-new-world-cup-advertising-campaign =&gt; 200 | https://africanmarketingconfederation.org/sub-committees =&gt; 200 | https://africanmarketingconfederation.org/subscribe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</si>
  <si>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https://africanmarketingconfederation.org/wp-content/uploads/2021/11/SMA_OCT_21-compressed-for-digital-Ghana-changes.pdf =&gt; 200 | https://africanmarketingconfederation.org/wp-content/uploads/2021/12/SMA_ISSUE_2_FINAL-compressed.pdf =&gt; 200 | https://africanmarketingconfederation.org/wp-content/uploads/2022/04/SMA_ISSUE_1_2022_DIGITAL.pdf =&gt; 200 | https://africanmarketingconfederation.org/wp-content/uploads/2022/06/SMA-Issue-2-2022-Digital-Edition_.pdf =&gt; 200 | https://africanmarketingconfederation.org/wp-content/uploads/2022/09/Strategic-Marketing-Africa-Issue-5-2022.pdf =&gt; 200 | https://africanmarketingconfederation.org/wp-content/uploads/2022/12/Strategic-Marketing-Africa-Issue-4-2022.pdf =&gt; 200 | https://africanmarketingconfederation.org/wp-content/uploads/2023/04/SMA_ISSUE_1_2023-sml.pdf =&gt; 200 | https://africanmarketingconfederation.org/wp-content/uploads/2023/06/SMA-Issue-2-2023-Digital-Edition-Final-1.pdf =&gt; 200 | https://africanmarketingconfederation.org/wp-content/uploads/2023/10/SMA_ISSUE_3_2023_FINAL-compressed_1.pdf =&gt; 200 | https://africanmarketingconfederation.org/wp-content/uploads/2023/12/SMA_ISSUE_4_FINAL-for-the-website.pdf =&gt; 200 | https://africanmarketingconfederation.org/wp-content/uploads/2024/08/FINAL_SMA_ISSUE_2_2024-1.pdf =&gt; 200 | https://africanmarketingconfederation.org/wp-content/uploads/2024/08/Strategic-Marketing-for-Africa-Issue-1-2024-Digital-mag-final-1.pdf =&gt; 200 | https://africanmarketingconfederation.org/wp-content/uploads/2024/10/SMA-DIGITAL-EDITION-SMA-Issue-3-2024-Final.pdf =&gt; 200 | https://africanmarketingconfederation.org/wp-content/uploads/2024/12/Strategic-Marketing-for-Africa-Issue-4.pdf =&gt; 200 | https://africanmarketingconfederation.org/wp-content/uploads/2025/04/SMA-Issue-1-2025-Print-Edition-compressed-1.pdf =&gt; 200 | https://africanmarketingconfederation.org/wp-content/uploads/2025/06/AMC-Issue-2_2025.pdf =&gt; 200 | https://africanmarketingconfederation.org/wp-content/uploads/2025/10/SMA-Issue-3-2025-Digital-Edition-Single-Pages-FINAL.pdf =&gt; 200 | https://africanmarketingconfederation.org/wp-content/uploads/2025/10/SMA-Issue-3-2025-Digital-Edition-Spreads-FINAL.pdf =&gt; 200 | https://africanmarketingconfederation.org/wp-content/uploads/2025/12/SMA_ISSUE_4_2025_SPREADS-compressed.pdf =&gt; 200 | https://africanmarketingconfederation.org/wp-content/uploads/2025/12/SMA_ISSUE_4_SINGLE_PAGES-compressed.pdf =&gt; 200 | https://africanmarketingconfederation.org/wp-content/uploads/2026/04/SMA-Issue-1-2026-SINGLE-PAGES-compressed.pdf =&gt; 200 | https://africanmarketingconfederation.org/wp-content/uploads/2026/04/SMA-Issue-1-2026-SPREADS-compressed.pdf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</si>
  <si>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https://africanmarketingconfederation.org/amc-relaunch-recordings =&gt; 404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</si>
  <si>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https://africanmarketingconfederation.org/amc-conference-2022/%20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https://africanmarketingconfederation.org/publications-2/%20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</si>
  <si>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 | https://africanmarketingconfederation.org/test-payment-gate?add-to-cart=26055 =&gt; 200 | https://africanmarketingconfederation.org/test-payment-gate?add-to-cart=26182 =&gt; 200 | https://africanmarketingconfederation.org/test-payment-gate?add-to-cart=26189 =&gt; 200 | https://africanmarketingconfederation.org/test-payment-gate?add-to-cart=26874 =&gt; 200</t>
  </si>
  <si>
    <t>https://africanmarketingconfederation.org/ =&gt; 200 | https://africanmarketingconfederation.org/about-us =&gt; 200 | https://africanmarketingconfederation.org/african-marketing-confederation-tourism-chapter =&gt; 200 | https://africanmarketingconfederation.org/amc-conference-2024-payments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https://africanmarketingconfederation.org/wp-content/uploads/2024/09/AMC-Forum-Prospectus-Website.pdf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</si>
  <si>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https://africanmarketingconfederation.org/subscribe =&gt; 200</t>
  </si>
  <si>
    <t>Redirect Loop Flag</t>
  </si>
  <si>
    <t>Business Risk Score</t>
  </si>
  <si>
    <t>Revenue Intent</t>
  </si>
  <si>
    <t>Why Prioritized</t>
  </si>
  <si>
    <t>Open in Technical</t>
  </si>
  <si>
    <t>Standard</t>
  </si>
  <si>
    <t>Broken internal links</t>
  </si>
  <si>
    <t>Broken internal links | Noindex</t>
  </si>
  <si>
    <t>WordPress Post ID</t>
  </si>
  <si>
    <t>Direct Edit Link</t>
  </si>
  <si>
    <t>AIOSEO Panel</t>
  </si>
  <si>
    <t>Issue</t>
  </si>
  <si>
    <t>Current Value</t>
  </si>
  <si>
    <t>Recommended Target</t>
  </si>
  <si>
    <t>How to Fix in AIOSEO</t>
  </si>
  <si>
    <t>Reference Tab</t>
  </si>
  <si>
    <t>Reference Field</t>
  </si>
  <si>
    <t>Stable Issue ID</t>
  </si>
  <si>
    <t>https://africanmarketingconfederation.org/wp-admin/post.php?post=17908&amp;action=edit</t>
  </si>
  <si>
    <t>Advanced SEO</t>
  </si>
  <si>
    <t>Noindex directive on page</t>
  </si>
  <si>
    <t>In AIOSEO page settings -&gt; Advanced, remove noindex for pages intended to rank.</t>
  </si>
  <si>
    <t>https://africanmarketingconfederation.org/checkout::aioseo_noindex_directive_on_page</t>
  </si>
  <si>
    <t>Noindex prevents the page from being indexed.</t>
  </si>
  <si>
    <t>Basic SEO</t>
  </si>
  <si>
    <t>Page returns non-200 response</t>
  </si>
  <si>
    <t>200</t>
  </si>
  <si>
    <t>Update URL target, restore page, or set correct redirect. In AIOSEO, review canonical/robots only after the page returns 200.</t>
  </si>
  <si>
    <t>https://africanmarketingconfederation.org/amc-conference-sponsors::aioseo_page_returns_non-200_response</t>
  </si>
  <si>
    <t>Pages that error cannot perform in search and fail core page-level SEO checks.</t>
  </si>
  <si>
    <t>https://africanmarketingconfederation.org/amc-marketing-conference-2024/speakers-2024::aioseo_page_returns_non-200_response</t>
  </si>
  <si>
    <t>https://africanmarketingconfederation.org/wp-admin/post.php?post=8&amp;action=edit</t>
  </si>
  <si>
    <t>Replace dead links with live targets, or remove them in the page editor.</t>
  </si>
  <si>
    <t>https://africanmarketingconfederation.org/::aioseo_broken_internal_links</t>
  </si>
  <si>
    <t>Broken links waste crawl budget and degrade user experience.</t>
  </si>
  <si>
    <t>https://africanmarketingconfederation.org/wp-admin/post.php?post=84&amp;action=edit</t>
  </si>
  <si>
    <t>https://africanmarketingconfederation.org/about-us::aioseo_broken_internal_links</t>
  </si>
  <si>
    <t>https://africanmarketingconfederation.org/wp-admin/post.php?post=28165&amp;action=edit</t>
  </si>
  <si>
    <t>https://africanmarketingconfederation.org/african-marketing-confederation-tourism-chapter::aioseo_broken_internal_links</t>
  </si>
  <si>
    <t>https://africanmarketingconfederation.org/wp-admin/post.php?post=16125&amp;action=edit</t>
  </si>
  <si>
    <t>https://africanmarketingconfederation.org/amc-awards-2024::aioseo_broken_internal_links</t>
  </si>
  <si>
    <t>https://africanmarketingconfederation.org/wp-admin/post.php?post=4494&amp;action=edit</t>
  </si>
  <si>
    <t>https://africanmarketingconfederation.org/amc-conference-2022::aioseo_broken_internal_links</t>
  </si>
  <si>
    <t>https://africanmarketingconfederation.org/wp-admin/post.php?post=5619&amp;action=edit</t>
  </si>
  <si>
    <t>https://africanmarketingconfederation.org/amc-conference-2022-prospectus::aioseo_broken_internal_links</t>
  </si>
  <si>
    <t>https://africanmarketingconfederation.org/wp-admin/post.php?post=4941&amp;action=edit</t>
  </si>
  <si>
    <t>https://africanmarketingconfederation.org/amc-conference-2022-thank-you::aioseo_broken_internal_links</t>
  </si>
  <si>
    <t>https://africanmarketingconfederation.org/wp-admin/post.php?post=12371&amp;action=edit</t>
  </si>
  <si>
    <t>https://africanmarketingconfederation.org/amc-conference-2023::aioseo_broken_internal_links</t>
  </si>
  <si>
    <t>https://africanmarketingconfederation.org/wp-admin/post.php?post=12954&amp;action=edit</t>
  </si>
  <si>
    <t>https://africanmarketingconfederation.org/amc-conference-2023/amc-awards::aioseo_broken_internal_links</t>
  </si>
  <si>
    <t>https://africanmarketingconfederation.org/wp-admin/post.php?post=13164&amp;action=edit</t>
  </si>
  <si>
    <t>https://africanmarketingconfederation.org/amc-conference-2023/amc-awards-book-now::aioseo_broken_internal_links</t>
  </si>
  <si>
    <t>https://africanmarketingconfederation.org/wp-admin/post.php?post=12407&amp;action=edit</t>
  </si>
  <si>
    <t>https://africanmarketingconfederation.org/amc-conference-2023/book-now::aioseo_broken_internal_links</t>
  </si>
  <si>
    <t>https://africanmarketingconfederation.org/wp-admin/post.php?post=12497&amp;action=edit</t>
  </si>
  <si>
    <t>https://africanmarketingconfederation.org/amc-conference-2023/book-now-thank-you::aioseo_broken_internal_links</t>
  </si>
  <si>
    <t>https://africanmarketingconfederation.org/wp-admin/post.php?post=13098&amp;action=edit</t>
  </si>
  <si>
    <t>https://africanmarketingconfederation.org/amc-conference-2023/download-prospectus::aioseo_broken_internal_links</t>
  </si>
  <si>
    <t>https://africanmarketingconfederation.org/wp-admin/post.php?post=13549&amp;action=edit</t>
  </si>
  <si>
    <t>https://africanmarketingconfederation.org/amc-conference-2023/gallery::aioseo_broken_internal_links</t>
  </si>
  <si>
    <t>https://africanmarketingconfederation.org/wp-admin/post.php?post=13282&amp;action=edit</t>
  </si>
  <si>
    <t>https://africanmarketingconfederation.org/amc-conference-2023/partners::aioseo_broken_internal_links</t>
  </si>
  <si>
    <t>https://africanmarketingconfederation.org/wp-admin/post.php?post=12945&amp;action=edit</t>
  </si>
  <si>
    <t>https://africanmarketingconfederation.org/amc-conference-2023/programme::aioseo_broken_internal_links</t>
  </si>
  <si>
    <t>https://africanmarketingconfederation.org/wp-admin/post.php?post=13179&amp;action=edit</t>
  </si>
  <si>
    <t>https://africanmarketingconfederation.org/amc-conference-2023/speakers::aioseo_broken_internal_links</t>
  </si>
  <si>
    <t>https://africanmarketingconfederation.org/wp-admin/post.php?post=22401&amp;action=edit</t>
  </si>
  <si>
    <t>https://africanmarketingconfederation.org/amc-conference-2024-recap::aioseo_broken_internal_links</t>
  </si>
  <si>
    <t>https://africanmarketingconfederation.org/wp-admin/post.php?post=18318&amp;action=edit</t>
  </si>
  <si>
    <t>https://africanmarketingconfederation.org/amc-conference-2024-sponsors-packages::aioseo_broken_internal_links</t>
  </si>
  <si>
    <t>https://africanmarketingconfederation.org/wp-admin/post.php?post=23710&amp;action=edit</t>
  </si>
  <si>
    <t>https://africanmarketingconfederation.org/amc-conference-2025::aioseo_broken_internal_links</t>
  </si>
  <si>
    <t>https://africanmarketingconfederation.org/wp-admin/post.php?post=30257&amp;action=edit</t>
  </si>
  <si>
    <t>https://africanmarketingconfederation.org/amc-conference-2025-highlights::aioseo_broken_internal_links</t>
  </si>
  <si>
    <t>https://africanmarketingconfederation.org/wp-admin/post.php?post=31478&amp;action=edit</t>
  </si>
  <si>
    <t>https://africanmarketingconfederation.org/amc-conference-2026::aioseo_broken_internal_links</t>
  </si>
  <si>
    <t>https://africanmarketingconfederation.org/wp-admin/post.php?post=33280&amp;action=edit</t>
  </si>
  <si>
    <t>https://africanmarketingconfederation.org/amc-conference-2026-awards-nominations-thank-you::aioseo_broken_internal_links</t>
  </si>
  <si>
    <t>https://africanmarketingconfederation.org/wp-admin/post.php?post=22778&amp;action=edit</t>
  </si>
  <si>
    <t>https://africanmarketingconfederation.org/amc-conference-2026-zambia-thank-you::aioseo_broken_internal_links</t>
  </si>
  <si>
    <t>https://africanmarketingconfederation.org/wp-admin/post.php?post=5057&amp;action=edit</t>
  </si>
  <si>
    <t>https://africanmarketingconfederation.org/amc-conference-programme::aioseo_broken_internal_links</t>
  </si>
  <si>
    <t>https://africanmarketingconfederation.org/wp-admin/post.php?post=12477&amp;action=edit</t>
  </si>
  <si>
    <t>https://africanmarketingconfederation.org/amc-conference-thank-you::aioseo_broken_internal_links</t>
  </si>
  <si>
    <t>https://africanmarketingconfederation.org/wp-admin/post.php?post=21958&amp;action=edit</t>
  </si>
  <si>
    <t>https://africanmarketingconfederation.org/amc-forum-mombasa::aioseo_broken_internal_links</t>
  </si>
  <si>
    <t>https://africanmarketingconfederation.org/wp-admin/post.php?post=21984&amp;action=edit</t>
  </si>
  <si>
    <t>https://africanmarketingconfederation.org/amc-forum-payments::aioseo_broken_internal_links</t>
  </si>
  <si>
    <t>https://africanmarketingconfederation.org/wp-admin/post.php?post=33131&amp;action=edit</t>
  </si>
  <si>
    <t>https://africanmarketingconfederation.org/amc-launch-event-zambia-thank-you-2026::aioseo_broken_internal_links</t>
  </si>
  <si>
    <t>https://africanmarketingconfederation.org/amc-marketing-conference-2024::aioseo_broken_internal_links</t>
  </si>
  <si>
    <t>https://africanmarketingconfederation.org/wp-admin/post.php?post=25857&amp;action=edit</t>
  </si>
  <si>
    <t>https://africanmarketingconfederation.org/amc-marketing-conference-2024/amc-conference-2025-ghana-sponsors::aioseo_broken_internal_links</t>
  </si>
  <si>
    <t>https://africanmarketingconfederation.org/wp-admin/post.php?post=25788&amp;action=edit</t>
  </si>
  <si>
    <t>https://africanmarketingconfederation.org/amc-marketing-conference-2024/amc-launch-event-2025::aioseo_broken_internal_links</t>
  </si>
  <si>
    <t>https://africanmarketingconfederation.org/wp-admin/post.php?post=26290&amp;action=edit</t>
  </si>
  <si>
    <t>https://africanmarketingconfederation.org/amc-marketing-conference-2024/amc-preregister-2025::aioseo_broken_internal_links</t>
  </si>
  <si>
    <t>https://africanmarketingconfederation.org/wp-admin/post.php?post=24882&amp;action=edit</t>
  </si>
  <si>
    <t>https://africanmarketingconfederation.org/amc-marketing-conference-2024/amc-programme-2025::aioseo_broken_internal_links</t>
  </si>
  <si>
    <t>https://africanmarketingconfederation.org/wp-admin/post.php?post=22595&amp;action=edit</t>
  </si>
  <si>
    <t>https://africanmarketingconfederation.org/amc-marketing-conference-2024/amc-speakers-presentations-2024::aioseo_broken_internal_links</t>
  </si>
  <si>
    <t>https://africanmarketingconfederation.org/wp-admin/post.php?post=29496&amp;action=edit</t>
  </si>
  <si>
    <t>https://africanmarketingconfederation.org/amc-marketing-conference-2024/awards-2025::aioseo_broken_internal_links</t>
  </si>
  <si>
    <t>https://africanmarketingconfederation.org/wp-admin/post.php?post=16104&amp;action=edit</t>
  </si>
  <si>
    <t>https://africanmarketingconfederation.org/amc-marketing-conference-2024/programme-2024::aioseo_broken_internal_links</t>
  </si>
  <si>
    <t>https://africanmarketingconfederation.org/wp-admin/post.php?post=23021&amp;action=edit</t>
  </si>
  <si>
    <t>https://africanmarketingconfederation.org/amc-marketing-conference-2024/testimony-thank-you-page::aioseo_broken_internal_links</t>
  </si>
  <si>
    <t>https://africanmarketingconfederation.org/wp-admin/post.php?post=6553&amp;action=edit</t>
  </si>
  <si>
    <t>https://africanmarketingconfederation.org/amc-masterclass::aioseo_broken_internal_links</t>
  </si>
  <si>
    <t>https://africanmarketingconfederation.org/wp-admin/post.php?post=6816&amp;action=edit</t>
  </si>
  <si>
    <t>https://africanmarketingconfederation.org/amc-masterclass-bookings::aioseo_broken_internal_links</t>
  </si>
  <si>
    <t>https://africanmarketingconfederation.org/wp-admin/post.php?post=6822&amp;action=edit</t>
  </si>
  <si>
    <t>https://africanmarketingconfederation.org/amc-masterclass-thank-you::aioseo_broken_internal_links</t>
  </si>
  <si>
    <t>https://africanmarketingconfederation.org/wp-admin/post.php?post=4492&amp;action=edit</t>
  </si>
  <si>
    <t>https://africanmarketingconfederation.org/amc-relaunch-programme::aioseo_broken_internal_links</t>
  </si>
  <si>
    <t>https://africanmarketingconfederation.org/wp-admin/post.php?post=23001&amp;action=edit</t>
  </si>
  <si>
    <t>https://africanmarketingconfederation.org/amc-sign-up-now-form-2025::aioseo_broken_internal_links</t>
  </si>
  <si>
    <t>https://africanmarketingconfederation.org/wp-admin/post.php?post=21952&amp;action=edit</t>
  </si>
  <si>
    <t>https://africanmarketingconfederation.org/amc-sponsors-2025::aioseo_broken_internal_links</t>
  </si>
  <si>
    <t>https://africanmarketingconfederation.org/wp-admin/post.php?post=22679&amp;action=edit</t>
  </si>
  <si>
    <t>https://africanmarketingconfederation.org/amc-testimony-page-2024::aioseo_broken_internal_links</t>
  </si>
  <si>
    <t>https://africanmarketingconfederation.org/wp-admin/post.php?post=34622&amp;action=edit</t>
  </si>
  <si>
    <t>https://africanmarketingconfederation.org/awards-2026::aioseo_broken_internal_links</t>
  </si>
  <si>
    <t>https://africanmarketingconfederation.org/wp-admin/post.php?post=32554&amp;action=edit</t>
  </si>
  <si>
    <t>https://africanmarketingconfederation.org/awards-2026-1::aioseo_broken_internal_links</t>
  </si>
  <si>
    <t>https://africanmarketingconfederation.org/wp-admin/post.php?post=34552&amp;action=edit</t>
  </si>
  <si>
    <t>https://africanmarketingconfederation.org/awards-2026-test::aioseo_broken_internal_links</t>
  </si>
  <si>
    <t>https://africanmarketingconfederation.org/wp-admin/post.php?post=28742&amp;action=edit</t>
  </si>
  <si>
    <t>https://africanmarketingconfederation.org/certified-professional-marketer-africa::aioseo_broken_internal_links</t>
  </si>
  <si>
    <t>https://africanmarketingconfederation.org/wp-admin/post.php?post=9075&amp;action=edit</t>
  </si>
  <si>
    <t>https://africanmarketingconfederation.org/chartered-marketer-africa::aioseo_broken_internal_links</t>
  </si>
  <si>
    <t>https://africanmarketingconfederation.org/wp-admin/post.php?post=20001&amp;action=edit</t>
  </si>
  <si>
    <t>https://africanmarketingconfederation.org/chartered-marketer-africa-final-submission-fee::aioseo_broken_internal_links</t>
  </si>
  <si>
    <t>https://africanmarketingconfederation.org/wp-admin/post.php?post=19980&amp;action=edit</t>
  </si>
  <si>
    <t>https://africanmarketingconfederation.org/chartered-marketer-africa-programme-fee::aioseo_broken_internal_links</t>
  </si>
  <si>
    <t>https://africanmarketingconfederation.org/wp-admin/post.php?post=10823&amp;action=edit</t>
  </si>
  <si>
    <t>https://africanmarketingconfederation.org/chartered-marketer-africa-thank-you::aioseo_broken_internal_links</t>
  </si>
  <si>
    <t>https://africanmarketingconfederation.org/checkout::aioseo_broken_internal_links</t>
  </si>
  <si>
    <t>https://africanmarketingconfederation.org/wp-admin/post.php?post=24640&amp;action=edit</t>
  </si>
  <si>
    <t>https://africanmarketingconfederation.org/conference-faq-2025::aioseo_broken_internal_links</t>
  </si>
  <si>
    <t>https://africanmarketingconfederation.org/wp-admin/post.php?post=16472&amp;action=edit</t>
  </si>
  <si>
    <t>https://africanmarketingconfederation.org/conference-registrations-2024::aioseo_broken_internal_links</t>
  </si>
  <si>
    <t>https://africanmarketingconfederation.org/wp-admin/post.php?post=92&amp;action=edit</t>
  </si>
  <si>
    <t>https://africanmarketingconfederation.org/contact-us::aioseo_broken_internal_links</t>
  </si>
  <si>
    <t>https://africanmarketingconfederation.org/wp-admin/post.php?post=18478&amp;action=edit</t>
  </si>
  <si>
    <t>https://africanmarketingconfederation.org/download-brochure::aioseo_broken_internal_links</t>
  </si>
  <si>
    <t>https://africanmarketingconfederation.org/wp-admin/post.php?post=19172&amp;action=edit</t>
  </si>
  <si>
    <t>https://africanmarketingconfederation.org/download-prospectus-2024::aioseo_broken_internal_links</t>
  </si>
  <si>
    <t>https://africanmarketingconfederation.org/wp-admin/post.php?post=88&amp;action=edit</t>
  </si>
  <si>
    <t>https://africanmarketingconfederation.org/education::aioseo_broken_internal_links</t>
  </si>
  <si>
    <t>https://africanmarketingconfederation.org/wp-admin/post.php?post=16548&amp;action=edit</t>
  </si>
  <si>
    <t>https://africanmarketingconfederation.org/elementor-16548::aioseo_broken_internal_links</t>
  </si>
  <si>
    <t>https://africanmarketingconfederation.org/wp-admin/post.php?post=20341&amp;action=edit</t>
  </si>
  <si>
    <t>https://africanmarketingconfederation.org/elementor-20341::aioseo_broken_internal_links</t>
  </si>
  <si>
    <t>https://africanmarketingconfederation.org/wp-admin/post.php?post=31820&amp;action=edit</t>
  </si>
  <si>
    <t>https://africanmarketingconfederation.org/elementor-31820::aioseo_broken_internal_links</t>
  </si>
  <si>
    <t>https://africanmarketingconfederation.org/wp-admin/post.php?post=5597&amp;action=edit</t>
  </si>
  <si>
    <t>https://africanmarketingconfederation.org/general-enquiry-form-thank-you::aioseo_broken_internal_links</t>
  </si>
  <si>
    <t>https://africanmarketingconfederation.org/wp-admin/post.php?post=33050&amp;action=edit</t>
  </si>
  <si>
    <t>https://africanmarketingconfederation.org/launch-event-2026-amc-conference::aioseo_broken_internal_links</t>
  </si>
  <si>
    <t>https://africanmarketingconfederation.org/wp-admin/post.php?post=86&amp;action=edit</t>
  </si>
  <si>
    <t>https://africanmarketingconfederation.org/members::aioseo_broken_internal_links</t>
  </si>
  <si>
    <t>https://africanmarketingconfederation.org/wp-admin/post.php?post=2196&amp;action=edit</t>
  </si>
  <si>
    <t>https://africanmarketingconfederation.org/news-articles::aioseo_broken_internal_links</t>
  </si>
  <si>
    <t>https://africanmarketingconfederation.org/wp-admin/post.php?post=3&amp;action=edit</t>
  </si>
  <si>
    <t>https://africanmarketingconfederation.org/privacy-policy::aioseo_broken_internal_links</t>
  </si>
  <si>
    <t>https://africanmarketingconfederation.org/wp-admin/post.php?post=9047&amp;action=edit</t>
  </si>
  <si>
    <t>https://africanmarketingconfederation.org/publication-download-list::aioseo_broken_internal_links</t>
  </si>
  <si>
    <t>https://africanmarketingconfederation.org/wp-admin/post.php?post=3686&amp;action=edit</t>
  </si>
  <si>
    <t>https://africanmarketingconfederation.org/publications-2::aioseo_broken_internal_links</t>
  </si>
  <si>
    <t>https://africanmarketingconfederation.org/wp-admin/post.php?post=3252&amp;action=edit</t>
  </si>
  <si>
    <t>https://africanmarketingconfederation.org/speakers::aioseo_broken_internal_links</t>
  </si>
  <si>
    <t>https://africanmarketingconfederation.org/wp-admin/post.php?post=21962&amp;action=edit</t>
  </si>
  <si>
    <t>https://africanmarketingconfederation.org/speakers-2025::aioseo_broken_internal_links</t>
  </si>
  <si>
    <t>https://africanmarketingconfederation.org/wp-admin/post.php?post=3634&amp;action=edit</t>
  </si>
  <si>
    <t>https://africanmarketingconfederation.org/sub-committees::aioseo_broken_internal_links</t>
  </si>
  <si>
    <t>https://africanmarketingconfederation.org/wp-admin/post.php?post=7781&amp;action=edit</t>
  </si>
  <si>
    <t>https://africanmarketingconfederation.org/subscribe::aioseo_broken_internal_links</t>
  </si>
  <si>
    <t>https://africanmarketingconfederation.org/wp-admin/post.php?post=5490&amp;action=edit</t>
  </si>
  <si>
    <t>https://africanmarketingconfederation.org/test-homeslider::aioseo_broken_internal_links</t>
  </si>
  <si>
    <t>https://africanmarketingconfederation.org/wp-admin/post.php?post=27352&amp;action=edit</t>
  </si>
  <si>
    <t>https://africanmarketingconfederation.org/test-payment-gate::aioseo_broken_internal_links</t>
  </si>
  <si>
    <t>https://africanmarketingconfederation.org/wp-admin/post.php?post=17195&amp;action=edit</t>
  </si>
  <si>
    <t>https://africanmarketingconfederation.org/thank-you-for-registering-2024-registrations::aioseo_broken_internal_links</t>
  </si>
  <si>
    <t>https://africanmarketingconfederation.org/wp-admin/post.php?post=21591&amp;action=edit</t>
  </si>
  <si>
    <t>https://africanmarketingconfederation.org/thank-you-for-registering-2024-registrations-kenya::aioseo_broken_internal_links</t>
  </si>
  <si>
    <t>https://africanmarketingconfederation.org/wp-admin/post.php?post=7916&amp;action=edit</t>
  </si>
  <si>
    <t>https://africanmarketingconfederation.org/thank-you-for-subscribing::aioseo_broken_internal_links</t>
  </si>
  <si>
    <t>https://africanmarketingconfederation.org/wp-admin/post.php?post=17000&amp;action=edit</t>
  </si>
  <si>
    <t>https://africanmarketingconfederation.org/thank-you-for-the-nomination-2024::aioseo_broken_internal_links</t>
  </si>
  <si>
    <t>https://africanmarketingconfederation.org/wp-admin/post.php?post=17196&amp;action=edit</t>
  </si>
  <si>
    <t>https://africanmarketingconfederation.org/thank-you-for-the-submission-2024::aioseo_broken_internal_links</t>
  </si>
  <si>
    <t>https://africanmarketingconfederation.org/wp-admin/post.php?post=4909&amp;action=edit</t>
  </si>
  <si>
    <t>https://africanmarketingconfederation.org/upcoming-events::aioseo_broken_internal_links</t>
  </si>
  <si>
    <t>https://africanmarketingconfederation.org/wp-admin/post.php?post=5290&amp;action=edit</t>
  </si>
  <si>
    <t>https://africanmarketingconfederation.org/virtual-programme::aioseo_broken_internal_links</t>
  </si>
  <si>
    <t>Missing meta description</t>
  </si>
  <si>
    <t>Missing</t>
  </si>
  <si>
    <t>120-160 characters</t>
  </si>
  <si>
    <t>In AIOSEO snippet settings, add a concise, unique meta description aligned to page intent.</t>
  </si>
  <si>
    <t>https://africanmarketingconfederation.org/amc-conference-2023/amc-awards-book-now::aioseo_missing_meta_description</t>
  </si>
  <si>
    <t>Missing descriptions reduce control over search snippet messaging.</t>
  </si>
  <si>
    <t>https://africanmarketingconfederation.org/amc-conference-sponsors::aioseo_missing_meta_description</t>
  </si>
  <si>
    <t>https://africanmarketingconfederation.org/amc-marketing-conference-2024/speakers-2024::aioseo_missing_meta_description</t>
  </si>
  <si>
    <t>https://africanmarketingconfederation.org/amc-masterclass-bookings::aioseo_missing_meta_description</t>
  </si>
  <si>
    <t>https://africanmarketingconfederation.org/elementor-20341::aioseo_missing_meta_description</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</si>
  <si>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</si>
  <si>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</si>
  <si>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</si>
  <si>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</si>
  <si>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</si>
  <si>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https://africanmarketingconfederation.org/about-us::aioseo_low_aeo_readiness_score</t>
  </si>
  <si>
    <t>https://africanmarketingconfederation.org/african-marketing-confederation-tourism-chapter::aioseo_low_aeo_readiness_score</t>
  </si>
  <si>
    <t>https://africanmarketingconfederation.org/amc-awards-2024::aioseo_low_aeo_readiness_score</t>
  </si>
  <si>
    <t>https://africanmarketingconfederation.org/amc-conference-2022::aioseo_low_aeo_readiness_score</t>
  </si>
  <si>
    <t>https://africanmarketingconfederation.org/amc-conference-2022-prospectus::aioseo_low_aeo_readiness_score</t>
  </si>
  <si>
    <t>https://africanmarketingconfederation.org/amc-conference-2022-thank-you::aioseo_low_aeo_readiness_score</t>
  </si>
  <si>
    <t>https://africanmarketingconfederation.org/amc-conference-2023::aioseo_low_aeo_readiness_score</t>
  </si>
  <si>
    <t>https://africanmarketingconfederation.org/amc-conference-2023/amc-awards::aioseo_low_aeo_readiness_score</t>
  </si>
  <si>
    <t>https://africanmarketingconfederation.org/amc-conference-2023/amc-awards-book-now::aioseo_low_aeo_readiness_score</t>
  </si>
  <si>
    <t>https://africanmarketingconfederation.org/amc-conference-2023/book-now::aioseo_low_aeo_readiness_score</t>
  </si>
  <si>
    <t>https://africanmarketingconfederation.org/amc-conference-2023/book-now-thank-you::aioseo_low_aeo_readiness_score</t>
  </si>
  <si>
    <t>https://africanmarketingconfederation.org/amc-conference-2023/download-prospectus::aioseo_low_aeo_readiness_score</t>
  </si>
  <si>
    <t>https://africanmarketingconfederation.org/amc-conference-2023/gallery::aioseo_low_aeo_readiness_score</t>
  </si>
  <si>
    <t>https://africanmarketingconfederation.org/amc-conference-2023/partners::aioseo_low_aeo_readiness_score</t>
  </si>
  <si>
    <t>https://africanmarketingconfederation.org/amc-conference-2023/programme::aioseo_low_aeo_readiness_score</t>
  </si>
  <si>
    <t>https://africanmarketingconfederation.org/amc-conference-2023/speakers::aioseo_low_aeo_readiness_score</t>
  </si>
  <si>
    <t>https://africanmarketingconfederation.org/amc-conference-2024-recap::aioseo_low_aeo_readiness_score</t>
  </si>
  <si>
    <t>https://africanmarketingconfederation.org/amc-conference-2024-sponsors-packages::aioseo_low_aeo_readiness_score</t>
  </si>
  <si>
    <t>https://africanmarketingconfederation.org/amc-conference-2025::aioseo_low_aeo_readiness_score</t>
  </si>
  <si>
    <t>https://africanmarketingconfederation.org/amc-conference-2025-highlights::aioseo_low_aeo_readiness_score</t>
  </si>
  <si>
    <t>https://africanmarketingconfederation.org/amc-conference-2026::aioseo_low_aeo_readiness_score</t>
  </si>
  <si>
    <t>https://africanmarketingconfederation.org/amc-conference-2026-awards-nominations-thank-you::aioseo_low_aeo_readiness_score</t>
  </si>
  <si>
    <t>https://africanmarketingconfederation.org/amc-conference-2026-zambia-thank-you::aioseo_low_aeo_readiness_score</t>
  </si>
  <si>
    <t>https://africanmarketingconfederation.org/amc-conference-programme::aioseo_low_aeo_readiness_score</t>
  </si>
  <si>
    <t>https://africanmarketingconfederation.org/amc-conference-sponsors::aioseo_low_aeo_readiness_score</t>
  </si>
  <si>
    <t>https://africanmarketingconfederation.org/amc-conference-thank-you::aioseo_low_aeo_readiness_score</t>
  </si>
  <si>
    <t>https://africanmarketingconfederation.org/amc-forum-mombasa::aioseo_low_aeo_readiness_score</t>
  </si>
  <si>
    <t>https://africanmarketingconfederation.org/amc-forum-payments::aioseo_low_aeo_readiness_score</t>
  </si>
  <si>
    <t>https://africanmarketingconfederation.org/amc-launch-event-zambia-thank-you-2026::aioseo_low_aeo_readiness_score</t>
  </si>
  <si>
    <t>https://africanmarketingconfederation.org/amc-marketing-conference-2024::aioseo_low_aeo_readiness_score</t>
  </si>
  <si>
    <t>https://africanmarketingconfederation.org/amc-marketing-conference-2024/amc-conference-2025-ghana-sponsors::aioseo_low_aeo_readiness_score</t>
  </si>
  <si>
    <t>https://africanmarketingconfederation.org/amc-marketing-conference-2024/amc-launch-event-2025::aioseo_low_aeo_readiness_score</t>
  </si>
  <si>
    <t>https://africanmarketingconfederation.org/amc-marketing-conference-2024/amc-preregister-2025::aioseo_low_aeo_readiness_score</t>
  </si>
  <si>
    <t>https://africanmarketingconfederation.org/amc-marketing-conference-2024/amc-programme-2025::aioseo_low_aeo_readiness_score</t>
  </si>
  <si>
    <t>https://africanmarketingconfederation.org/amc-marketing-conference-2024/amc-speakers-presentations-2024::aioseo_low_aeo_readiness_score</t>
  </si>
  <si>
    <t>https://africanmarketingconfederation.org/amc-marketing-conference-2024/awards-2025::aioseo_low_aeo_readiness_score</t>
  </si>
  <si>
    <t>https://africanmarketingconfederation.org/amc-marketing-conference-2024/programme-2024::aioseo_low_aeo_readiness_score</t>
  </si>
  <si>
    <t>https://africanmarketingconfederation.org/amc-marketing-conference-2024/speakers-2024::aioseo_low_aeo_readiness_score</t>
  </si>
  <si>
    <t>https://africanmarketingconfederation.org/amc-marketing-conference-2024/testimony-thank-you-page::aioseo_low_aeo_readiness_score</t>
  </si>
  <si>
    <t>https://africanmarketingconfederation.org/amc-masterclass::aioseo_low_aeo_readiness_score</t>
  </si>
  <si>
    <t>https://africanmarketingconfederation.org/amc-masterclass-bookings::aioseo_low_aeo_readiness_score</t>
  </si>
  <si>
    <t>https://africanmarketingconfederation.org/amc-masterclass-thank-you::aioseo_low_aeo_readiness_score</t>
  </si>
  <si>
    <t>https://africanmarketingconfederation.org/amc-relaunch-programme::aioseo_low_aeo_readiness_score</t>
  </si>
  <si>
    <t>https://africanmarketingconfederation.org/amc-sign-up-now-form-2025::aioseo_low_aeo_readiness_score</t>
  </si>
  <si>
    <t>https://africanmarketingconfederation.org/amc-sponsors-2025::aioseo_low_aeo_readiness_score</t>
  </si>
  <si>
    <t>https://africanmarketingconfederation.org/amc-testimony-page-2024::aioseo_low_aeo_readiness_score</t>
  </si>
  <si>
    <t>https://africanmarketingconfederation.org/awards-2026::aioseo_low_aeo_readiness_score</t>
  </si>
  <si>
    <t>https://africanmarketingconfederation.org/awards-2026-1::aioseo_low_aeo_readiness_score</t>
  </si>
  <si>
    <t>https://africanmarketingconfederation.org/awards-2026-test::aioseo_low_aeo_readiness_score</t>
  </si>
  <si>
    <t>https://africanmarketingconfederation.org/certified-professional-marketer-africa::aioseo_low_aeo_readiness_score</t>
  </si>
  <si>
    <t>https://africanmarketingconfederation.org/chartered-marketer-africa::aioseo_low_aeo_readiness_score</t>
  </si>
  <si>
    <t>https://africanmarketingconfederation.org/chartered-marketer-africa-final-submission-fee::aioseo_low_aeo_readiness_score</t>
  </si>
  <si>
    <t>https://africanmarketingconfederation.org/chartered-marketer-africa-programme-fee::aioseo_low_aeo_readiness_score</t>
  </si>
  <si>
    <t>https://africanmarketingconfederation.org/chartered-marketer-africa-thank-you::aioseo_low_aeo_readiness_score</t>
  </si>
  <si>
    <t>https://africanmarketingconfederation.org/checkout::aioseo_low_aeo_readiness_score</t>
  </si>
  <si>
    <t>https://africanmarketingconfederation.org/conference-faq-2025::aioseo_low_aeo_readiness_score</t>
  </si>
  <si>
    <t>https://africanmarketingconfederation.org/conference-registrations-2024::aioseo_low_aeo_readiness_score</t>
  </si>
  <si>
    <t>https://africanmarketingconfederation.org/contact-us::aioseo_low_aeo_readiness_score</t>
  </si>
  <si>
    <t>https://africanmarketingconfederation.org/download-brochure::aioseo_low_aeo_readiness_score</t>
  </si>
  <si>
    <t>https://africanmarketingconfederation.org/download-prospectus-2024::aioseo_low_aeo_readiness_score</t>
  </si>
  <si>
    <t>https://africanmarketingconfederation.org/education::aioseo_low_aeo_readiness_score</t>
  </si>
  <si>
    <t>https://africanmarketingconfederation.org/elementor-16548::aioseo_low_aeo_readiness_score</t>
  </si>
  <si>
    <t>https://africanmarketingconfederation.org/elementor-20341::aioseo_low_aeo_readiness_score</t>
  </si>
  <si>
    <t>https://africanmarketingconfederation.org/elementor-31820::aioseo_low_aeo_readiness_score</t>
  </si>
  <si>
    <t>https://africanmarketingconfederation.org/general-enquiry-form-thank-you::aioseo_low_aeo_readiness_score</t>
  </si>
  <si>
    <t>https://africanmarketingconfederation.org/launch-event-2026-amc-conference::aioseo_low_aeo_readiness_score</t>
  </si>
  <si>
    <t>https://africanmarketingconfederation.org/members::aioseo_low_aeo_readiness_score</t>
  </si>
  <si>
    <t>https://africanmarketingconfederation.org/news-articles::aioseo_low_aeo_readiness_score</t>
  </si>
  <si>
    <t>https://africanmarketingconfederation.org/privacy-policy::aioseo_low_aeo_readiness_score</t>
  </si>
  <si>
    <t>https://africanmarketingconfederation.org/publication-download-list::aioseo_low_aeo_readiness_score</t>
  </si>
  <si>
    <t>https://africanmarketingconfederation.org/publications-2::aioseo_low_aeo_readiness_score</t>
  </si>
  <si>
    <t>https://africanmarketingconfederation.org/speakers::aioseo_low_aeo_readiness_score</t>
  </si>
  <si>
    <t>https://africanmarketingconfederation.org/speakers-2025::aioseo_low_aeo_readiness_score</t>
  </si>
  <si>
    <t>https://africanmarketingconfederation.org/sub-committees::aioseo_low_aeo_readiness_score</t>
  </si>
  <si>
    <t>https://africanmarketingconfederation.org/subscribe::aioseo_low_aeo_readiness_score</t>
  </si>
  <si>
    <t>https://africanmarketingconfederation.org/test-homeslider::aioseo_low_aeo_readiness_score</t>
  </si>
  <si>
    <t>https://africanmarketingconfederation.org/test-payment-gate::aioseo_low_aeo_readiness_score</t>
  </si>
  <si>
    <t>https://africanmarketingconfederation.org/thank-you-for-registering-2024-registrations::aioseo_low_aeo_readiness_score</t>
  </si>
  <si>
    <t>https://africanmarketingconfederation.org/thank-you-for-registering-2024-registrations-kenya::aioseo_low_aeo_readiness_score</t>
  </si>
  <si>
    <t>https://africanmarketingconfederation.org/thank-you-for-subscribing::aioseo_low_aeo_readiness_score</t>
  </si>
  <si>
    <t>https://africanmarketingconfederation.org/thank-you-for-the-nomination-2024::aioseo_low_aeo_readiness_score</t>
  </si>
  <si>
    <t>https://africanmarketingconfederation.org/thank-you-for-the-submission-2024::aioseo_low_aeo_readiness_score</t>
  </si>
  <si>
    <t>https://africanmarketingconfederation.org/upcoming-events::aioseo_low_aeo_readiness_score</t>
  </si>
  <si>
    <t>https://africanmarketingconfederation.org/virtual-programme::aioseo_low_aeo_readiness_score</t>
  </si>
  <si>
    <t>Readability</t>
  </si>
  <si>
    <t>Low image alt coverage</t>
  </si>
  <si>
    <t>&gt;=80%</t>
  </si>
  <si>
    <t>Add descriptive alt text to meaningful images in the page editor/media fields.</t>
  </si>
  <si>
    <t>Image Alt Coverage (%)</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</si>
  <si>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</si>
  <si>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</si>
  <si>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</si>
  <si>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</si>
  <si>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</si>
  <si>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</si>
  <si>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</si>
  <si>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</si>
  <si>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</si>
  <si>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</si>
  <si>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</si>
  <si>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</si>
  <si>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</si>
  <si>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</si>
  <si>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</si>
  <si>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</si>
  <si>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</si>
  <si>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</si>
  <si>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</si>
  <si>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</si>
  <si>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</si>
  <si>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</si>
  <si>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</si>
  <si>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</si>
  <si>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</si>
  <si>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</si>
  <si>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</si>
  <si>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https://africanmarketingconfederation.org/amc-conference-2023/book-now::aioseo_low_image_alt_coverage</t>
  </si>
  <si>
    <t>https://africanmarketingconfederation.org/amc-conference-2023/book-now::aioseo_thin_content</t>
  </si>
  <si>
    <t>https://africanmarketingconfederation.org/amc-conference-2023/book-now-thank-you::aioseo_missing_h1_heading</t>
  </si>
  <si>
    <t>https://africanmarketingconfederation.org/amc-conference-2023/book-now-thank-you::aioseo_thin_content</t>
  </si>
  <si>
    <t>https://africanmarketingconfederation.org/amc-conference-2023/download-prospectus::aioseo_low_image_alt_coverage</t>
  </si>
  <si>
    <t>https://africanmarketingconfederation.org/amc-conference-2023/download-prospectus::aioseo_thin_content</t>
  </si>
  <si>
    <t>https://africanmarketingconfederation.org/amc-conference-2023/gallery::aioseo_low_image_alt_coverage</t>
  </si>
  <si>
    <t>https://africanmarketingconfederation.org/amc-conference-2023/gallery::aioseo_thin_content</t>
  </si>
  <si>
    <t>https://africanmarketingconfederation.org/amc-conference-2023/partners::aioseo_low_image_alt_coverage</t>
  </si>
  <si>
    <t>https://africanmarketingconfederation.org/amc-conference-2023/partners::aioseo_thin_content</t>
  </si>
  <si>
    <t>https://africanmarketingconfederation.org/amc-conference-2023/programme::aioseo_low_image_alt_coverage</t>
  </si>
  <si>
    <t>https://africanmarketingconfederation.org/amc-conference-2023/speakers::aioseo_thin_content</t>
  </si>
  <si>
    <t>https://africanmarketingconfederation.org/amc-conference-2024-sponsors-packages::aioseo_low_image_alt_coverage</t>
  </si>
  <si>
    <t>https://africanmarketingconfederation.org/amc-conference-2024-sponsors-packages::aioseo_thin_content</t>
  </si>
  <si>
    <t>https://africanmarketingconfederation.org/amc-conference-2025::aioseo_low_image_alt_coverage</t>
  </si>
  <si>
    <t>https://africanmarketingconfederation.org/amc-conference-2025-highlights::aioseo_low_image_alt_coverage</t>
  </si>
  <si>
    <t>https://africanmarketingconfederation.org/amc-conference-2026::aioseo_low_image_alt_coverage</t>
  </si>
  <si>
    <t>https://africanmarketingconfederation.org/amc-conference-2026-awards-nominations-thank-you::aioseo_low_image_alt_coverage</t>
  </si>
  <si>
    <t>https://africanmarketingconfederation.org/amc-conference-2026-awards-nominations-thank-you::aioseo_thin_content</t>
  </si>
  <si>
    <t>https://africanmarketingconfederation.org/amc-conference-2026-zambia-thank-you::aioseo_low_image_alt_coverage</t>
  </si>
  <si>
    <t>https://africanmarketingconfederation.org/amc-conference-2026-zambia-thank-you::aioseo_thin_content</t>
  </si>
  <si>
    <t>https://africanmarketingconfederation.org/amc-conference-programme::aioseo_low_image_alt_coverage</t>
  </si>
  <si>
    <t>https://africanmarketingconfederation.org/amc-conference-programme::aioseo_missing_h1_heading</t>
  </si>
  <si>
    <t>https://africanmarketingconfederation.org/amc-conference-sponsors::aioseo_thin_content</t>
  </si>
  <si>
    <t>https://africanmarketingconfederation.org/amc-conference-thank-you::aioseo_low_image_alt_coverage</t>
  </si>
  <si>
    <t>https://africanmarketingconfederation.org/amc-forum-payments::aioseo_missing_h1_heading</t>
  </si>
  <si>
    <t>https://africanmarketingconfederation.org/amc-forum-payments::aioseo_thin_content</t>
  </si>
  <si>
    <t>https://africanmarketingconfederation.org/amc-launch-event-zambia-thank-you-2026::aioseo_low_image_alt_coverage</t>
  </si>
  <si>
    <t>https://africanmarketingconfederation.org/amc-launch-event-zambia-thank-you-2026::aioseo_thin_content</t>
  </si>
  <si>
    <t>https://africanmarketingconfederation.org/amc-marketing-conference-2024/amc-conference-2025-ghana-sponsors::aioseo_thin_content</t>
  </si>
  <si>
    <t>https://africanmarketingconfederation.org/amc-marketing-conference-2024/amc-programme-2025::aioseo_low_image_alt_coverage</t>
  </si>
  <si>
    <t>https://africanmarketingconfederation.org/amc-marketing-conference-2024/amc-programme-2025::aioseo_thin_content</t>
  </si>
  <si>
    <t>https://africanmarketingconfederation.org/amc-marketing-conference-2024/amc-speakers-presentations-2024::aioseo_thin_content</t>
  </si>
  <si>
    <t>https://africanmarketingconfederation.org/amc-marketing-conference-2024/awards-2025::aioseo_low_image_alt_coverage</t>
  </si>
  <si>
    <t>https://africanmarketingconfederation.org/amc-marketing-conference-2024/speakers-2024::aioseo_thin_content</t>
  </si>
  <si>
    <t>https://africanmarketingconfederation.org/amc-marketing-conference-2024/testimony-thank-you-page::aioseo_low_image_alt_coverage</t>
  </si>
  <si>
    <t>https://africanmarketingconfederation.org/amc-marketing-conference-2024/testimony-thank-you-page::aioseo_thin_content</t>
  </si>
  <si>
    <t>https://africanmarketingconfederation.org/amc-masterclass::aioseo_low_image_alt_coverage</t>
  </si>
  <si>
    <t>https://africanmarketingconfederation.org/amc-masterclass::aioseo_missing_h1_heading</t>
  </si>
  <si>
    <t>https://africanmarketingconfederation.org/amc-masterclass::aioseo_thin_content</t>
  </si>
  <si>
    <t>https://africanmarketingconfederation.org/amc-masterclass-bookings::aioseo_low_image_alt_coverage</t>
  </si>
  <si>
    <t>https://africanmarketingconfederation.org/amc-masterclass-bookings::aioseo_missing_h1_heading</t>
  </si>
  <si>
    <t>https://africanmarketingconfederation.org/amc-masterclass-bookings::aioseo_thin_content</t>
  </si>
  <si>
    <t>https://africanmarketingconfederation.org/amc-masterclass-thank-you::aioseo_missing_h1_heading</t>
  </si>
  <si>
    <t>https://africanmarketingconfederation.org/amc-masterclass-thank-you::aioseo_thin_content</t>
  </si>
  <si>
    <t>https://africanmarketingconfederation.org/amc-relaunch-programme::aioseo_missing_h1_heading</t>
  </si>
  <si>
    <t>https://africanmarketingconfederation.org/amc-sign-up-now-form-2025::aioseo_low_image_alt_coverage</t>
  </si>
  <si>
    <t>https://africanmarketingconfederation.org/amc-sponsors-2025::aioseo_low_image_alt_coverage</t>
  </si>
  <si>
    <t>https://africanmarketingconfederation.org/amc-testimony-page-2024::aioseo_low_image_alt_coverage</t>
  </si>
  <si>
    <t>https://africanmarketingconfederation.org/awards-2026::aioseo_low_image_alt_coverage</t>
  </si>
  <si>
    <t>https://africanmarketingconfederation.org/awards-2026-1::aioseo_low_image_alt_coverage</t>
  </si>
  <si>
    <t>https://africanmarketingconfederation.org/awards-2026-test::aioseo_low_image_alt_coverage</t>
  </si>
  <si>
    <t>https://africanmarketingconfederation.org/certified-professional-marketer-africa::aioseo_low_image_alt_coverage</t>
  </si>
  <si>
    <t>https://africanmarketingconfederation.org/certified-professional-marketer-africa::aioseo_missing_h1_heading</t>
  </si>
  <si>
    <t>https://africanmarketingconfederation.org/chartered-marketer-africa::aioseo_low_image_alt_coverage</t>
  </si>
  <si>
    <t>https://africanmarketingconfederation.org/chartered-marketer-africa-final-submission-fee::aioseo_thin_content</t>
  </si>
  <si>
    <t>https://africanmarketingconfederation.org/chartered-marketer-africa-programme-fee::aioseo_thin_content</t>
  </si>
  <si>
    <t>https://africanmarketingconfederation.org/chartered-marketer-africa-thank-you::aioseo_low_image_alt_coverage</t>
  </si>
  <si>
    <t>https://africanmarketingconfederation.org/chartered-marketer-africa-thank-you::aioseo_missing_h1_heading</t>
  </si>
  <si>
    <t>https://africanmarketingconfederation.org/chartered-marketer-africa-thank-you::aioseo_thin_content</t>
  </si>
  <si>
    <t>https://africanmarketingconfederation.org/checkout::aioseo_low_image_alt_coverage</t>
  </si>
  <si>
    <t>https://africanmarketingconfederation.org/checkout::aioseo_missing_h1_heading</t>
  </si>
  <si>
    <t>https://africanmarketingconfederation.org/checkout::aioseo_thin_content</t>
  </si>
  <si>
    <t>https://africanmarketingconfederation.org/conference-registrations-2024::aioseo_low_image_alt_coverage</t>
  </si>
  <si>
    <t>https://africanmarketingconfederation.org/contact-us::aioseo_low_image_alt_coverage</t>
  </si>
  <si>
    <t>https://africanmarketingconfederation.org/download-brochure::aioseo_low_image_alt_coverage</t>
  </si>
  <si>
    <t>https://africanmarketingconfederation.org/download-brochure::aioseo_missing_h1_heading</t>
  </si>
  <si>
    <t>https://africanmarketingconfederation.org/download-brochure::aioseo_thin_content</t>
  </si>
  <si>
    <t>https://africanmarketingconfederation.org/download-prospectus-2024::aioseo_low_image_alt_coverage</t>
  </si>
  <si>
    <t>https://africanmarketingconfederation.org/download-prospectus-2024::aioseo_missing_h1_heading</t>
  </si>
  <si>
    <t>https://africanmarketingconfederation.org/download-prospectus-2024::aioseo_thin_content</t>
  </si>
  <si>
    <t>https://africanmarketingconfederation.org/education::aioseo_low_image_alt_coverage</t>
  </si>
  <si>
    <t>https://africanmarketingconfederation.org/education::aioseo_missing_h1_heading</t>
  </si>
  <si>
    <t>https://africanmarketingconfederation.org/elementor-16548::aioseo_low_image_alt_coverage</t>
  </si>
  <si>
    <t>https://africanmarketingconfederation.org/elementor-16548::aioseo_missing_h1_heading</t>
  </si>
  <si>
    <t>https://africanmarketingconfederation.org/elementor-16548::aioseo_thin_content</t>
  </si>
  <si>
    <t>https://africanmarketingconfederation.org/elementor-20341::aioseo_low_image_alt_coverage</t>
  </si>
  <si>
    <t>https://africanmarketingconfederation.org/elementor-20341::aioseo_missing_h1_heading</t>
  </si>
  <si>
    <t>https://africanmarketingconfederation.org/elementor-20341::aioseo_thin_content</t>
  </si>
  <si>
    <t>https://africanmarketingconfederation.org/elementor-31820::aioseo_low_image_alt_coverage</t>
  </si>
  <si>
    <t>https://africanmarketingconfederation.org/general-enquiry-form-thank-you::aioseo_low_image_alt_coverage</t>
  </si>
  <si>
    <t>https://africanmarketingconfederation.org/general-enquiry-form-thank-you::aioseo_missing_h1_heading</t>
  </si>
  <si>
    <t>https://africanmarketingconfederation.org/general-enquiry-form-thank-you::aioseo_thin_content</t>
  </si>
  <si>
    <t>https://africanmarketingconfederation.org/launch-event-2026-amc-conference::aioseo_low_image_alt_coverage</t>
  </si>
  <si>
    <t>https://africanmarketingconfederation.org/launch-event-2026-amc-conference::aioseo_thin_content</t>
  </si>
  <si>
    <t>https://africanmarketingconfederation.org/members::aioseo_low_image_alt_coverage</t>
  </si>
  <si>
    <t>https://africanmarketingconfederation.org/news-articles::aioseo_thin_content</t>
  </si>
  <si>
    <t>https://africanmarketingconfederation.org/privacy-policy::aioseo_low_image_alt_coverage</t>
  </si>
  <si>
    <t>https://africanmarketingconfederation.org/publication-download-list::aioseo_low_image_alt_coverage</t>
  </si>
  <si>
    <t>https://africanmarketingconfederation.org/publication-download-list::aioseo_missing_h1_heading</t>
  </si>
  <si>
    <t>https://africanmarketingconfederation.org/publication-download-list::aioseo_thin_content</t>
  </si>
  <si>
    <t>https://africanmarketingconfederation.org/publications-2::aioseo_low_image_alt_coverage</t>
  </si>
  <si>
    <t>https://africanmarketingconfederation.org/publications-2::aioseo_thin_content</t>
  </si>
  <si>
    <t>https://africanmarketingconfederation.org/speakers::aioseo_low_image_alt_coverage</t>
  </si>
  <si>
    <t>https://africanmarketingconfederation.org/speakers::aioseo_missing_h1_heading</t>
  </si>
  <si>
    <t>https://africanmarketingconfederation.org/speakers::aioseo_thin_content</t>
  </si>
  <si>
    <t>https://africanmarketingconfederation.org/speakers-2025::aioseo_low_image_alt_coverage</t>
  </si>
  <si>
    <t>https://africanmarketingconfederation.org/sub-committees::aioseo_low_image_alt_coverage</t>
  </si>
  <si>
    <t>https://africanmarketingconfederation.org/subscribe::aioseo_low_image_alt_coverage</t>
  </si>
  <si>
    <t>https://africanmarketingconfederation.org/subscribe::aioseo_missing_h1_heading</t>
  </si>
  <si>
    <t>https://africanmarketingconfederation.org/test-homeslider::aioseo_missing_h1_heading</t>
  </si>
  <si>
    <t>https://africanmarketingconfederation.org/test-homeslider::aioseo_thin_content</t>
  </si>
  <si>
    <t>https://africanmarketingconfederation.org/test-payment-gate::aioseo_low_image_alt_coverage</t>
  </si>
  <si>
    <t>https://africanmarketingconfederation.org/test-payment-gate::aioseo_missing_h1_heading</t>
  </si>
  <si>
    <t>https://africanmarketingconfederation.org/test-payment-gate::aioseo_thin_content</t>
  </si>
  <si>
    <t>https://africanmarketingconfederation.org/thank-you-for-registering-2024-registrations::aioseo_missing_h1_heading</t>
  </si>
  <si>
    <t>https://africanmarketingconfederation.org/thank-you-for-registering-2024-registrations::aioseo_thin_content</t>
  </si>
  <si>
    <t>https://africanmarketingconfederation.org/thank-you-for-registering-2024-registrations-kenya::aioseo_missing_h1_heading</t>
  </si>
  <si>
    <t>https://africanmarketingconfederation.org/thank-you-for-registering-2024-registrations-kenya::aioseo_thin_content</t>
  </si>
  <si>
    <t>https://africanmarketingconfederation.org/thank-you-for-subscribing::aioseo_low_image_alt_coverage</t>
  </si>
  <si>
    <t>https://africanmarketingconfederation.org/thank-you-for-subscribing::aioseo_missing_h1_heading</t>
  </si>
  <si>
    <t>https://africanmarketingconfederation.org/thank-you-for-subscribing::aioseo_thin_content</t>
  </si>
  <si>
    <t>https://africanmarketingconfederation.org/thank-you-for-the-nomination-2024::aioseo_missing_h1_heading</t>
  </si>
  <si>
    <t>https://africanmarketingconfederation.org/thank-you-for-the-nomination-2024::aioseo_thin_content</t>
  </si>
  <si>
    <t>https://africanmarketingconfederation.org/thank-you-for-the-submission-2024::aioseo_low_image_alt_coverage</t>
  </si>
  <si>
    <t>https://africanmarketingconfederation.org/thank-you-for-the-submission-2024::aioseo_missing_h1_heading</t>
  </si>
  <si>
    <t>https://africanmarketingconfederation.org/thank-you-for-the-submission-2024::aioseo_thin_content</t>
  </si>
  <si>
    <t>https://africanmarketingconfederation.org/upcoming-events::aioseo_low_image_alt_coverage</t>
  </si>
  <si>
    <t>https://africanmarketingconfederation.org/upcoming-events::aioseo_missing_h1_heading</t>
  </si>
  <si>
    <t>https://africanmarketingconfederation.org/upcoming-events::aioseo_thin_content</t>
  </si>
  <si>
    <t>https://africanmarketingconfederation.org/virtual-programme::aioseo_low_image_alt_coverage</t>
  </si>
  <si>
    <t>https://africanmarketingconfederation.org/virtual-programme::aioseo_missing_h1_heading</t>
  </si>
  <si>
    <t>Schema</t>
  </si>
  <si>
    <t>No schema markup detected</t>
  </si>
  <si>
    <t>At least one relevant schema type</t>
  </si>
  <si>
    <t>In AIOSEO schema settings for the page, add the most relevant type (Article/FAQ/HowTo/Product, etc.).</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</si>
  <si>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</si>
  <si>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</si>
  <si>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</si>
  <si>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</si>
  <si>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</si>
  <si>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</si>
  <si>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</si>
  <si>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</si>
  <si>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</si>
  <si>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</si>
  <si>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</si>
  <si>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https://africanmarketingconfederation.org/amc-conference-2023/book-now::aioseo_no_schema_markup_detected</t>
  </si>
  <si>
    <t>https://africanmarketingconfederation.org/amc-conference-2023/book-now-thank-you::aioseo_no_schema_markup_detected</t>
  </si>
  <si>
    <t>https://africanmarketingconfederation.org/amc-conference-2023/download-prospectus::aioseo_no_schema_markup_detected</t>
  </si>
  <si>
    <t>https://africanmarketingconfederation.org/amc-conference-2023/gallery::aioseo_no_schema_markup_detected</t>
  </si>
  <si>
    <t>https://africanmarketingconfederation.org/amc-conference-2023/partners::aioseo_no_schema_markup_detected</t>
  </si>
  <si>
    <t>https://africanmarketingconfederation.org/amc-conference-2023/programme::aioseo_no_schema_markup_detected</t>
  </si>
  <si>
    <t>https://africanmarketingconfederation.org/amc-conference-2023/speakers::aioseo_no_schema_markup_detected</t>
  </si>
  <si>
    <t>https://africanmarketingconfederation.org/amc-conference-2024-recap::aioseo_no_schema_markup_detected</t>
  </si>
  <si>
    <t>https://africanmarketingconfederation.org/amc-conference-2024-sponsors-packages::aioseo_no_schema_markup_detected</t>
  </si>
  <si>
    <t>https://africanmarketingconfederation.org/amc-conference-2025::aioseo_no_schema_markup_detected</t>
  </si>
  <si>
    <t>https://africanmarketingconfederation.org/amc-conference-2025-highlights::aioseo_no_schema_markup_detected</t>
  </si>
  <si>
    <t>https://africanmarketingconfederation.org/amc-conference-2026::aioseo_no_schema_markup_detected</t>
  </si>
  <si>
    <t>https://africanmarketingconfederation.org/amc-conference-2026-awards-nominations-thank-you::aioseo_no_schema_markup_detected</t>
  </si>
  <si>
    <t>https://africanmarketingconfederation.org/amc-conference-2026-zambia-thank-you::aioseo_no_schema_markup_detected</t>
  </si>
  <si>
    <t>https://africanmarketingconfederation.org/amc-conference-programme::aioseo_no_schema_markup_detected</t>
  </si>
  <si>
    <t>https://africanmarketingconfederation.org/amc-conference-sponsors::aioseo_no_schema_markup_detected</t>
  </si>
  <si>
    <t>https://africanmarketingconfederation.org/amc-conference-thank-you::aioseo_no_schema_markup_detected</t>
  </si>
  <si>
    <t>https://africanmarketingconfederation.org/amc-forum-mombasa::aioseo_no_schema_markup_detected</t>
  </si>
  <si>
    <t>https://africanmarketingconfederation.org/amc-forum-payments::aioseo_no_schema_markup_detected</t>
  </si>
  <si>
    <t>https://africanmarketingconfederation.org/amc-launch-event-zambia-thank-you-2026::aioseo_no_schema_markup_detected</t>
  </si>
  <si>
    <t>https://africanmarketingconfederation.org/amc-marketing-conference-2024::aioseo_no_schema_markup_detected</t>
  </si>
  <si>
    <t>https://africanmarketingconfederation.org/amc-marketing-conference-2024/amc-conference-2025-ghana-sponsors::aioseo_no_schema_markup_detected</t>
  </si>
  <si>
    <t>https://africanmarketingconfederation.org/amc-marketing-conference-2024/amc-launch-event-2025::aioseo_no_schema_markup_detected</t>
  </si>
  <si>
    <t>https://africanmarketingconfederation.org/amc-marketing-conference-2024/amc-preregister-2025::aioseo_no_schema_markup_detected</t>
  </si>
  <si>
    <t>https://africanmarketingconfederation.org/amc-marketing-conference-2024/amc-programme-2025::aioseo_no_schema_markup_detected</t>
  </si>
  <si>
    <t>https://africanmarketingconfederation.org/amc-marketing-conference-2024/amc-speakers-presentations-2024::aioseo_no_schema_markup_detected</t>
  </si>
  <si>
    <t>https://africanmarketingconfederation.org/amc-marketing-conference-2024/awards-2025::aioseo_no_schema_markup_detected</t>
  </si>
  <si>
    <t>https://africanmarketingconfederation.org/amc-marketing-conference-2024/programme-2024::aioseo_no_schema_markup_detected</t>
  </si>
  <si>
    <t>https://africanmarketingconfederation.org/amc-marketing-conference-2024/speakers-2024::aioseo_no_schema_markup_detected</t>
  </si>
  <si>
    <t>https://africanmarketingconfederation.org/amc-marketing-conference-2024/testimony-thank-you-page::aioseo_no_schema_markup_detected</t>
  </si>
  <si>
    <t>https://africanmarketingconfederation.org/amc-masterclass::aioseo_no_schema_markup_detected</t>
  </si>
  <si>
    <t>https://africanmarketingconfederation.org/amc-masterclass-bookings::aioseo_no_schema_markup_detected</t>
  </si>
  <si>
    <t>https://africanmarketingconfederation.org/amc-masterclass-thank-you::aioseo_no_schema_markup_detected</t>
  </si>
  <si>
    <t>https://africanmarketingconfederation.org/amc-relaunch-programme::aioseo_no_schema_markup_detected</t>
  </si>
  <si>
    <t>https://africanmarketingconfederation.org/amc-sign-up-now-form-2025::aioseo_no_schema_markup_detected</t>
  </si>
  <si>
    <t>https://africanmarketingconfederation.org/amc-sponsors-2025::aioseo_no_schema_markup_detected</t>
  </si>
  <si>
    <t>https://africanmarketingconfederation.org/amc-testimony-page-2024::aioseo_no_schema_markup_detected</t>
  </si>
  <si>
    <t>https://africanmarketingconfederation.org/awards-2026::aioseo_no_schema_markup_detected</t>
  </si>
  <si>
    <t>https://africanmarketingconfederation.org/awards-2026-1::aioseo_no_schema_markup_detected</t>
  </si>
  <si>
    <t>https://africanmarketingconfederation.org/awards-2026-test::aioseo_no_schema_markup_detected</t>
  </si>
  <si>
    <t>https://africanmarketingconfederation.org/certified-professional-marketer-africa::aioseo_no_schema_markup_detected</t>
  </si>
  <si>
    <t>https://africanmarketingconfederation.org/chartered-marketer-africa::aioseo_no_schema_markup_detected</t>
  </si>
  <si>
    <t>https://africanmarketingconfederation.org/chartered-marketer-africa-final-submission-fee::aioseo_no_schema_markup_detected</t>
  </si>
  <si>
    <t>https://africanmarketingconfederation.org/chartered-marketer-africa-programme-fee::aioseo_no_schema_markup_detected</t>
  </si>
  <si>
    <t>https://africanmarketingconfederation.org/chartered-marketer-africa-thank-you::aioseo_no_schema_markup_detected</t>
  </si>
  <si>
    <t>https://africanmarketingconfederation.org/checkout::aioseo_no_schema_markup_detected</t>
  </si>
  <si>
    <t>https://africanmarketingconfederation.org/conference-faq-2025::aioseo_no_schema_markup_detected</t>
  </si>
  <si>
    <t>https://africanmarketingconfederation.org/conference-registrations-2024::aioseo_no_schema_markup_detected</t>
  </si>
  <si>
    <t>https://africanmarketingconfederation.org/contact-us::aioseo_no_schema_markup_detected</t>
  </si>
  <si>
    <t>https://africanmarketingconfederation.org/download-brochure::aioseo_no_schema_markup_detected</t>
  </si>
  <si>
    <t>https://africanmarketingconfederation.org/download-prospectus-2024::aioseo_no_schema_markup_detected</t>
  </si>
  <si>
    <t>https://africanmarketingconfederation.org/education::aioseo_no_schema_markup_detected</t>
  </si>
  <si>
    <t>https://africanmarketingconfederation.org/elementor-16548::aioseo_no_schema_markup_detected</t>
  </si>
  <si>
    <t>https://africanmarketingconfederation.org/elementor-20341::aioseo_no_schema_markup_detected</t>
  </si>
  <si>
    <t>https://africanmarketingconfederation.org/elementor-31820::aioseo_no_schema_markup_detected</t>
  </si>
  <si>
    <t>https://africanmarketingconfederation.org/general-enquiry-form-thank-you::aioseo_no_schema_markup_detected</t>
  </si>
  <si>
    <t>https://africanmarketingconfederation.org/launch-event-2026-amc-conference::aioseo_no_schema_markup_detected</t>
  </si>
  <si>
    <t>https://africanmarketingconfederation.org/members::aioseo_no_schema_markup_detected</t>
  </si>
  <si>
    <t>https://africanmarketingconfederation.org/news-articles::aioseo_no_schema_markup_detected</t>
  </si>
  <si>
    <t>https://africanmarketingconfederation.org/privacy-policy::aioseo_no_schema_markup_detected</t>
  </si>
  <si>
    <t>https://africanmarketingconfederation.org/publication-download-list::aioseo_no_schema_markup_detected</t>
  </si>
  <si>
    <t>https://africanmarketingconfederation.org/publications-2::aioseo_no_schema_markup_detected</t>
  </si>
  <si>
    <t>https://africanmarketingconfederation.org/speakers::aioseo_no_schema_markup_detected</t>
  </si>
  <si>
    <t>https://africanmarketingconfederation.org/speakers-2025::aioseo_no_schema_markup_detected</t>
  </si>
  <si>
    <t>https://africanmarketingconfederation.org/sub-committees::aioseo_no_schema_markup_detected</t>
  </si>
  <si>
    <t>https://africanmarketingconfederation.org/subscribe::aioseo_no_schema_markup_detected</t>
  </si>
  <si>
    <t>https://africanmarketingconfederation.org/test-homeslider::aioseo_no_schema_markup_detected</t>
  </si>
  <si>
    <t>https://africanmarketingconfederation.org/test-payment-gate::aioseo_no_schema_markup_detected</t>
  </si>
  <si>
    <t>https://africanmarketingconfederation.org/thank-you-for-registering-2024-registrations::aioseo_no_schema_markup_detected</t>
  </si>
  <si>
    <t>https://africanmarketingconfederation.org/thank-you-for-registering-2024-registrations-kenya::aioseo_no_schema_markup_detected</t>
  </si>
  <si>
    <t>https://africanmarketingconfederation.org/thank-you-for-subscribing::aioseo_no_schema_markup_detected</t>
  </si>
  <si>
    <t>https://africanmarketingconfederation.org/thank-you-for-the-nomination-2024::aioseo_no_schema_markup_detected</t>
  </si>
  <si>
    <t>https://africanmarketingconfederation.org/thank-you-for-the-submission-2024::aioseo_no_schema_markup_detected</t>
  </si>
  <si>
    <t>https://africanmarketingconfederation.org/upcoming-events::aioseo_no_schema_markup_detected</t>
  </si>
  <si>
    <t>https://africanmarketingconfederation.org/virtual-programme::aioseo_no_schema_markup_detected</t>
  </si>
  <si>
    <t>Missing SEO title</t>
  </si>
  <si>
    <t>40-60 characters</t>
  </si>
  <si>
    <t>In AIOSEO snippet settings, add a unique SEO title with the primary topic near the beginning.</t>
  </si>
  <si>
    <t>https://africanmarketingconfederation.org/amc-conference-sponsors::aioseo_missing_seo_title</t>
  </si>
  <si>
    <t>Titles are a core relevance and CTR signal.</t>
  </si>
  <si>
    <t>https://africanmarketingconfederation.org/amc-marketing-conference-2024/speakers-2024::aioseo_missing_seo_title</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</si>
  <si>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</si>
  <si>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</si>
  <si>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</si>
  <si>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</si>
  <si>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</si>
  <si>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</si>
  <si>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</si>
  <si>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</si>
  <si>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</si>
  <si>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</si>
  <si>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</si>
  <si>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https://africanmarketingconfederation.org/amc-conference-2023/book-now::aioseo_meta_description_too_long</t>
  </si>
  <si>
    <t>https://africanmarketingconfederation.org/amc-conference-2023/book-now-thank-you::aioseo_meta_description_too_long</t>
  </si>
  <si>
    <t>https://africanmarketingconfederation.org/amc-conference-2023/download-prospectus::aioseo_meta_description_too_long</t>
  </si>
  <si>
    <t>Meta description too short</t>
  </si>
  <si>
    <t>Expand meta description in AIOSEO to include key value points and intent terms naturally.</t>
  </si>
  <si>
    <t>https://africanmarketingconfederation.org/amc-conference-2023/gallery::aioseo_meta_description_too_short</t>
  </si>
  <si>
    <t>Short descriptions can under-communicate relevance and value.</t>
  </si>
  <si>
    <t>https://africanmarketingconfederation.org/amc-conference-2023/partners::aioseo_meta_description_too_short</t>
  </si>
  <si>
    <t>https://africanmarketingconfederation.org/amc-conference-2023/programme::aioseo_meta_description_too_long</t>
  </si>
  <si>
    <t>https://africanmarketingconfederation.org/amc-conference-2023/speakers::aioseo_meta_description_too_long</t>
  </si>
  <si>
    <t>https://africanmarketingconfederation.org/amc-conference-2024-recap::aioseo_meta_description_too_long</t>
  </si>
  <si>
    <t>https://africanmarketingconfederation.org/amc-conference-2024-sponsors-packages::aioseo_meta_description_too_long</t>
  </si>
  <si>
    <t>https://africanmarketingconfederation.org/amc-conference-2025-highlights::aioseo_meta_description_too_long</t>
  </si>
  <si>
    <t>https://africanmarketingconfederation.org/amc-conference-2026::aioseo_meta_description_too_long</t>
  </si>
  <si>
    <t>https://africanmarketingconfederation.org/amc-conference-2026-awards-nominations-thank-you::aioseo_meta_description_too_long</t>
  </si>
  <si>
    <t>https://africanmarketingconfederation.org/amc-conference-2026-zambia-thank-you::aioseo_meta_description_too_long</t>
  </si>
  <si>
    <t>https://africanmarketingconfederation.org/amc-conference-programme::aioseo_meta_description_too_long</t>
  </si>
  <si>
    <t>No internal links found</t>
  </si>
  <si>
    <t>&gt;=2 relevant internal links</t>
  </si>
  <si>
    <t>Add contextual internal links from and to related pages using descriptive anchor text.</t>
  </si>
  <si>
    <t>https://africanmarketingconfederation.org/amc-conference-sponsors::aioseo_no_internal_links_found</t>
  </si>
  <si>
    <t>Internal links help discovery, topical signals, and authority flow.</t>
  </si>
  <si>
    <t>https://africanmarketingconfederation.org/amc-conference-thank-you::aioseo_meta_description_too_long</t>
  </si>
  <si>
    <t>https://africanmarketingconfederation.org/amc-forum-mombasa::aioseo_meta_description_too_long</t>
  </si>
  <si>
    <t>https://africanmarketingconfederation.org/amc-forum-payments::aioseo_meta_description_too_long</t>
  </si>
  <si>
    <t>https://africanmarketingconfederation.org/amc-launch-event-zambia-thank-you-2026::aioseo_meta_description_too_long</t>
  </si>
  <si>
    <t>https://africanmarketingconfederation.org/amc-marketing-conference-2024::aioseo_meta_description_too_long</t>
  </si>
  <si>
    <t>https://africanmarketingconfederation.org/amc-marketing-conference-2024/amc-conference-2025-ghana-sponsors::aioseo_meta_description_too_long</t>
  </si>
  <si>
    <t>https://africanmarketingconfederation.org/amc-marketing-conference-2024/amc-launch-event-2025::aioseo_meta_description_too_long</t>
  </si>
  <si>
    <t>https://africanmarketingconfederation.org/amc-marketing-conference-2024/amc-preregister-2025::aioseo_meta_description_too_long</t>
  </si>
  <si>
    <t>https://africanmarketingconfederation.org/amc-marketing-conference-2024/amc-speakers-presentations-2024::aioseo_meta_description_too_long</t>
  </si>
  <si>
    <t>https://africanmarketingconfederation.org/amc-marketing-conference-2024/awards-2025::aioseo_meta_description_too_long</t>
  </si>
  <si>
    <t>https://africanmarketingconfederation.org/amc-marketing-conference-2024/programme-2024::aioseo_meta_description_too_long</t>
  </si>
  <si>
    <t>https://africanmarketingconfederation.org/amc-marketing-conference-2024/speakers-2024::aioseo_no_internal_links_found</t>
  </si>
  <si>
    <t>https://africanmarketingconfederation.org/amc-marketing-conference-2024/testimony-thank-you-page::aioseo_meta_description_too_long</t>
  </si>
  <si>
    <t>https://africanmarketingconfederation.org/amc-masterclass::aioseo_meta_description_too_long</t>
  </si>
  <si>
    <t>https://africanmarketingconfederation.org/amc-masterclass-thank-you::aioseo_meta_description_too_short</t>
  </si>
  <si>
    <t>https://africanmarketingconfederation.org/amc-relaunch-programme::aioseo_meta_description_too_long</t>
  </si>
  <si>
    <t>https://africanmarketingconfederation.org/amc-sign-up-now-form-2025::aioseo_meta_description_too_long</t>
  </si>
  <si>
    <t>https://africanmarketingconfederation.org/amc-sponsors-2025::aioseo_meta_description_too_long</t>
  </si>
  <si>
    <t>https://africanmarketingconfederation.org/amc-testimony-page-2024::aioseo_meta_description_too_long</t>
  </si>
  <si>
    <t>https://africanmarketingconfederation.org/awards-2026-test::aioseo_meta_description_too_long</t>
  </si>
  <si>
    <t>https://africanmarketingconfederation.org/certified-professional-marketer-africa::aioseo_meta_description_too_long</t>
  </si>
  <si>
    <t>https://africanmarketingconfederation.org/chartered-marketer-africa-final-submission-fee::aioseo_meta_description_too_long</t>
  </si>
  <si>
    <t>https://africanmarketingconfederation.org/chartered-marketer-africa-programme-fee::aioseo_meta_description_too_long</t>
  </si>
  <si>
    <t>https://africanmarketingconfederation.org/chartered-marketer-africa-thank-you::aioseo_meta_description_too_short</t>
  </si>
  <si>
    <t>https://africanmarketingconfederation.org/checkout::aioseo_meta_description_too_short</t>
  </si>
  <si>
    <t>https://africanmarketingconfederation.org/conference-registrations-2024::aioseo_meta_description_too_long</t>
  </si>
  <si>
    <t>https://africanmarketingconfederation.org/contact-us::aioseo_meta_description_too_short</t>
  </si>
  <si>
    <t>https://africanmarketingconfederation.org/download-brochure::aioseo_meta_description_too_short</t>
  </si>
  <si>
    <t>https://africanmarketingconfederation.org/download-prospectus-2024::aioseo_meta_description_too_short</t>
  </si>
  <si>
    <t>https://africanmarketingconfederation.org/education::aioseo_meta_description_too_long</t>
  </si>
  <si>
    <t>https://africanmarketingconfederation.org/elementor-16548::aioseo_meta_description_too_long</t>
  </si>
  <si>
    <t>https://africanmarketingconfederation.org/elementor-31820::aioseo_meta_description_too_long</t>
  </si>
  <si>
    <t>https://africanmarketingconfederation.org/launch-event-2026-amc-conference::aioseo_meta_description_too_long</t>
  </si>
  <si>
    <t>https://africanmarketingconfederation.org/members::aioseo_meta_description_too_long</t>
  </si>
  <si>
    <t>https://africanmarketingconfederation.org/privacy-policy::aioseo_meta_description_too_long</t>
  </si>
  <si>
    <t>https://africanmarketingconfederation.org/publication-download-list::aioseo_meta_description_too_long</t>
  </si>
  <si>
    <t>https://africanmarketingconfederation.org/speakers::aioseo_meta_description_too_long</t>
  </si>
  <si>
    <t>https://africanmarketingconfederation.org/sub-committees::aioseo_meta_description_too_long</t>
  </si>
  <si>
    <t>https://africanmarketingconfederation.org/subscribe::aioseo_meta_description_too_long</t>
  </si>
  <si>
    <t>https://africanmarketingconfederation.org/test-homeslider::aioseo_meta_description_too_long</t>
  </si>
  <si>
    <t>https://africanmarketingconfederation.org/test-payment-gate::aioseo_meta_description_too_long</t>
  </si>
  <si>
    <t>https://africanmarketingconfederation.org/thank-you-for-registering-2024-registrations::aioseo_meta_description_too_long</t>
  </si>
  <si>
    <t>https://africanmarketingconfederation.org/thank-you-for-registering-2024-registrations-kenya::aioseo_meta_description_too_short</t>
  </si>
  <si>
    <t>https://africanmarketingconfederation.org/thank-you-for-subscribing::aioseo_meta_description_too_long</t>
  </si>
  <si>
    <t>https://africanmarketingconfederation.org/thank-you-for-the-nomination-2024::aioseo_meta_description_too_short</t>
  </si>
  <si>
    <t>https://africanmarketingconfederation.org/thank-you-for-the-submission-2024::aioseo_meta_description_too_short</t>
  </si>
  <si>
    <t>https://africanmarketingconfederation.org/upcoming-events::aioseo_meta_description_too_long</t>
  </si>
  <si>
    <t>https://africanmarketingconfederation.org/virtual-programme::aioseo_meta_description_too_long</t>
  </si>
  <si>
    <t>No concise answer paragraph (40-60 words)</t>
  </si>
  <si>
    <t>&gt;=1 concise answer block</t>
  </si>
  <si>
    <t>Add a direct 40-60 word answer immediately below key question headings.</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</si>
  <si>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</si>
  <si>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</si>
  <si>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</si>
  <si>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</si>
  <si>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</si>
  <si>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</si>
  <si>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</si>
  <si>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</si>
  <si>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</si>
  <si>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</si>
  <si>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</si>
  <si>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https://africanmarketingconfederation.org/amc-conference-2023/book-now::aioseo_no_concise_answer_paragraph_40-60_words_</t>
  </si>
  <si>
    <t>https://africanmarketingconfederation.org/amc-conference-2023/book-now-thank-you::aioseo_no_concise_answer_paragraph_40-60_words_</t>
  </si>
  <si>
    <t>https://africanmarketingconfederation.org/amc-conference-2023/download-prospectus::aioseo_no_concise_answer_paragraph_40-60_words_</t>
  </si>
  <si>
    <t>https://africanmarketingconfederation.org/amc-conference-2023/gallery::aioseo_no_concise_answer_paragraph_40-60_words_</t>
  </si>
  <si>
    <t>https://africanmarketingconfederation.org/amc-conference-2023/partners::aioseo_no_concise_answer_paragraph_40-60_words_</t>
  </si>
  <si>
    <t>https://africanmarketingconfederation.org/amc-conference-2023/programme::aioseo_no_concise_answer_paragraph_40-60_words_</t>
  </si>
  <si>
    <t>https://africanmarketingconfederation.org/amc-conference-2023/speakers::aioseo_no_concise_answer_paragraph_40-60_words_</t>
  </si>
  <si>
    <t>https://africanmarketingconfederation.org/amc-conference-2024-recap::aioseo_no_concise_answer_paragraph_40-60_words_</t>
  </si>
  <si>
    <t>https://africanmarketingconfederation.org/amc-conference-2024-sponsors-packages::aioseo_no_concise_answer_paragraph_40-60_words_</t>
  </si>
  <si>
    <t>https://africanmarketingconfederation.org/amc-conference-2025::aioseo_no_concise_answer_paragraph_40-60_words_</t>
  </si>
  <si>
    <t>https://africanmarketingconfederation.org/amc-conference-2025-highlights::aioseo_no_concise_answer_paragraph_40-60_words_</t>
  </si>
  <si>
    <t>https://africanmarketingconfederation.org/amc-conference-2026::aioseo_no_concise_answer_paragraph_40-60_words_</t>
  </si>
  <si>
    <t>https://africanmarketingconfederation.org/amc-conference-2026-awards-nominations-thank-you::aioseo_no_concise_answer_paragraph_40-60_words_</t>
  </si>
  <si>
    <t>https://africanmarketingconfederation.org/amc-conference-2026-zambia-thank-you::aioseo_no_concise_answer_paragraph_40-60_words_</t>
  </si>
  <si>
    <t>https://africanmarketingconfederation.org/amc-conference-programme::aioseo_no_concise_answer_paragraph_40-60_words_</t>
  </si>
  <si>
    <t>https://africanmarketingconfederation.org/amc-conference-sponsors::aioseo_no_concise_answer_paragraph_40-60_words_</t>
  </si>
  <si>
    <t>https://africanmarketingconfederation.org/amc-conference-thank-you::aioseo_no_concise_answer_paragraph_40-60_words_</t>
  </si>
  <si>
    <t>https://africanmarketingconfederation.org/amc-forum-mombasa::aioseo_no_concise_answer_paragraph_40-60_words_</t>
  </si>
  <si>
    <t>https://africanmarketingconfederation.org/amc-forum-payments::aioseo_no_concise_answer_paragraph_40-60_words_</t>
  </si>
  <si>
    <t>https://africanmarketingconfederation.org/amc-launch-event-zambia-thank-you-2026::aioseo_no_concise_answer_paragraph_40-60_words_</t>
  </si>
  <si>
    <t>https://africanmarketingconfederation.org/amc-marketing-conference-2024::aioseo_no_concise_answer_paragraph_40-60_words_</t>
  </si>
  <si>
    <t>https://africanmarketingconfederation.org/amc-marketing-conference-2024/amc-conference-2025-ghana-sponsors::aioseo_no_concise_answer_paragraph_40-60_words_</t>
  </si>
  <si>
    <t>https://africanmarketingconfederation.org/amc-marketing-conference-2024/amc-launch-event-2025::aioseo_no_concise_answer_paragraph_40-60_words_</t>
  </si>
  <si>
    <t>https://africanmarketingconfederation.org/amc-marketing-conference-2024/amc-preregister-2025::aioseo_no_concise_answer_paragraph_40-60_words_</t>
  </si>
  <si>
    <t>https://africanmarketingconfederation.org/amc-marketing-conference-2024/amc-programme-2025::aioseo_no_concise_answer_paragraph_40-60_words_</t>
  </si>
  <si>
    <t>https://africanmarketingconfederation.org/amc-marketing-conference-2024/amc-speakers-presentations-2024::aioseo_no_concise_answer_paragraph_40-60_words_</t>
  </si>
  <si>
    <t>https://africanmarketingconfederation.org/amc-marketing-conference-2024/awards-2025::aioseo_no_concise_answer_paragraph_40-60_words_</t>
  </si>
  <si>
    <t>https://africanmarketingconfederation.org/amc-marketing-conference-2024/programme-2024::aioseo_no_concise_answer_paragraph_40-60_words_</t>
  </si>
  <si>
    <t>https://africanmarketingconfederation.org/amc-marketing-conference-2024/speakers-2024::aioseo_no_concise_answer_paragraph_40-60_words_</t>
  </si>
  <si>
    <t>https://africanmarketingconfederation.org/amc-marketing-conference-2024/testimony-thank-you-page::aioseo_no_concise_answer_paragraph_40-60_words_</t>
  </si>
  <si>
    <t>https://africanmarketingconfederation.org/amc-masterclass::aioseo_no_concise_answer_paragraph_40-60_words_</t>
  </si>
  <si>
    <t>https://africanmarketingconfederation.org/amc-masterclass-bookings::aioseo_no_concise_answer_paragraph_40-60_words_</t>
  </si>
  <si>
    <t>https://africanmarketingconfederation.org/amc-masterclass-thank-you::aioseo_no_concise_answer_paragraph_40-60_words_</t>
  </si>
  <si>
    <t>https://africanmarketingconfederation.org/amc-relaunch-programme::aioseo_no_concise_answer_paragraph_40-60_words_</t>
  </si>
  <si>
    <t>https://africanmarketingconfederation.org/amc-sign-up-now-form-2025::aioseo_no_concise_answer_paragraph_40-60_words_</t>
  </si>
  <si>
    <t>https://africanmarketingconfederation.org/amc-sponsors-2025::aioseo_no_concise_answer_paragraph_40-60_words_</t>
  </si>
  <si>
    <t>https://africanmarketingconfederation.org/amc-testimony-page-2024::aioseo_no_concise_answer_paragraph_40-60_words_</t>
  </si>
  <si>
    <t>https://africanmarketingconfederation.org/awards-2026::aioseo_no_concise_answer_paragraph_40-60_words_</t>
  </si>
  <si>
    <t>https://africanmarketingconfederation.org/awards-2026-1::aioseo_no_concise_answer_paragraph_40-60_words_</t>
  </si>
  <si>
    <t>https://africanmarketingconfederation.org/awards-2026-test::aioseo_no_concise_answer_paragraph_40-60_words_</t>
  </si>
  <si>
    <t>https://africanmarketingconfederation.org/certified-professional-marketer-africa::aioseo_no_concise_answer_paragraph_40-60_words_</t>
  </si>
  <si>
    <t>https://africanmarketingconfederation.org/chartered-marketer-africa::aioseo_no_concise_answer_paragraph_40-60_words_</t>
  </si>
  <si>
    <t>https://africanmarketingconfederation.org/chartered-marketer-africa-final-submission-fee::aioseo_no_concise_answer_paragraph_40-60_words_</t>
  </si>
  <si>
    <t>https://africanmarketingconfederation.org/chartered-marketer-africa-programme-fee::aioseo_no_concise_answer_paragraph_40-60_words_</t>
  </si>
  <si>
    <t>https://africanmarketingconfederation.org/chartered-marketer-africa-thank-you::aioseo_no_concise_answer_paragraph_40-60_words_</t>
  </si>
  <si>
    <t>https://africanmarketingconfederation.org/checkout::aioseo_no_concise_answer_paragraph_40-60_words_</t>
  </si>
  <si>
    <t>https://africanmarketingconfederation.org/conference-faq-2025::aioseo_no_concise_answer_paragraph_40-60_words_</t>
  </si>
  <si>
    <t>https://africanmarketingconfederation.org/conference-registrations-2024::aioseo_no_concise_answer_paragraph_40-60_words_</t>
  </si>
  <si>
    <t>https://africanmarketingconfederation.org/contact-us::aioseo_no_concise_answer_paragraph_40-60_words_</t>
  </si>
  <si>
    <t>https://africanmarketingconfederation.org/download-brochure::aioseo_no_concise_answer_paragraph_40-60_words_</t>
  </si>
  <si>
    <t>https://africanmarketingconfederation.org/download-prospectus-2024::aioseo_no_concise_answer_paragraph_40-60_words_</t>
  </si>
  <si>
    <t>https://africanmarketingconfederation.org/education::aioseo_no_concise_answer_paragraph_40-60_words_</t>
  </si>
  <si>
    <t>https://africanmarketingconfederation.org/elementor-16548::aioseo_no_concise_answer_paragraph_40-60_words_</t>
  </si>
  <si>
    <t>https://africanmarketingconfederation.org/elementor-20341::aioseo_no_concise_answer_paragraph_40-60_words_</t>
  </si>
  <si>
    <t>https://africanmarketingconfederation.org/elementor-31820::aioseo_no_concise_answer_paragraph_40-60_words_</t>
  </si>
  <si>
    <t>https://africanmarketingconfederation.org/general-enquiry-form-thank-you::aioseo_no_concise_answer_paragraph_40-60_words_</t>
  </si>
  <si>
    <t>https://africanmarketingconfederation.org/launch-event-2026-amc-conference::aioseo_no_concise_answer_paragraph_40-60_words_</t>
  </si>
  <si>
    <t>https://africanmarketingconfederation.org/members::aioseo_no_concise_answer_paragraph_40-60_words_</t>
  </si>
  <si>
    <t>https://africanmarketingconfederation.org/news-articles::aioseo_no_concise_answer_paragraph_40-60_words_</t>
  </si>
  <si>
    <t>https://africanmarketingconfederation.org/privacy-policy::aioseo_no_concise_answer_paragraph_40-60_words_</t>
  </si>
  <si>
    <t>https://africanmarketingconfederation.org/publication-download-list::aioseo_no_concise_answer_paragraph_40-60_words_</t>
  </si>
  <si>
    <t>https://africanmarketingconfederation.org/publications-2::aioseo_no_concise_answer_paragraph_40-60_words_</t>
  </si>
  <si>
    <t>https://africanmarketingconfederation.org/speakers::aioseo_no_concise_answer_paragraph_40-60_words_</t>
  </si>
  <si>
    <t>https://africanmarketingconfederation.org/speakers-2025::aioseo_no_concise_answer_paragraph_40-60_words_</t>
  </si>
  <si>
    <t>https://africanmarketingconfederation.org/sub-committees::aioseo_no_concise_answer_paragraph_40-60_words_</t>
  </si>
  <si>
    <t>https://africanmarketingconfederation.org/subscribe::aioseo_no_concise_answer_paragraph_40-60_words_</t>
  </si>
  <si>
    <t>https://africanmarketingconfederation.org/test-homeslider::aioseo_no_concise_answer_paragraph_40-60_words_</t>
  </si>
  <si>
    <t>https://africanmarketingconfederation.org/test-payment-gate::aioseo_no_concise_answer_paragraph_40-60_words_</t>
  </si>
  <si>
    <t>https://africanmarketingconfederation.org/thank-you-for-registering-2024-registrations::aioseo_no_concise_answer_paragraph_40-60_words_</t>
  </si>
  <si>
    <t>https://africanmarketingconfederation.org/thank-you-for-registering-2024-registrations-kenya::aioseo_no_concise_answer_paragraph_40-60_words_</t>
  </si>
  <si>
    <t>https://africanmarketingconfederation.org/thank-you-for-subscribing::aioseo_no_concise_answer_paragraph_40-60_words_</t>
  </si>
  <si>
    <t>https://africanmarketingconfederation.org/thank-you-for-the-nomination-2024::aioseo_no_concise_answer_paragraph_40-60_words_</t>
  </si>
  <si>
    <t>https://africanmarketingconfederation.org/thank-you-for-the-submission-2024::aioseo_no_concise_answer_paragraph_40-60_words_</t>
  </si>
  <si>
    <t>https://africanmarketingconfederation.org/upcoming-events::aioseo_no_concise_answer_paragraph_40-60_words_</t>
  </si>
  <si>
    <t>https://africanmarketingconfederation.org/virtual-programme::aioseo_no_concise_answer_paragraph_40-60_words_</t>
  </si>
  <si>
    <t>Multiple H1 headings</t>
  </si>
  <si>
    <t>Exactly 1 H1</t>
  </si>
  <si>
    <t>Keep one primary H1, convert remaining top-level headings to H2/H3 where appropriate.</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</si>
  <si>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</si>
  <si>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</si>
  <si>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</si>
  <si>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</si>
  <si>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</si>
  <si>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</si>
  <si>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</si>
  <si>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</si>
  <si>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</si>
  <si>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</si>
  <si>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</si>
  <si>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</si>
  <si>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</si>
  <si>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</si>
  <si>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</si>
  <si>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</si>
  <si>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</si>
  <si>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</si>
  <si>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Low readability score</t>
  </si>
  <si>
    <t>&gt;=50</t>
  </si>
  <si>
    <t>Use shorter sentences/paragraphs, clearer transitions, and simpler phrasing in page content.</t>
  </si>
  <si>
    <t>https://africanmarketingconfederation.org/amc-conference-2023/book-now::aioseo_low_readability_score</t>
  </si>
  <si>
    <t>Hard-to-read content lowers engagement and comprehension.</t>
  </si>
  <si>
    <t>https://africanmarketingconfederation.org/amc-conference-2023/book-now::aioseo_no_question-style_headings</t>
  </si>
  <si>
    <t>https://africanmarketingconfederation.org/amc-conference-2023/book-now-thank-you::aioseo_no_question-style_headings</t>
  </si>
  <si>
    <t>https://africanmarketingconfederation.org/amc-conference-2023/download-prospectus::aioseo_no_question-style_headings</t>
  </si>
  <si>
    <t>https://africanmarketingconfederation.org/amc-conference-2023/gallery::aioseo_no_question-style_headings</t>
  </si>
  <si>
    <t>https://africanmarketingconfederation.org/amc-conference-2023/partners::aioseo_no_question-style_headings</t>
  </si>
  <si>
    <t>https://africanmarketingconfederation.org/amc-conference-2023/programme::aioseo_no_question-style_headings</t>
  </si>
  <si>
    <t>https://africanmarketingconfederation.org/amc-conference-2023/speakers::aioseo_no_question-style_headings</t>
  </si>
  <si>
    <t>https://africanmarketingconfederation.org/amc-conference-2024-recap::aioseo_multiple_h1_headings</t>
  </si>
  <si>
    <t>https://africanmarketingconfederation.org/amc-conference-2024-recap::aioseo_no_question-style_headings</t>
  </si>
  <si>
    <t>https://africanmarketingconfederation.org/amc-conference-2024-sponsors-packages::aioseo_no_question-style_headings</t>
  </si>
  <si>
    <t>https://africanmarketingconfederation.org/amc-conference-2025::aioseo_multiple_h1_headings</t>
  </si>
  <si>
    <t>https://africanmarketingconfederation.org/amc-conference-2025::aioseo_no_question-style_headings</t>
  </si>
  <si>
    <t>https://africanmarketingconfederation.org/amc-conference-2025-highlights::aioseo_multiple_h1_headings</t>
  </si>
  <si>
    <t>https://africanmarketingconfederation.org/amc-conference-2025-highlights::aioseo_no_question-style_headings</t>
  </si>
  <si>
    <t>https://africanmarketingconfederation.org/amc-conference-2026::aioseo_no_question-style_headings</t>
  </si>
  <si>
    <t>https://africanmarketingconfederation.org/amc-conference-2026-awards-nominations-thank-you::aioseo_multiple_h1_headings</t>
  </si>
  <si>
    <t>https://africanmarketingconfederation.org/amc-conference-2026-awards-nominations-thank-you::aioseo_no_question-style_headings</t>
  </si>
  <si>
    <t>https://africanmarketingconfederation.org/amc-conference-2026-zambia-thank-you::aioseo_multiple_h1_headings</t>
  </si>
  <si>
    <t>https://africanmarketingconfederation.org/amc-conference-2026-zambia-thank-you::aioseo_no_question-style_headings</t>
  </si>
  <si>
    <t>https://africanmarketingconfederation.org/amc-conference-programme::aioseo_no_question-style_headings</t>
  </si>
  <si>
    <t>https://africanmarketingconfederation.org/amc-conference-sponsors::aioseo_no_question-style_headings</t>
  </si>
  <si>
    <t>https://africanmarketingconfederation.org/amc-conference-thank-you::aioseo_no_question-style_headings</t>
  </si>
  <si>
    <t>https://africanmarketingconfederation.org/amc-forum-mombasa::aioseo_no_question-style_headings</t>
  </si>
  <si>
    <t>https://africanmarketingconfederation.org/amc-forum-payments::aioseo_no_question-style_headings</t>
  </si>
  <si>
    <t>https://africanmarketingconfederation.org/amc-launch-event-zambia-thank-you-2026::aioseo_multiple_h1_headings</t>
  </si>
  <si>
    <t>https://africanmarketingconfederation.org/amc-launch-event-zambia-thank-you-2026::aioseo_no_question-style_headings</t>
  </si>
  <si>
    <t>https://africanmarketingconfederation.org/amc-marketing-conference-2024::aioseo_no_question-style_headings</t>
  </si>
  <si>
    <t>https://africanmarketingconfederation.org/amc-marketing-conference-2024/amc-conference-2025-ghana-sponsors::aioseo_no_question-style_headings</t>
  </si>
  <si>
    <t>https://africanmarketingconfederation.org/amc-marketing-conference-2024/amc-launch-event-2025::aioseo_no_question-style_headings</t>
  </si>
  <si>
    <t>https://africanmarketingconfederation.org/amc-marketing-conference-2024/amc-preregister-2025::aioseo_no_question-style_headings</t>
  </si>
  <si>
    <t>https://africanmarketingconfederation.org/amc-marketing-conference-2024/amc-programme-2025::aioseo_multiple_h1_headings</t>
  </si>
  <si>
    <t>https://africanmarketingconfederation.org/amc-marketing-conference-2024/amc-programme-2025::aioseo_no_question-style_headings</t>
  </si>
  <si>
    <t>https://africanmarketingconfederation.org/amc-marketing-conference-2024/amc-speakers-presentations-2024::aioseo_multiple_h1_headings</t>
  </si>
  <si>
    <t>https://africanmarketingconfederation.org/amc-marketing-conference-2024/amc-speakers-presentations-2024::aioseo_no_question-style_headings</t>
  </si>
  <si>
    <t>https://africanmarketingconfederation.org/amc-marketing-conference-2024/awards-2025::aioseo_no_question-style_headings</t>
  </si>
  <si>
    <t>https://africanmarketingconfederation.org/amc-marketing-conference-2024/programme-2024::aioseo_no_question-style_headings</t>
  </si>
  <si>
    <t>https://africanmarketingconfederation.org/amc-marketing-conference-2024/speakers-2024::aioseo_no_question-style_headings</t>
  </si>
  <si>
    <t>https://africanmarketingconfederation.org/amc-marketing-conference-2024/testimony-thank-you-page::aioseo_multiple_h1_headings</t>
  </si>
  <si>
    <t>https://africanmarketingconfederation.org/amc-marketing-conference-2024/testimony-thank-you-page::aioseo_no_question-style_headings</t>
  </si>
  <si>
    <t>https://africanmarketingconfederation.org/amc-masterclass::aioseo_no_question-style_headings</t>
  </si>
  <si>
    <t>https://africanmarketingconfederation.org/amc-masterclass-bookings::aioseo_no_question-style_headings</t>
  </si>
  <si>
    <t>https://africanmarketingconfederation.org/amc-masterclass-thank-you::aioseo_no_question-style_headings</t>
  </si>
  <si>
    <t>https://africanmarketingconfederation.org/amc-relaunch-programme::aioseo_no_question-style_headings</t>
  </si>
  <si>
    <t>https://africanmarketingconfederation.org/amc-sign-up-now-form-2025::aioseo_no_question-style_headings</t>
  </si>
  <si>
    <t>https://africanmarketingconfederation.org/amc-sponsors-2025::aioseo_no_question-style_headings</t>
  </si>
  <si>
    <t>https://africanmarketingconfederation.org/amc-testimony-page-2024::aioseo_no_question-style_headings</t>
  </si>
  <si>
    <t>https://africanmarketingconfederation.org/awards-2026::aioseo_multiple_h1_headings</t>
  </si>
  <si>
    <t>https://africanmarketingconfederation.org/awards-2026::aioseo_no_question-style_headings</t>
  </si>
  <si>
    <t>https://africanmarketingconfederation.org/awards-2026-1::aioseo_multiple_h1_headings</t>
  </si>
  <si>
    <t>https://africanmarketingconfederation.org/awards-2026-1::aioseo_no_question-style_headings</t>
  </si>
  <si>
    <t>https://africanmarketingconfederation.org/awards-2026-test::aioseo_multiple_h1_headings</t>
  </si>
  <si>
    <t>https://africanmarketingconfederation.org/awards-2026-test::aioseo_no_question-style_headings</t>
  </si>
  <si>
    <t>https://africanmarketingconfederation.org/certified-professional-marketer-africa::aioseo_no_question-style_headings</t>
  </si>
  <si>
    <t>https://africanmarketingconfederation.org/chartered-marketer-africa::aioseo_no_question-style_headings</t>
  </si>
  <si>
    <t>https://africanmarketingconfederation.org/chartered-marketer-africa-final-submission-fee::aioseo_no_question-style_headings</t>
  </si>
  <si>
    <t>https://africanmarketingconfederation.org/chartered-marketer-africa-programme-fee::aioseo_no_question-style_headings</t>
  </si>
  <si>
    <t>https://africanmarketingconfederation.org/chartered-marketer-africa-thank-you::aioseo_no_question-style_headings</t>
  </si>
  <si>
    <t>https://africanmarketingconfederation.org/checkout::aioseo_no_question-style_headings</t>
  </si>
  <si>
    <t>https://africanmarketingconfederation.org/conference-faq-2025::aioseo_no_question-style_headings</t>
  </si>
  <si>
    <t>https://africanmarketingconfederation.org/conference-registrations-2024::aioseo_no_question-style_headings</t>
  </si>
  <si>
    <t>https://africanmarketingconfederation.org/contact-us::aioseo_multiple_h1_headings</t>
  </si>
  <si>
    <t>https://africanmarketingconfederation.org/contact-us::aioseo_no_question-style_headings</t>
  </si>
  <si>
    <t>https://africanmarketingconfederation.org/download-brochure::aioseo_no_question-style_headings</t>
  </si>
  <si>
    <t>https://africanmarketingconfederation.org/download-prospectus-2024::aioseo_no_question-style_headings</t>
  </si>
  <si>
    <t>https://africanmarketingconfederation.org/education::aioseo_no_question-style_headings</t>
  </si>
  <si>
    <t>https://africanmarketingconfederation.org/elementor-16548::aioseo_no_question-style_headings</t>
  </si>
  <si>
    <t>https://africanmarketingconfederation.org/elementor-20341::aioseo_no_question-style_headings</t>
  </si>
  <si>
    <t>https://africanmarketingconfederation.org/elementor-31820::aioseo_no_question-style_headings</t>
  </si>
  <si>
    <t>https://africanmarketingconfederation.org/general-enquiry-form-thank-you::aioseo_no_question-style_headings</t>
  </si>
  <si>
    <t>https://africanmarketingconfederation.org/launch-event-2026-amc-conference::aioseo_no_question-style_headings</t>
  </si>
  <si>
    <t>https://africanmarketingconfederation.org/members::aioseo_no_question-style_headings</t>
  </si>
  <si>
    <t>https://africanmarketingconfederation.org/news-articles::aioseo_no_question-style_headings</t>
  </si>
  <si>
    <t>https://africanmarketingconfederation.org/privacy-policy::aioseo_multiple_h1_headings</t>
  </si>
  <si>
    <t>https://africanmarketingconfederation.org/privacy-policy::aioseo_no_question-style_headings</t>
  </si>
  <si>
    <t>https://africanmarketingconfederation.org/publication-download-list::aioseo_no_question-style_headings</t>
  </si>
  <si>
    <t>https://africanmarketingconfederation.org/publications-2::aioseo_no_question-style_headings</t>
  </si>
  <si>
    <t>https://africanmarketingconfederation.org/speakers::aioseo_no_question-style_headings</t>
  </si>
  <si>
    <t>https://africanmarketingconfederation.org/speakers-2025::aioseo_multiple_h1_headings</t>
  </si>
  <si>
    <t>https://africanmarketingconfederation.org/speakers-2025::aioseo_no_question-style_headings</t>
  </si>
  <si>
    <t>https://africanmarketingconfederation.org/sub-committees::aioseo_no_question-style_headings</t>
  </si>
  <si>
    <t>https://africanmarketingconfederation.org/subscribe::aioseo_no_question-style_headings</t>
  </si>
  <si>
    <t>https://africanmarketingconfederation.org/test-homeslider::aioseo_no_question-style_headings</t>
  </si>
  <si>
    <t>https://africanmarketingconfederation.org/test-payment-gate::aioseo_low_readability_score</t>
  </si>
  <si>
    <t>https://africanmarketingconfederation.org/test-payment-gate::aioseo_no_question-style_headings</t>
  </si>
  <si>
    <t>https://africanmarketingconfederation.org/thank-you-for-registering-2024-registrations::aioseo_no_question-style_headings</t>
  </si>
  <si>
    <t>https://africanmarketingconfederation.org/thank-you-for-registering-2024-registrations-kenya::aioseo_no_question-style_headings</t>
  </si>
  <si>
    <t>https://africanmarketingconfederation.org/thank-you-for-subscribing::aioseo_no_question-style_headings</t>
  </si>
  <si>
    <t>https://africanmarketingconfederation.org/thank-you-for-the-nomination-2024::aioseo_no_question-style_headings</t>
  </si>
  <si>
    <t>https://africanmarketingconfederation.org/thank-you-for-the-submission-2024::aioseo_no_question-style_headings</t>
  </si>
  <si>
    <t>https://africanmarketingconfederation.org/upcoming-events::aioseo_no_question-style_headings</t>
  </si>
  <si>
    <t>https://africanmarketingconfederation.org/virtual-programme::aioseo_no_question-style_headings</t>
  </si>
  <si>
    <t>No FAQ/QA schema</t>
  </si>
  <si>
    <t>True when page has Q&amp;A intent</t>
  </si>
  <si>
    <t>If content is Q&amp;A style, add FAQPage/QAPage schema in AIOSEO and keep markup aligned with on-page content.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</si>
  <si>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</si>
  <si>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</si>
  <si>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</si>
  <si>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</si>
  <si>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</si>
  <si>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</si>
  <si>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</si>
  <si>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</si>
  <si>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</si>
  <si>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</si>
  <si>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</si>
  <si>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https://africanmarketingconfederation.org/amc-conference-2023/book-now::aioseo_no_faq_qa_schema</t>
  </si>
  <si>
    <t>https://africanmarketingconfederation.org/amc-conference-2023/book-now-thank-you::aioseo_no_faq_qa_schema</t>
  </si>
  <si>
    <t>https://africanmarketingconfederation.org/amc-conference-2023/download-prospectus::aioseo_no_faq_qa_schema</t>
  </si>
  <si>
    <t>https://africanmarketingconfederation.org/amc-conference-2023/gallery::aioseo_no_faq_qa_schema</t>
  </si>
  <si>
    <t>https://africanmarketingconfederation.org/amc-conference-2023/partners::aioseo_no_faq_qa_schema</t>
  </si>
  <si>
    <t>https://africanmarketingconfederation.org/amc-conference-2023/programme::aioseo_no_faq_qa_schema</t>
  </si>
  <si>
    <t>https://africanmarketingconfederation.org/amc-conference-2023/speakers::aioseo_no_faq_qa_schema</t>
  </si>
  <si>
    <t>https://africanmarketingconfederation.org/amc-conference-2024-recap::aioseo_no_faq_qa_schema</t>
  </si>
  <si>
    <t>https://africanmarketingconfederation.org/amc-conference-2024-sponsors-packages::aioseo_no_faq_qa_schema</t>
  </si>
  <si>
    <t>https://africanmarketingconfederation.org/amc-conference-2025::aioseo_no_faq_qa_schema</t>
  </si>
  <si>
    <t>https://africanmarketingconfederation.org/amc-conference-2025-highlights::aioseo_no_faq_qa_schema</t>
  </si>
  <si>
    <t>https://africanmarketingconfederation.org/amc-conference-2026::aioseo_no_faq_qa_schema</t>
  </si>
  <si>
    <t>https://africanmarketingconfederation.org/amc-conference-2026-awards-nominations-thank-you::aioseo_no_faq_qa_schema</t>
  </si>
  <si>
    <t>https://africanmarketingconfederation.org/amc-conference-2026-zambia-thank-you::aioseo_no_faq_qa_schema</t>
  </si>
  <si>
    <t>https://africanmarketingconfederation.org/amc-conference-programme::aioseo_no_faq_qa_schema</t>
  </si>
  <si>
    <t>https://africanmarketingconfederation.org/amc-conference-sponsors::aioseo_no_faq_qa_schema</t>
  </si>
  <si>
    <t>https://africanmarketingconfederation.org/amc-conference-thank-you::aioseo_no_faq_qa_schema</t>
  </si>
  <si>
    <t>https://africanmarketingconfederation.org/amc-forum-mombasa::aioseo_no_faq_qa_schema</t>
  </si>
  <si>
    <t>https://africanmarketingconfederation.org/amc-forum-payments::aioseo_no_faq_qa_schema</t>
  </si>
  <si>
    <t>https://africanmarketingconfederation.org/amc-launch-event-zambia-thank-you-2026::aioseo_no_faq_qa_schema</t>
  </si>
  <si>
    <t>https://africanmarketingconfederation.org/amc-marketing-conference-2024::aioseo_no_faq_qa_schema</t>
  </si>
  <si>
    <t>https://africanmarketingconfederation.org/amc-marketing-conference-2024/amc-conference-2025-ghana-sponsors::aioseo_no_faq_qa_schema</t>
  </si>
  <si>
    <t>https://africanmarketingconfederation.org/amc-marketing-conference-2024/amc-launch-event-2025::aioseo_no_faq_qa_schema</t>
  </si>
  <si>
    <t>https://africanmarketingconfederation.org/amc-marketing-conference-2024/amc-preregister-2025::aioseo_no_faq_qa_schema</t>
  </si>
  <si>
    <t>https://africanmarketingconfederation.org/amc-marketing-conference-2024/amc-programme-2025::aioseo_no_faq_qa_schema</t>
  </si>
  <si>
    <t>https://africanmarketingconfederation.org/amc-marketing-conference-2024/amc-speakers-presentations-2024::aioseo_no_faq_qa_schema</t>
  </si>
  <si>
    <t>https://africanmarketingconfederation.org/amc-marketing-conference-2024/awards-2025::aioseo_no_faq_qa_schema</t>
  </si>
  <si>
    <t>https://africanmarketingconfederation.org/amc-marketing-conference-2024/programme-2024::aioseo_no_faq_qa_schema</t>
  </si>
  <si>
    <t>https://africanmarketingconfederation.org/amc-marketing-conference-2024/speakers-2024::aioseo_no_faq_qa_schema</t>
  </si>
  <si>
    <t>https://africanmarketingconfederation.org/amc-marketing-conference-2024/testimony-thank-you-page::aioseo_no_faq_qa_schema</t>
  </si>
  <si>
    <t>https://africanmarketingconfederation.org/amc-masterclass::aioseo_no_faq_qa_schema</t>
  </si>
  <si>
    <t>https://africanmarketingconfederation.org/amc-masterclass-bookings::aioseo_no_faq_qa_schema</t>
  </si>
  <si>
    <t>https://africanmarketingconfederation.org/amc-masterclass-thank-you::aioseo_no_faq_qa_schema</t>
  </si>
  <si>
    <t>https://africanmarketingconfederation.org/amc-relaunch-programme::aioseo_no_faq_qa_schema</t>
  </si>
  <si>
    <t>https://africanmarketingconfederation.org/amc-sign-up-now-form-2025::aioseo_no_faq_qa_schema</t>
  </si>
  <si>
    <t>https://africanmarketingconfederation.org/amc-sponsors-2025::aioseo_no_faq_qa_schema</t>
  </si>
  <si>
    <t>https://africanmarketingconfederation.org/amc-testimony-page-2024::aioseo_no_faq_qa_schema</t>
  </si>
  <si>
    <t>https://africanmarketingconfederation.org/awards-2026::aioseo_no_faq_qa_schema</t>
  </si>
  <si>
    <t>https://africanmarketingconfederation.org/awards-2026-1::aioseo_no_faq_qa_schema</t>
  </si>
  <si>
    <t>https://africanmarketingconfederation.org/awards-2026-test::aioseo_no_faq_qa_schema</t>
  </si>
  <si>
    <t>https://africanmarketingconfederation.org/certified-professional-marketer-africa::aioseo_no_faq_qa_schema</t>
  </si>
  <si>
    <t>https://africanmarketingconfederation.org/chartered-marketer-africa::aioseo_no_faq_qa_schema</t>
  </si>
  <si>
    <t>https://africanmarketingconfederation.org/chartered-marketer-africa-final-submission-fee::aioseo_no_faq_qa_schema</t>
  </si>
  <si>
    <t>https://africanmarketingconfederation.org/chartered-marketer-africa-programme-fee::aioseo_no_faq_qa_schema</t>
  </si>
  <si>
    <t>https://africanmarketingconfederation.org/chartered-marketer-africa-thank-you::aioseo_no_faq_qa_schema</t>
  </si>
  <si>
    <t>https://africanmarketingconfederation.org/checkout::aioseo_no_faq_qa_schema</t>
  </si>
  <si>
    <t>https://africanmarketingconfederation.org/conference-faq-2025::aioseo_no_faq_qa_schema</t>
  </si>
  <si>
    <t>https://africanmarketingconfederation.org/conference-registrations-2024::aioseo_no_faq_qa_schema</t>
  </si>
  <si>
    <t>https://africanmarketingconfederation.org/contact-us::aioseo_no_faq_qa_schema</t>
  </si>
  <si>
    <t>https://africanmarketingconfederation.org/download-brochure::aioseo_no_faq_qa_schema</t>
  </si>
  <si>
    <t>https://africanmarketingconfederation.org/download-prospectus-2024::aioseo_no_faq_qa_schema</t>
  </si>
  <si>
    <t>https://africanmarketingconfederation.org/education::aioseo_no_faq_qa_schema</t>
  </si>
  <si>
    <t>https://africanmarketingconfederation.org/elementor-16548::aioseo_no_faq_qa_schema</t>
  </si>
  <si>
    <t>https://africanmarketingconfederation.org/elementor-20341::aioseo_no_faq_qa_schema</t>
  </si>
  <si>
    <t>https://africanmarketingconfederation.org/elementor-31820::aioseo_no_faq_qa_schema</t>
  </si>
  <si>
    <t>https://africanmarketingconfederation.org/general-enquiry-form-thank-you::aioseo_no_faq_qa_schema</t>
  </si>
  <si>
    <t>https://africanmarketingconfederation.org/launch-event-2026-amc-conference::aioseo_no_faq_qa_schema</t>
  </si>
  <si>
    <t>https://africanmarketingconfederation.org/members::aioseo_no_faq_qa_schema</t>
  </si>
  <si>
    <t>https://africanmarketingconfederation.org/news-articles::aioseo_no_faq_qa_schema</t>
  </si>
  <si>
    <t>https://africanmarketingconfederation.org/privacy-policy::aioseo_no_faq_qa_schema</t>
  </si>
  <si>
    <t>https://africanmarketingconfederation.org/publication-download-list::aioseo_no_faq_qa_schema</t>
  </si>
  <si>
    <t>https://africanmarketingconfederation.org/publications-2::aioseo_no_faq_qa_schema</t>
  </si>
  <si>
    <t>https://africanmarketingconfederation.org/speakers::aioseo_no_faq_qa_schema</t>
  </si>
  <si>
    <t>https://africanmarketingconfederation.org/speakers-2025::aioseo_no_faq_qa_schema</t>
  </si>
  <si>
    <t>https://africanmarketingconfederation.org/sub-committees::aioseo_no_faq_qa_schema</t>
  </si>
  <si>
    <t>https://africanmarketingconfederation.org/subscribe::aioseo_no_faq_qa_schema</t>
  </si>
  <si>
    <t>https://africanmarketingconfederation.org/test-homeslider::aioseo_no_faq_qa_schema</t>
  </si>
  <si>
    <t>https://africanmarketingconfederation.org/test-payment-gate::aioseo_no_faq_qa_schema</t>
  </si>
  <si>
    <t>https://africanmarketingconfederation.org/thank-you-for-registering-2024-registrations::aioseo_no_faq_qa_schema</t>
  </si>
  <si>
    <t>https://africanmarketingconfederation.org/thank-you-for-registering-2024-registrations-kenya::aioseo_no_faq_qa_schema</t>
  </si>
  <si>
    <t>https://africanmarketingconfederation.org/thank-you-for-subscribing::aioseo_no_faq_qa_schema</t>
  </si>
  <si>
    <t>https://africanmarketingconfederation.org/thank-you-for-the-nomination-2024::aioseo_no_faq_qa_schema</t>
  </si>
  <si>
    <t>https://africanmarketingconfederation.org/thank-you-for-the-submission-2024::aioseo_no_faq_qa_schema</t>
  </si>
  <si>
    <t>https://africanmarketingconfederation.org/upcoming-events::aioseo_no_faq_qa_schema</t>
  </si>
  <si>
    <t>https://africanmarketingconfederation.org/virtual-programme::aioseo_no_faq_qa_schema</t>
  </si>
  <si>
    <t>SEO title too long</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</si>
  <si>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</si>
  <si>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</si>
  <si>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</si>
  <si>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</si>
  <si>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</si>
  <si>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</si>
  <si>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</si>
  <si>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SEO title too short</t>
  </si>
  <si>
    <t>Expand title in AIOSEO snippet editor with clearer intent and value proposition.</t>
  </si>
  <si>
    <t>https://africanmarketingconfederation.org/amc-conference-2025::aioseo_seo_title_too_short</t>
  </si>
  <si>
    <t>Very short titles often under-describe page intent.</t>
  </si>
  <si>
    <t>https://africanmarketingconfederation.org/amc-conference-2025-highlights::aioseo_seo_title_too_long</t>
  </si>
  <si>
    <t>https://africanmarketingconfederation.org/amc-conference-2026-awards-nominations-thank-you::aioseo_seo_title_too_long</t>
  </si>
  <si>
    <t>https://africanmarketingconfederation.org/amc-conference-2026-zambia-thank-you::aioseo_seo_title_too_long</t>
  </si>
  <si>
    <t>https://africanmarketingconfederation.org/amc-launch-event-zambia-thank-you-2026::aioseo_seo_title_too_long</t>
  </si>
  <si>
    <t>https://africanmarketingconfederation.org/amc-marketing-conference-2024/amc-conference-2025-ghana-sponsors::aioseo_seo_title_too_long</t>
  </si>
  <si>
    <t>https://africanmarketingconfederation.org/amc-marketing-conference-2024/amc-programme-2025::aioseo_seo_title_too_short</t>
  </si>
  <si>
    <t>https://africanmarketingconfederation.org/amc-marketing-conference-2024/amc-speakers-presentations-2024::aioseo_seo_title_too_long</t>
  </si>
  <si>
    <t>https://africanmarketingconfederation.org/amc-masterclass-thank-you::aioseo_seo_title_too_long</t>
  </si>
  <si>
    <t>https://africanmarketingconfederation.org/certified-professional-marketer-africa::aioseo_seo_title_too_long</t>
  </si>
  <si>
    <t>https://africanmarketingconfederation.org/chartered-marketer-africa::aioseo_seo_title_too_long</t>
  </si>
  <si>
    <t>https://africanmarketingconfederation.org/chartered-marketer-africa-final-submission-fee::aioseo_seo_title_too_long</t>
  </si>
  <si>
    <t>https://africanmarketingconfederation.org/chartered-marketer-africa-programme-fee::aioseo_seo_title_too_long</t>
  </si>
  <si>
    <t>https://africanmarketingconfederation.org/chartered-marketer-africa-thank-you::aioseo_seo_title_too_long</t>
  </si>
  <si>
    <t>https://africanmarketingconfederation.org/checkout::aioseo_seo_title_too_short</t>
  </si>
  <si>
    <t>https://africanmarketingconfederation.org/conference-faq-2025::aioseo_seo_title_too_short</t>
  </si>
  <si>
    <t>https://africanmarketingconfederation.org/conference-registrations-2024::aioseo_seo_title_too_long</t>
  </si>
  <si>
    <t>https://africanmarketingconfederation.org/general-enquiry-form-thank-you::aioseo_seo_title_too_long</t>
  </si>
  <si>
    <t>https://africanmarketingconfederation.org/launch-event-2026-amc-conference::aioseo_seo_title_too_long</t>
  </si>
  <si>
    <t>https://africanmarketingconfederation.org/speakers-2025::aioseo_seo_title_too_short</t>
  </si>
  <si>
    <t>https://africanmarketingconfederation.org/thank-you-for-registering-2024-registrations::aioseo_seo_title_too_long</t>
  </si>
  <si>
    <t>https://africanmarketingconfederation.org/thank-you-for-registering-2024-registrations-kenya::aioseo_seo_title_too_long</t>
  </si>
  <si>
    <t>https://africanmarketingconfederation.org/thank-you-for-the-nomination-2024::aioseo_seo_title_too_long</t>
  </si>
  <si>
    <t>https://africanmarketingconfederation.org/thank-you-for-the-submission-2024::aioseo_seo_title_too_long</t>
  </si>
  <si>
    <t>Strict-Transport-Security</t>
  </si>
  <si>
    <t>Content-Security-Policy</t>
  </si>
  <si>
    <t>X-Content-Type-Options</t>
  </si>
  <si>
    <t>X-Frame-Options</t>
  </si>
  <si>
    <t>Referrer-Policy</t>
  </si>
  <si>
    <t>Permissions-Policy</t>
  </si>
  <si>
    <t>Robots.txt Accessible</t>
  </si>
  <si>
    <t>Sitemap in Robots.txt</t>
  </si>
  <si>
    <t>Robots.txt Crawl-Delay</t>
  </si>
  <si>
    <t>Robots.txt Disallow /</t>
  </si>
  <si>
    <t>Affected URL Count</t>
  </si>
  <si>
    <t>Affected URLs (sample)</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</si>
  <si>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https://africanmarketingconfederation.org/amc-conference-2024-recap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https://africanmarketingconfederation.org/amc-conference-sponsors || Full list: see AEO tab</t>
  </si>
  <si>
    <t xml:space="preserve"> || Full list: see AEO tab</t>
  </si>
  <si>
    <t>Detailed rows: see AEO tab</t>
  </si>
  <si>
    <t>Issue Counts</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</si>
  <si>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https://africanmarketingconfederation.org/amc-conference-2024-recap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Full list: see Technical/Links/Indexability tabs</t>
  </si>
  <si>
    <t>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https://africanmarketingconfederation.org/amc-conference-2023/partners | https://africanmarketingconfederation.org/amc-conference-2023/programme | https://africanmarketingconfederation.org/amc-conference-2024-recap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https://africanmarketingconfederation.org/amc-conference-programme | https://africanmarketingconfederation.org/amc-conference-thank-you | https://africanmarketingconfederation.org/amc-forum-payments | https://africanmarketingconfederation.org/amc-launch-event-zambia-thank-you-2026 | https://africanmarketingconfederation.org/amc-marketing-conference-2024/amc-conference-2025-ghana-sponsors || Full list: see Technical/Links/Indexability tabs</t>
  </si>
  <si>
    <t>https://africanmarketingconfederation.org/amc-conference-sponsors | https://africanmarketingconfederation.org/amc-marketing-conference-2024/speakers-2024 || Full list: see Technical/Links/Indexability tabs</t>
  </si>
  <si>
    <t>https://africanmarketingconfederation.org/checkout || Full list: see Technical/Links/Indexability tabs</t>
  </si>
  <si>
    <t xml:space="preserve"> || Full list: see Technical/Links/Indexability tabs</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</si>
  <si>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https://africanmarketingconfederation.org/amc-conference-2024-recap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https://africanmarketingconfederation.org/amc-conference-sponsors || Full list: see Technical/Links/Indexability tabs</t>
  </si>
  <si>
    <t>https://africanmarketingconfederation.org/ | https://africanmarketingconfederation.org/about-us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https://africanmarketingconfederation.org/amc-conference-thank-you | https://africanmarketingconfederation.org/amc-launch-event-zambia-thank-you-2026 | https://africanmarketingconfederation.org/amc-marketing-conference-2024/amc-programme-2025 | https://africanmarketingconfederation.org/amc-marketing-conference-2024/awards-2025 || Full list: see Technical/Links/Indexability tabs</t>
  </si>
  <si>
    <t>https://africanmarketingconfederation.org/amc-conference-2022-prospectus | https://africanmarketingconfederation.org/amc-conference-2022-thank-you | https://africanmarketingconfederation.org/amc-conference-2022 | https://africanmarketingconfederation.org/amc-conference-2023/amc-awards-book-now | https://africanmarketingconfederation.org/amc-conference-2023/book-now-thank-you | https://africanmarketingconfederation.org/amc-conference-programme | https://africanmarketingconfederation.org/amc-forum-payments | https://africanmarketingconfederation.org/amc-masterclass-bookings | https://africanmarketingconfederation.org/amc-masterclass-thank-you | https://africanmarketingconfederation.org/amc-masterclass | https://africanmarketingconfederation.org/amc-relaunch-programme | https://africanmarketingconfederation.org/certified-professional-marketer-africa | https://africanmarketingconfederation.org/chartered-marketer-africa-thank-you | https://africanmarketingconfederation.org/checkout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https://africanmarketingconfederation.org/general-enquiry-form-thank-you | https://africanmarketingconfederation.org/publication-download-list | https://africanmarketingconfederation.org/speakers | https://africanmarketingconfederation.org/subscribe | https://africanmarketingconfederation.org/test-homeslider | https://africanmarketingconfederation.org/test-payment-gate || Full list: see Technical/Links/Indexability tabs</t>
  </si>
  <si>
    <t>https://africanmarketingconfederation.org/ | https://africanmarketingconfederation.org/african-marketing-confederation-tourism-chapter | https://africanmarketingconfederation.org/amc-awards-2024 | https://africanmarketingconfederation.org/amc-conference-2024-recap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https://africanmarketingconfederation.org/amc-marketing-conference-2024/amc-programme-2025 | https://africanmarketingconfederation.org/amc-marketing-conference-2024/amc-speakers-presentations-2024 | https://africanmarketingconfederation.org/amc-marketing-conference-2024/testimony-thank-you-page | https://africanmarketingconfederation.org/awards-2026-1 | https://africanmarketingconfederation.org/awards-2026-test | https://africanmarketingconfederation.org/awards-2026 | https://africanmarketingconfederation.org/contact-us | https://africanmarketingconfederation.org/privacy-policy | https://africanmarketingconfederation.org/speakers-2025 || Full list: see Technical/Links/Indexability tabs</t>
  </si>
  <si>
    <t>https://africanmarketingconfederation.org/amc-conference-2023/amc-awards-book-now | https://africanmarketingconfederation.org/amc-conference-sponsors | https://africanmarketingconfederation.org/amc-marketing-conference-2024/speakers-2024 | https://africanmarketingconfederation.org/amc-masterclass-bookings | https://africanmarketingconfederation.org/elementor-20341 || Full list: see Technical/Links/Indexability tabs</t>
  </si>
  <si>
    <t>https://africanmarketingconfederation.org/ | https://africanmarketingconfederation.org/about-us | https://africanmarketingconfederation.org/amc-conference-2022-prospectus | https://africanmarketingconfederation.org/amc-conference-2022 | https://africanmarketingconfederation.org/amc-conference-2023/amc-awards-book-now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https://africanmarketingconfederation.org/amc-conference-2023/speakers | https://africanmarketingconfederation.org/amc-conference-2024-sponsors-packages | https://africanmarketingconfederation.org/amc-conference-2026-awards-nominations-thank-you | https://africanmarketingconfederation.org/amc-conference-2026-zambia-thank-you | https://africanmarketingconfederation.org/amc-forum-payments | https://africanmarketingconfederation.org/amc-launch-event-zambia-thank-you-2026 | https://africanmarketingconfederation.org/amc-marketing-conference-2024/amc-conference-2025-ghana-sponsors | https://africanmarketingconfederation.org/amc-marketing-conference-2024/amc-programme-2025 | https://africanmarketingconfederation.org/amc-marketing-conference-2024/amc-speakers-presentations-2024 | https://africanmarketingconfederation.org/amc-marketing-conference-2024/testimony-thank-you-page | https://africanmarketingconfederation.org/amc-masterclass-bookings | https://africanmarketingconfederation.org/amc-masterclass-thank-you | https://africanmarketingconfederation.org/amc-masterclass | https://africanmarketingconfederation.org/chartered-marketer-africa-final-submission-fee | https://africanmarketingconfederation.org/chartered-marketer-africa-programme-fee || Full list: see Technical/Links/Indexability tabs</t>
  </si>
  <si>
    <t>https://africanmarketingconfederation.org/african-marketing-confederation-tourism-chapter | https://africanmarketingconfederation.org/amc-conference-2024-sponsors-packages | https://africanmarketingconfederation.org/amc-masterclass | https://africanmarketingconfederation.org/amc-sign-up-now-form-2025 | https://africanmarketingconfederation.org/amc-testimony-page-2024 | https://africanmarketingconfederation.org/test-payment-gate | https://africanmarketingconfederation.org/thank-you-for-the-nomination-2024 || Full list: see Technical/Links/Indexability tabs</t>
  </si>
  <si>
    <t>https://africanmarketingconfederation.org/ | https://africanmarketingconfederation.org/amc-conference-2026 | https://africanmarketingconfederation.org/awards-2026-1 | https://africanmarketingconfederation.org/awards-2026 | https://africanmarketingconfederation.org/launch-event-2026-amc-conference || Full list: see Technical/Links/Indexability tabs</t>
  </si>
  <si>
    <t>https://africanmarketingconfederation.org/amc-conference-2025-highlights | https://africanmarketingconfederation.org/amc-conference-2026 || Full list: see Technical/Links/Indexability tabs</t>
  </si>
  <si>
    <t>Top 10 Critical URLs</t>
  </si>
  <si>
    <t>Top Issues by Template</t>
  </si>
  <si>
    <t>/amc-conference-2023/ -&gt; Unmeasured</t>
  </si>
  <si>
    <t>/amc-marketing-conference-2024/ -&gt; Unmeasured</t>
  </si>
  <si>
    <t>/amc-forum-mombasa/ -&gt; Unmeasured</t>
  </si>
  <si>
    <t>/ -&gt; Unmeasured</t>
  </si>
  <si>
    <t>/about-us/ -&gt; Unmeasured</t>
  </si>
  <si>
    <t>/african-marketing-confederation-tourism-chapter/ -&gt; Unmeasured</t>
  </si>
  <si>
    <t>/amc-awards-2024/ -&gt; Unmeasured</t>
  </si>
  <si>
    <t>/amc-conference-2022-prospectus/ -&gt; Unmeasured</t>
  </si>
  <si>
    <t>/amc-conference-2022-thank-you/ -&gt; Unmeasured</t>
  </si>
  <si>
    <t>/amc-conference-2022/ -&gt; Unmeasured</t>
  </si>
  <si>
    <t>/amc-conference-2024-recap/ -&gt; Unmeasured</t>
  </si>
  <si>
    <t>/amc-conference-2024-sponsors-packages/ -&gt; Unmeasured</t>
  </si>
  <si>
    <t>/amc-conference-2025-highlights/ -&gt; Unmeasured</t>
  </si>
  <si>
    <t>/amc-conference-2025/ -&gt; Unmeasured</t>
  </si>
  <si>
    <t>/amc-conference-2026-awards-nominations-thank-you/ -&gt; Unmeasured</t>
  </si>
  <si>
    <t>/amc-conference-2026-zambia-thank-you/ -&gt; Unmeasured</t>
  </si>
  <si>
    <t>/amc-conference-2026/ -&gt; Unmeasured</t>
  </si>
  <si>
    <t>/amc-forum-sponsors/ -&gt; Unmeasured</t>
  </si>
  <si>
    <t>/amc-conference-programme/ -&gt; Unmeasured</t>
  </si>
  <si>
    <t>/amc-conference-thank-you/ -&gt; Unmeasured</t>
  </si>
  <si>
    <t>Source URL</t>
  </si>
  <si>
    <t>Target URL</t>
  </si>
  <si>
    <t>Anchor Text</t>
  </si>
  <si>
    <t>Rel</t>
  </si>
  <si>
    <t>Link Type</t>
  </si>
  <si>
    <t>Nofollow</t>
  </si>
  <si>
    <t>Target Status (if crawled)</t>
  </si>
  <si>
    <t>Crawlable</t>
  </si>
  <si>
    <t>Internal</t>
  </si>
  <si>
    <t>HOME</t>
  </si>
  <si>
    <t>ABOUT US</t>
  </si>
  <si>
    <t>AMC COMMITTEES</t>
  </si>
  <si>
    <t>MEMBERS</t>
  </si>
  <si>
    <t>TOURISM CHAPTER</t>
  </si>
  <si>
    <t>EDUCATION</t>
  </si>
  <si>
    <t>CHARTERED MARKETER (AFRICA)</t>
  </si>
  <si>
    <t>CPM(A)</t>
  </si>
  <si>
    <t>NEWS &amp; PUBLICATIONS</t>
  </si>
  <si>
    <t>NEWS ARTICLES</t>
  </si>
  <si>
    <t>PUBLICATIONS</t>
  </si>
  <si>
    <t>AMC Conference</t>
  </si>
  <si>
    <t>CONTACT US</t>
  </si>
  <si>
    <t>Sign Up for Updates</t>
  </si>
  <si>
    <t>Learn More</t>
  </si>
  <si>
    <t>Read Now</t>
  </si>
  <si>
    <t>Sign Up for Updates Now</t>
  </si>
  <si>
    <t>See all Events</t>
  </si>
  <si>
    <t>See all</t>
  </si>
  <si>
    <t>Read More</t>
  </si>
  <si>
    <t>Subscribe</t>
  </si>
  <si>
    <t>https://africanmarketingconfederation.org/european-marketers-gather-to-choose-their-top-achievers-for-2026</t>
  </si>
  <si>
    <t>European marketers gather to choose their top achievers for 2026</t>
  </si>
  <si>
    <t>Read More »</t>
  </si>
  <si>
    <t>https://africanmarketingconfederation.org/namibia-bets-on-walvis-bay-port-as-increasingly-viable-alternative</t>
  </si>
  <si>
    <t>Namibia bets on Walvis Bay port as increasingly viable alternative</t>
  </si>
  <si>
    <t>https://africanmarketingconfederation.org/chatgpt-ads-in-africa-a-game-changer-or-a-trust-gamble</t>
  </si>
  <si>
    <t>ChatGPT ads in Africa: A game changer or a trust gamble?</t>
  </si>
  <si>
    <t>https://africanmarketingconfederation.org/report-identifies-five-forces-influencing-global-purchasing-decisions</t>
  </si>
  <si>
    <t>Report identifies five forces influencing global purchasing decisions</t>
  </si>
  <si>
    <t>https://africanmarketingconfederation.org/out-now-new-issue-brings-latest-news-and-insights-for-africas-marketers</t>
  </si>
  <si>
    <t>Out now! New issue brings latest news and insights for Africa’s marketers</t>
  </si>
  <si>
    <t>https://africanmarketingconfederation.org/omnicom-media-study-warns-negative-reach-can-undermine-ad-campaigns</t>
  </si>
  <si>
    <t>Omnicom Media study warns ‘negative reach’ can   undermine ad campaigns</t>
  </si>
  <si>
    <t>View all articles »</t>
  </si>
  <si>
    <t>Strategic Marketing for AfricaMagazine</t>
  </si>
  <si>
    <t>https://www.facebook.com/The-African-Marketing-Confederation-108980418182403</t>
  </si>
  <si>
    <t>External</t>
  </si>
  <si>
    <t>https://www.linkedin.com/company/african-marketing-confederation</t>
  </si>
  <si>
    <t>© 2026 by African Marketing Confederation | Privacy Policy</t>
  </si>
  <si>
    <t>https://africanmarketingconfederation.org/amc-conference-2025-delegate-packages</t>
  </si>
  <si>
    <t>Return to Shop</t>
  </si>
  <si>
    <t>Continue Shopping</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</si>
  <si>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</si>
  <si>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</si>
  <si>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</si>
  <si>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</si>
  <si>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</si>
  <si>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</si>
  <si>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</si>
  <si>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http://www.africanmarketingconfederation.org/</t>
  </si>
  <si>
    <t>2025 Conference Highlights</t>
  </si>
  <si>
    <t>GHANA 2025</t>
  </si>
  <si>
    <t>SPEAKERS 2025</t>
  </si>
  <si>
    <t>AMC PROGRAMME 2025</t>
  </si>
  <si>
    <t>AWARDS 2025</t>
  </si>
  <si>
    <t>SPONSORS 2025</t>
  </si>
  <si>
    <t>FAQ 2025</t>
  </si>
  <si>
    <t>https://twitter.com/connect_amc</t>
  </si>
  <si>
    <t>© 2021 by African Marketing Confederation | Privacy Policy</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</si>
  <si>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</si>
  <si>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</si>
  <si>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</si>
  <si>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</si>
  <si>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</si>
  <si>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</si>
  <si>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</si>
  <si>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</si>
  <si>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</si>
  <si>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</si>
  <si>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</si>
  <si>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</si>
  <si>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</si>
  <si>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</si>
  <si>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</si>
  <si>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</si>
  <si>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</si>
  <si>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</si>
  <si>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</si>
  <si>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</si>
  <si>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</si>
  <si>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</si>
  <si>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</si>
  <si>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</si>
  <si>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</si>
  <si>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</si>
  <si>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</si>
  <si>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</si>
  <si>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</si>
  <si>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</si>
  <si>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</si>
  <si>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</si>
  <si>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</si>
  <si>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</si>
  <si>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</si>
  <si>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</si>
  <si>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</si>
  <si>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</si>
  <si>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</si>
  <si>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</si>
  <si>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</si>
  <si>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</si>
  <si>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</si>
  <si>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</si>
  <si>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</si>
  <si>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</si>
  <si>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</si>
  <si>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</si>
  <si>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</si>
  <si>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</si>
  <si>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</si>
  <si>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</si>
  <si>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</si>
  <si>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</si>
  <si>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</si>
  <si>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</si>
  <si>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</si>
  <si>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</si>
  <si>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</si>
  <si>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</si>
  <si>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</si>
  <si>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</si>
  <si>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</si>
  <si>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</si>
  <si>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</si>
  <si>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</si>
  <si>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</si>
  <si>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</si>
  <si>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</si>
  <si>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</si>
  <si>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</si>
  <si>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</si>
  <si>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</si>
  <si>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</si>
  <si>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</si>
  <si>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</si>
  <si>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View Gallery</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</si>
  <si>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</si>
  <si>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</si>
  <si>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</si>
  <si>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</si>
  <si>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</si>
  <si>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</si>
  <si>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</si>
  <si>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</si>
  <si>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</si>
  <si>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</si>
  <si>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</si>
  <si>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</si>
  <si>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</si>
  <si>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AMC Conference 2023</t>
  </si>
  <si>
    <t>Programme</t>
  </si>
  <si>
    <t>Speakers</t>
  </si>
  <si>
    <t>AMC Awards</t>
  </si>
  <si>
    <t>Enquire Now</t>
  </si>
  <si>
    <t>https://africanmarketingconfederation.org/book-now</t>
  </si>
  <si>
    <t>Privacy &amp; POPIA Policy</t>
  </si>
  <si>
    <t>https://africanmarketingconfederation.org/wp-content/uploads/2023/09/AMC-Tikon-9322.jpg</t>
  </si>
  <si>
    <t>https://africanmarketingconfederation.org/wp-content/uploads/2023/09/AMC-Tikon-9334.jpg</t>
  </si>
  <si>
    <t>https://africanmarketingconfederation.org/wp-content/uploads/2023/09/AMC-Tikon-9357.jpg</t>
  </si>
  <si>
    <t>https://africanmarketingconfederation.org/wp-content/uploads/2023/09/AMC-Tikon-9373.jpg</t>
  </si>
  <si>
    <t>https://africanmarketingconfederation.org/wp-content/uploads/2023/09/AMC-Tikon-9379.jpg</t>
  </si>
  <si>
    <t>https://africanmarketingconfederation.org/wp-content/uploads/2023/09/AMC-Tikon-9413.jpg</t>
  </si>
  <si>
    <t>https://africanmarketingconfederation.org/wp-content/uploads/2023/09/AMC-Tikon-9420.jpg</t>
  </si>
  <si>
    <t>https://africanmarketingconfederation.org/wp-content/uploads/2023/09/AMC-Tikon-9424.jpg</t>
  </si>
  <si>
    <t>https://africanmarketingconfederation.org/wp-content/uploads/2023/09/AMC-Tikon-9429.jpg</t>
  </si>
  <si>
    <t>https://africanmarketingconfederation.org/wp-content/uploads/2023/09/AMC-Tikon-9433.jpg</t>
  </si>
  <si>
    <t>https://africanmarketingconfederation.org/wp-content/uploads/2023/09/AMC-Tikon-9439.jpg</t>
  </si>
  <si>
    <t>https://africanmarketingconfederation.org/wp-content/uploads/2023/09/AMC-Tikon-9442.jpg</t>
  </si>
  <si>
    <t>https://africanmarketingconfederation.org/wp-content/uploads/2023/09/AMC-Tikon-9448.jpg</t>
  </si>
  <si>
    <t>https://africanmarketingconfederation.org/wp-content/uploads/2023/09/AMC-Tikon-9453.jpg</t>
  </si>
  <si>
    <t>https://africanmarketingconfederation.org/wp-content/uploads/2023/09/AMC-Tikon-9470.jpg</t>
  </si>
  <si>
    <t>https://africanmarketingconfederation.org/wp-content/uploads/2023/09/AMC-Tikon-9474.jpg</t>
  </si>
  <si>
    <t>https://africanmarketingconfederation.org/wp-content/uploads/2023/09/AMC-Ticon-02850.jpg</t>
  </si>
  <si>
    <t>https://africanmarketingconfederation.org/wp-content/uploads/2023/09/AMC-Ticon-02881.jpg</t>
  </si>
  <si>
    <t>https://africanmarketingconfederation.org/wp-content/uploads/2023/09/AMC-Ticon-02886.jpg</t>
  </si>
  <si>
    <t>https://africanmarketingconfederation.org/wp-content/uploads/2023/09/AMC-Ticon-02900.jpg</t>
  </si>
  <si>
    <t>https://africanmarketingconfederation.org/wp-content/uploads/2023/09/AMC-Ticon-02938.jpg</t>
  </si>
  <si>
    <t>https://africanmarketingconfederation.org/wp-content/uploads/2023/09/AMC-Ticon-02943.jpg</t>
  </si>
  <si>
    <t>https://africanmarketingconfederation.org/wp-content/uploads/2023/09/AMC-Ticon-02950.jpg</t>
  </si>
  <si>
    <t>https://africanmarketingconfederation.org/wp-content/uploads/2023/09/AMC-Ticon-02952.jpg</t>
  </si>
  <si>
    <t>https://africanmarketingconfederation.org/wp-content/uploads/2023/09/AMC-Ticon-9484.jpg</t>
  </si>
  <si>
    <t>https://africanmarketingconfederation.org/wp-content/uploads/2023/09/AMC-Ticon-9507.jpg</t>
  </si>
  <si>
    <t>https://africanmarketingconfederation.org/wp-content/uploads/2023/09/AMC-Ticon-9519.jpg</t>
  </si>
  <si>
    <t>https://africanmarketingconfederation.org/wp-content/uploads/2023/09/AMC-Ticon-9522.jpg</t>
  </si>
  <si>
    <t>https://africanmarketingconfederation.org/wp-content/uploads/2023/09/AMC-Ticon-9530.jpg</t>
  </si>
  <si>
    <t>https://africanmarketingconfederation.org/wp-content/uploads/2023/09/AMC-Ticon-9531.jpg</t>
  </si>
  <si>
    <t>https://africanmarketingconfederation.org/wp-content/uploads/2023/09/AMC-Ticon-9534.jpg</t>
  </si>
  <si>
    <t>https://africanmarketingconfederation.org/wp-content/uploads/2023/09/AMC-Ticon-9580.jpg</t>
  </si>
  <si>
    <t>https://africanmarketingconfederation.org/wp-content/uploads/2023/09/AMC-Ticon-9583.jpg</t>
  </si>
  <si>
    <t>https://africanmarketingconfederation.org/wp-content/uploads/2023/09/AMC-Ticon-9584.jpg</t>
  </si>
  <si>
    <t>https://africanmarketingconfederation.org/wp-content/uploads/2023/09/AMC-Ticon-9587.jpg</t>
  </si>
  <si>
    <t>https://africanmarketingconfederation.org/wp-content/uploads/2023/09/AMC-Ticon-9592.jpg</t>
  </si>
  <si>
    <t>https://africanmarketingconfederation.org/wp-content/uploads/2023/09/AMC-Ticon-9594.jpg</t>
  </si>
  <si>
    <t>https://africanmarketingconfederation.org/wp-content/uploads/2023/09/AMC-Ticon-9603.jpg</t>
  </si>
  <si>
    <t>https://africanmarketingconfederation.org/wp-content/uploads/2023/09/AMC-Ticon-9608.jpg</t>
  </si>
  <si>
    <t>https://africanmarketingconfederation.org/wp-content/uploads/2023/09/AMC-Ticon-9611.jpg</t>
  </si>
  <si>
    <t>https://africanmarketingconfederation.org/wp-content/uploads/2023/09/AMC-Ticon-9612.jpg</t>
  </si>
  <si>
    <t>https://africanmarketingconfederation.org/wp-content/uploads/2023/09/AMC-Ticon-9615.jpg</t>
  </si>
  <si>
    <t>https://africanmarketingconfederation.org/wp-content/uploads/2023/09/AMC-Ticon-9620.jpg</t>
  </si>
  <si>
    <t>https://africanmarketingconfederation.org/wp-content/uploads/2023/09/AMC-Ticon-9626.jpg</t>
  </si>
  <si>
    <t>https://africanmarketingconfederation.org/wp-content/uploads/2023/09/AMC-Ticon-9628.jpg</t>
  </si>
  <si>
    <t>https://africanmarketingconfederation.org/wp-content/uploads/2023/09/AMC-Ticon-9645.jpg</t>
  </si>
  <si>
    <t>https://africanmarketingconfederation.org/wp-content/uploads/2023/09/AMC-Ticon-9652.jpg</t>
  </si>
  <si>
    <t>https://africanmarketingconfederation.org/wp-content/uploads/2023/09/AMC-Ticon-9654.jpg</t>
  </si>
  <si>
    <t>https://africanmarketingconfederation.org/wp-content/uploads/2023/09/AMC-Ticon-9664.jpg</t>
  </si>
  <si>
    <t>https://africanmarketingconfederation.org/wp-content/uploads/2023/09/AMC-Ticon-9665.jpg</t>
  </si>
  <si>
    <t>https://africanmarketingconfederation.org/wp-content/uploads/2023/09/AMC-Ticon-9669.jpg</t>
  </si>
  <si>
    <t>https://africanmarketingconfederation.org/wp-content/uploads/2023/09/AMC-Ticon-9670.jpg</t>
  </si>
  <si>
    <t>https://africanmarketingconfederation.org/wp-content/uploads/2023/09/AMC-Ticon-9672.jpg</t>
  </si>
  <si>
    <t>https://africanmarketingconfederation.org/wp-content/uploads/2023/09/AMC-Ticon-9674.jpg</t>
  </si>
  <si>
    <t>https://africanmarketingconfederation.org/wp-content/uploads/2023/09/AMC-Ticon-9675.jpg</t>
  </si>
  <si>
    <t>https://africanmarketingconfederation.org/wp-content/uploads/2023/09/AMC-Ticon-9681.jpg</t>
  </si>
  <si>
    <t>https://africanmarketingconfederation.org/wp-content/uploads/2023/09/AMC-Ticon-9684.jpg</t>
  </si>
  <si>
    <t>https://africanmarketingconfederation.org/wp-content/uploads/2023/09/AMC-Ticon-9691.jpg</t>
  </si>
  <si>
    <t>https://africanmarketingconfederation.org/wp-content/uploads/2023/09/AMC-Ticon-9695.jpg</t>
  </si>
  <si>
    <t>https://africanmarketingconfederation.org/wp-content/uploads/2023/09/AMC-Ticon-9698.jpg</t>
  </si>
  <si>
    <t>https://africanmarketingconfederation.org/wp-content/uploads/2023/09/AMC-Tikon-08388.jpg</t>
  </si>
  <si>
    <t>https://africanmarketingconfederation.org/wp-content/uploads/2023/09/AMC-Tikon-08391.jpg</t>
  </si>
  <si>
    <t>https://africanmarketingconfederation.org/wp-content/uploads/2023/09/AMC-Tikon-08426.jpg</t>
  </si>
  <si>
    <t>https://africanmarketingconfederation.org/wp-content/uploads/2023/09/AMC-Tikon-08427.jpg</t>
  </si>
  <si>
    <t>https://africanmarketingconfederation.org/wp-content/uploads/2023/09/AMC-Tikon-08473.jpg</t>
  </si>
  <si>
    <t>https://africanmarketingconfederation.org/wp-content/uploads/2023/09/AMC-Tikon-08474.jpg</t>
  </si>
  <si>
    <t>https://africanmarketingconfederation.org/wp-content/uploads/2023/09/AMC-Tikon-08475.jpg</t>
  </si>
  <si>
    <t>https://africanmarketingconfederation.org/wp-content/uploads/2023/09/AMC-Tikon-08483.jpg</t>
  </si>
  <si>
    <t>https://africanmarketingconfederation.org/wp-content/uploads/2023/09/AMC-Tikon-08536.jpg</t>
  </si>
  <si>
    <t>https://africanmarketingconfederation.org/wp-content/uploads/2023/09/AMC-Tikon-08540.jpg</t>
  </si>
  <si>
    <t>https://africanmarketingconfederation.org/wp-content/uploads/2023/09/AMC-Tikon-08556.jpg</t>
  </si>
  <si>
    <t>https://africanmarketingconfederation.org/wp-content/uploads/2023/09/AMC-Tikon-9303.jpg</t>
  </si>
  <si>
    <t>https://africanmarketingconfederation.org/wp-content/uploads/2023/09/AMC-Tikon-9304.jpg</t>
  </si>
  <si>
    <t>https://africanmarketingconfederation.org/wp-content/uploads/2023/09/AMC-Tikon-9306.jpg</t>
  </si>
  <si>
    <t>https://africanmarketingconfederation.org/wp-content/uploads/2023/09/AMC-Tikon-9308.jpg</t>
  </si>
  <si>
    <t>https://africanmarketingconfederation.org/wp-content/uploads/2023/09/AMC-Tikon-9309.jpg</t>
  </si>
  <si>
    <t>https://africanmarketingconfederation.org/wp-content/uploads/2023/09/AMC-Tikon-9316.jpg</t>
  </si>
  <si>
    <t>https://africanmarketingconfederation.org/wp-content/uploads/2023/09/AMC-Tikon-9320.jpg</t>
  </si>
  <si>
    <t>https://africanmarketingconfederation.org/wp-content/uploads/2023/09/AMC-Ticon-09958.jpg</t>
  </si>
  <si>
    <t>https://africanmarketingconfederation.org/wp-content/uploads/2023/09/AMC-Ticon-09960.jpg</t>
  </si>
  <si>
    <t>https://africanmarketingconfederation.org/wp-content/uploads/2023/09/AMC-TICON-9960.jpg</t>
  </si>
  <si>
    <t>https://africanmarketingconfederation.org/wp-content/uploads/2023/09/AMC-Ticon-09961.jpg</t>
  </si>
  <si>
    <t>https://africanmarketingconfederation.org/wp-content/uploads/2023/09/AMC-TICON-9961.jpg</t>
  </si>
  <si>
    <t>https://africanmarketingconfederation.org/wp-content/uploads/2023/09/AMC-Ticon-09962.jpg</t>
  </si>
  <si>
    <t>https://africanmarketingconfederation.org/wp-content/uploads/2023/09/AMC-Ticon-09963.jpg</t>
  </si>
  <si>
    <t>https://africanmarketingconfederation.org/wp-content/uploads/2023/09/AMC-TICON-9963.jpg</t>
  </si>
  <si>
    <t>https://africanmarketingconfederation.org/wp-content/uploads/2023/09/AMC-TICON-9964.jpg</t>
  </si>
  <si>
    <t>https://africanmarketingconfederation.org/wp-content/uploads/2023/09/AMC-Ticon-09965.jpg</t>
  </si>
  <si>
    <t>https://africanmarketingconfederation.org/wp-content/uploads/2023/09/AMC-TICON-9965.jpg</t>
  </si>
  <si>
    <t>https://africanmarketingconfederation.org/wp-content/uploads/2023/09/AMC-Ticon-09968.jpg</t>
  </si>
  <si>
    <t>https://africanmarketingconfederation.org/wp-content/uploads/2023/09/AMC-TICON-9968.jpg</t>
  </si>
  <si>
    <t>https://africanmarketingconfederation.org/wp-content/uploads/2023/09/AMC-TICON-9969.jpg</t>
  </si>
  <si>
    <t>https://africanmarketingconfederation.org/wp-content/uploads/2023/09/AMC-Ticon-09970.jpg</t>
  </si>
  <si>
    <t>https://africanmarketingconfederation.org/wp-content/uploads/2023/09/AMC-TICON-9970.jpg</t>
  </si>
  <si>
    <t>https://africanmarketingconfederation.org/wp-content/uploads/2023/09/AMC-Ticon-09971.jpg</t>
  </si>
  <si>
    <t>https://africanmarketingconfederation.org/wp-content/uploads/2023/09/AMC-Ticon-09973.jpg</t>
  </si>
  <si>
    <t>https://africanmarketingconfederation.org/wp-content/uploads/2023/09/AMC-Ticon-09974.jpg</t>
  </si>
  <si>
    <t>https://africanmarketingconfederation.org/wp-content/uploads/2023/09/AMC-TICON-9977.jpg</t>
  </si>
  <si>
    <t>https://africanmarketingconfederation.org/wp-content/uploads/2023/09/AMC-TICON-9979.jpg</t>
  </si>
  <si>
    <t>https://africanmarketingconfederation.org/wp-content/uploads/2023/09/AMC-TICON-9984.jpg</t>
  </si>
  <si>
    <t>https://africanmarketingconfederation.org/wp-content/uploads/2023/09/AMC-TICON-9999.jpg</t>
  </si>
  <si>
    <t>https://africanmarketingconfederation.org/wp-content/uploads/2023/09/AMC-TICON-2.jpg</t>
  </si>
  <si>
    <t>https://africanmarketingconfederation.org/wp-content/uploads/2023/09/AMC-TICON-2-2.jpg</t>
  </si>
  <si>
    <t>https://africanmarketingconfederation.org/wp-content/uploads/2023/09/AMC-TICON-2-3.jpg</t>
  </si>
  <si>
    <t>https://africanmarketingconfederation.org/wp-content/uploads/2023/09/AMC-TICON-0008.jpg</t>
  </si>
  <si>
    <t>https://africanmarketingconfederation.org/wp-content/uploads/2023/09/AMC-TICON-0013.jpg</t>
  </si>
  <si>
    <t>https://africanmarketingconfederation.org/wp-content/uploads/2023/09/AMC-TICON-0017.jpg</t>
  </si>
  <si>
    <t>https://africanmarketingconfederation.org/wp-content/uploads/2023/09/AMC-TICON-0033.jpg</t>
  </si>
  <si>
    <t>https://africanmarketingconfederation.org/wp-content/uploads/2023/09/AMC-TICON-0034.jpg</t>
  </si>
  <si>
    <t>https://africanmarketingconfederation.org/wp-content/uploads/2023/09/AMC-TICON-0047.jpg</t>
  </si>
  <si>
    <t>https://africanmarketingconfederation.org/wp-content/uploads/2023/09/AMC-TICON-0048.jpg</t>
  </si>
  <si>
    <t>https://africanmarketingconfederation.org/wp-content/uploads/2023/09/AMC-TICON-0050.jpg</t>
  </si>
  <si>
    <t>https://africanmarketingconfederation.org/wp-content/uploads/2023/09/AMC-TICON-0051.jpg</t>
  </si>
  <si>
    <t>https://africanmarketingconfederation.org/wp-content/uploads/2023/09/AMC-TICON-0052.jpg</t>
  </si>
  <si>
    <t>https://africanmarketingconfederation.org/wp-content/uploads/2023/09/AMC-TICON-0060.jpg</t>
  </si>
  <si>
    <t>https://africanmarketingconfederation.org/wp-content/uploads/2023/09/AMC-TICON-0065.jpg</t>
  </si>
  <si>
    <t>https://africanmarketingconfederation.org/wp-content/uploads/2023/09/AMC-TICON-0078.jpg</t>
  </si>
  <si>
    <t>https://africanmarketingconfederation.org/wp-content/uploads/2023/09/AMC-TICON-0136.jpg</t>
  </si>
  <si>
    <t>https://africanmarketingconfederation.org/wp-content/uploads/2023/09/AMC-TICON-0150.jpg</t>
  </si>
  <si>
    <t>https://africanmarketingconfederation.org/wp-content/uploads/2023/09/AMC-TICON-0151.jpg</t>
  </si>
  <si>
    <t>https://africanmarketingconfederation.org/wp-content/uploads/2023/09/AMC-TICON-0152.jpg</t>
  </si>
  <si>
    <t>https://africanmarketingconfederation.org/wp-content/uploads/2023/09/AMC-TICON-0155.jpg</t>
  </si>
  <si>
    <t>https://africanmarketingconfederation.org/wp-content/uploads/2023/09/AMC-TICON-0156.jpg</t>
  </si>
  <si>
    <t>https://africanmarketingconfederation.org/wp-content/uploads/2023/09/AMC-TICON-0174.jpg</t>
  </si>
  <si>
    <t>https://africanmarketingconfederation.org/wp-content/uploads/2023/09/AMC-TICON-0185.jpg</t>
  </si>
  <si>
    <t>https://africanmarketingconfederation.org/wp-content/uploads/2023/09/AMC-TICON-0186.jpg</t>
  </si>
  <si>
    <t>https://africanmarketingconfederation.org/wp-content/uploads/2023/09/AMC-TICON-0201.jpg</t>
  </si>
  <si>
    <t>https://africanmarketingconfederation.org/wp-content/uploads/2023/09/AMC-TICON-0202.jpg</t>
  </si>
  <si>
    <t>https://africanmarketingconfederation.org/wp-content/uploads/2023/09/AMC-TICON-0205.jpg</t>
  </si>
  <si>
    <t>https://africanmarketingconfederation.org/wp-content/uploads/2023/09/AMC-TICON-0206.jpg</t>
  </si>
  <si>
    <t>https://africanmarketingconfederation.org/wp-content/uploads/2023/09/AMC-TICON-0209.jpg</t>
  </si>
  <si>
    <t>https://africanmarketingconfederation.org/wp-content/uploads/2023/09/AMC-TICON-0213.jpg</t>
  </si>
  <si>
    <t>https://africanmarketingconfederation.org/wp-content/uploads/2023/09/AMC-TICON-0218.jpg</t>
  </si>
  <si>
    <t>https://africanmarketingconfederation.org/wp-content/uploads/2023/09/AMC-TICON-9709.jpg</t>
  </si>
  <si>
    <t>https://africanmarketingconfederation.org/wp-content/uploads/2023/09/AMC-TICON-9710.jpg</t>
  </si>
  <si>
    <t>https://africanmarketingconfederation.org/wp-content/uploads/2023/09/AMC-TICON-9716.jpg</t>
  </si>
  <si>
    <t>https://africanmarketingconfederation.org/wp-content/uploads/2023/09/AMC-TICON-9722.jpg</t>
  </si>
  <si>
    <t>https://africanmarketingconfederation.org/wp-content/uploads/2023/09/AMC-TICON-9729.jpg</t>
  </si>
  <si>
    <t>https://africanmarketingconfederation.org/wp-content/uploads/2023/09/AMC-TICON-9730.jpg</t>
  </si>
  <si>
    <t>https://africanmarketingconfederation.org/wp-content/uploads/2023/09/AMC-TICON-9735.jpg</t>
  </si>
  <si>
    <t>https://africanmarketingconfederation.org/wp-content/uploads/2023/09/AMC-TICON-9742.jpg</t>
  </si>
  <si>
    <t>https://africanmarketingconfederation.org/wp-content/uploads/2023/09/AMC-TICON-9743.jpg</t>
  </si>
  <si>
    <t>https://africanmarketingconfederation.org/wp-content/uploads/2023/09/AMC-TICON-9745.jpg</t>
  </si>
  <si>
    <t>https://africanmarketingconfederation.org/wp-content/uploads/2023/09/AMC-TICON-9746.jpg</t>
  </si>
  <si>
    <t>https://africanmarketingconfederation.org/wp-content/uploads/2023/09/AMC-TICON-9749.jpg</t>
  </si>
  <si>
    <t>https://africanmarketingconfederation.org/wp-content/uploads/2023/09/AMC-TICON-9757.jpg</t>
  </si>
  <si>
    <t>https://africanmarketingconfederation.org/wp-content/uploads/2023/09/AMC-TICON-9760.jpg</t>
  </si>
  <si>
    <t>https://africanmarketingconfederation.org/wp-content/uploads/2023/09/AMC-TICON-9768.jpg</t>
  </si>
  <si>
    <t>https://africanmarketingconfederation.org/wp-content/uploads/2023/09/AMC-TICON-9779.jpg</t>
  </si>
  <si>
    <t>https://africanmarketingconfederation.org/wp-content/uploads/2023/09/AMC-TICON-9793.jpg</t>
  </si>
  <si>
    <t>https://africanmarketingconfederation.org/wp-content/uploads/2023/09/AMC-TICON-9794.jpg</t>
  </si>
  <si>
    <t>https://africanmarketingconfederation.org/wp-content/uploads/2023/09/AMC-TICON-9796.jpg</t>
  </si>
  <si>
    <t>https://africanmarketingconfederation.org/wp-content/uploads/2023/09/AMC-TICON-9797.jpg</t>
  </si>
  <si>
    <t>https://africanmarketingconfederation.org/wp-content/uploads/2023/09/AMC-TICON-9801.jpg</t>
  </si>
  <si>
    <t>https://africanmarketingconfederation.org/wp-content/uploads/2023/09/AMC-TICON-9802.jpg</t>
  </si>
  <si>
    <t>https://africanmarketingconfederation.org/wp-content/uploads/2023/09/AMC-TICON-9805.jpg</t>
  </si>
  <si>
    <t>https://africanmarketingconfederation.org/wp-content/uploads/2023/09/AMC-TICON-9806.jpg</t>
  </si>
  <si>
    <t>https://africanmarketingconfederation.org/wp-content/uploads/2023/09/AMC-TICON-9808.jpg</t>
  </si>
  <si>
    <t>https://africanmarketingconfederation.org/wp-content/uploads/2023/09/AMC-TICON-9809.jpg</t>
  </si>
  <si>
    <t>https://africanmarketingconfederation.org/wp-content/uploads/2023/09/AMC-TICON-9819.jpg</t>
  </si>
  <si>
    <t>https://africanmarketingconfederation.org/wp-content/uploads/2023/09/AMC-TICON-9822.jpg</t>
  </si>
  <si>
    <t>https://africanmarketingconfederation.org/wp-content/uploads/2023/09/AMC-TICON-9823.jpg</t>
  </si>
  <si>
    <t>https://africanmarketingconfederation.org/wp-content/uploads/2023/09/AMC-TICON-9825.jpg</t>
  </si>
  <si>
    <t>https://africanmarketingconfederation.org/wp-content/uploads/2023/09/AMC-TICON-9826.jpg</t>
  </si>
  <si>
    <t>https://africanmarketingconfederation.org/wp-content/uploads/2023/09/AMC-TICON-9835.jpg</t>
  </si>
  <si>
    <t>https://africanmarketingconfederation.org/wp-content/uploads/2023/09/AMC-TICON-9838.jpg</t>
  </si>
  <si>
    <t>https://africanmarketingconfederation.org/wp-content/uploads/2023/09/AMC-TICON-9841.jpg</t>
  </si>
  <si>
    <t>https://africanmarketingconfederation.org/wp-content/uploads/2023/09/AMC-TICON-9842.jpg</t>
  </si>
  <si>
    <t>https://africanmarketingconfederation.org/wp-content/uploads/2023/09/AMC-TICON-9843.jpg</t>
  </si>
  <si>
    <t>https://africanmarketingconfederation.org/wp-content/uploads/2023/09/AMC-TICON-9846.jpg</t>
  </si>
  <si>
    <t>https://africanmarketingconfederation.org/wp-content/uploads/2023/09/AMC-TICON-9868.jpg</t>
  </si>
  <si>
    <t>https://africanmarketingconfederation.org/wp-content/uploads/2023/09/AMC-TICON-9871.jpg</t>
  </si>
  <si>
    <t>https://africanmarketingconfederation.org/wp-content/uploads/2023/09/AMC-TICON-9872.jpg</t>
  </si>
  <si>
    <t>https://africanmarketingconfederation.org/wp-content/uploads/2023/09/AMC-TICON-9873.jpg</t>
  </si>
  <si>
    <t>https://africanmarketingconfederation.org/wp-content/uploads/2023/09/AMC-TICON-9883.jpg</t>
  </si>
  <si>
    <t>https://africanmarketingconfederation.org/wp-content/uploads/2023/09/AMC-TICON-9887.jpg</t>
  </si>
  <si>
    <t>https://africanmarketingconfederation.org/wp-content/uploads/2023/09/AMC-TICON-9888.jpg</t>
  </si>
  <si>
    <t>https://africanmarketingconfederation.org/wp-content/uploads/2023/09/AMC-TICON-9890.jpg</t>
  </si>
  <si>
    <t>https://africanmarketingconfederation.org/wp-content/uploads/2023/09/AMC-TICON-9891.jpg</t>
  </si>
  <si>
    <t>https://africanmarketingconfederation.org/wp-content/uploads/2023/09/AMC-TICON-9892.jpg</t>
  </si>
  <si>
    <t>https://africanmarketingconfederation.org/wp-content/uploads/2023/09/AMC-TICON-9898.jpg</t>
  </si>
  <si>
    <t>https://africanmarketingconfederation.org/wp-content/uploads/2023/09/AMC-TICON-9899.jpg</t>
  </si>
  <si>
    <t>https://africanmarketingconfederation.org/wp-content/uploads/2023/09/AMC-TICON-9905.jpg</t>
  </si>
  <si>
    <t>https://africanmarketingconfederation.org/wp-content/uploads/2023/09/AMC-TICON-9910.jpg</t>
  </si>
  <si>
    <t>https://africanmarketingconfederation.org/wp-content/uploads/2023/09/AMC-TICON-9911.jpg</t>
  </si>
  <si>
    <t>https://africanmarketingconfederation.org/wp-content/uploads/2023/09/AMC-TICON-9912.jpg</t>
  </si>
  <si>
    <t>https://africanmarketingconfederation.org/wp-content/uploads/2023/09/AMC-TICON-9913.jpg</t>
  </si>
  <si>
    <t>https://africanmarketingconfederation.org/wp-content/uploads/2023/09/AMC-TICON-9914.jpg</t>
  </si>
  <si>
    <t>https://africanmarketingconfederation.org/wp-content/uploads/2023/09/AMC-TICON-9935.jpg</t>
  </si>
  <si>
    <t>https://africanmarketingconfederation.org/wp-content/uploads/2023/09/AMC-TICON-9941.jpg</t>
  </si>
  <si>
    <t>https://africanmarketingconfederation.org/wp-content/uploads/2023/09/AMC-TICON-9942.jpg</t>
  </si>
  <si>
    <t>https://africanmarketingconfederation.org/wp-content/uploads/2023/09/AMC-TICON-9948.jpg</t>
  </si>
  <si>
    <t>https://africanmarketingconfederation.org/wp-content/uploads/2023/09/AMC-Ticon-09949.jpg</t>
  </si>
  <si>
    <t>https://africanmarketingconfederation.org/wp-content/uploads/2023/09/AMC-Ticon-09950.jpg</t>
  </si>
  <si>
    <t>https://africanmarketingconfederation.org/wp-content/uploads/2023/09/AMC-Ticon-09951.jpg</t>
  </si>
  <si>
    <t>https://africanmarketingconfederation.org/wp-content/uploads/2023/09/AMC-Ticon-09952.jpg</t>
  </si>
  <si>
    <t>https://africanmarketingconfederation.org/wp-content/uploads/2023/09/AMC-Ticon-09954.jpg</t>
  </si>
  <si>
    <t>https://africanmarketingconfederation.org/wp-content/uploads/2023/09/AMC-Ticon-09956.jpg</t>
  </si>
  <si>
    <t>https://africanmarketingconfederation.org/wp-content/uploads/2023/09/AMC-Ticon-09957.jpg</t>
  </si>
  <si>
    <t>https://africanmarketingconfederation.org/wp-content/uploads/2023/09/AMC-Ticon-00497.jpg</t>
  </si>
  <si>
    <t>https://africanmarketingconfederation.org/wp-content/uploads/2023/09/AMC-Ticon-00503.jpg</t>
  </si>
  <si>
    <t>https://africanmarketingconfederation.org/wp-content/uploads/2023/09/AMC-Ticon-00515.jpg</t>
  </si>
  <si>
    <t>https://africanmarketingconfederation.org/wp-content/uploads/2023/09/AMC-Ticon-00520.jpg</t>
  </si>
  <si>
    <t>https://africanmarketingconfederation.org/wp-content/uploads/2023/09/AMC-Ticon-00521.jpg</t>
  </si>
  <si>
    <t>https://africanmarketingconfederation.org/wp-content/uploads/2023/09/AMC-Ticon-00524.jpg</t>
  </si>
  <si>
    <t>https://africanmarketingconfederation.org/wp-content/uploads/2023/09/AMC-Ticon-00526.jpg</t>
  </si>
  <si>
    <t>https://africanmarketingconfederation.org/wp-content/uploads/2023/09/AMC-Ticon-00529.jpg</t>
  </si>
  <si>
    <t>https://africanmarketingconfederation.org/wp-content/uploads/2023/09/AMC-Ticon-00534.jpg</t>
  </si>
  <si>
    <t>https://africanmarketingconfederation.org/wp-content/uploads/2023/09/AMC-Ticon-00536.jpg</t>
  </si>
  <si>
    <t>https://africanmarketingconfederation.org/wp-content/uploads/2023/09/AMC-Ticon-00576.jpg</t>
  </si>
  <si>
    <t>https://africanmarketingconfederation.org/wp-content/uploads/2023/09/AMC-Ticon-00588.jpg</t>
  </si>
  <si>
    <t>https://africanmarketingconfederation.org/wp-content/uploads/2023/09/AMC-Ticon-00589.jpg</t>
  </si>
  <si>
    <t>https://africanmarketingconfederation.org/wp-content/uploads/2023/09/AMC-Ticon-00590.jpg</t>
  </si>
  <si>
    <t>https://africanmarketingconfederation.org/wp-content/uploads/2023/09/AMC-Ticon-00592.jpg</t>
  </si>
  <si>
    <t>https://africanmarketingconfederation.org/wp-content/uploads/2023/09/AMC-Ticon-00593.jpg</t>
  </si>
  <si>
    <t>https://africanmarketingconfederation.org/wp-content/uploads/2023/09/AMC-Ticon-00594.jpg</t>
  </si>
  <si>
    <t>https://africanmarketingconfederation.org/wp-content/uploads/2023/09/AMC-Ticon-00602.jpg</t>
  </si>
  <si>
    <t>https://africanmarketingconfederation.org/wp-content/uploads/2023/09/AMC-Ticon-00605.jpg</t>
  </si>
  <si>
    <t>https://africanmarketingconfederation.org/wp-content/uploads/2023/09/AMC-Ticon-00608.jpg</t>
  </si>
  <si>
    <t>https://africanmarketingconfederation.org/wp-content/uploads/2023/09/AMC-Ticon-00642.jpg</t>
  </si>
  <si>
    <t>https://africanmarketingconfederation.org/wp-content/uploads/2023/09/AMC-Ticon-00646.jpg</t>
  </si>
  <si>
    <t>https://africanmarketingconfederation.org/wp-content/uploads/2023/09/AMC-Ticon-00648.jpg</t>
  </si>
  <si>
    <t>https://africanmarketingconfederation.org/wp-content/uploads/2023/09/AMC-Ticon-00654.jpg</t>
  </si>
  <si>
    <t>https://africanmarketingconfederation.org/wp-content/uploads/2023/09/AMC-Ticon-00655.jpg</t>
  </si>
  <si>
    <t>https://africanmarketingconfederation.org/wp-content/uploads/2023/09/AMC-Ticon-00659.jpg</t>
  </si>
  <si>
    <t>https://africanmarketingconfederation.org/wp-content/uploads/2023/09/AMC-Ticon-00664.jpg</t>
  </si>
  <si>
    <t>https://africanmarketingconfederation.org/wp-content/uploads/2023/09/AMC-Ticon-00677.jpg</t>
  </si>
  <si>
    <t>https://africanmarketingconfederation.org/wp-content/uploads/2023/09/AMC-Ticon-00681.jpg</t>
  </si>
  <si>
    <t>https://africanmarketingconfederation.org/wp-content/uploads/2023/09/AMC-Ticon-00683.jpg</t>
  </si>
  <si>
    <t>https://africanmarketingconfederation.org/wp-content/uploads/2023/09/AMC-Ticon-00685.jpg</t>
  </si>
  <si>
    <t>https://africanmarketingconfederation.org/wp-content/uploads/2023/09/AMC-Ticon-00687.jpg</t>
  </si>
  <si>
    <t>https://africanmarketingconfederation.org/wp-content/uploads/2023/09/AMC-Ticon-00689.jpg</t>
  </si>
  <si>
    <t>https://africanmarketingconfederation.org/wp-content/uploads/2023/09/AMC-Ticon-00690.jpg</t>
  </si>
  <si>
    <t>https://africanmarketingconfederation.org/wp-content/uploads/2023/09/AMC-Ticon-00716.jpg</t>
  </si>
  <si>
    <t>https://africanmarketingconfederation.org/wp-content/uploads/2023/09/AMC-Ticon-00721.jpg</t>
  </si>
  <si>
    <t>https://africanmarketingconfederation.org/wp-content/uploads/2023/09/AMC-Ticon-00725.jpg</t>
  </si>
  <si>
    <t>https://africanmarketingconfederation.org/wp-content/uploads/2023/09/AMC-Ticon-00733.jpg</t>
  </si>
  <si>
    <t>https://africanmarketingconfederation.org/wp-content/uploads/2023/09/AMC-TICON-0794.jpg</t>
  </si>
  <si>
    <t>https://africanmarketingconfederation.org/wp-content/uploads/2023/09/AMC-TICON-0795.jpg</t>
  </si>
  <si>
    <t>https://africanmarketingconfederation.org/wp-content/uploads/2023/09/AMC-TICON-0801.jpg</t>
  </si>
  <si>
    <t>https://africanmarketingconfederation.org/wp-content/uploads/2023/09/AMC-TICON-0803.jpg</t>
  </si>
  <si>
    <t>https://africanmarketingconfederation.org/wp-content/uploads/2023/09/AMC-TICON-0804.jpg</t>
  </si>
  <si>
    <t>https://africanmarketingconfederation.org/wp-content/uploads/2023/09/AMC-TICON-0806.jpg</t>
  </si>
  <si>
    <t>https://africanmarketingconfederation.org/wp-content/uploads/2023/09/AMC-TICON-0808.jpg</t>
  </si>
  <si>
    <t>https://africanmarketingconfederation.org/wp-content/uploads/2023/09/AMC-TICON-0812.jpg</t>
  </si>
  <si>
    <t>https://africanmarketingconfederation.org/wp-content/uploads/2023/09/AMC-TICON-0818.jpg</t>
  </si>
  <si>
    <t>https://africanmarketingconfederation.org/wp-content/uploads/2023/09/AMC-TICON-0819.jpg</t>
  </si>
  <si>
    <t>https://africanmarketingconfederation.org/wp-content/uploads/2023/09/AMC-TICON-0821.jpg</t>
  </si>
  <si>
    <t>https://africanmarketingconfederation.org/wp-content/uploads/2023/09/AMC-TICON-0822.jpg</t>
  </si>
  <si>
    <t>https://africanmarketingconfederation.org/wp-content/uploads/2023/09/AMC-TICON-0825.jpg</t>
  </si>
  <si>
    <t>https://africanmarketingconfederation.org/wp-content/uploads/2023/09/AMC-TICON-0827.jpg</t>
  </si>
  <si>
    <t>https://africanmarketingconfederation.org/wp-content/uploads/2023/09/AMC-TICON-0840.jpg</t>
  </si>
  <si>
    <t>https://africanmarketingconfederation.org/wp-content/uploads/2023/09/AMC-TICON-0842.jpg</t>
  </si>
  <si>
    <t>https://africanmarketingconfederation.org/wp-content/uploads/2023/09/AMC-TICON-0843.jpg</t>
  </si>
  <si>
    <t>https://africanmarketingconfederation.org/wp-content/uploads/2023/09/AMC-TICON-0844.jpg</t>
  </si>
  <si>
    <t>https://africanmarketingconfederation.org/wp-content/uploads/2023/09/AMC-TICON-0845.jpg</t>
  </si>
  <si>
    <t>https://africanmarketingconfederation.org/wp-content/uploads/2023/09/AMC-TICON-0850.jpg</t>
  </si>
  <si>
    <t>https://africanmarketingconfederation.org/wp-content/uploads/2023/09/AMC-TICON-0855.jpg</t>
  </si>
  <si>
    <t>https://africanmarketingconfederation.org/wp-content/uploads/2023/09/AMC-TICON-0857.jpg</t>
  </si>
  <si>
    <t>https://africanmarketingconfederation.org/wp-content/uploads/2023/09/AMC-TICON-0865.jpg</t>
  </si>
  <si>
    <t>https://africanmarketingconfederation.org/wp-content/uploads/2023/09/AMC-TICON-0874.jpg</t>
  </si>
  <si>
    <t>https://africanmarketingconfederation.org/wp-content/uploads/2023/09/AMC-TICON-0880.jpg</t>
  </si>
  <si>
    <t>https://africanmarketingconfederation.org/wp-content/uploads/2023/09/AMC-TICON-0881.jpg</t>
  </si>
  <si>
    <t>https://africanmarketingconfederation.org/wp-content/uploads/2023/09/AMC-TICON-0884.jpg</t>
  </si>
  <si>
    <t>https://africanmarketingconfederation.org/wp-content/uploads/2023/09/AMC-TICON-0886.jpg</t>
  </si>
  <si>
    <t>https://africanmarketingconfederation.org/wp-content/uploads/2023/09/AMC-TICON-0892.jpg</t>
  </si>
  <si>
    <t>https://africanmarketingconfederation.org/wp-content/uploads/2023/09/AMC-TICON-0899.jpg</t>
  </si>
  <si>
    <t>https://africanmarketingconfederation.org/wp-content/uploads/2023/09/AMC-TICON-0900.jpg</t>
  </si>
  <si>
    <t>https://africanmarketingconfederation.org/wp-content/uploads/2023/09/AMC-TICON-1107.jpg</t>
  </si>
  <si>
    <t>https://africanmarketingconfederation.org/wp-content/uploads/2023/09/AMC-TICON-1114.jpg</t>
  </si>
  <si>
    <t>https://africanmarketingconfederation.org/wp-content/uploads/2023/09/AMC-TICON-1118.jpg</t>
  </si>
  <si>
    <t>https://africanmarketingconfederation.org/wp-content/uploads/2023/09/AMC-TICON-1121.jpg</t>
  </si>
  <si>
    <t>https://africanmarketingconfederation.org/wp-content/uploads/2023/09/AMC-Ticon-01122.jpg</t>
  </si>
  <si>
    <t>https://africanmarketingconfederation.org/wp-content/uploads/2023/09/AMC-Ticon-01123.jpg</t>
  </si>
  <si>
    <t>https://africanmarketingconfederation.org/wp-content/uploads/2023/09/AMC-Ticon-01127.jpg</t>
  </si>
  <si>
    <t>https://africanmarketingconfederation.org/wp-content/uploads/2023/09/AMC-TICON-1128.jpg</t>
  </si>
  <si>
    <t>https://africanmarketingconfederation.org/wp-content/uploads/2023/09/AMC-TICON-1131.jpg</t>
  </si>
  <si>
    <t>https://africanmarketingconfederation.org/wp-content/uploads/2023/09/AMC-TICON-1132.jpg</t>
  </si>
  <si>
    <t>https://africanmarketingconfederation.org/wp-content/uploads/2023/09/AMC-TICON-1133.jpg</t>
  </si>
  <si>
    <t>https://africanmarketingconfederation.org/wp-content/uploads/2023/09/AMC-TICON-1136.jpg</t>
  </si>
  <si>
    <t>https://africanmarketingconfederation.org/wp-content/uploads/2023/09/AMC-TICON-1137.jpg</t>
  </si>
  <si>
    <t>https://africanmarketingconfederation.org/wp-content/uploads/2023/09/AMC-TICON-1138.jpg</t>
  </si>
  <si>
    <t>https://africanmarketingconfederation.org/wp-content/uploads/2023/09/AMC-TICON-1152.jpg</t>
  </si>
  <si>
    <t>https://africanmarketingconfederation.org/wp-content/uploads/2023/09/AMC-TICON-1153.jpg</t>
  </si>
  <si>
    <t>https://africanmarketingconfederation.org/wp-content/uploads/2023/09/AMC-TICON-1154.jpg</t>
  </si>
  <si>
    <t>https://africanmarketingconfederation.org/wp-content/uploads/2023/09/AMC-TICON-1156.jpg</t>
  </si>
  <si>
    <t>https://africanmarketingconfederation.org/wp-content/uploads/2023/09/AMC-TICON-1161.jpg</t>
  </si>
  <si>
    <t>https://africanmarketingconfederation.org/wp-content/uploads/2023/09/AMC-TICON-1164.jpg</t>
  </si>
  <si>
    <t>https://africanmarketingconfederation.org/wp-content/uploads/2023/09/AMC-TICON-1166.jpg</t>
  </si>
  <si>
    <t>https://africanmarketingconfederation.org/wp-content/uploads/2023/09/AMC-TICON-1174.jpg</t>
  </si>
  <si>
    <t>https://africanmarketingconfederation.org/wp-content/uploads/2023/09/AMC-TICON-1177.jpg</t>
  </si>
  <si>
    <t>https://africanmarketingconfederation.org/wp-content/uploads/2023/09/AMC-TICON-1179.jpg</t>
  </si>
  <si>
    <t>https://africanmarketingconfederation.org/wp-content/uploads/2023/09/AMC-TICON-1180.jpg</t>
  </si>
  <si>
    <t>https://africanmarketingconfederation.org/wp-content/uploads/2023/09/AMC-TICON-1180-2.jpg</t>
  </si>
  <si>
    <t>https://africanmarketingconfederation.org/wp-content/uploads/2023/09/AMC-TICON-1181.jpg</t>
  </si>
  <si>
    <t>https://africanmarketingconfederation.org/wp-content/uploads/2023/09/AMC-TICON-1187.jpg</t>
  </si>
  <si>
    <t>https://africanmarketingconfederation.org/wp-content/uploads/2023/09/AMC-Ticon-02850-1.jpg</t>
  </si>
  <si>
    <t>https://africanmarketingconfederation.org/wp-content/uploads/2023/09/AMC-Ticon-02881-1.jpg</t>
  </si>
  <si>
    <t>https://africanmarketingconfederation.org/wp-content/uploads/2023/09/AMC-Ticon-02886-1.jpg</t>
  </si>
  <si>
    <t>https://africanmarketingconfederation.org/wp-content/uploads/2023/09/AMC-Ticon-02900-1.jpg</t>
  </si>
  <si>
    <t>https://africanmarketingconfederation.org/wp-content/uploads/2023/09/AMC-Ticon-02938-1.jpg</t>
  </si>
  <si>
    <t>https://africanmarketingconfederation.org/wp-content/uploads/2023/09/AMC-Ticon-02943-1.jpg</t>
  </si>
  <si>
    <t>https://africanmarketingconfederation.org/wp-content/uploads/2023/09/AMC-Ticon-02952-1.jpg</t>
  </si>
  <si>
    <t>https://africanmarketingconfederation.org/wp-content/uploads/2023/09/AMC-Ticon-03021.jpg</t>
  </si>
  <si>
    <t>https://africanmarketingconfederation.org/wp-content/uploads/2023/09/AMC-Ticon-03023.jpg</t>
  </si>
  <si>
    <t>https://africanmarketingconfederation.org/wp-content/uploads/2023/09/AMC-Ticon-03025.jpg</t>
  </si>
  <si>
    <t>https://africanmarketingconfederation.org/wp-content/uploads/2023/09/AMC-Ticon-03029.jpg</t>
  </si>
  <si>
    <t>https://africanmarketingconfederation.org/wp-content/uploads/2023/09/AMC-Ticon-03033.jpg</t>
  </si>
  <si>
    <t>https://africanmarketingconfederation.org/wp-content/uploads/2023/09/AMC-Ticon-03034.jpg</t>
  </si>
  <si>
    <t>https://africanmarketingconfederation.org/wp-content/uploads/2023/09/AMC-Ticon-03040.jpg</t>
  </si>
  <si>
    <t>https://africanmarketingconfederation.org/wp-content/uploads/2023/09/AMC-Ticon-03042.jpg</t>
  </si>
  <si>
    <t>https://africanmarketingconfederation.org/wp-content/uploads/2023/09/AMC-Ticon-03045.jpg</t>
  </si>
  <si>
    <t>https://africanmarketingconfederation.org/wp-content/uploads/2023/09/AMC-Ticon-03051.jpg</t>
  </si>
  <si>
    <t>https://africanmarketingconfederation.org/wp-content/uploads/2023/09/AMC-Ticon-03052.jpg</t>
  </si>
  <si>
    <t>https://africanmarketingconfederation.org/wp-content/uploads/2023/09/AMC-Ticon-03056.jpg</t>
  </si>
  <si>
    <t>https://africanmarketingconfederation.org/wp-content/uploads/2023/09/AMC-Ticon-03058.jpg</t>
  </si>
  <si>
    <t>https://africanmarketingconfederation.org/wp-content/uploads/2023/09/AMC-Ticon-03061.jpg</t>
  </si>
  <si>
    <t>https://africanmarketingconfederation.org/wp-content/uploads/2023/09/AMC-Ticon-03065.jpg</t>
  </si>
  <si>
    <t>https://africanmarketingconfederation.org/wp-content/uploads/2023/09/AMC-Ticon-03069.jpg</t>
  </si>
  <si>
    <t>https://africanmarketingconfederation.org/wp-content/uploads/2023/09/AMC-Ticon-03072.jpg</t>
  </si>
  <si>
    <t>https://africanmarketingconfederation.org/wp-content/uploads/2023/09/AMC-Ticon-03076.jpg</t>
  </si>
  <si>
    <t>https://africanmarketingconfederation.org/wp-content/uploads/2023/09/AMC-Ticon-03080.jpg</t>
  </si>
  <si>
    <t>https://africanmarketingconfederation.org/wp-content/uploads/2023/09/AMC-Ticon-03081.jpg</t>
  </si>
  <si>
    <t>https://africanmarketingconfederation.org/wp-content/uploads/2023/09/AMC-Ticon-03086.jpg</t>
  </si>
  <si>
    <t>https://africanmarketingconfederation.org/wp-content/uploads/2023/09/AMC-Ticon-03087.jpg</t>
  </si>
  <si>
    <t>https://africanmarketingconfederation.org/wp-content/uploads/2023/09/AMC-Ticon-03089.jpg</t>
  </si>
  <si>
    <t>https://africanmarketingconfederation.org/wp-content/uploads/2023/09/AMC-Ticon-03090.jpg</t>
  </si>
  <si>
    <t>https://africanmarketingconfederation.org/wp-content/uploads/2023/09/AMC-Ticon-03092.jpg</t>
  </si>
  <si>
    <t>https://africanmarketingconfederation.org/wp-content/uploads/2023/09/AMC-Ticon-03093.jpg</t>
  </si>
  <si>
    <t>https://africanmarketingconfederation.org/wp-content/uploads/2023/09/AMC-Ticon-03095.jpg</t>
  </si>
  <si>
    <t>https://africanmarketingconfederation.org/wp-content/uploads/2023/09/AMC-Ticon-03099.jpg</t>
  </si>
  <si>
    <t>https://africanmarketingconfederation.org/wp-content/uploads/2023/09/AMC-Ticon-03102.jpg</t>
  </si>
  <si>
    <t>https://africanmarketingconfederation.org/wp-content/uploads/2023/09/AMC-Ticon-03103.jpg</t>
  </si>
  <si>
    <t>https://africanmarketingconfederation.org/wp-content/uploads/2023/09/AMC-Ticon-03107.jpg</t>
  </si>
  <si>
    <t>https://africanmarketingconfederation.org/wp-content/uploads/2023/09/AMC-Ticon-03110.jpg</t>
  </si>
  <si>
    <t>https://africanmarketingconfederation.org/wp-content/uploads/2023/09/AMC-Ticon-03113.jpg</t>
  </si>
  <si>
    <t>https://africanmarketingconfederation.org/wp-content/uploads/2023/09/AMC-Ticon-03120.jpg</t>
  </si>
  <si>
    <t>https://africanmarketingconfederation.org/wp-content/uploads/2023/09/AMC-Ticon-03121.jpg</t>
  </si>
  <si>
    <t>https://africanmarketingconfederation.org/wp-content/uploads/2023/09/AMC-Ticon-03122.jpg</t>
  </si>
  <si>
    <t>https://africanmarketingconfederation.org/wp-content/uploads/2023/09/AMC-Ticon-03126.jpg</t>
  </si>
  <si>
    <t>https://africanmarketingconfederation.org/wp-content/uploads/2023/09/AMC-Ticon-00488.jpg</t>
  </si>
  <si>
    <t>https://africanmarketingconfederation.org/wp-content/uploads/2023/09/AMC-Ticon-09795.jpg</t>
  </si>
  <si>
    <t>https://africanmarketingconfederation.org/wp-content/uploads/2023/09/AMC-Ticon-09800.jpg</t>
  </si>
  <si>
    <t>https://africanmarketingconfederation.org/wp-content/uploads/2023/09/AMC-Ticon-09801.jpg</t>
  </si>
  <si>
    <t>https://africanmarketingconfederation.org/wp-content/uploads/2023/09/AMC-Ticon-09806.jpg</t>
  </si>
  <si>
    <t>https://africanmarketingconfederation.org/wp-content/uploads/2023/09/AMC-Ticon-09812.jpg</t>
  </si>
  <si>
    <t>https://africanmarketingconfederation.org/wp-content/uploads/2023/09/AMC-Ticon-09815.jpg</t>
  </si>
  <si>
    <t>https://africanmarketingconfederation.org/wp-content/uploads/2023/09/AMC-Ticon-09816.jpg</t>
  </si>
  <si>
    <t>https://africanmarketingconfederation.org/wp-content/uploads/2023/09/AMC-Ticon-09817.jpg</t>
  </si>
  <si>
    <t>https://africanmarketingconfederation.org/wp-content/uploads/2023/09/AMC-Ticon-09818.jpg</t>
  </si>
  <si>
    <t>https://africanmarketingconfederation.org/wp-content/uploads/2023/09/AMC-Ticon-09821.jpg</t>
  </si>
  <si>
    <t>https://africanmarketingconfederation.org/wp-content/uploads/2023/09/AMC-Ticon-09822.jpg</t>
  </si>
  <si>
    <t>https://africanmarketingconfederation.org/wp-content/uploads/2023/09/AMC-Ticon-09824.jpg</t>
  </si>
  <si>
    <t>https://africanmarketingconfederation.org/wp-content/uploads/2023/09/AMC-Ticon-09828.jpg</t>
  </si>
  <si>
    <t>https://africanmarketingconfederation.org/wp-content/uploads/2023/09/AMC-Ticon-09829.jpg</t>
  </si>
  <si>
    <t>https://africanmarketingconfederation.org/wp-content/uploads/2023/09/AMC-Ticon-09833.jpg</t>
  </si>
  <si>
    <t>https://africanmarketingconfederation.org/wp-content/uploads/2023/09/AMC-Ticon-09835.jpg</t>
  </si>
  <si>
    <t>https://africanmarketingconfederation.org/wp-content/uploads/2023/09/AMC-Ticon-09838.jpg</t>
  </si>
  <si>
    <t>https://africanmarketingconfederation.org/wp-content/uploads/2023/09/AMC-Ticon-09845.jpg</t>
  </si>
  <si>
    <t>https://africanmarketingconfederation.org/wp-content/uploads/2023/09/AMC-Ticon-09857.jpg</t>
  </si>
  <si>
    <t>https://africanmarketingconfederation.org/wp-content/uploads/2023/09/AMC-Ticon-09859.jpg</t>
  </si>
  <si>
    <t>https://africanmarketingconfederation.org/wp-content/uploads/2023/09/AMC-Ticon-09863.jpg</t>
  </si>
  <si>
    <t>https://africanmarketingconfederation.org/wp-content/uploads/2023/09/AMC-Ticon-09867.jpg</t>
  </si>
  <si>
    <t>https://africanmarketingconfederation.org/wp-content/uploads/2023/09/AMC-Ticon-09868.jpg</t>
  </si>
  <si>
    <t>https://africanmarketingconfederation.org/wp-content/uploads/2023/09/AMC-Ticon-09869.jpg</t>
  </si>
  <si>
    <t>https://africanmarketingconfederation.org/wp-content/uploads/2023/09/AMC-Ticon-09874.jpg</t>
  </si>
  <si>
    <t>https://africanmarketingconfederation.org/wp-content/uploads/2023/09/AMC-Ticon-09876.jpg</t>
  </si>
  <si>
    <t>https://africanmarketingconfederation.org/wp-content/uploads/2023/09/AMC-Ticon-09879.jpg</t>
  </si>
  <si>
    <t>https://africanmarketingconfederation.org/wp-content/uploads/2023/09/AMC-Ticon-09881.jpg</t>
  </si>
  <si>
    <t>https://africanmarketingconfederation.org/wp-content/uploads/2023/09/AMC-Ticon-09882.jpg</t>
  </si>
  <si>
    <t>https://africanmarketingconfederation.org/wp-content/uploads/2023/09/AMC-Ticon-00222.jpg</t>
  </si>
  <si>
    <t>https://africanmarketingconfederation.org/wp-content/uploads/2023/09/AMC-Ticon-00223.jpg</t>
  </si>
  <si>
    <t>https://africanmarketingconfederation.org/wp-content/uploads/2023/09/AMC-Ticon-00226.jpg</t>
  </si>
  <si>
    <t>https://africanmarketingconfederation.org/wp-content/uploads/2023/09/AMC-Ticon-00228.jpg</t>
  </si>
  <si>
    <t>https://africanmarketingconfederation.org/wp-content/uploads/2023/09/AMC-Ticon-00236.jpg</t>
  </si>
  <si>
    <t>https://africanmarketingconfederation.org/wp-content/uploads/2023/09/AMC-Ticon-00237.jpg</t>
  </si>
  <si>
    <t>https://africanmarketingconfederation.org/wp-content/uploads/2023/09/AMC-Ticon-00239.jpg</t>
  </si>
  <si>
    <t>https://africanmarketingconfederation.org/wp-content/uploads/2023/09/AMC-Ticon-00242.jpg</t>
  </si>
  <si>
    <t>https://africanmarketingconfederation.org/wp-content/uploads/2023/09/AMC-Ticon-00243.jpg</t>
  </si>
  <si>
    <t>https://africanmarketingconfederation.org/wp-content/uploads/2023/09/AMC-Ticon-00250.jpg</t>
  </si>
  <si>
    <t>https://africanmarketingconfederation.org/wp-content/uploads/2023/09/AMC-Ticon-00252.jpg</t>
  </si>
  <si>
    <t>https://africanmarketingconfederation.org/wp-content/uploads/2023/09/AMC-Ticon-00269.jpg</t>
  </si>
  <si>
    <t>https://africanmarketingconfederation.org/wp-content/uploads/2023/09/AMC-Ticon-00273.jpg</t>
  </si>
  <si>
    <t>https://africanmarketingconfederation.org/wp-content/uploads/2023/09/AMC-Ticon-00274.jpg</t>
  </si>
  <si>
    <t>https://africanmarketingconfederation.org/wp-content/uploads/2023/09/AMC-Ticon-00279.jpg</t>
  </si>
  <si>
    <t>https://africanmarketingconfederation.org/wp-content/uploads/2023/09/AMC-Ticon-00280.jpg</t>
  </si>
  <si>
    <t>https://africanmarketingconfederation.org/wp-content/uploads/2023/09/AMC-Ticon-00284.jpg</t>
  </si>
  <si>
    <t>https://africanmarketingconfederation.org/wp-content/uploads/2023/09/AMC-Ticon-00287.jpg</t>
  </si>
  <si>
    <t>https://africanmarketingconfederation.org/wp-content/uploads/2023/09/AMC-Ticon-00291.jpg</t>
  </si>
  <si>
    <t>https://africanmarketingconfederation.org/wp-content/uploads/2023/09/AMC-Ticon-00292.jpg</t>
  </si>
  <si>
    <t>https://africanmarketingconfederation.org/wp-content/uploads/2023/09/AMC-Ticon-00293.jpg</t>
  </si>
  <si>
    <t>https://africanmarketingconfederation.org/wp-content/uploads/2023/09/AMC-Ticon-00296.jpg</t>
  </si>
  <si>
    <t>https://africanmarketingconfederation.org/wp-content/uploads/2023/09/AMC-Ticon-00299.jpg</t>
  </si>
  <si>
    <t>https://africanmarketingconfederation.org/wp-content/uploads/2023/09/AMC-Ticon-00301.jpg</t>
  </si>
  <si>
    <t>https://africanmarketingconfederation.org/wp-content/uploads/2023/09/AMC-Ticon-00302.jpg</t>
  </si>
  <si>
    <t>https://africanmarketingconfederation.org/wp-content/uploads/2023/09/AMC-Ticon-00303.jpg</t>
  </si>
  <si>
    <t>https://africanmarketingconfederation.org/wp-content/uploads/2023/09/AMC-Ticon-00307.jpg</t>
  </si>
  <si>
    <t>https://africanmarketingconfederation.org/wp-content/uploads/2023/09/AMC-Ticon-00309.jpg</t>
  </si>
  <si>
    <t>https://africanmarketingconfederation.org/wp-content/uploads/2023/09/AMC-Ticon-00310.jpg</t>
  </si>
  <si>
    <t>https://africanmarketingconfederation.org/wp-content/uploads/2023/09/AMC-Ticon-00312.jpg</t>
  </si>
  <si>
    <t>https://africanmarketingconfederation.org/wp-content/uploads/2023/09/AMC-Ticon-00313.jpg</t>
  </si>
  <si>
    <t>https://africanmarketingconfederation.org/wp-content/uploads/2023/09/AMC-Ticon-00314.jpg</t>
  </si>
  <si>
    <t>https://africanmarketingconfederation.org/wp-content/uploads/2023/09/AMC-Ticon-00319.jpg</t>
  </si>
  <si>
    <t>https://africanmarketingconfederation.org/wp-content/uploads/2023/09/AMC-Ticon-00320.jpg</t>
  </si>
  <si>
    <t>https://africanmarketingconfederation.org/wp-content/uploads/2023/09/AMC-Ticon-00321.jpg</t>
  </si>
  <si>
    <t>https://africanmarketingconfederation.org/wp-content/uploads/2023/09/AMC-Ticon-00324.jpg</t>
  </si>
  <si>
    <t>https://africanmarketingconfederation.org/wp-content/uploads/2023/09/AMC-Ticon-00326.jpg</t>
  </si>
  <si>
    <t>https://africanmarketingconfederation.org/wp-content/uploads/2023/09/AMC-Ticon-00327.jpg</t>
  </si>
  <si>
    <t>https://africanmarketingconfederation.org/wp-content/uploads/2023/09/AMC-Ticon-00329.jpg</t>
  </si>
  <si>
    <t>https://africanmarketingconfederation.org/wp-content/uploads/2023/09/AMC-Ticon-00330.jpg</t>
  </si>
  <si>
    <t>https://africanmarketingconfederation.org/wp-content/uploads/2023/09/AMC-Ticon-00332.jpg</t>
  </si>
  <si>
    <t>https://africanmarketingconfederation.org/wp-content/uploads/2023/09/AMC-Ticon-00334.jpg</t>
  </si>
  <si>
    <t>https://africanmarketingconfederation.org/wp-content/uploads/2023/09/AMC-Ticon-00335.jpg</t>
  </si>
  <si>
    <t>https://africanmarketingconfederation.org/wp-content/uploads/2023/09/AMC-Ticon-00337.jpg</t>
  </si>
  <si>
    <t>https://africanmarketingconfederation.org/wp-content/uploads/2023/09/AMC-Ticon-00338.jpg</t>
  </si>
  <si>
    <t>https://africanmarketingconfederation.org/wp-content/uploads/2023/09/AMC-Ticon-00340.jpg</t>
  </si>
  <si>
    <t>https://africanmarketingconfederation.org/wp-content/uploads/2023/09/AMC-Ticon-00341.jpg</t>
  </si>
  <si>
    <t>https://africanmarketingconfederation.org/wp-content/uploads/2023/09/AMC-Ticon-00348.jpg</t>
  </si>
  <si>
    <t>https://africanmarketingconfederation.org/wp-content/uploads/2023/09/AMC-Ticon-00350.jpg</t>
  </si>
  <si>
    <t>https://africanmarketingconfederation.org/wp-content/uploads/2023/09/AMC-Ticon-00351.jpg</t>
  </si>
  <si>
    <t>https://africanmarketingconfederation.org/wp-content/uploads/2023/09/AMC-Ticon-00352.jpg</t>
  </si>
  <si>
    <t>https://africanmarketingconfederation.org/wp-content/uploads/2023/09/AMC-Ticon-00354.jpg</t>
  </si>
  <si>
    <t>https://africanmarketingconfederation.org/wp-content/uploads/2023/09/AMC-Ticon-00355.jpg</t>
  </si>
  <si>
    <t>https://africanmarketingconfederation.org/wp-content/uploads/2023/09/AMC-Ticon-00357.jpg</t>
  </si>
  <si>
    <t>https://africanmarketingconfederation.org/wp-content/uploads/2023/09/AMC-Ticon-00358.jpg</t>
  </si>
  <si>
    <t>https://africanmarketingconfederation.org/wp-content/uploads/2023/09/AMC-Ticon-00360.jpg</t>
  </si>
  <si>
    <t>https://africanmarketingconfederation.org/wp-content/uploads/2023/09/AMC-Ticon-00361.jpg</t>
  </si>
  <si>
    <t>https://africanmarketingconfederation.org/wp-content/uploads/2023/09/AMC-Ticon-00364.jpg</t>
  </si>
  <si>
    <t>https://africanmarketingconfederation.org/wp-content/uploads/2023/09/AMC-Ticon-00370.jpg</t>
  </si>
  <si>
    <t>https://africanmarketingconfederation.org/wp-content/uploads/2023/09/AMC-Ticon-00372.jpg</t>
  </si>
  <si>
    <t>https://africanmarketingconfederation.org/wp-content/uploads/2023/09/AMC-Ticon-00375.jpg</t>
  </si>
  <si>
    <t>https://africanmarketingconfederation.org/wp-content/uploads/2023/09/AMC-Ticon-00376.jpg</t>
  </si>
  <si>
    <t>https://africanmarketingconfederation.org/wp-content/uploads/2023/09/AMC-Ticon-00377.jpg</t>
  </si>
  <si>
    <t>https://africanmarketingconfederation.org/wp-content/uploads/2023/09/AMC-Ticon-00380.jpg</t>
  </si>
  <si>
    <t>https://africanmarketingconfederation.org/wp-content/uploads/2023/09/AMC-Ticon-00382.jpg</t>
  </si>
  <si>
    <t>https://africanmarketingconfederation.org/wp-content/uploads/2023/09/AMC-Ticon-00385.jpg</t>
  </si>
  <si>
    <t>https://africanmarketingconfederation.org/wp-content/uploads/2023/09/AMC-Ticon-00386.jpg</t>
  </si>
  <si>
    <t>https://africanmarketingconfederation.org/wp-content/uploads/2023/09/AMC-Ticon-00389.jpg</t>
  </si>
  <si>
    <t>https://africanmarketingconfederation.org/wp-content/uploads/2023/09/AMC-Ticon-00391.jpg</t>
  </si>
  <si>
    <t>https://africanmarketingconfederation.org/wp-content/uploads/2023/09/AMC-Ticon-00392.jpg</t>
  </si>
  <si>
    <t>https://africanmarketingconfederation.org/wp-content/uploads/2023/09/AMC-Ticon-00393.jpg</t>
  </si>
  <si>
    <t>https://africanmarketingconfederation.org/wp-content/uploads/2023/09/AMC-Ticon-00396.jpg</t>
  </si>
  <si>
    <t>https://africanmarketingconfederation.org/wp-content/uploads/2023/09/AMC-Ticon-00399.jpg</t>
  </si>
  <si>
    <t>https://africanmarketingconfederation.org/wp-content/uploads/2023/09/AMC-Ticon-00400.jpg</t>
  </si>
  <si>
    <t>https://africanmarketingconfederation.org/wp-content/uploads/2023/09/AMC-Ticon-00401.jpg</t>
  </si>
  <si>
    <t>https://africanmarketingconfederation.org/wp-content/uploads/2023/09/AMC-Ticon-00402.jpg</t>
  </si>
  <si>
    <t>https://africanmarketingconfederation.org/wp-content/uploads/2023/09/AMC-Ticon-00406.jpg</t>
  </si>
  <si>
    <t>https://africanmarketingconfederation.org/wp-content/uploads/2023/09/AMC-Ticon-00407.jpg</t>
  </si>
  <si>
    <t>https://africanmarketingconfederation.org/wp-content/uploads/2023/09/AMC-Ticon-00408.jpg</t>
  </si>
  <si>
    <t>https://africanmarketingconfederation.org/wp-content/uploads/2023/09/AMC-Ticon-00412.jpg</t>
  </si>
  <si>
    <t>https://africanmarketingconfederation.org/wp-content/uploads/2023/09/AMC-Ticon-00413.jpg</t>
  </si>
  <si>
    <t>https://africanmarketingconfederation.org/wp-content/uploads/2023/09/AMC-Ticon-00414.jpg</t>
  </si>
  <si>
    <t>https://africanmarketingconfederation.org/wp-content/uploads/2023/09/AMC-Ticon-00415.jpg</t>
  </si>
  <si>
    <t>https://africanmarketingconfederation.org/wp-content/uploads/2023/09/AMC-Ticon-00418.jpg</t>
  </si>
  <si>
    <t>https://africanmarketingconfederation.org/wp-content/uploads/2023/09/AMC-Ticon-00419.jpg</t>
  </si>
  <si>
    <t>https://africanmarketingconfederation.org/wp-content/uploads/2023/09/AMC-Ticon-00422.jpg</t>
  </si>
  <si>
    <t>https://africanmarketingconfederation.org/wp-content/uploads/2023/09/AMC-Ticon-00423.jpg</t>
  </si>
  <si>
    <t>https://africanmarketingconfederation.org/wp-content/uploads/2023/09/AMC-Ticon-00428.jpg</t>
  </si>
  <si>
    <t>https://africanmarketingconfederation.org/wp-content/uploads/2023/09/AMC-Ticon-00430.jpg</t>
  </si>
  <si>
    <t>https://africanmarketingconfederation.org/wp-content/uploads/2023/09/AMC-Ticon-00433.jpg</t>
  </si>
  <si>
    <t>https://africanmarketingconfederation.org/wp-content/uploads/2023/09/AMC-Ticon-00438.jpg</t>
  </si>
  <si>
    <t>https://africanmarketingconfederation.org/wp-content/uploads/2023/09/AMC-Ticon-00445.jpg</t>
  </si>
  <si>
    <t>https://africanmarketingconfederation.org/wp-content/uploads/2023/09/AMC-Ticon-00451.jpg</t>
  </si>
  <si>
    <t>https://africanmarketingconfederation.org/wp-content/uploads/2023/09/AMC-Ticon-00452.jpg</t>
  </si>
  <si>
    <t>https://africanmarketingconfederation.org/wp-content/uploads/2023/09/AMC-Ticon-00455.jpg</t>
  </si>
  <si>
    <t>https://africanmarketingconfederation.org/wp-content/uploads/2023/09/AMC-Ticon-00457.jpg</t>
  </si>
  <si>
    <t>https://africanmarketingconfederation.org/wp-content/uploads/2023/09/AMC-Ticon-00459.jpg</t>
  </si>
  <si>
    <t>https://africanmarketingconfederation.org/wp-content/uploads/2023/09/AMC-Ticon-00462.jpg</t>
  </si>
  <si>
    <t>https://africanmarketingconfederation.org/wp-content/uploads/2023/09/AMC-Ticon-00463.jpg</t>
  </si>
  <si>
    <t>https://africanmarketingconfederation.org/wp-content/uploads/2023/09/AMC-Ticon-00467.jpg</t>
  </si>
  <si>
    <t>https://africanmarketingconfederation.org/wp-content/uploads/2023/09/AMC-Ticon-00468.jpg</t>
  </si>
  <si>
    <t>https://africanmarketingconfederation.org/wp-content/uploads/2023/09/AMC-Ticon-00471.jpg</t>
  </si>
  <si>
    <t>https://africanmarketingconfederation.org/wp-content/uploads/2023/09/AMC-Ticon-00472.jpg</t>
  </si>
  <si>
    <t>https://africanmarketingconfederation.org/wp-content/uploads/2023/09/AMC-Ticon-00475.jpg</t>
  </si>
  <si>
    <t>https://africanmarketingconfederation.org/wp-content/uploads/2023/09/AMC-Ticon-00478.jpg</t>
  </si>
  <si>
    <t>https://africanmarketingconfederation.org/wp-content/uploads/2023/09/AMC-Ticon-00482.jpg</t>
  </si>
  <si>
    <t>https://africanmarketingconfederation.org/wp-content/uploads/2023/09/AMC-Ticon-00484.jpg</t>
  </si>
  <si>
    <t>https://africanmarketingconfederation.org/wp-content/uploads/2023/09/AMC-Ticon-01297.jpg</t>
  </si>
  <si>
    <t>https://africanmarketingconfederation.org/wp-content/uploads/2023/09/AMC-Ticon-01298.jpg</t>
  </si>
  <si>
    <t>https://africanmarketingconfederation.org/wp-content/uploads/2023/09/AMC-Ticon-01316.jpg</t>
  </si>
  <si>
    <t>https://africanmarketingconfederation.org/wp-content/uploads/2023/09/AMC-Ticon-01328.jpg</t>
  </si>
  <si>
    <t>https://africanmarketingconfederation.org/wp-content/uploads/2023/09/AMC-Ticon-01329.jpg</t>
  </si>
  <si>
    <t>https://africanmarketingconfederation.org/wp-content/uploads/2023/09/AMC-Ticon-01336.jpg</t>
  </si>
  <si>
    <t>https://africanmarketingconfederation.org/wp-content/uploads/2023/09/AMC-Ticon-01338.jpg</t>
  </si>
  <si>
    <t>https://africanmarketingconfederation.org/wp-content/uploads/2023/09/AMC-Ticon-01347.jpg</t>
  </si>
  <si>
    <t>https://africanmarketingconfederation.org/wp-content/uploads/2023/09/AMC-Ticon-01353.jpg</t>
  </si>
  <si>
    <t>https://africanmarketingconfederation.org/wp-content/uploads/2023/09/AMC-Ticon-01359.jpg</t>
  </si>
  <si>
    <t>https://africanmarketingconfederation.org/wp-content/uploads/2023/09/AMC-Ticon-01364.jpg</t>
  </si>
  <si>
    <t>https://africanmarketingconfederation.org/wp-content/uploads/2023/09/AMC-Ticon-01380.jpg</t>
  </si>
  <si>
    <t>https://africanmarketingconfederation.org/wp-content/uploads/2023/09/AMC-Ticon-01396.jpg</t>
  </si>
  <si>
    <t>https://africanmarketingconfederation.org/wp-content/uploads/2023/09/AMC-Ticon-01399.jpg</t>
  </si>
  <si>
    <t>https://africanmarketingconfederation.org/wp-content/uploads/2023/09/AMC-Ticon-01403.jpg</t>
  </si>
  <si>
    <t>https://africanmarketingconfederation.org/wp-content/uploads/2023/09/AMC-Ticon-01415.jpg</t>
  </si>
  <si>
    <t>https://africanmarketingconfederation.org/wp-content/uploads/2023/09/AMC-Ticon-01450.jpg</t>
  </si>
  <si>
    <t>https://africanmarketingconfederation.org/wp-content/uploads/2023/09/AMC-Ticon-01454.jpg</t>
  </si>
  <si>
    <t>https://africanmarketingconfederation.org/wp-content/uploads/2023/09/AMC-Ticon-01474.jpg</t>
  </si>
  <si>
    <t>https://africanmarketingconfederation.org/wp-content/uploads/2023/09/AMC-Ticon-01477.jpg</t>
  </si>
  <si>
    <t>https://africanmarketingconfederation.org/wp-content/uploads/2023/09/AMC-Ticon-01486.jpg</t>
  </si>
  <si>
    <t>https://africanmarketingconfederation.org/wp-content/uploads/2023/09/AMC-Ticon-01488.jpg</t>
  </si>
  <si>
    <t>https://africanmarketingconfederation.org/wp-content/uploads/2023/09/AMC-Ticon-01489.jpg</t>
  </si>
  <si>
    <t>https://africanmarketingconfederation.org/wp-content/uploads/2023/09/AMC-Ticon-01497.jpg</t>
  </si>
  <si>
    <t>https://africanmarketingconfederation.org/wp-content/uploads/2023/09/AMC-Ticon-01545.jpg</t>
  </si>
  <si>
    <t>https://africanmarketingconfederation.org/wp-content/uploads/2023/09/AMC-Ticon-01552.jpg</t>
  </si>
  <si>
    <t>https://africanmarketingconfederation.org/wp-content/uploads/2023/09/AMC-Ticon-01564.jpg</t>
  </si>
  <si>
    <t>https://africanmarketingconfederation.org/wp-content/uploads/2023/09/AMC-Ticon-01566.jpg</t>
  </si>
  <si>
    <t>https://africanmarketingconfederation.org/wp-content/uploads/2023/09/AMC-Ticon-01571.jpg</t>
  </si>
  <si>
    <t>https://africanmarketingconfederation.org/wp-content/uploads/2023/09/AMC-Ticon-01592.jpg</t>
  </si>
  <si>
    <t>https://africanmarketingconfederation.org/wp-content/uploads/2023/09/AMC-Ticon-01614.jpg</t>
  </si>
  <si>
    <t>https://africanmarketingconfederation.org/wp-content/uploads/2023/09/AMC-Ticon-01178.jpg</t>
  </si>
  <si>
    <t>https://africanmarketingconfederation.org/wp-content/uploads/2023/09/AMC-Ticon-01181.jpg</t>
  </si>
  <si>
    <t>https://africanmarketingconfederation.org/wp-content/uploads/2023/09/AMC-Ticon-01183.jpg</t>
  </si>
  <si>
    <t>https://africanmarketingconfederation.org/wp-content/uploads/2023/09/AMC-Ticon-01185.jpg</t>
  </si>
  <si>
    <t>https://africanmarketingconfederation.org/wp-content/uploads/2023/09/AMC-Ticon-01188.jpg</t>
  </si>
  <si>
    <t>https://africanmarketingconfederation.org/wp-content/uploads/2023/09/AMC-Ticon-01190.jpg</t>
  </si>
  <si>
    <t>https://africanmarketingconfederation.org/wp-content/uploads/2023/09/AMC-Ticon-01191.jpg</t>
  </si>
  <si>
    <t>https://africanmarketingconfederation.org/wp-content/uploads/2023/09/AMC-Ticon-01194.jpg</t>
  </si>
  <si>
    <t>https://africanmarketingconfederation.org/wp-content/uploads/2023/09/AMC-Ticon-01195.jpg</t>
  </si>
  <si>
    <t>https://africanmarketingconfederation.org/wp-content/uploads/2023/09/AMC-Ticon-01197.jpg</t>
  </si>
  <si>
    <t>https://africanmarketingconfederation.org/wp-content/uploads/2023/09/AMC-Ticon-01198.jpg</t>
  </si>
  <si>
    <t>https://africanmarketingconfederation.org/wp-content/uploads/2023/09/AMC-Ticon-01201.jpg</t>
  </si>
  <si>
    <t>https://africanmarketingconfederation.org/wp-content/uploads/2023/09/AMC-Ticon-01202.jpg</t>
  </si>
  <si>
    <t>https://africanmarketingconfederation.org/wp-content/uploads/2023/09/AMC-Ticon-01203.jpg</t>
  </si>
  <si>
    <t>https://africanmarketingconfederation.org/wp-content/uploads/2023/09/AMC-Ticon-01204.jpg</t>
  </si>
  <si>
    <t>https://africanmarketingconfederation.org/wp-content/uploads/2023/09/AMC-Ticon-01206.jpg</t>
  </si>
  <si>
    <t>https://africanmarketingconfederation.org/wp-content/uploads/2023/09/AMC-Ticon-01207.jpg</t>
  </si>
  <si>
    <t>https://africanmarketingconfederation.org/wp-content/uploads/2023/09/AMC-Ticon-01208.jpg</t>
  </si>
  <si>
    <t>https://africanmarketingconfederation.org/wp-content/uploads/2023/09/AMC-Ticon-01210.jpg</t>
  </si>
  <si>
    <t>https://africanmarketingconfederation.org/wp-content/uploads/2023/09/AMC-Ticon-01212.jpg</t>
  </si>
  <si>
    <t>https://africanmarketingconfederation.org/wp-content/uploads/2023/09/AMC-Ticon-01213.jpg</t>
  </si>
  <si>
    <t>https://africanmarketingconfederation.org/wp-content/uploads/2023/09/AMC-Ticon-01216.jpg</t>
  </si>
  <si>
    <t>https://africanmarketingconfederation.org/wp-content/uploads/2023/09/AMC-Ticon-01217.jpg</t>
  </si>
  <si>
    <t>https://africanmarketingconfederation.org/wp-content/uploads/2023/09/AMC-Ticon-01218.jpg</t>
  </si>
  <si>
    <t>https://africanmarketingconfederation.org/wp-content/uploads/2023/09/AMC-Ticon-01220.jpg</t>
  </si>
  <si>
    <t>https://africanmarketingconfederation.org/wp-content/uploads/2023/09/AMC-Ticon-01224.jpg</t>
  </si>
  <si>
    <t>https://africanmarketingconfederation.org/wp-content/uploads/2023/09/AMC-Ticon-01229.jpg</t>
  </si>
  <si>
    <t>https://africanmarketingconfederation.org/wp-content/uploads/2023/09/AMC-Ticon-01233.jpg</t>
  </si>
  <si>
    <t>https://africanmarketingconfederation.org/wp-content/uploads/2023/09/AMC-Ticon-01235.jpg</t>
  </si>
  <si>
    <t>https://africanmarketingconfederation.org/wp-content/uploads/2023/09/AMC-Ticon-01237.jpg</t>
  </si>
  <si>
    <t>https://africanmarketingconfederation.org/wp-content/uploads/2023/09/AMC-Ticon-01238.jpg</t>
  </si>
  <si>
    <t>https://africanmarketingconfederation.org/wp-content/uploads/2023/09/AMC-Ticon-01240.jpg</t>
  </si>
  <si>
    <t>https://africanmarketingconfederation.org/wp-content/uploads/2023/09/AMC-Ticon-01242.jpg</t>
  </si>
  <si>
    <t>https://africanmarketingconfederation.org/wp-content/uploads/2023/09/AMC-Ticon-01243.jpg</t>
  </si>
  <si>
    <t>https://africanmarketingconfederation.org/wp-content/uploads/2023/09/AMC-Ticon-01244.jpg</t>
  </si>
  <si>
    <t>https://africanmarketingconfederation.org/wp-content/uploads/2023/09/AMC-Ticon-01245.jpg</t>
  </si>
  <si>
    <t>https://africanmarketingconfederation.org/wp-content/uploads/2023/09/AMC-Ticon-01248.jpg</t>
  </si>
  <si>
    <t>https://africanmarketingconfederation.org/wp-content/uploads/2023/09/AMC-Ticon-01249.jpg</t>
  </si>
  <si>
    <t>https://africanmarketingconfederation.org/wp-content/uploads/2023/09/AMC-Ticon-01251.jpg</t>
  </si>
  <si>
    <t>https://africanmarketingconfederation.org/wp-content/uploads/2023/09/AMC-Ticon-01252.jpg</t>
  </si>
  <si>
    <t>https://africanmarketingconfederation.org/wp-content/uploads/2023/09/AMC-Ticon-01253.jpg</t>
  </si>
  <si>
    <t>https://africanmarketingconfederation.org/wp-content/uploads/2023/09/AMC-Ticon-01254.jpg</t>
  </si>
  <si>
    <t>https://africanmarketingconfederation.org/wp-content/uploads/2023/09/AMC-Ticon-01255.jpg</t>
  </si>
  <si>
    <t>https://africanmarketingconfederation.org/wp-content/uploads/2023/09/AMC-Ticon-01257.jpg</t>
  </si>
  <si>
    <t>https://africanmarketingconfederation.org/wp-content/uploads/2023/09/AMC-Ticon-01259.jpg</t>
  </si>
  <si>
    <t>https://africanmarketingconfederation.org/wp-content/uploads/2023/09/AMC-Ticon-01260.jpg</t>
  </si>
  <si>
    <t>https://africanmarketingconfederation.org/wp-content/uploads/2023/09/AMC-Ticon-01261.jpg</t>
  </si>
  <si>
    <t>https://africanmarketingconfederation.org/wp-content/uploads/2023/09/AMC-Ticon-01263.jpg</t>
  </si>
  <si>
    <t>https://africanmarketingconfederation.org/wp-content/uploads/2023/09/AMC-Ticon-01264.jpg</t>
  </si>
  <si>
    <t>https://africanmarketingconfederation.org/wp-content/uploads/2023/09/AMC-Ticon-01266.jpg</t>
  </si>
  <si>
    <t>https://africanmarketingconfederation.org/wp-content/uploads/2023/09/AMC-Ticon-01267.jpg</t>
  </si>
  <si>
    <t>https://africanmarketingconfederation.org/wp-content/uploads/2023/09/AMC-Ticon-01269.jpg</t>
  </si>
  <si>
    <t>https://africanmarketingconfederation.org/wp-content/uploads/2023/09/AMC-Ticon-01270.jpg</t>
  </si>
  <si>
    <t>https://africanmarketingconfederation.org/wp-content/uploads/2023/09/AMC-Ticon-01271.jpg</t>
  </si>
  <si>
    <t>https://africanmarketingconfederation.org/wp-content/uploads/2023/09/AMC-Ticon-01272.jpg</t>
  </si>
  <si>
    <t>https://africanmarketingconfederation.org/wp-content/uploads/2023/09/AMC-Ticon-01276.jpg</t>
  </si>
  <si>
    <t>https://africanmarketingconfederation.org/wp-content/uploads/2023/09/AMC-Ticon-01278.jpg</t>
  </si>
  <si>
    <t>https://africanmarketingconfederation.org/wp-content/uploads/2023/09/AMC-Ticon-01279.jpg</t>
  </si>
  <si>
    <t>https://africanmarketingconfederation.org/wp-content/uploads/2023/09/AMC-Ticon-01280.jpg</t>
  </si>
  <si>
    <t>https://africanmarketingconfederation.org/wp-content/uploads/2023/09/AMC-Ticon-01281.jpg</t>
  </si>
  <si>
    <t>https://africanmarketingconfederation.org/wp-content/uploads/2023/09/AMC-Ticon-01282.jpg</t>
  </si>
  <si>
    <t>https://africanmarketingconfederation.org/wp-content/uploads/2023/09/AMC-Ticon-01283.jpg</t>
  </si>
  <si>
    <t>https://africanmarketingconfederation.org/wp-content/uploads/2023/09/AMC-Ticon-01284.jpg</t>
  </si>
  <si>
    <t>https://africanmarketingconfederation.org/wp-content/uploads/2023/09/AMC-Ticon-01286.jpg</t>
  </si>
  <si>
    <t>https://africanmarketingconfederation.org/wp-content/uploads/2023/09/AMC-Ticon-01287.jpg</t>
  </si>
  <si>
    <t>https://africanmarketingconfederation.org/wp-content/uploads/2023/09/AMC-Ticon-01288.jpg</t>
  </si>
  <si>
    <t>https://africanmarketingconfederation.org/wp-content/uploads/2023/09/AMC-Ticon-01289.jpg</t>
  </si>
  <si>
    <t>https://africanmarketingconfederation.org/wp-content/uploads/2023/09/AMC-Ticon-01291.jpg</t>
  </si>
  <si>
    <t>https://africanmarketingconfederation.org/wp-content/uploads/2023/09/AMC-Ticon-01292.jpg</t>
  </si>
  <si>
    <t>https://africanmarketingconfederation.org/wp-content/uploads/2023/09/AMC-Ticon-01294.jpg</t>
  </si>
  <si>
    <t>https://africanmarketingconfederation.org/wp-content/uploads/2023/11/AMC-2023-Uganda-Presentation-Final.pdf</t>
  </si>
  <si>
    <t>Are Marketers Intelligent Enough For AI - Fred Kithinzi</t>
  </si>
  <si>
    <t>https://africanmarketingconfederation.org/wp-content/uploads/2023/11/AMC-Presentation-Nondumiso-Mabece.pptx</t>
  </si>
  <si>
    <t>Taking Africa to the world and bringing the world to Africa - Nondumiso Mabece|</t>
  </si>
  <si>
    <t>https://africanmarketingconfederation.org/wp-content/uploads/2023/11/DGCEO-AMC-UMS-Presentation-_compressed.pdf</t>
  </si>
  <si>
    <t>Next Media DGCEO Presentation</t>
  </si>
  <si>
    <t>https://africanmarketingconfederation.org/wp-content/uploads/2023/11/Prof-Ebo-Final-PpT-Read-Only_compressed.pdf</t>
  </si>
  <si>
    <t>Strategy and Technology: Expanding the Success of Pan-African Brands - Prof. Robert Ebo Hinson</t>
  </si>
  <si>
    <t>https://africanmarketingconfederation.org/wp-content/uploads/2023/11/Winning-in-African-markets_sml.pdf</t>
  </si>
  <si>
    <t>Winning African Markets - Simon Harvey</t>
  </si>
  <si>
    <t>Culture as the New Marketing  Currency in Africa - Pheodor Mundia</t>
  </si>
  <si>
    <t>https://africanmarketingconfederation.org/wp-content/uploads/2023/11/AMC-Leadership-Presentation-2023-Uganda-1.pdf</t>
  </si>
  <si>
    <t>Leadership Presentation - Yaw Nsarkoh &amp; Tomiwa Asaolu</t>
  </si>
  <si>
    <t>https://africanmarketingconfederation.org/wp-content/uploads/2023/11/AMC-Presentation-final-James-stutton_compressed.pdf</t>
  </si>
  <si>
    <t>Marketing Capability - James Sutton</t>
  </si>
  <si>
    <t>https://africanmarketingconfederation.org/wp-content/uploads/2023/11/Building-strong-pan-african-brands-NEW.pdf</t>
  </si>
  <si>
    <t>Building strong Pan African Brands - George Arodi</t>
  </si>
  <si>
    <t>Share Your Experience</t>
  </si>
  <si>
    <t>https://www.stanbicbank.co.ug/uganda/personal</t>
  </si>
  <si>
    <t>http://www.eabl.com/</t>
  </si>
  <si>
    <t>https://www.eabl.com/news-media/guinness-celebrates-return-football-rewarding-some-lucky-super-fans-unforgettable</t>
  </si>
  <si>
    <t>https://africanmarketingconfederation.org/wp-content/uploads/2025/01/Destination-Zambia-Campaign-Pitch-Document-for-AMC-2024.pdf</t>
  </si>
  <si>
    <t>https://africanmarketingconfederation.org/wp-content/uploads/2024/10/MIONE-PRODUCT-LAUNCH-BEST-SOCIAL-MEDIA-CATEGORY.pdf</t>
  </si>
  <si>
    <t>https://africanmarketingconfederation.org/wp-content/uploads/2024/10/SNSC1.pdf</t>
  </si>
  <si>
    <t>https://africanmarketingconfederation.org/wp-content/uploads/2024/10/BART-AI-DESCRIPTOR-2.docx</t>
  </si>
  <si>
    <t>https://africanmarketingconfederation.org/wp-content/uploads/2024/10/SAVING-THE-WHITE-CAPS-DESCRIPTOR.docx</t>
  </si>
  <si>
    <t>https://africanmarketingconfederation.org/wp-content/uploads/2024/10/GUINNESS-MATCHDAY-DESCRIPTOR-3-1.docx</t>
  </si>
  <si>
    <t>https://africanmarketingconfederation.org/wp-content/uploads/2024/10/BRAND.pdf</t>
  </si>
  <si>
    <t>https://www.citizen.digital/tv/citizen-tv-15</t>
  </si>
  <si>
    <t>https://www.citizen.digital/</t>
  </si>
  <si>
    <t>https://www.ethiopianairlines.com/za</t>
  </si>
  <si>
    <t>https://www.linkedin.com/company/ledrad?originalSubdomain=ke</t>
  </si>
  <si>
    <t>https://www.nationmedia.com/</t>
  </si>
  <si>
    <t>https://www.sarovahotels.com/whitesands-mombasa</t>
  </si>
  <si>
    <t>https://www.eabl.com/</t>
  </si>
  <si>
    <t>https://ktb.go.ke/</t>
  </si>
  <si>
    <t>https://magicalkenya.com/</t>
  </si>
  <si>
    <t>https://africanmarketingconfederation.org/product/full-conference-package-labadi-beach-hotel</t>
  </si>
  <si>
    <t>AMC Full-Conference Package Labadi Beach Hotel</t>
  </si>
  <si>
    <t>https://africanmarketingconfederation.org/product/full-conference-package-la-palm-royal-beach-hotel</t>
  </si>
  <si>
    <t>AMC Full-Conference Package La Palm Royal Beach Hotel</t>
  </si>
  <si>
    <t>https://africanmarketingconfederation.org/product/amc-day-attendance-package</t>
  </si>
  <si>
    <t>AMC Day Attendance Package</t>
  </si>
  <si>
    <t>https://africanmarketingconfederation.org/product/conference-only-package</t>
  </si>
  <si>
    <t>AMC Conference Only Package</t>
  </si>
  <si>
    <t>https://www.linkedin.com/in/charles-murito-b29595</t>
  </si>
  <si>
    <t>Charles Murito</t>
  </si>
  <si>
    <t>https://www.linkedin.com/in/quinton-coetzee-22293263</t>
  </si>
  <si>
    <t>Mr Quinton Coetzee</t>
  </si>
  <si>
    <t>https://www.linkedin.com/in/dr-elaine-van-wyk-mba-dba-3a40b76a</t>
  </si>
  <si>
    <t>Dr Elaine Van Wyk</t>
  </si>
  <si>
    <t>https://www.linkedin.com/in/julius-kyazze-42074719</t>
  </si>
  <si>
    <t>Mr Julius Kyazze</t>
  </si>
  <si>
    <t>https://gh.linkedin.com/in/stephennboadi</t>
  </si>
  <si>
    <t>Mr Stephen Nasei Boadi</t>
  </si>
  <si>
    <t>https://www.linkedin.com/in/tapfuma-mugari-a261b0a4</t>
  </si>
  <si>
    <t>Mr Tapfuma Mugari</t>
  </si>
  <si>
    <t>https://www.linkedin.com/in/thobekile-nxumalo-cscp-scor-p-5901a45b</t>
  </si>
  <si>
    <t>Ms Thobekile Nxumalo</t>
  </si>
  <si>
    <t>https://www.linkedin.com/in/frederic-perodeau-a620301</t>
  </si>
  <si>
    <t>Mr Frederic Perodeau</t>
  </si>
  <si>
    <t>https://www.linkedin.com/in/prof-douglas-boateng-4ab3553?originalSubdomain=za</t>
  </si>
  <si>
    <t>Prof Douglas Boateng</t>
  </si>
  <si>
    <t>https://www.linkedin.com/in/nondumiso-ngobese-mabece-76731223</t>
  </si>
  <si>
    <t>Ms Nondumiso Mabece</t>
  </si>
  <si>
    <t>https://www.linkedin.com/in/pluto-panoussis-68699325?originalSubdomain=za%20</t>
  </si>
  <si>
    <t>Mr Pluto Panoussis</t>
  </si>
  <si>
    <t>https://ug.linkedin.com/in/julius-kyazze-42074719%20</t>
  </si>
  <si>
    <t>https://www.linkedin.com/in/orlakinsella</t>
  </si>
  <si>
    <t>Ms Orla Kinsella</t>
  </si>
  <si>
    <t>https://www.linkedin.com/in/ato-micah-2964192</t>
  </si>
  <si>
    <t>Mr Micah Ato</t>
  </si>
  <si>
    <t>https://www.linkedin.com/in/chris-wulff-caesar-1b85601b?originalSubdomain=gh</t>
  </si>
  <si>
    <t>Mr Chris Wulff-Caesar</t>
  </si>
  <si>
    <t>https://www.linkedin.com/in/girishsharmaa</t>
  </si>
  <si>
    <t>Mr Girish Sharma</t>
  </si>
  <si>
    <t>https://www.linkedin.com/in/mekedelamekuria</t>
  </si>
  <si>
    <t>Mr Mekedela Mekuria Hailu</t>
  </si>
  <si>
    <t>https://www.linkedin.com/in/dr-riaan-steenberg-mba-pmp-mbb-378178</t>
  </si>
  <si>
    <t>Dr Riaan Steenberg</t>
  </si>
  <si>
    <t>https://www.linkedin.com/in/robert-rodgers-5b19bb49</t>
  </si>
  <si>
    <t>Mr Robert Rodgers</t>
  </si>
  <si>
    <t>https://www.linkedin.com/in/yannicklefang?originalSubdomain=ca%20</t>
  </si>
  <si>
    <t>Mr Yannick Lefang</t>
  </si>
  <si>
    <t>https://www.linkedin.com/in/jan-goffing-96440689</t>
  </si>
  <si>
    <t>Jan Goffing</t>
  </si>
  <si>
    <t>Robert Rodgers</t>
  </si>
  <si>
    <t>https://www.linkedin.com/in/orlakinsella/%20</t>
  </si>
  <si>
    <t>https://www.linkedin.com/in/pamela-kawaddwa-3a9645143</t>
  </si>
  <si>
    <t>Ms Pamela Kawaddwa</t>
  </si>
  <si>
    <t>https://www.linkedin.com/in/maggie-jones-a46429158?originalSubdomain=uk</t>
  </si>
  <si>
    <t>Mrs Maggie Jones</t>
  </si>
  <si>
    <t>https://www.linkedin.com/in/jamesalexsutton</t>
  </si>
  <si>
    <t>Mr James Sutton</t>
  </si>
  <si>
    <t>https://www.linkedin.com/in/robert-ebo-hinson-dphil-phd-4986232a</t>
  </si>
  <si>
    <t>Prof Robert Ebo Hinson</t>
  </si>
  <si>
    <t>https://www.linkedin.com/in/matongo-matamwandi-aaba515a</t>
  </si>
  <si>
    <t>Dr Matongo Matamwandi</t>
  </si>
  <si>
    <t>https://www.linkedin.com/in/mwewa-besa-94719239</t>
  </si>
  <si>
    <t>Mr Mwewa Besa</t>
  </si>
  <si>
    <t>https://www.linkedin.com/in/helen-mcintee-carlisle-780347a</t>
  </si>
  <si>
    <t>Mrs Helen McIntee</t>
  </si>
  <si>
    <t>https://www.linkedin.com/in/kobby-mensah-7aba3641</t>
  </si>
  <si>
    <t>Prof Kobby Mensah</t>
  </si>
  <si>
    <t>https://www.linkedin.com/in/gilbert-abeiku-aggrey-a0659017</t>
  </si>
  <si>
    <t>Mr. Gilbert Abeiku Aggrey</t>
  </si>
  <si>
    <t>https://www.linkedin.com/in/albert-eliason-phd-a6ab5318?trk=public_post_main-feed-card-text&amp;originalSubdomain=gh</t>
  </si>
  <si>
    <t>Dr Albert Eliason</t>
  </si>
  <si>
    <t>https://www.linkedin.com/in/johnssenkeezi?originalSubdomain=ug</t>
  </si>
  <si>
    <t>Mr John Senkeezi</t>
  </si>
  <si>
    <t>https://ng.linkedin.com/in/dr-abubakar-jimeta-fnimn-fimc-39968149</t>
  </si>
  <si>
    <t>Dr Abubakar Jimeta</t>
  </si>
  <si>
    <t>https://www.linkedin.com/in/mcbagod12</t>
  </si>
  <si>
    <t>Prof. Fred McBagonluri</t>
  </si>
  <si>
    <t>See Speaker's Bio</t>
  </si>
  <si>
    <t>https://www.linkedin.com/in/estellamuzito?originalSubdomain=gh%20</t>
  </si>
  <si>
    <t>https://ticonafrica.org/</t>
  </si>
  <si>
    <t>TICON Africa</t>
  </si>
  <si>
    <t>https://africanmarketingconfederation.org/wp-content/uploads/2025/06/2025-AMC-Conference-Delegates-Prospectus-Web-1.pdf</t>
  </si>
  <si>
    <t>https://labadibeachhotelgh.com/</t>
  </si>
  <si>
    <t>https://www.facebook.com/LaPalmRoyalBeach</t>
  </si>
  <si>
    <t>https://www.flysaa.com/</t>
  </si>
  <si>
    <t>https://www.click-mobile.com/</t>
  </si>
  <si>
    <t>https://ghana.travel/</t>
  </si>
  <si>
    <t>https://npontu.com/</t>
  </si>
  <si>
    <t>https://aidecdigital.com/</t>
  </si>
  <si>
    <t>2024 Conference Highlights</t>
  </si>
  <si>
    <t>2023 Conference Highlights</t>
  </si>
  <si>
    <t>2022 Conference Highlights</t>
  </si>
  <si>
    <t>https://africanmarketingconfederation.org/amc-conference-2026-awards-nominations-thank-you?add-to-cart=26055</t>
  </si>
  <si>
    <t>Add to cart</t>
  </si>
  <si>
    <t>nofollow</t>
  </si>
  <si>
    <t>https://africanmarketingconfederation.org/amc-conference-2026-awards-nominations-thank-you?add-to-cart=26182</t>
  </si>
  <si>
    <t>https://africanmarketingconfederation.org/amc-conference-2026-awards-nominations-thank-you?add-to-cart=26874</t>
  </si>
  <si>
    <t>https://africanmarketingconfederation.org/amc-conference-2026-awards-nominations-thank-you?add-to-cart=26189</t>
  </si>
  <si>
    <t>https://africanmarketingconfederation.org/amc-conference-2026-zambia-thank-you?add-to-cart=26055</t>
  </si>
  <si>
    <t>https://africanmarketingconfederation.org/amc-conference-2026-zambia-thank-you?add-to-cart=26182</t>
  </si>
  <si>
    <t>https://africanmarketingconfederation.org/amc-conference-2026-zambia-thank-you?add-to-cart=26874</t>
  </si>
  <si>
    <t>https://africanmarketingconfederation.org/amc-conference-2026-zambia-thank-you?add-to-cart=26189</t>
  </si>
  <si>
    <t>2026 Conference</t>
  </si>
  <si>
    <t>2026 Launch Event</t>
  </si>
  <si>
    <t>2026 AMC Awards</t>
  </si>
  <si>
    <t>https://asconafrica.org/2026-ascon-conference</t>
  </si>
  <si>
    <t>https://www.viator.com/en-ZA/Livingstone/d5313</t>
  </si>
  <si>
    <t>Explore Livingstone</t>
  </si>
  <si>
    <t>Back to AMC Website</t>
  </si>
  <si>
    <t>Discover Our Speakers</t>
  </si>
  <si>
    <t>https://africanmarketingconfederation.org/amc-marketing-conference-2024/amc-awards-2024</t>
  </si>
  <si>
    <t>Find Out More</t>
  </si>
  <si>
    <t>https://www.ethiopianairlines.com/aa/event?Key=African-Marketing-Confederation-Conference-2024</t>
  </si>
  <si>
    <t>https://africanmarketingconfederation.org/amc-conference-2024/amc-awards-2024</t>
  </si>
  <si>
    <t>https://africanmarketingconfederation.org/amc-launch-event-zambia-thank-you-2026?add-to-cart=26055</t>
  </si>
  <si>
    <t>https://africanmarketingconfederation.org/amc-launch-event-zambia-thank-you-2026?add-to-cart=26182</t>
  </si>
  <si>
    <t>https://africanmarketingconfederation.org/amc-launch-event-zambia-thank-you-2026?add-to-cart=26874</t>
  </si>
  <si>
    <t>https://africanmarketingconfederation.org/amc-launch-event-zambia-thank-you-2026?add-to-cart=26189</t>
  </si>
  <si>
    <t>https://africanmarketingconfederation.org/wp-content/uploads/2025/08/AMC-Conference-programme-2025-Day-1.pdf</t>
  </si>
  <si>
    <t>DOWNLOAD PROGRAMME DAY 1</t>
  </si>
  <si>
    <t>https://africanmarketingconfederation.org/wp-content/uploads/2025/08/AMC-Thu-Conference-programme-2025-1.pdf</t>
  </si>
  <si>
    <t>DOWNLOAD PROGRAMME DAY 2</t>
  </si>
  <si>
    <t>https://africanmarketingconfederation.org/wp-content/uploads/2025/08/updated-AMC-Fri-Conference-programme-2025.pdf</t>
  </si>
  <si>
    <t>DOWNLOAD PROGRAMME DAY 3</t>
  </si>
  <si>
    <t>https://www.zambia.travel/zta.html</t>
  </si>
  <si>
    <t>https://africanmarketingconfederation.org/wp-content/uploads/2025/04/AMC-T-sponsorship-prospectus-2025-compressed_2-1.pdf</t>
  </si>
  <si>
    <t>Download Sponsorship Prospectus</t>
  </si>
  <si>
    <t>https://africanmarketingconfederation.org/wp-content/uploads/2026/04/AMC-Awards-booklet-2026_RB-3.pdf</t>
  </si>
  <si>
    <t>View Awards Brochure</t>
  </si>
  <si>
    <t>download the official</t>
  </si>
  <si>
    <t>2026 AMC Awards Guide .</t>
  </si>
  <si>
    <t>https://africanmarketingconfederation.org/winners-of-prestigious-african-marketing-confederation-awards-revealed</t>
  </si>
  <si>
    <t>https://africanmarketingconfederation.org/wp-content/uploads/2026/04/AMC-Awards-booklet-2026.pdf</t>
  </si>
  <si>
    <t>noopener</t>
  </si>
  <si>
    <t>https://africanmarketingconfederation.org/wp-content/uploads/2023/08/AMC-Chartered-Marketer-Brochure-31-October-2023_compressed.pdf</t>
  </si>
  <si>
    <t>Download Brochure</t>
  </si>
  <si>
    <t>https://africanmarketingconfederation.org/wp-content/uploads/2025/07/AMC-Chartered-Marketer-Brochure-2025-web.pdf</t>
  </si>
  <si>
    <t>https://africanmarketingconfederation.org/charter-marketing-form</t>
  </si>
  <si>
    <t>Register</t>
  </si>
  <si>
    <t>https://africanmarketingconfederation.org/?page_id=17907</t>
  </si>
  <si>
    <t>Return to shop</t>
  </si>
  <si>
    <t>Labadi Beach Hotel</t>
  </si>
  <si>
    <t>https://africanmarketingconfederation.org/wp-content/uploads/2024/07/AMC-Chartered-Marketer-Brochure-2024-.pdf</t>
  </si>
  <si>
    <t>https://africanmarketingconfederation.org/wp-content/uploads/2024/07/Charter-Marketer-form.pdf</t>
  </si>
  <si>
    <t>Download Form</t>
  </si>
  <si>
    <t>https://africanmarketingconfederation.org/wp-content/uploads/2024/07/Code-of-Conduct.pdf</t>
  </si>
  <si>
    <t>Download Code of Conduct</t>
  </si>
  <si>
    <t>https://africanmarketingconfederation.org/wp-content/uploads/2024/09/AMC-Forum-Prospectus-Website.pdf</t>
  </si>
  <si>
    <t>https://amconlinecourses.thinkific.com/collections</t>
  </si>
  <si>
    <t>ENROLL NOW</t>
  </si>
  <si>
    <t>https://africanmarketingconfederation.org/amc-conference-2024/speakers-2024</t>
  </si>
  <si>
    <t>https://africanmarketingconfederation.org/amc-conference-2024/programme-2024</t>
  </si>
  <si>
    <t>Awards</t>
  </si>
  <si>
    <t>https://www.avanihotels.com/en/victoria-falls</t>
  </si>
  <si>
    <t>Avani Victoria Falls Resort</t>
  </si>
  <si>
    <t>https://africanmarketingconfederation.org/call-for-nominations-for-south-africas-top-marketing-professionals/11-october-marketing-awards</t>
  </si>
  <si>
    <t>Explore the 2025 Conference</t>
  </si>
  <si>
    <t>https://youtube.com/live/DoRTdWGWu1s</t>
  </si>
  <si>
    <t>Watch the Launch Event</t>
  </si>
  <si>
    <t>https://ticonafrica.org/2026-ticon-africa-conference</t>
  </si>
  <si>
    <t>Learn More About the Conference and Awards</t>
  </si>
  <si>
    <t>Visit Website</t>
  </si>
  <si>
    <t>https://zm.linkedin.com/company/zambia-institute-of-marketing</t>
  </si>
  <si>
    <t>http://www.ammc.co/</t>
  </si>
  <si>
    <t>https://www.facebook.com/Institute-of-Marketing-and-Management-Mauritius-201277343380196?ref=page_internal</t>
  </si>
  <si>
    <t>http://ums.co.ug/</t>
  </si>
  <si>
    <t>https://atpmc.tn/</t>
  </si>
  <si>
    <t>https://ethmpa.org/</t>
  </si>
  <si>
    <t>https://tmsa.or.tz/</t>
  </si>
  <si>
    <t>https://www.facebook.com/TheMarketingAssociationofBotswana</t>
  </si>
  <si>
    <t>https://avisplus.club/</t>
  </si>
  <si>
    <t>https://africanmarketingconfederation.org/cimg-and-central-university-partner-on-marketing-education-to-students</t>
  </si>
  <si>
    <t>CIMG and Central University partner on marketing education to students</t>
  </si>
  <si>
    <t>https://africanmarketingconfederation.org/retail-group-clicks-continues-expanding-its-store-pharmacy-footprint</t>
  </si>
  <si>
    <t>Retail group Clicks continues expanding its store &amp; pharmacy footprint</t>
  </si>
  <si>
    <t>https://africanmarketingconfederation.org/researchers-find-that-clearing-aisle-islands-boosts-retail-sales</t>
  </si>
  <si>
    <t>Researchers find that clearing aisle islands boosts retail sales</t>
  </si>
  <si>
    <t>https://africanmarketingconfederation.org/john-bradshaw-joins-spar-supermarket-group-as-chief-marketing-officer</t>
  </si>
  <si>
    <t>John Bradshaw joins Spar supermarket group as Chief Marketing Officer</t>
  </si>
  <si>
    <t>https://africanmarketingconfederation.org/sa-brand-delivers-impressive-overall-performance-at-kantar-awards</t>
  </si>
  <si>
    <t>SA brand delivers ‘impressive overall performance’ at Kantar awards</t>
  </si>
  <si>
    <t>https://africanmarketingconfederation.org/nigerian-public-warned-about-suspected-counterfeit-toothpaste-products</t>
  </si>
  <si>
    <t>Nigerian public warned about suspected counterfeit toothpaste products</t>
  </si>
  <si>
    <t>https://africanmarketingconfederation.org/soccer-legend-david-beckham-fronts-new-world-cup-advertising-campaign</t>
  </si>
  <si>
    <t>Soccer legend David Beckham fronts new World Cup advertising campaign</t>
  </si>
  <si>
    <t>https://africanmarketingconfederation.org/nyaladzi-moyo-appointed-country-director-for-danone-southern-africa</t>
  </si>
  <si>
    <t>Nyaladzi Moyo appointed Country Director for Danone Southern Africa</t>
  </si>
  <si>
    <t>https://africanmarketingconfederation.org/news-articles/2</t>
  </si>
  <si>
    <t>Page 2</t>
  </si>
  <si>
    <t>https://africanmarketingconfederation.org/news-articles/3</t>
  </si>
  <si>
    <t>Page 3</t>
  </si>
  <si>
    <t>https://africanmarketingconfederation.org/news-articles/155</t>
  </si>
  <si>
    <t>Page 155</t>
  </si>
  <si>
    <t>Next »</t>
  </si>
  <si>
    <t>https://africanmarketingconfederation.org/wp-content/uploads/2026/04/SMA-Issue-1-2026-SPREADS-compressed.pdf</t>
  </si>
  <si>
    <t>Edition 1 | 2026</t>
  </si>
  <si>
    <t>https://africanmarketingconfederation.org/wp-content/uploads/2026/04/SMA-Issue-1-2026-SINGLE-PAGES-compressed.pdf</t>
  </si>
  <si>
    <t>https://africanmarketingconfederation.org/wp-content/uploads/2025/12/SMA_ISSUE_4_2025_SPREADS-compressed.pdf</t>
  </si>
  <si>
    <t>Edition 4 | 2025</t>
  </si>
  <si>
    <t>https://africanmarketingconfederation.org/wp-content/uploads/2025/12/SMA_ISSUE_4_SINGLE_PAGES-compressed.pdf</t>
  </si>
  <si>
    <t>https://africanmarketingconfederation.org/wp-content/uploads/2025/10/SMA-Issue-3-2025-Digital-Edition-Spreads-FINAL.pdf</t>
  </si>
  <si>
    <t>Edition 3 | 2025</t>
  </si>
  <si>
    <t>https://africanmarketingconfederation.org/wp-content/uploads/2025/10/SMA-Issue-3-2025-Digital-Edition-Single-Pages-FINAL.pdf</t>
  </si>
  <si>
    <t>https://africanmarketingconfederation.org/wp-content/uploads/2025/06/AMC-Issue-2_2025.pdf</t>
  </si>
  <si>
    <t>Edition 2 | 2025</t>
  </si>
  <si>
    <t>https://africanmarketingconfederation.org/wp-content/uploads/2025/04/SMA-Issue-1-2025-Print-Edition-compressed-1.pdf</t>
  </si>
  <si>
    <t>Edition 1 | 2025</t>
  </si>
  <si>
    <t>https://africanmarketingconfederation.org/wp-content/uploads/2024/12/Strategic-Marketing-for-Africa-Issue-4.pdf</t>
  </si>
  <si>
    <t>Edition 4 | 2024</t>
  </si>
  <si>
    <t>https://africanmarketingconfederation.org/wp-content/uploads/2024/10/SMA-DIGITAL-EDITION-SMA-Issue-3-2024-Final.pdf</t>
  </si>
  <si>
    <t>Edition 3 | 2024</t>
  </si>
  <si>
    <t>https://africanmarketingconfederation.org/wp-content/uploads/2024/08/FINAL_SMA_ISSUE_2_2024-1.pdf</t>
  </si>
  <si>
    <t>Edition 2 | 2024</t>
  </si>
  <si>
    <t>https://africanmarketingconfederation.org/wp-content/uploads/2024/08/Strategic-Marketing-for-Africa-Issue-1-2024-Digital-mag-final-1.pdf</t>
  </si>
  <si>
    <t>Edition 1 | 2024</t>
  </si>
  <si>
    <t>https://africanmarketingconfederation.org/wp-content/uploads/2023/12/SMA_ISSUE_4_FINAL-for-the-website.pdf</t>
  </si>
  <si>
    <t>Edition 4 | 2023</t>
  </si>
  <si>
    <t>https://africanmarketingconfederation.org/wp-content/uploads/2023/10/SMA_ISSUE_3_2023_FINAL-compressed_1.pdf</t>
  </si>
  <si>
    <t>Edition 3 | 2023</t>
  </si>
  <si>
    <t>https://africanmarketingconfederation.org/wp-content/uploads/2023/06/SMA-Issue-2-2023-Digital-Edition-Final-1.pdf</t>
  </si>
  <si>
    <t>Edition 2 | 2023</t>
  </si>
  <si>
    <t>https://africanmarketingconfederation.org/wp-content/uploads/2023/04/SMA_ISSUE_1_2023-sml.pdf</t>
  </si>
  <si>
    <t>Edition 1 | 2023</t>
  </si>
  <si>
    <t>https://africanmarketingconfederation.org/wp-content/uploads/2022/12/Strategic-Marketing-Africa-Issue-4-2022.pdf</t>
  </si>
  <si>
    <t>Edition 4 | 2022</t>
  </si>
  <si>
    <t>https://africanmarketingconfederation.org/wp-content/uploads/2022/09/Strategic-Marketing-Africa-Issue-5-2022.pdf</t>
  </si>
  <si>
    <t>Edition 3 | 2022</t>
  </si>
  <si>
    <t>https://africanmarketingconfederation.org/wp-content/uploads/2022/06/SMA-Issue-2-2022-Digital-Edition_.pdf</t>
  </si>
  <si>
    <t>Edition 2 | 2022</t>
  </si>
  <si>
    <t>https://africanmarketingconfederation.org/wp-content/uploads/2022/04/SMA_ISSUE_1_2022_DIGITAL.pdf</t>
  </si>
  <si>
    <t>Edition 1 | 2022</t>
  </si>
  <si>
    <t>https://africanmarketingconfederation.org/wp-content/uploads/2021/12/SMA_ISSUE_2_FINAL-compressed.pdf</t>
  </si>
  <si>
    <t>Edition 2 | 2021</t>
  </si>
  <si>
    <t>https://africanmarketingconfederation.org/wp-content/uploads/2021/11/SMA_OCT_21-compressed-for-digital-Ghana-changes.pdf</t>
  </si>
  <si>
    <t>Edition 1 | 2021</t>
  </si>
  <si>
    <t>https://www.linkedin.com/in/ralf-strauss</t>
  </si>
  <si>
    <t>https://www.linkedin.com/in/dr-stephane-nwolley-16961516</t>
  </si>
  <si>
    <t>https://www.linkedin.com/in/syed-ferhat-anwar-644a694b</t>
  </si>
  <si>
    <t>https://www.linkedin.com/in/tsungie-matiure-manyeza-mcipr-acim-84810331</t>
  </si>
  <si>
    <t>https://gh.linkedin.com/in/gilbert-abeiku-aggrey</t>
  </si>
  <si>
    <t>https://www.linkedin.com/in/emuron-alemu-a3a96130</t>
  </si>
  <si>
    <t>https://www.linkedin.com/in/moky-makura-04b64a1</t>
  </si>
  <si>
    <t>https://www.linkedin.com/in/susan-nsibirwa-mcim-mba-79398314</t>
  </si>
  <si>
    <t>https://www.linkedin.com/in/philipkotler</t>
  </si>
  <si>
    <t>https://www.suss.edu.sg/about-suss/faculty-and-staff/detail/jimmy-wong</t>
  </si>
  <si>
    <t>https://www.linkedin.com/in/prof-emmanuel-chao-36b60521</t>
  </si>
  <si>
    <t>https://www.linkedin.com/in/saiesh-ajudhiya-5328859a</t>
  </si>
  <si>
    <t>https://www.linkedin.com/in/john-m-129a0521</t>
  </si>
  <si>
    <t>https://www.linkedin.com/in/pluto-panoussis-68699325</t>
  </si>
  <si>
    <t>https://www.linkedin.com/in/dr-ruth-b-ncube-aa46b582</t>
  </si>
  <si>
    <t>https://www.linkedin.com/in/daniel-oseman-398050171</t>
  </si>
  <si>
    <t>https://www.linkedin.com/in/akofa-ata-35b6a47a</t>
  </si>
  <si>
    <t>https://www.linkedin.com/in/catherinendungu240583</t>
  </si>
  <si>
    <t>https://www.linkedin.com/in/angela-bruwer-6b3a0312</t>
  </si>
  <si>
    <t>https://www.linkedin.com/in/cynthiaoforidwumfuo</t>
  </si>
  <si>
    <t>https://www.linkedin.com/in/lucy-aitken99</t>
  </si>
  <si>
    <t>https://africanmarketingconfederation.org/amc-relaunch-recordings</t>
  </si>
  <si>
    <t>WATCH NOW</t>
  </si>
  <si>
    <t>https://africanmarketingconfederation.org/amc-conference-2022/%20</t>
  </si>
  <si>
    <t>Conference Book Now</t>
  </si>
  <si>
    <t>https://africanmarketingconfederation.org/publications-2/%20</t>
  </si>
  <si>
    <t>A must read for all marketers The 2nd edition of the Strategic Marketing for Africa magazine is now available. Read Now</t>
  </si>
  <si>
    <t>conference Book Now</t>
  </si>
  <si>
    <t>https://africanmarketingconfederation.org/test-payment-gate?add-to-cart=26874</t>
  </si>
  <si>
    <t>https://africanmarketingconfederation.org/test-payment-gate?add-to-cart=26189</t>
  </si>
  <si>
    <t>https://africanmarketingconfederation.org/test-payment-gate?add-to-cart=26182</t>
  </si>
  <si>
    <t>https://africanmarketingconfederation.org/test-payment-gate?add-to-cart=26055</t>
  </si>
  <si>
    <t>https://sauti.zohobackstage.com/amc-event</t>
  </si>
  <si>
    <t>Buy Tickets</t>
  </si>
  <si>
    <t>https://africanmarketingconfederation.org/amc-conference-2024-payments</t>
  </si>
  <si>
    <t>View Packages</t>
  </si>
  <si>
    <t>https://amcmarketingconference22.com/</t>
  </si>
  <si>
    <t>More Info</t>
  </si>
  <si>
    <t>Image Count</t>
  </si>
  <si>
    <t>Images</t>
  </si>
  <si>
    <t>Images Missing Alt</t>
  </si>
  <si>
    <t>Image Extension Distribution</t>
  </si>
  <si>
    <t>Likely Large Image Count</t>
  </si>
  <si>
    <t>Image On Canonical Domain (%)</t>
  </si>
  <si>
    <t>Mixed Content Detected</t>
  </si>
  <si>
    <t>/wp-content/plugins/gtranslate/flags/svg/en.svg | 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https://africanmarketingconfederation.org/wp-content/uploads/2026/04/30-April-Marketing-Awards-300x133.jpg | https://africanmarketingconfederation.org/wp-content/uploads/2026/04/30-April-Supply-Chain-300x200.jpg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</si>
  <si>
    <t>jpg:4, other:2, png:26, svg:3, webp:1</t>
  </si>
  <si>
    <t>/wp-content/plugins/gtranslate/flags/svg/en.svg | 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</si>
  <si>
    <t>other:2, png:19,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</si>
  <si>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</si>
  <si>
    <t>jpg:1, other:2, png:20, svg:3</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</si>
  <si>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</si>
  <si>
    <t>jpg:11, other:2, png:27, svg:4</t>
  </si>
  <si>
    <t>/wp-content/plugins/gtranslate/flags/svg/en.svg | 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</si>
  <si>
    <t>other:2, png:4, svg:3</t>
  </si>
  <si>
    <t>/wp-content/plugins/gtranslate/flags/svg/en.svg | 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</si>
  <si>
    <t>other:2, png:11,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</si>
  <si>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</si>
  <si>
    <t>jpg:6, other:2, png:3, svg:3</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</si>
  <si>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</si>
  <si>
    <t>gif:1, jpg:23, other:2, png:12, svg:4</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</si>
  <si>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</si>
  <si>
    <t>other:2, png:1,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</si>
  <si>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</si>
  <si>
    <t>jpg:2, other:2, png:4, svg:3</t>
  </si>
  <si>
    <t>/wp-content/plugins/gtranslate/flags/svg/en.svg | https://www.facebook.com/tr?id=1795315120651843&amp;ev=PageView&amp;noscript=1 | https://www.facebook.com/tr?id=1795315120651843&amp;ev=PageView&amp;noscript=1&amp;cd%5Bpage_title%5D=Book+Now+%7C+Thank+you&amp;cd%5Bpost_type%5D=page&amp;cd%5Bpost_id%5D=12497&amp;cd%5Bplugin%5D=PixelYourSite&amp;cd%5Buser_role%5D=guest&amp;cd%5Bevent_url%5D=africanmarketingconfederation.org%2Famc-conference-2023%2Fbook-now-thank-you%2F</t>
  </si>
  <si>
    <t>other:2, svg:1</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</si>
  <si>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Book+Now&amp;cd%5Bpost_type%5D=page&amp;cd%5Bpost_id%5D=12407&amp;cd%5Bplugin%5D=PixelYourSite&amp;cd%5Buser_role%5D=guest&amp;cd%5Bevent_url%5D=africanmarketingconfederation.org%2Famc-conference-2023%2Fbook-now%2F</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</si>
  <si>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https://africanmarketingconfederation.org/wp-content/uploads/2023/08/Prospectus-Cover.png | https://www.facebook.com/tr?id=1795315120651843&amp;ev=PageView&amp;noscript=1 | https://www.facebook.com/tr?id=1795315120651843&amp;ev=PageView&amp;noscript=1&amp;cd%5Bpage_title%5D=Download+Prospectus&amp;cd%5Bpost_type%5D=page&amp;cd%5Bpost_id%5D=13098&amp;cd%5Bplugin%5D=PixelYourSite&amp;cd%5Buser_role%5D=guest&amp;cd%5Bevent_url%5D=africanmarketingconfederation.org%2Famc-conference-2023%2Fdownload-prospectus%2F</t>
  </si>
  <si>
    <t>other:2, png:2, svg:4</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</si>
  <si>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Gallery&amp;cd%5Bpost_type%5D=page&amp;cd%5Bpost_id%5D=13549&amp;cd%5Bplugin%5D=PixelYourSite&amp;cd%5Buser_role%5D=guest&amp;cd%5Bevent_url%5D=africanmarketingconfederation.org%2Famc-conference-2023%2Fgallery%2F</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</si>
  <si>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https://africanmarketingconfederation.org/wp-content/uploads/2023/06/IMM-Logo-2022_IMM_primary_horizontal.png | https://africanmarketingconfederation.org/wp-content/uploads/2023/06/Institute-of-Marketing-in-Malawi.png | https://africanmarketingconfederation.org/wp-content/uploads/2023/08/Afro-Mobile-Logo.png | https://africanmarketingconfederation.org/wp-content/uploads/2023/08/CIMDescriptor_blue-1.jpg | https://africanmarketingconfederation.org/wp-content/uploads/2023/08/Cocreate-LOGO-1024x409.png | https://africanmarketingconfederation.org/wp-content/uploads/2023/08/DVI-Pngs-02-11-1024x1024.png | https://africanmarketingconfederation.org/wp-content/uploads/2023/08/Multichoice-Uganda-Logo.png | https://africanmarketingconfederation.org/wp-content/uploads/2023/08/Next-Com-1.png | https://africanmarketingconfederation.org/wp-content/uploads/2023/08/PostBank-Logo-2-1024x229.png | https://africanmarketingconfederation.org/wp-content/uploads/2023/08/PostBank-Logo-3.png | https://africanmarketingconfederation.org/wp-content/uploads/2023/08/SBU-LOGO-3D.png | https://africanmarketingconfederation.org/wp-content/uploads/2023/08/UBL.png | https://africanmarketingconfederation.org/wp-content/uploads/2023/08/nv-footer_logo.02b1d23.png | https://africanmarketingconfederation.org/wp-content/uploads/2023/08/nv-logo_red.1a0b5c1.png | https://africanmarketingconfederation.org/wp-content/uploads/2023/08/u-airlines.png | https://africanmarketingconfederation.org/wp-content/uploads/2023/08/ug-air.png | https://www.facebook.com/tr?id=1795315120651843&amp;ev=PageView&amp;noscript=1 | https://www.facebook.com/tr?id=1795315120651843&amp;ev=PageView&amp;noscript=1&amp;cd%5Bpage_title%5D=Partners&amp;cd%5Bpost_type%5D=page&amp;cd%5Bpost_id%5D=13282&amp;cd%5Bplugin%5D=PixelYourSite&amp;cd%5Buser_role%5D=guest&amp;cd%5Bevent_url%5D=africanmarketingconfederation.org%2Famc-conference-2023%2Fpartners%2F</t>
  </si>
  <si>
    <t>jpg:1, other:2, png:24,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</si>
  <si>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Programme&amp;cd%5Bpost_type%5D=page&amp;cd%5Bpost_id%5D=12945&amp;cd%5Bplugin%5D=PixelYourSite&amp;cd%5Buser_role%5D=guest&amp;cd%5Bevent_url%5D=africanmarketingconfederation.org%2Famc-conference-2023%2Fprogramme%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</si>
  <si>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https://africanmarketingconfederation.org/wp-content/uploads/2024/10/049A8252-101.JPG | https://africanmarketingconfederation.org/wp-content/uploads/2024/10/ARN_0214-scaled.jpg | https://africanmarketingconfederation.org/wp-content/uploads/2024/10/Day-2_0000_DSCF5253-185-2.png | https://africanmarketingconfederation.org/wp-content/uploads/2024/10/Day-2_0001_DSCF5204-160-2.png | https://africanmarketingconfederation.org/wp-content/uploads/2024/10/Day-2_0003_DSC09591-250-2.png | https://africanmarketingconfederation.org/wp-content/uploads/2024/10/Day-2_0004_1G2A5177-2.png | https://africanmarketingconfederation.org/wp-content/uploads/2024/10/Day-2_0005_1G2A5360-2.png | https://africanmarketingconfederation.org/wp-content/uploads/2024/10/Day-2_0007_1G2A5219-2.png | https://africanmarketingconfederation.org/wp-content/uploads/2024/10/Day-2_0009_1G2A5142-2.png | https://africanmarketingconfederation.org/wp-content/uploads/2024/10/Day-2_0010_Layer-0-2.png | https://africanmarketingconfederation.org/wp-content/uploads/2024/10/Day-3_0000_DSC09894-126.png | https://africanmarketingconfederation.org/wp-content/uploads/2024/10/Day-3_0001_DSC09777-115.png | https://africanmarketingconfederation.org/wp-content/uploads/2024/10/Day-3_0002_DSC09680-95.png | https://africanmarketingconfederation.org/wp-content/uploads/2024/10/Day-3_0003_DSC00164-145.png | https://africanmarketingconfederation.org/wp-content/uploads/2024/10/Day-3_0004_DSC00113-142.png | https://africanmarketingconfederation.org/wp-content/uploads/2024/10/Day-3_0005_DSC00076-138.png | https://africanmarketingconfederation.org/wp-content/uploads/2024/10/Day-3_0006_DSC00182-146.png | https://africanmarketingconfederation.org/wp-content/uploads/2024/10/Day-3_0007_ARN_0180.png | https://africanmarketingconfederation.org/wp-content/uploads/2024/10/Day-3_0008_DSCF5297.png | https://africanmarketingconfederation.org/wp-content/uploads/2024/10/Day-3_0009_DSCF5292.png | https://africanmarketingconfederation.org/wp-content/uploads/2024/10/Day-3_0010_ARN_0431.png | https://africanmarketingconfederation.org/wp-content/uploads/2024/10/Day-3_0011_ARN_0352.png | https://africanmarketingconfederation.org/wp-content/uploads/2024/10/Day-3_0012_DSCF5354.png | https://africanmarketingconfederation.org/wp-content/uploads/2024/10/Day-3_0013_Layer-1.png | https://africanmarketingconfederation.org/wp-content/uploads/2024/10/Day1-_0000_DSCF4792.png | https://africanmarketingconfederation.org/wp-content/uploads/2024/10/Day1-_0001_ARN_7889.png | https://africanmarketingconfederation.org/wp-content/uploads/2024/10/Day1-_0002_ARN_7862.png | https://africanmarketingconfederation.org/wp-content/uploads/2024/10/Day1-_0003_ARN_7843.png | https://africanmarketingconfederation.org/wp-content/uploads/2024/10/Day1-_0004_ARN_7789.png | https://africanmarketingconfederation.org/wp-content/uploads/2024/10/Day1-_0005_ARN_7734.png | https://africanmarketingconfederation.org/wp-content/uploads/2024/10/Day1-_0006_ARN_7686.png | https://africanmarketingconfederation.org/wp-content/uploads/2024/10/Day1-_0007_1G2A4181.png | https://africanmarketingconfederation.org/wp-content/uploads/2024/10/Day1-_0008_1G2A4096.png | https://africanmarketingconfederation.org/wp-content/uploads/2024/10/Day1-_0009_1G2A4073.png | https://africanmarketingconfederation.org/wp-content/uploads/2024/10/Day1-_0010_1G2A3996.png | https://africanmarketingconfederation.org/wp-content/uploads/2024/10/Day1-_0011_DSC09082.png | https://africanmarketingconfederation.org/wp-content/uploads/2024/10/Day1-_0012_Layer-0.png | https://africanmarketingconfederation.org/wp-content/uploads/2024/10/Ghana-winners-826x1024.png | https://africanmarketingconfederation.org/wp-content/uploads/2024/10/Night-1_0000_1G2A5053.png | https://africanmarketingconfederation.org/wp-content/uploads/2024/10/Night-1_0001_1G2A4944.png | https://africanmarketingconfederation.org/wp-content/uploads/2024/10/Night-1_0002_1G2A4823.png | https://africanmarketingconfederation.org/wp-content/uploads/2024/10/Night-1_0003_1G2A4743.png | https://africanmarketingconfederation.org/wp-content/uploads/2024/10/Night-1_0004_1G2A4664.png | https://africanmarketingconfederation.org/wp-content/uploads/2024/10/Night-1_0005_Layer-0.png | https://africanmarketingconfederation.org/wp-content/uploads/2024/10/Night-2_0000_ARN_9619-1.png | https://africanmarketingconfederation.org/wp-content/uploads/2024/10/Night-2_0001_ARN_9332-1.png | https://africanmarketingconfederation.org/wp-content/uploads/2024/10/Night-2_0002_ARN_9303-1.png | https://africanmarketingconfederation.org/wp-content/uploads/2024/10/Night-2_0003_ARN_9225-1.png | https://africanmarketingconfederation.org/wp-content/uploads/2024/10/Night-2_0004_Layer-0-1.png | https://africanmarketingconfederation.org/wp-content/uploads/2025/05/AMC-Map-2025.png | https://www.facebook.com/tr?id=1795315120651843&amp;ev=PageView&amp;noscript=1 | https://www.facebook.com/tr?id=1795315120651843&amp;ev=PageView&amp;noscript=1&amp;cd%5Bpage_title%5D=AMC+Conference+2024+Recap&amp;cd%5Bpost_type%5D=page&amp;cd%5Bpost_id%5D=22401&amp;cd%5Bplugin%5D=PixelYourSite&amp;cd%5Buser_role%5D=guest&amp;cd%5Bevent_url%5D=africanmarketingconfederation.org%2Famc-conference-2024-recap%2F</t>
  </si>
  <si>
    <t>jpg:2, other:2, png:79,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</si>
  <si>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https://africanmarketingconfederation.org/wp-content/uploads/2023/08/Juliet-Ziswa-1-1.jpg | https://africanmarketingconfederation.org/wp-content/uploads/2023/08/Kin-Kariisa.png | https://africanmarketingconfederation.org/wp-content/uploads/2023/08/Matongo-Matamwandi.png | https://africanmarketingconfederation.org/wp-content/uploads/2023/08/Nondumiso-Ngobese-Mabece.png | https://africanmarketingconfederation.org/wp-content/uploads/2023/08/Pheodor-Mundia.jpg | https://africanmarketingconfederation.org/wp-content/uploads/2023/08/Philbert-Julai-Mdindi.png | https://africanmarketingconfederation.org/wp-content/uploads/2023/08/Prof-Robert-Ebo-Hanson.png | https://africanmarketingconfederation.org/wp-content/uploads/2023/08/Siham-Malek.png | https://africanmarketingconfederation.org/wp-content/uploads/2023/08/Yaw-Nsarkoh.png | https://www.facebook.com/tr?id=1795315120651843&amp;ev=PageView&amp;noscript=1 | https://www.facebook.com/tr?id=1795315120651843&amp;ev=PageView&amp;noscript=1&amp;cd%5Bpage_title%5D=Speakers&amp;cd%5Bpost_type%5D=page&amp;cd%5Bpost_id%5D=13179&amp;cd%5Bplugin%5D=PixelYourSite&amp;cd%5Buser_role%5D=guest&amp;cd%5Bevent_url%5D=africanmarketingconfederation.org%2Famc-conference-2023%2Fspeakers%2F</t>
  </si>
  <si>
    <t>jpg:5, other:2, png:9, svg:3</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</si>
  <si>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https://africanmarketingconfederation.org/wp-content/uploads/2025/05/Conference-only-package-2.png | https://africanmarketingconfederation.org/wp-content/uploads/2025/05/Day-attendance-1.png | https://africanmarketingconfederation.org/wp-content/uploads/2025/05/Full-conference-La-palm-resort-1.png | https://africanmarketingconfederation.org/wp-content/uploads/2025/05/Full-conference-Lebadi-beach-hotel-store-Image-1.png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Sponsors+Packages&amp;cd%5Bpost_type%5D=page&amp;cd%5Bpost_id%5D=18318&amp;cd%5Bplugin%5D=PixelYourSite&amp;cd%5Buser_role%5D=guest&amp;cd%5Bevent_url%5D=africanmarketingconfederation.org%2Famc-conference-2024-sponsors-packages%2F</t>
  </si>
  <si>
    <t>jpg:1, other:2, png:20, svg:4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</si>
  <si>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https://africanmarketingconfederation.org/wp-content/uploads/2025/09/AWARDS-163-scaled.jpg | https://africanmarketingconfederation.org/wp-content/uploads/2025/09/AWARDS-28-scaled.jpg | https://africanmarketingconfederation.org/wp-content/uploads/2025/09/AWARDS-72-scaled.png | https://africanmarketingconfederation.org/wp-content/uploads/2025/09/AWARDS-99-scaled.jpg | https://africanmarketingconfederation.org/wp-content/uploads/2025/09/BP-2-scaled.webp | https://africanmarketingconfederation.org/wp-content/uploads/2025/09/BP-22-scaled.webp | https://africanmarketingconfederation.org/wp-content/uploads/2025/09/BP-23-scaled.webp | https://africanmarketingconfederation.org/wp-content/uploads/2025/09/BP-6-scaled.webp | https://africanmarketingconfederation.org/wp-content/uploads/2025/09/C-EVENING-12-scaled.webp | https://africanmarketingconfederation.org/wp-content/uploads/2025/09/C-EVENING-27-scaled.webp | https://africanmarketingconfederation.org/wp-content/uploads/2025/09/C-EVENING-5-scaled.webp | https://africanmarketingconfederation.org/wp-content/uploads/2025/09/C-EVENING-9-scaled.webp | https://africanmarketingconfederation.org/wp-content/uploads/2025/09/DAY-1-54-scaled.webp | https://africanmarketingconfederation.org/wp-content/uploads/2025/09/DAY-1-55-scaled.png | https://africanmarketingconfederation.org/wp-content/uploads/2025/09/DAY-1-56-scaled.webp | https://africanmarketingconfederation.org/wp-content/uploads/2025/09/DAY-1-57-scaled.webp | https://africanmarketingconfederation.org/wp-content/uploads/2025/09/DAY-1-58-1-scaled.png | https://africanmarketingconfederation.org/wp-content/uploads/2025/09/DAY-1-59-scaled.png | https://africanmarketingconfederation.org/wp-content/uploads/2025/09/DAY-1-63-scaled.webp | https://africanmarketingconfederation.org/wp-content/uploads/2025/09/DAY-1-66-scaled.webp | https://africanmarketingconfederation.org/wp-content/uploads/2025/09/DAY-1-67-scaled.webp | https://africanmarketingconfederation.org/wp-content/uploads/2025/09/DAY-1-68-scaled.png | https://africanmarketingconfederation.org/wp-content/uploads/2025/09/DAY-2-12-scaled.webp | https://africanmarketingconfederation.org/wp-content/uploads/2025/09/DAY-2-14-scaled.webp | https://africanmarketingconfederation.org/wp-content/uploads/2025/09/DAY-2-15-scaled.webp | https://africanmarketingconfederation.org/wp-content/uploads/2025/09/DAY-2-16-scaled.webp | https://africanmarketingconfederation.org/wp-content/uploads/2025/09/DAY-2-19-scaled.png | https://africanmarketingconfederation.org/wp-content/uploads/2025/09/DAY-2-22-scaled.png | https://africanmarketingconfederation.org/wp-content/uploads/2025/09/DAY-2-25-scaled.webp | https://africanmarketingconfederation.org/wp-content/uploads/2025/09/DAY-2-26-scaled.webp | https://africanmarketingconfederation.org/wp-content/uploads/2025/09/DAY-2-31-scaled.png | https://africanmarketingconfederation.org/wp-content/uploads/2025/09/DAY-2-32-scaled.png | https://africanmarketingconfederation.org/wp-content/uploads/2025/09/DAY-2-33-scaled.webp | https://africanmarketingconfederation.org/wp-content/uploads/2025/09/DAY-2-38-scaled.png | https://africanmarketingconfederation.org/wp-content/uploads/2025/09/DAY-2-40-scaled.png | https://africanmarketingconfederation.org/wp-content/uploads/2025/09/DAY-2-42-scaled.webp | https://africanmarketingconfederation.org/wp-content/uploads/2025/09/DAY-2-45-scaled.webp | https://africanmarketingconfederation.org/wp-content/uploads/2025/09/DAY-2-57-scaled.webp | https://africanmarketingconfederation.org/wp-content/uploads/2025/09/DAY-2-60-scaled.webp | https://africanmarketingconfederation.org/wp-content/uploads/2025/09/DAY-2-61-scaled.webp | https://africanmarketingconfederation.org/wp-content/uploads/2025/09/DAY-2-68-scaled.png | https://africanmarketingconfederation.org/wp-content/uploads/2025/09/DAY-2-71-scaled.png | https://africanmarketingconfederation.org/wp-content/uploads/2025/09/DAY-2-74-scaled.webp | https://africanmarketingconfederation.org/wp-content/uploads/2025/09/DAY-2-75-scaled.webp | https://africanmarketingconfederation.org/wp-content/uploads/2025/09/DAY-2-79-scaled.webp | https://africanmarketingconfederation.org/wp-content/uploads/2025/09/DAY-2-80-scaled.webp | https://africanmarketingconfederation.org/wp-content/uploads/2025/09/DAY-2-84-scaled.png | https://africanmarketingconfederation.org/wp-content/uploads/2025/09/DAY-2-87-scaled.webp | https://africanmarketingconfederation.org/wp-content/uploads/2025/09/DAY-2-90-scaled.webp | https://africanmarketingconfederation.org/wp-content/uploads/2025/09/DAY-2-95-scaled.png | https://africanmarketingconfederation.org/wp-content/uploads/2025/09/DSC05469-scaled.png | https://africanmarketingconfederation.org/wp-content/uploads/2025/09/DSC05473-scaled.png | https://africanmarketingconfederation.org/wp-content/uploads/2025/09/DSC06728-1-scaled.png | https://africanmarketingconfederation.org/wp-content/uploads/2025/09/DSC06743-scaled.webp | https://africanmarketingconfederation.org/wp-content/uploads/2025/09/DSC06746-scaled.png | https://africanmarketingconfederation.org/wp-content/uploads/2025/09/DSC06766-scaled.png | https://africanmarketingconfederation.org/wp-content/uploads/2025/09/DSC06848-scaled.webp | https://africanmarketingconfederation.org/wp-content/uploads/2025/09/DSC06859-scaled.webp | https://africanmarketingconfederation.org/wp-content/uploads/2025/09/DSC06875-scaled.webp | https://africanmarketingconfederation.org/wp-content/uploads/2025/09/DSC06897-scaled.webp | https://africanmarketingconfederation.org/wp-content/uploads/2025/09/DSC07015-scaled.webp | https://africanmarketingconfederation.org/wp-content/uploads/2025/09/DSC07054-scaled.webp | https://africanmarketingconfederation.org/wp-content/uploads/2025/09/DSC07062-scaled.webp | https://africanmarketingconfederation.org/wp-content/uploads/2025/09/DSC07115-scaled.webp | https://africanmarketingconfederation.org/wp-content/uploads/2025/09/DSC07126-scaled.webp | https://africanmarketingconfederation.org/wp-content/uploads/2025/09/DSC07164-scaled.png | https://africanmarketingconfederation.org/wp-content/uploads/2025/09/DSC07175-scaled.webp | https://africanmarketingconfederation.org/wp-content/uploads/2025/09/DSC07187-scaled.webp | https://africanmarketingconfederation.org/wp-content/uploads/2025/10/AWARDS-57-1.jpg | https://africanmarketingconfederation.org/wp-content/uploads/2025/10/DAY-2-36.jpg | https://africanmarketingconfederation.org/wp-content/uploads/2025/10/DAY-2-92-1024x683.jpg | https://africanmarketingconfederation.org/wp-content/uploads/2025/10/DAY-3-60.jpg | https://africanmarketingconfederation.org/wp-content/uploads/2025/10/DAY-3-62.jpg | https://africanmarketingconfederation.org/wp-content/uploads/2025/10/DAY-3-63.jpg | https://africanmarketingconfederation.org/wp-content/uploads/2025/10/DAY-3-65.jpg | https://africanmarketingconfederation.org/wp-content/uploads/2025/10/DSC05161-scaled.jpg | https://africanmarketingconfederation.org/wp-content/uploads/2025/10/DSC05170.JPG | https://africanmarketingconfederation.org/wp-content/uploads/2025/10/DSC05182.JPG | https://africanmarketingconfederation.org/wp-content/uploads/2025/10/DSC05227.JPG | https://africanmarketingconfederation.org/wp-content/uploads/2025/10/DSC05273-scaled.jpg | https://africanmarketingconfederation.org/wp-content/uploads/2025/10/DSC05278.JPG | https://africanmarketingconfederation.org/wp-content/uploads/2025/10/DSC06408-1-scaled.jpg | https://africanmarketingconfederation.org/wp-content/uploads/2025/10/DSC06415-scaled.png | https://africanmarketingconfederation.org/wp-content/uploads/2025/10/DSC06483-scaled.jpg | https://africanmarketingconfederation.org/wp-content/uploads/2025/10/DSC06492-scaled.jpg | https://africanmarketingconfederation.org/wp-content/uploads/2025/10/DSC06818.JPG | https://africanmarketingconfederation.org/wp-content/uploads/2025/10/DSC06925.png | https://africanmarketingconfederation.org/wp-content/uploads/2025/10/logo_zim_site-fav.png | https://www.facebook.com/tr?id=1795315120651843&amp;ev=PageView&amp;noscript=1 | https://www.facebook.com/tr?id=1795315120651843&amp;ev=PageView&amp;noscript=1&amp;cd%5Bpage_title%5D=AMC+Conference+2025+Highlights&amp;cd%5Bpost_type%5D=page&amp;cd%5Bpost_id%5D=30257&amp;cd%5Bplugin%5D=PixelYourSite&amp;cd%5Buser_role%5D=guest&amp;cd%5Bevent_url%5D=africanmarketingconfederation.org%2Famc-conference-2025-highlights%2F</t>
  </si>
  <si>
    <t>jpg:20, other:2, png:25, svg:4, webp:44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</si>
  <si>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https://africanmarketingconfederation.org/wp-content/uploads/2025/02/AMC-Form-images.png | https://africanmarketingconfederation.org/wp-content/uploads/2025/04/AMC-Woman-Laughing-out-of-joy.png | https://africanmarketingconfederation.org/wp-content/uploads/2025/04/Old-Man-with-glasses-AMC-speaker.png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https://africanmarketingconfederation.org/wp-content/uploads/2025/08/AMC-Conference-Speaker-Cynthia-Ofori-Dwumfuo.png | https://africanmarketingconfederation.org/wp-content/uploads/2025/08/AMC-Speakers-2025_Estella.png | https://africanmarketingconfederation.org/wp-content/uploads/2025/08/AMC-Speakers-2025_Jan.png | https://africanmarketingconfederation.org/wp-content/uploads/2025/08/AMC-Speakers-2025_Orla.png | https://africanmarketingconfederation.org/wp-content/uploads/2025/08/AMC-Speakers-2025_Pluto.png | https://africanmarketingconfederation.org/wp-content/uploads/2025/08/AMC-Speakers-2025_Yannick.png | https://africanmarketingconfederation.org/wp-content/uploads/2025/08/Artboard-1-1024x576.png | https://africanmarketingconfederation.org/wp-content/uploads/2025/08/Artboard-2-1024x1024.png | https://www.facebook.com/tr?id=1795315120651843&amp;ev=PageView&amp;noscript=1 | https://www.facebook.com/tr?id=1795315120651843&amp;ev=PageView&amp;noscript=1&amp;cd%5Bpage_title%5D=AMC+Conference+2025&amp;cd%5Bpost_type%5D=page&amp;cd%5Bpost_id%5D=23710&amp;cd%5Bplugin%5D=PixelYourSite&amp;cd%5Buser_role%5D=guest&amp;cd%5Bevent_url%5D=africanmarketingconfederation.org%2Famc-conference-2025%2F</t>
  </si>
  <si>
    <t>jpg:1, other:2, png:35, svg:4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</si>
  <si>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Awards+Nominations+Thank+You&amp;cd%5Bpost_type%5D=page&amp;cd%5Bpost_id%5D=33280&amp;cd%5Bplugin%5D=PixelYourSite&amp;cd%5Buser_role%5D=guest&amp;cd%5Bevent_url%5D=africanmarketingconfederation.org%2Famc-conference-2026-awards-nominations-thank-you%2F</t>
  </si>
  <si>
    <t>other:2, png:5, svg:4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</si>
  <si>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Zambia+Thank+You&amp;cd%5Bpost_type%5D=page&amp;cd%5Bpost_id%5D=22778&amp;cd%5Bplugin%5D=PixelYourSite&amp;cd%5Buser_role%5D=guest&amp;cd%5Bevent_url%5D=africanmarketingconfederation.org%2Famc-conference-2026-zambia-thank-you%2F</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</si>
  <si>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https://africanmarketingconfederation.org/wp-content/uploads/2021/08/zambia-institure-of-marketing@2x.png | https://africanmarketingconfederation.org/wp-content/uploads/2025/04/AMC-Woman-Laughing-out-of-joy.png | https://africanmarketingconfederation.org/wp-content/uploads/2025/12/Avani-Victoria-Falls-Resort-TICON-Africa-Conference-2026.jpg | https://africanmarketingconfederation.org/wp-content/uploads/2025/12/BP-6-scaled.jpg | https://africanmarketingconfederation.org/wp-content/uploads/2025/12/C-EVENING-23-scaled.jpg | https://africanmarketingconfederation.org/wp-content/uploads/2025/12/DAY-1-57-scaled.jpg | https://africanmarketingconfederation.org/wp-content/uploads/2025/12/DAY-1-63-scaled.jpg | https://africanmarketingconfederation.org/wp-content/uploads/2025/12/DAY-2-26-scaled.jpg | https://africanmarketingconfederation.org/wp-content/uploads/2025/12/DAY-2-57.jpg | https://africanmarketingconfederation.org/wp-content/uploads/2025/12/DAY-2-88.jpg | https://africanmarketingconfederation.org/wp-content/uploads/2025/12/DSC06743.JPG | https://africanmarketingconfederation.org/wp-content/uploads/2025/12/DSC07290.JPG | https://africanmarketingconfederation.org/wp-content/uploads/2025/12/DSC07613.JPG | https://africanmarketingconfederation.org/wp-content/uploads/2025/12/DSC08061.JPG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https://africanmarketingconfederation.org/wp-content/uploads/2026/02/ASCON-Logo-Light.png | https://africanmarketingconfederation.org/wp-content/uploads/2026/02/White-Logo-Full.svg | https://africanmarketingconfederation.org/wp-content/uploads/2026/03/og-image.png | https://africanmarketingconfederation.org/wp-content/uploads/2026/04/AMC-Logo-White-Horizontal.png | https://www.facebook.com/tr?id=1795315120651843&amp;ev=PageView&amp;noscript=1 | https://www.facebook.com/tr?id=1795315120651843&amp;ev=PageView&amp;noscript=1&amp;cd%5Bpage_title%5D=AMC+Conference+2026&amp;cd%5Bpost_type%5D=page&amp;cd%5Bpost_id%5D=31478&amp;cd%5Bplugin%5D=PixelYourSite&amp;cd%5Buser_role%5D=guest&amp;cd%5Bevent_url%5D=africanmarketingconfederation.org%2Famc-conference-2026%2F</t>
  </si>
  <si>
    <t>jpg:17, other:2, png:5, svg:5</t>
  </si>
  <si>
    <t>/wp-content/plugins/gtranslate/flags/svg/en.svg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HYBRID+PROGRAMME%E2%80%8B&amp;cd%5Bpost_type%5D=page&amp;cd%5Bpost_id%5D=5057&amp;cd%5Bplugin%5D=PixelYourSite&amp;cd%5Buser_role%5D=guest&amp;cd%5Bevent_url%5D=africanmarketingconfederation.org%2Famc-conference-programme%2F</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</si>
  <si>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https://africanmarketingconfederation.org/wp-content/uploads/2023/06/AfricaPro-Conference-Icon.png | https://africanmarketingconfederation.org/wp-content/uploads/2023/06/IMM-Logo-2022_IMM_primary_horizontal.png | https://africanmarketingconfederation.org/wp-content/uploads/2023/06/Institute-of-Marketing-in-Malawi.png | https://www.facebook.com/tr?id=1795315120651843&amp;ev=PageView&amp;noscript=1 | https://www.facebook.com/tr?id=1795315120651843&amp;ev=PageView&amp;noscript=1&amp;cd%5Bpage_title%5D=AMC+Conference+%7C+Thank+You&amp;cd%5Bpost_type%5D=page&amp;cd%5Bpost_id%5D=12477&amp;cd%5Bplugin%5D=PixelYourSite&amp;cd%5Buser_role%5D=guest&amp;cd%5Bevent_url%5D=africanmarketingconfederation.org%2Famc-conference-thank-you%2F</t>
  </si>
  <si>
    <t>gif:1, other:2, png:12, svg:4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</si>
  <si>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https://africanmarketingconfederation.org/wp-content/uploads/2023/09/AMC-TICON-0795.jpg | https://africanmarketingconfederation.org/wp-content/uploads/2023/09/AMC-TICON-0822.jpg | https://africanmarketingconfederation.org/wp-content/uploads/2023/09/AMC-TICON-1161.jpg | https://africanmarketingconfederation.org/wp-content/uploads/2023/09/AMC-Ticon-00588.jpg | https://africanmarketingconfederation.org/wp-content/uploads/2023/09/AMC-Ticon-01254.jpg | https://africanmarketingconfederation.org/wp-content/uploads/2023/09/AMC-Ticon-01263.jpg | https://africanmarketingconfederation.org/wp-content/uploads/2023/09/AMC-Ticon-01530.jpg | https://africanmarketingconfederation.org/wp-content/uploads/2023/09/AMC-Ticon-01566.jpg | https://africanmarketingconfederation.org/wp-content/uploads/2023/09/AMC-Ticon-01616.jpg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https://africanmarketingconfederation.org/wp-content/uploads/2024/03/TICON-AFRICA-MAn-518x1024.png | https://africanmarketingconfederation.org/wp-content/uploads/2024/04/AMC-Website-Elements-3-2-819x1024.png | https://africanmarketingconfederation.org/wp-content/uploads/2024/04/AMC-Website-Elements-6.png | https://africanmarketingconfederation.org/wp-content/uploads/2024/04/culinary-gallery1.jpg | https://africanmarketingconfederation.org/wp-content/uploads/2024/04/culinary-gallery11.jpg | https://africanmarketingconfederation.org/wp-content/uploads/2024/04/experiences-gallery5.jpg | https://africanmarketingconfederation.org/wp-content/uploads/2024/04/experiences-gallery7.jpg | https://africanmarketingconfederation.org/wp-content/uploads/2024/04/meeting-and-event-gallery13.jpg | https://africanmarketingconfederation.org/wp-content/uploads/2024/04/meeting-and-event-gallery23.jpg | https://africanmarketingconfederation.org/wp-content/uploads/2024/04/meeting-and-event-gallery26.jpg | https://africanmarketingconfederation.org/wp-content/uploads/2024/04/meeting-and-event-gallery4.jpg | https://africanmarketingconfederation.org/wp-content/uploads/2024/04/room-gallery16.jpg | https://africanmarketingconfederation.org/wp-content/uploads/2024/04/room-gallery2.jpg | https://africanmarketingconfederation.org/wp-content/uploads/2024/05/Untitled-2.png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https://africanmarketingconfederation.org/wp-content/uploads/2024/09/TICON-Africa-Coference-Flight-Partner-Ethiopian-Airlines-1.png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Mombasa&amp;cd%5Bpost_type%5D=page&amp;cd%5Bpost_id%5D=21958&amp;cd%5Bplugin%5D=PixelYourSite&amp;cd%5Buser_role%5D=guest&amp;cd%5Bevent_url%5D=africanmarketingconfederation.org%2Famc-forum-mombasa%2F</t>
  </si>
  <si>
    <t>jpg:23, other:2, png:51, svg:4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</si>
  <si>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Payments&amp;cd%5Bpost_type%5D=page&amp;cd%5Bpost_id%5D=21984&amp;cd%5Bplugin%5D=PixelYourSite&amp;cd%5Buser_role%5D=guest&amp;cd%5Bevent_url%5D=africanmarketingconfederation.org%2Famc-forum-payments%2F</t>
  </si>
  <si>
    <t>jpg:1, other:2, png:16, svg:4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</si>
  <si>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Launch+Event+Zambia+Thank+You+2026&amp;cd%5Bpost_type%5D=page&amp;cd%5Bpost_id%5D=33131&amp;cd%5Bplugin%5D=PixelYourSite&amp;cd%5Buser_role%5D=guest&amp;cd%5Bevent_url%5D=africanmarketingconfederation.org%2Famc-launch-event-zambia-thank-you-2026%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</si>
  <si>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https://africanmarketingconfederation.org/wp-content/uploads/2023/09/AMC-TICON-0795.jpg | https://africanmarketingconfederation.org/wp-content/uploads/2023/09/AMC-TICON-0822.jpg | https://africanmarketingconfederation.org/wp-content/uploads/2023/09/AMC-TICON-1161.jpg | https://africanmarketingconfederation.org/wp-content/uploads/2023/09/AMC-Ticon-00588.jpg | https://africanmarketingconfederation.org/wp-content/uploads/2023/09/AMC-Ticon-01254.jpg | https://africanmarketingconfederation.org/wp-content/uploads/2023/09/AMC-Ticon-01263.jpg | https://africanmarketingconfederation.org/wp-content/uploads/2023/09/AMC-Ticon-01530.jpg | https://africanmarketingconfederation.org/wp-content/uploads/2023/09/AMC-Ticon-01566.jpg | https://africanmarketingconfederation.org/wp-content/uploads/2023/09/AMC-Ticon-01616.jpg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https://africanmarketingconfederation.org/wp-content/uploads/2024/03/TICON-AFRICA-MAn-518x1024.png | https://africanmarketingconfederation.org/wp-content/uploads/2024/04/AMC-Website-Elements-3-2-819x1024.png | https://africanmarketingconfederation.org/wp-content/uploads/2024/04/AMC-Website-Elements-6.png | https://africanmarketingconfederation.org/wp-content/uploads/2024/04/culinary-gallery1.jpg | https://africanmarketingconfederation.org/wp-content/uploads/2024/04/culinary-gallery11.jpg | https://africanmarketingconfederation.org/wp-content/uploads/2024/04/experiences-gallery5.jpg | https://africanmarketingconfederation.org/wp-content/uploads/2024/04/experiences-gallery7.jpg | https://africanmarketingconfederation.org/wp-content/uploads/2024/04/meeting-and-event-gallery13.jpg | https://africanmarketingconfederation.org/wp-content/uploads/2024/04/meeting-and-event-gallery23.jpg | https://africanmarketingconfederation.org/wp-content/uploads/2024/04/meeting-and-event-gallery26.jpg | https://africanmarketingconfederation.org/wp-content/uploads/2024/04/meeting-and-event-gallery4.jpg | https://africanmarketingconfederation.org/wp-content/uploads/2024/04/room-gallery16.jpg | https://africanmarketingconfederation.org/wp-content/uploads/2024/04/room-gallery2.jpg | https://africanmarketingconfederation.org/wp-content/uploads/2024/05/Untitled-2.png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https://africanmarketingconfederation.org/wp-content/uploads/2024/09/TICON-Africa-Coference-Flight-Partner-Ethiopian-Airlines-1.png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Mombasa&amp;cd%5Bpost_type%5D=page&amp;cd%5Bpost_id%5D=21958&amp;cd%5Bplugin%5D=PixelYourSite&amp;cd%5Buser_role%5D=guest&amp;cd%5Bevent_url%5D=africanmarketingconfederation.org%2Famc-forum-mombasa%2F</t>
  </si>
  <si>
    <t>jpg:23, other:2, png:51, svg:3</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</si>
  <si>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Conference+2025+Ghana+Sponsors&amp;cd%5Bpost_type%5D=page&amp;cd%5Bpost_id%5D=25857&amp;cd%5Bplugin%5D=PixelYourSite&amp;cd%5Buser_role%5D=guest&amp;cd%5Bevent_url%5D=africanmarketingconfederation.org%2Famc-marketing-conference-2024%2Famc-conference-2025-ghana-sponsors%2F</t>
  </si>
  <si>
    <t>other:2, png:1, svg:4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</si>
  <si>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https://africanmarketingconfederation.org/wp-content/uploads/2025/04/AMC-people-shaking-hands.png | https://www.facebook.com/tr?id=1795315120651843&amp;ev=PageView&amp;noscript=1 | https://www.facebook.com/tr?id=1795315120651843&amp;ev=PageView&amp;noscript=1&amp;cd%5Bpage_title%5D=AMC+Launch+Event+2025&amp;cd%5Bpost_type%5D=page&amp;cd%5Bpost_id%5D=25788&amp;cd%5Bplugin%5D=PixelYourSite&amp;cd%5Buser_role%5D=guest&amp;cd%5Bevent_url%5D=africanmarketingconfederation.org%2Famc-marketing-conference-2024%2Famc-launch-event-2025%2F</t>
  </si>
  <si>
    <t>other:2, png:13, svg:4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</si>
  <si>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AMC+Preregister+2025&amp;cd%5Bpost_type%5D=page&amp;cd%5Bpost_id%5D=26290&amp;cd%5Bplugin%5D=PixelYourSite&amp;cd%5Buser_role%5D=guest&amp;cd%5Bevent_url%5D=africanmarketingconfederation.org%2Famc-marketing-conference-2024%2Famc-preregister-2025%2F</t>
  </si>
  <si>
    <t>other:2, png:12, svg:4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</si>
  <si>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Programme+2025&amp;cd%5Bpost_type%5D=page&amp;cd%5Bpost_id%5D=24882&amp;cd%5Bplugin%5D=PixelYourSite&amp;cd%5Buser_role%5D=guest&amp;cd%5Bevent_url%5D=africanmarketingconfederation.org%2Famc-marketing-conference-2024%2Famc-programme-2025%2F</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</si>
  <si>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peakers+presentations+2024&amp;cd%5Bpost_type%5D=page&amp;cd%5Bpost_id%5D=22595&amp;cd%5Bplugin%5D=PixelYourSite&amp;cd%5Buser_role%5D=guest&amp;cd%5Bevent_url%5D=africanmarketingconfederation.org%2Famc-marketing-conference-2024%2Famc-speakers-presentations-2024%2F</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</si>
  <si>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https://africanmarketingconfederation.org/wp-content/uploads/2024/03/AMC-Website-Elements-2-1-819x1024.png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https://africanmarketingconfederation.org/wp-content/uploads/2025/07/Charity.png | https://africanmarketingconfederation.org/wp-content/uploads/2025/07/charity-Icon.png | https://www.facebook.com/tr?id=1795315120651843&amp;ev=PageView&amp;noscript=1 | https://www.facebook.com/tr?id=1795315120651843&amp;ev=PageView&amp;noscript=1&amp;cd%5Bpage_title%5D=Awards+2025&amp;cd%5Bpost_type%5D=page&amp;cd%5Bpost_id%5D=29496&amp;cd%5Bplugin%5D=PixelYourSite&amp;cd%5Buser_role%5D=guest&amp;cd%5Bevent_url%5D=africanmarketingconfederation.org%2Famc-marketing-conference-2024%2Fawards-2025%2F</t>
  </si>
  <si>
    <t>other:2, png:18, svg:4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</si>
  <si>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https://africanmarketingconfederation.org/wp-content/uploads/2024/02/Programme-2024-829x1024.png | https://africanmarketingconfederation.org/wp-content/uploads/2024/02/Programme-2024.png2-2-vd-734x1024.png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Programme+2024&amp;cd%5Bpost_type%5D=page&amp;cd%5Bpost_id%5D=16104&amp;cd%5Bplugin%5D=PixelYourSite&amp;cd%5Buser_role%5D=guest&amp;cd%5Bevent_url%5D=africanmarketingconfederation.org%2Famc-marketing-conference-2024%2Fprogramme-2024%2F</t>
  </si>
  <si>
    <t>other:2, png:14, svg:4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</si>
  <si>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https://africanmarketingconfederation.org/wp-content/uploads/2024/11/content-young-woman-pointing-camera-826x1024.png | https://www.facebook.com/tr?id=1795315120651843&amp;ev=PageView&amp;noscript=1 | https://www.facebook.com/tr?id=1795315120651843&amp;ev=PageView&amp;noscript=1&amp;cd%5Bpage_title%5D=Testimony+Thank+you+Page&amp;cd%5Bpost_type%5D=page&amp;cd%5Bpost_id%5D=23021&amp;cd%5Bplugin%5D=PixelYourSite&amp;cd%5Buser_role%5D=guest&amp;cd%5Bevent_url%5D=africanmarketingconfederation.org%2Famc-marketing-conference-2024%2Ftestimony-thank-you-page%2F</t>
  </si>
  <si>
    <t>/wp-content/plugins/gtranslate/flags/svg/en.svg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AMC+Masterclass+%7C+Bookings&amp;cd%5Bpost_type%5D=page&amp;cd%5Bpost_id%5D=6816&amp;cd%5Bplugin%5D=PixelYourSite&amp;cd%5Buser_role%5D=guest&amp;cd%5Bevent_url%5D=africanmarketingconfederation.org%2Famc-masterclass-bookings%2F</t>
  </si>
  <si>
    <t>/wp-content/plugins/gtranslate/flags/svg/en.svg | https://www.facebook.com/tr?id=1795315120651843&amp;ev=PageView&amp;noscript=1 | https://www.facebook.com/tr?id=1795315120651843&amp;ev=PageView&amp;noscript=1&amp;cd%5Bpage_title%5D=AMC+Masterclass+%7C+Thank+you&amp;cd%5Bpost_type%5D=page&amp;cd%5Bpost_id%5D=6822&amp;cd%5Bplugin%5D=PixelYourSite&amp;cd%5Buser_role%5D=guest&amp;cd%5Bevent_url%5D=africanmarketingconfederation.org%2Famc-masterclass-thank-you%2F</t>
  </si>
  <si>
    <t>/wp-content/plugins/gtranslate/flags/svg/en.svg | https://africanmarketingconfederation.org/wp-content/uploads/2021/08/facebook.svg | https://africanmarketingconfederation.org/wp-content/uploads/2021/08/linkedin.svg | https://africanmarketingconfederation.org/wp-content/uploads/2022/04/Adrian-Palmer.png | https://africanmarketingconfederation.org/wp-content/uploads/2026/03/og-image.png | https://www.facebook.com/tr?id=1795315120651843&amp;ev=PageView&amp;noscript=1 | https://www.facebook.com/tr?id=1795315120651843&amp;ev=PageView&amp;noscript=1&amp;cd%5Bpage_title%5D=AMC+Masterclass&amp;cd%5Bpost_type%5D=page&amp;cd%5Bpost_id%5D=6553&amp;cd%5Bplugin%5D=PixelYourSite&amp;cd%5Buser_role%5D=guest&amp;cd%5Bevent_url%5D=africanmarketingconfederation.org%2Famc-masterclass%2F</t>
  </si>
  <si>
    <t>other:2, png:2, svg:3</t>
  </si>
  <si>
    <t>/wp-content/plugins/gtranslate/flags/svg/en.svg | 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https://africanmarketingconfederation.org/wp-content/uploads/2021/09/Helen-McIntee2021a-1-copy2.jpg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https://africanmarketingconfederation.org/wp-content/uploads/2021/10/AMC-Conference-3.png | https://africanmarketingconfederation.org/wp-content/uploads/2026/03/og-image.png | https://www.facebook.com/tr?id=1795315120651843&amp;ev=PageView&amp;noscript=1 | https://www.facebook.com/tr?id=1795315120651843&amp;ev=PageView&amp;noscript=1&amp;cd%5Bpage_title%5D=AMC+RELAUNCH+-+PROGRAMME&amp;cd%5Bpost_type%5D=page&amp;cd%5Bpost_id%5D=4492&amp;cd%5Bplugin%5D=PixelYourSite&amp;cd%5Buser_role%5D=guest&amp;cd%5Bevent_url%5D=africanmarketingconfederation.org%2Famc-relaunch-programme%2F</t>
  </si>
  <si>
    <t>jpg:1, other:2, png:15, svg:3</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</si>
  <si>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ign+up+now+Form+2025&amp;cd%5Bpost_type%5D=page&amp;cd%5Bpost_id%5D=23001&amp;cd%5Bplugin%5D=PixelYourSite&amp;cd%5Buser_role%5D=guest&amp;cd%5Bevent_url%5D=africanmarketingconfederation.org%2Famc-sign-up-now-form-2025%2F</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</si>
  <si>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https://africanmarketingconfederation.org/wp-content/uploads/2025/04/AMC-Speaker-2025-Woman-holding-Mic.png | https://africanmarketingconfederation.org/wp-content/uploads/2025/04/Sponsor-word-AMC-1024x200.png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https://africanmarketingconfederation.org/wp-content/uploads/2025/08/MTN-Ghana-Logo-1024x725.png | https://africanmarketingconfederation.org/wp-content/uploads/2025/08/UiPath-Logo-1.png | https://www.facebook.com/tr?id=1795315120651843&amp;ev=PageView&amp;noscript=1 | https://www.facebook.com/tr?id=1795315120651843&amp;ev=PageView&amp;noscript=1&amp;cd%5Bpage_title%5D=AMC+Sponsors+2025&amp;cd%5Bpost_type%5D=page&amp;cd%5Bpost_id%5D=21952&amp;cd%5Bplugin%5D=PixelYourSite&amp;cd%5Buser_role%5D=guest&amp;cd%5Bevent_url%5D=africanmarketingconfederation.org%2Famc-sponsors-2025%2F</t>
  </si>
  <si>
    <t>jpg:1, other:2, png:28, svg:4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</si>
  <si>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Testimony+page+2024&amp;cd%5Bpost_type%5D=page&amp;cd%5Bpost_id%5D=22679&amp;cd%5Bplugin%5D=PixelYourSite&amp;cd%5Buser_role%5D=guest&amp;cd%5Bevent_url%5D=africanmarketingconfederation.org%2Famc-testimony-page-2024%2F</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</si>
  <si>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https://africanmarketingconfederation.org/wp-content/uploads/2026/04/Awards-page-2026-scaled.png | https://www.facebook.com/tr?id=1795315120651843&amp;ev=PageView&amp;noscript=1 | https://www.facebook.com/tr?id=1795315120651843&amp;ev=PageView&amp;noscript=1&amp;cd%5Bpage_title%5D=2026+AMC+Awards-1&amp;cd%5Bpost_type%5D=page&amp;cd%5Bpost_id%5D=32554&amp;cd%5Bplugin%5D=PixelYourSite&amp;cd%5Buser_role%5D=guest&amp;cd%5Bevent_url%5D=africanmarketingconfederation.org%2Fawards-2026-1%2F</t>
  </si>
  <si>
    <t>jpg:1, other:2, png:9, svg:4</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</si>
  <si>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Awards+2026+test&amp;cd%5Bpost_type%5D=page&amp;cd%5Bpost_id%5D=34552&amp;cd%5Bplugin%5D=PixelYourSite&amp;cd%5Buser_role%5D=guest&amp;cd%5Bevent_url%5D=africanmarketingconfederation.org%2Fawards-2026-test%2F</t>
  </si>
  <si>
    <t>jpg:1, other:2, png:10, svg:4</t>
  </si>
  <si>
    <t>/wp-content/plugins/gtranslate/flags/svg/en.svg | https://africanmarketingconfederation.org/wp-content/uploads/2021/08/facebook.svg | https://africanmarketingconfederation.org/wp-content/uploads/2021/08/linkedin.svg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2026+AMC+Awards&amp;cd%5Bpost_type%5D=page&amp;cd%5Bpost_id%5D=34622&amp;cd%5Bplugin%5D=PixelYourSite&amp;cd%5Buser_role%5D=guest&amp;cd%5Bevent_url%5D=africanmarketingconfederation.org%2Fawards-2026%2F</t>
  </si>
  <si>
    <t>jpg:1, other:2, png:9, svg:3</t>
  </si>
  <si>
    <t>/wp-content/plugins/gtranslate/flags/svg/en.svg | https://africanmarketingconfederation.org/wp-content/uploads/2021/08/facebook.svg | https://africanmarketingconfederation.org/wp-content/uploads/2021/08/linkedin.svg | https://africanmarketingconfederation.org/wp-content/uploads/2025/08/african-businesswoman-tablet-portrait-online-career-report-digital-website-streaming-office-building-professional-person-smile-tech-corporate-success-internet-app-j5ob-918x1024.png | https://africanmarketingconfederation.org/wp-content/uploads/2026/03/og-image.png | https://www.facebook.com/tr?id=1795315120651843&amp;ev=PageView&amp;noscript=1 | https://www.facebook.com/tr?id=1795315120651843&amp;ev=PageView&amp;noscript=1&amp;cd%5Bpage_title%5D=Certified+Professional+Marketer+%28Africa%29&amp;cd%5Bpost_type%5D=page&amp;cd%5Bpost_id%5D=28742&amp;cd%5Bplugin%5D=PixelYourSite&amp;cd%5Buser_role%5D=guest&amp;cd%5Bevent_url%5D=africanmarketingconfederation.org%2Fcertified-professional-marketer-africa%2F</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</si>
  <si>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Final+submission+fee&amp;cd%5Bpost_type%5D=page&amp;cd%5Bpost_id%5D=20001&amp;cd%5Bplugin%5D=PixelYourSite&amp;cd%5Buser_role%5D=guest&amp;cd%5Bevent_url%5D=africanmarketingconfederation.org%2Fchartered-marketer-africa-final-submission-fee%2F</t>
  </si>
  <si>
    <t>other:2, png:3,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</si>
  <si>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Programme+fee&amp;cd%5Bpost_type%5D=page&amp;cd%5Bpost_id%5D=19980&amp;cd%5Bplugin%5D=PixelYourSite&amp;cd%5Buser_role%5D=guest&amp;cd%5Bevent_url%5D=africanmarketingconfederation.org%2Fchartered-marketer-africa-programme-fee%2F</t>
  </si>
  <si>
    <t>/wp-content/plugins/gtranslate/flags/svg/en.svg | https://africanmarketingconfederation.org/wp-content/uploads/2021/08/facebook.svg | https://africanmarketingconfederation.org/wp-content/uploads/2021/08/linkedin.svg | https://africanmarketingconfederation.org/wp-content/uploads/2022/10/AMC-2022_Website-banner-Chartered-Marketing-1024x267.png | https://africanmarketingconfederation.org/wp-content/uploads/2026/03/og-image.png | https://www.facebook.com/tr?id=1795315120651843&amp;ev=PageView&amp;noscript=1 | https://www.facebook.com/tr?id=1795315120651843&amp;ev=PageView&amp;noscript=1&amp;cd%5Bpage_title%5D=Chartered+Marketer+%28Africa%29+%7C+Thank+You&amp;cd%5Bpost_type%5D=page&amp;cd%5Bpost_id%5D=10823&amp;cd%5Bplugin%5D=PixelYourSite&amp;cd%5Buser_role%5D=guest&amp;cd%5Bevent_url%5D=africanmarketingconfederation.org%2Fchartered-marketer-africa-thank-you%2F</t>
  </si>
  <si>
    <t>/wp-content/plugins/gtranslate/flags/svg/en.svg | 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amp;cd%5Bpost_type%5D=page&amp;cd%5Bpost_id%5D=9075&amp;cd%5Bplugin%5D=PixelYourSite&amp;cd%5Buser_role%5D=guest&amp;cd%5Bevent_url%5D=africanmarketingconfederation.org%2Fchartered-marketer-africa%2F</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</si>
  <si>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https://africanmarketingconfederation.org/wp-content/uploads/2026/03/og-image.png | https://www.facebook.com/tr?id=1795315120651843&amp;ev=PageView&amp;noscript=1 | https://www.facebook.com/tr?id=1795315120651843&amp;ev=PageView&amp;noscript=1&amp;cd%5Bpage_title%5D=Cart&amp;cd%5Bpost_type%5D=page&amp;cd%5Bpost_id%5D=17908&amp;cd%5Bplugin%5D=PixelYourSite&amp;cd%5Buser_role%5D=guest&amp;cd%5Bevent_url%5D=africanmarketingconfederation.org%2Fcart%2F</t>
  </si>
  <si>
    <t>jpg:1, other:2, png:17, svg:2</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</si>
  <si>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https://africanmarketingconfederation.org/wp-content/uploads/2025/03/Enqiueries-FAQ-form-705x1024.png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Conference+FAQ+2025&amp;cd%5Bpost_type%5D=page&amp;cd%5Bpost_id%5D=24640&amp;cd%5Bplugin%5D=PixelYourSite&amp;cd%5Buser_role%5D=guest&amp;cd%5Bevent_url%5D=africanmarketingconfederation.org%2Fconference-faq-2025%2F</t>
  </si>
  <si>
    <t>jpg:1, other:2, png:17, svg:4</t>
  </si>
  <si>
    <t>/wp-content/plugins/gtranslate/flags/svg/en.svg | https://africanmarketingconfederation.org/wp-content/uploads/2021/08/facebook.svg | https://africanmarketingconfederation.org/wp-content/uploads/2021/08/linkedin.svg | https://africanmarketingconfederation.org/wp-content/uploads/2024/02/MSK-logo-1024x326-3.png | https://africanmarketingconfederation.org/wp-content/uploads/2024/03/AMC-Conference-Event-Design-2-1024x965.png | https://africanmarketingconfederation.org/wp-content/uploads/2026/03/og-image.png | https://www.facebook.com/tr?id=1795315120651843&amp;ev=PageView&amp;noscript=1 | https://www.facebook.com/tr?id=1795315120651843&amp;ev=PageView&amp;noscript=1&amp;cd%5Bpage_title%5D=Conference+Registrations+2024&amp;cd%5Bpost_type%5D=page&amp;cd%5Bpost_id%5D=16472&amp;cd%5Bplugin%5D=PixelYourSite&amp;cd%5Buser_role%5D=guest&amp;cd%5Bevent_url%5D=africanmarketingconfederation.org%2Fconference-registrations-2024%2F</t>
  </si>
  <si>
    <t>/wp-content/plugins/gtranslate/flags/svg/en.svg | https://africanmarketingconfederation.org/wp-content/uploads/2021/08/contact_us_img.jpg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Contact+Us&amp;cd%5Bpost_type%5D=page&amp;cd%5Bpost_id%5D=92&amp;cd%5Bplugin%5D=PixelYourSite&amp;cd%5Buser_role%5D=guest&amp;cd%5Bevent_url%5D=africanmarketingconfederation.org%2Fcontact-us%2F</t>
  </si>
  <si>
    <t>jpg:1, other:2, png:1, svg:3</t>
  </si>
  <si>
    <t>/wp-content/plugins/gtranslate/flags/svg/en.svg | https://africanmarketingconfederation.org/wp-content/uploads/2021/08/facebook.svg | https://africanmarketingconfederation.org/wp-content/uploads/2021/08/linkedin.svg | https://africanmarketingconfederation.org/wp-content/uploads/2024/02/AMC-conference-2024-woman-1.png | https://africanmarketingconfederation.org/wp-content/uploads/2026/03/og-image.png | https://www.facebook.com/tr?id=1795315120651843&amp;ev=PageView&amp;noscript=1 | https://www.facebook.com/tr?id=1795315120651843&amp;ev=PageView&amp;noscript=1&amp;cd%5Bpage_title%5D=Download+Brochure&amp;cd%5Bpost_type%5D=page&amp;cd%5Bpost_id%5D=18478&amp;cd%5Bplugin%5D=PixelYourSite&amp;cd%5Buser_role%5D=guest&amp;cd%5Bevent_url%5D=africanmarketingconfederation.org%2Fdownload-brochure%2F</t>
  </si>
  <si>
    <t>/wp-content/plugins/gtranslate/flags/svg/en.svg | https://africanmarketingconfederation.org/wp-content/uploads/2021/08/facebook.svg | https://africanmarketingconfederation.org/wp-content/uploads/2021/08/linkedin.svg | https://africanmarketingconfederation.org/wp-content/uploads/2024/04/AMC-Website-Elements-7-1.png | https://africanmarketingconfederation.org/wp-content/uploads/2026/03/og-image.png | https://www.facebook.com/tr?id=1795315120651843&amp;ev=PageView&amp;noscript=1 | https://www.facebook.com/tr?id=1795315120651843&amp;ev=PageView&amp;noscript=1&amp;cd%5Bpage_title%5D=Download+Prospectus+2024&amp;cd%5Bpost_type%5D=page&amp;cd%5Bpost_id%5D=19172&amp;cd%5Bplugin%5D=PixelYourSite&amp;cd%5Buser_role%5D=guest&amp;cd%5Bevent_url%5D=africanmarketingconfederation.org%2Fdownload-prospectus-2024%2F</t>
  </si>
  <si>
    <t>/wp-content/plugins/gtranslate/flags/svg/en.svg | 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Education&amp;cd%5Bpost_type%5D=page&amp;cd%5Bpost_id%5D=88&amp;cd%5Bplugin%5D=PixelYourSite&amp;cd%5Buser_role%5D=guest&amp;cd%5Bevent_url%5D=africanmarketingconfederation.org%2Feducation%2F</t>
  </si>
  <si>
    <t>/wp-content/plugins/gtranslate/flags/svg/en.svg | https://africanmarketingconfederation.org/wp-content/uploads/2021/08/facebook.svg | https://africanmarketingconfederation.org/wp-content/uploads/2021/08/linkedin.svg | https://africanmarketingconfederation.org/wp-content/uploads/2024/03/amc-people-with-lines-05-683x1024.png | https://africanmarketingconfederation.org/wp-content/uploads/2026/03/og-image.png | https://www.facebook.com/tr?id=1795315120651843&amp;ev=PageView&amp;noscript=1 | https://www.facebook.com/tr?id=1795315120651843&amp;ev=PageView&amp;noscript=1&amp;cd%5Bpage_title%5D=Thank+you+for+registering&amp;cd%5Bpost_type%5D=page&amp;cd%5Bpost_id%5D=16548&amp;cd%5Bplugin%5D=PixelYourSite&amp;cd%5Buser_role%5D=guest&amp;cd%5Bevent_url%5D=africanmarketingconfederation.org%2Felementor-16548%2F</t>
  </si>
  <si>
    <t>/wp-content/plugins/gtranslate/flags/svg/en.svg | https://africanmarketingconfederation.org/wp-content/uploads/2021/08/facebook.svg | https://africanmarketingconfederation.org/wp-content/uploads/2021/08/linkedin.svg | https://africanmarketingconfederation.org/wp-content/uploads/2024/05/Conference-Only-Package-1024x1024.png | https://africanmarketingconfederation.org/wp-content/uploads/2024/05/Full-Conference-Experience-Package-1024x1024.png | https://africanmarketingconfederation.org/wp-content/uploads/2024/05/Sarova-Whitesands-Conference-Package-1024x1024.png | https://africanmarketingconfederation.org/wp-content/uploads/2024/05/Travellers-Beach-Hotel-Conference-Package-1024x1024.png | https://africanmarketingconfederation.org/wp-content/uploads/2024/05/Virtual-Package-2-1024x1024.png | https://africanmarketingconfederation.org/wp-content/uploads/2026/03/og-image.png | https://www.facebook.com/tr?id=1795315120651843&amp;ev=PageView&amp;noscript=1 | https://www.facebook.com/tr?id=1795315120651843&amp;ev=PageView&amp;noscript=1&amp;cd%5Bpage_title%5D=Elementor+%2320341&amp;cd%5Bpost_type%5D=page&amp;cd%5Bpost_id%5D=20341&amp;cd%5Bplugin%5D=PixelYourSite&amp;cd%5Buser_role%5D=guest&amp;cd%5Bevent_url%5D=africanmarketingconfederation.org%2Felementor-20341%2F</t>
  </si>
  <si>
    <t>other:2, png:6, svg:3</t>
  </si>
  <si>
    <t>/wp-content/plugins/gtranslate/flags/svg/en.svg | https://africanmarketingconfederation.org/wp-content/uploads/2021/08/facebook.svg | https://africanmarketingconfederation.org/wp-content/uploads/2021/08/linkedin.svg | https://africanmarketingconfederation.org/wp-content/uploads/2025/09/2025-TICON-Africa-Conference-Highlights-from-Day-1-4.jpg | https://africanmarketingconfederation.org/wp-content/uploads/2025/09/2025-TICON-Africa-Conference-Highlights-from-Day-1.jpg | https://africanmarketingconfederation.org/wp-content/uploads/2025/09/2025-TICON-Africa-Conference-Highlights-from-Day-2-18.jpg | https://africanmarketingconfederation.org/wp-content/uploads/2025/09/2025-TICON-Africa-Conference-Highlights-from-Day-2-24.jpg | https://africanmarketingconfederation.org/wp-content/uploads/2025/09/2025-TICON-Africa-Conference-Highlights-from-Day-2-29.jpg | https://africanmarketingconfederation.org/wp-content/uploads/2025/09/2025-TICON-Africa-Conference-Highlights-from-Day-2-4.jpg | https://africanmarketingconfederation.org/wp-content/uploads/2025/09/2025-TICON-Africa-Conference-Highlights-from-Day-2-9.jpg | https://africanmarketingconfederation.org/wp-content/uploads/2025/09/2025-TICON-Africa-Conference-Highlights-from-Day-3-11.jpg | https://africanmarketingconfederation.org/wp-content/uploads/2025/09/2025-TICON-Africa-Conference-Highlights-from-Day-3-2.jpg | https://africanmarketingconfederation.org/wp-content/uploads/2025/09/2025-TICON-Africa-Conference-Highlights-from-Day-3-4.jpg | https://africanmarketingconfederation.org/wp-content/uploads/2025/12/2025-TICON-Africa-Conference-Highlights-from-Day-2-7.jpg | https://africanmarketingconfederation.org/wp-content/uploads/2025/12/2025-TICON-Africa-Conference-Highlights-from-Day-3-21.jpg | https://africanmarketingconfederation.org/wp-content/uploads/2025/12/Avani-Victoria-Falls-Resort-TICON-Africa-Conference-2026.jpg | https://africanmarketingconfederation.org/wp-content/uploads/2025/12/ICT-Association-of-Zambia-TICON-Africa-Primary-Member.png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https://africanmarketingconfederation.org/wp-content/uploads/2026/03/og-image.png | https://www.facebook.com/tr?id=1795315120651843&amp;ev=PageView&amp;noscript=1 | https://www.facebook.com/tr?id=1795315120651843&amp;ev=PageView&amp;noscript=1&amp;cd%5Bpage_title%5D=Elementor+%2331820&amp;cd%5Bpost_type%5D=page&amp;cd%5Bpost_id%5D=31820&amp;cd%5Bplugin%5D=PixelYourSite&amp;cd%5Buser_role%5D=guest&amp;cd%5Bevent_url%5D=africanmarketingconfederation.org%2Felementor-31820%2F</t>
  </si>
  <si>
    <t>jpg:18, other:2, png:2, svg:3</t>
  </si>
  <si>
    <t>/wp-content/plugins/gtranslate/flags/svg/en.svg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General+Enquiry+Form+-+Thank+You&amp;cd%5Bpost_type%5D=page&amp;cd%5Bpost_id%5D=5597&amp;cd%5Bplugin%5D=PixelYourSite&amp;cd%5Buser_role%5D=guest&amp;cd%5Bevent_url%5D=africanmarketingconfederation.org%2Fgeneral-enquiry-form-thank-you%2F</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</si>
  <si>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https://africanmarketingconfederation.org/wp-content/uploads/2026/02/AMC-logo-Horizontal-White.webp | https://africanmarketingconfederation.org/wp-content/uploads/2026/02/ASCON-Logo-Light.png | https://africanmarketingconfederation.org/wp-content/uploads/2026/02/White-Logo-Full.svg | https://africanmarketingconfederation.org/wp-content/uploads/2026/03/og-image.png | https://www.facebook.com/tr?id=1795315120651843&amp;ev=PageView&amp;noscript=1 | https://www.facebook.com/tr?id=1795315120651843&amp;ev=PageView&amp;noscript=1&amp;cd%5Bpage_title%5D=Launch+Event+2026+AMC+Conference&amp;cd%5Bpost_type%5D=page&amp;cd%5Bpost_id%5D=33050&amp;cd%5Bplugin%5D=PixelYourSite&amp;cd%5Buser_role%5D=guest&amp;cd%5Bevent_url%5D=africanmarketingconfederation.org%2Flaunch-event-2026-amc-conference%2F</t>
  </si>
  <si>
    <t>other:2, png:2, svg:5, webp:1</t>
  </si>
  <si>
    <t>/wp-content/plugins/gtranslate/flags/svg/en.svg | https://africanmarketingconfederation.org/wp-content/uploads/2021/08/facebook.svg | https://africanmarketingconfederation.org/wp-content/uploads/2021/08/linkedin.svg | https://africanmarketingconfederation.org/wp-content/uploads/2021/09/AMMC_-morocco-300x177.png | https://africanmarketingconfederation.org/wp-content/uploads/2021/09/Institute-of-Marketing-Ghana-300x177.png | https://africanmarketingconfederation.org/wp-content/uploads/2021/09/Institute-of-Marketing-and-Management-Mauritius-300x177.png | https://africanmarketingconfederation.org/wp-content/uploads/2021/09/Marketers-Association-of-Zimbabwe-300x177.png | https://africanmarketingconfederation.org/wp-content/uploads/2021/09/Marketing-Society-of-Kenya-300x178.png | https://africanmarketingconfederation.org/wp-content/uploads/2021/09/The-National-Institute-of-Marketing-of-Nigeria-300x177.png | https://africanmarketingconfederation.org/wp-content/uploads/2021/09/The-Zambia-Institute-of-Marketing-300x178.png | https://africanmarketingconfederation.org/wp-content/uploads/2022/08/UMS-PNG-LOGO-BLUE-300x121.png | https://africanmarketingconfederation.org/wp-content/uploads/2022/11/FB_IMG_1667309073413-298x300.jpg | https://africanmarketingconfederation.org/wp-content/uploads/2024/02/IMM-Institute-New-Logo-Blue-Horizontal.png | https://africanmarketingconfederation.org/wp-content/uploads/2024/04/Untitled-2-12-300x300.png | https://africanmarketingconfederation.org/wp-content/uploads/2024/05/TMSA-LOgo-e1626470930648.png | https://africanmarketingconfederation.org/wp-content/uploads/2024/09/Asset-3-300x223.png | https://africanmarketingconfederation.org/wp-content/uploads/2025/05/The-Marketing-Association-of-Botswana-Logo-01-1.png | https://africanmarketingconfederation.org/wp-content/uploads/2025/07/thumbnail_atpmc-nouveau--300x116.jpg | https://africanmarketingconfederation.org/wp-content/uploads/2025/12/AMCM-Logo-copy.svg | https://africanmarketingconfederation.org/wp-content/uploads/2025/12/AVIS-AVIS.png | https://africanmarketingconfederation.org/wp-content/uploads/2026/03/The-Marketing-Association-of-Botswana-Logo-01-1-1.png | https://africanmarketingconfederation.org/wp-content/uploads/2026/03/og-image.png | https://www.facebook.com/tr?id=1795315120651843&amp;ev=PageView&amp;noscript=1 | https://www.facebook.com/tr?id=1795315120651843&amp;ev=PageView&amp;noscript=1&amp;cd%5Bpage_title%5D=Members&amp;cd%5Bpost_type%5D=page&amp;cd%5Bpost_id%5D=86&amp;cd%5Bplugin%5D=PixelYourSite&amp;cd%5Buser_role%5D=guest&amp;cd%5Bevent_url%5D=africanmarketingconfederation.org%2Fmembers%2F</t>
  </si>
  <si>
    <t>jpg:2, other:2, png:16, svg:4</t>
  </si>
  <si>
    <t>/wp-content/plugins/gtranslate/flags/svg/en.svg | https://africanmarketingconfederation.org/wp-content/uploads/2021/08/facebook.svg | https://africanmarketingconfederation.org/wp-content/uploads/2021/08/linkedin.svg | https://africanmarketingconfederation.org/wp-content/uploads/2026/03/og-image.png | https://africanmarketingconfederation.org/wp-content/uploads/2026/04/21-April-Brand-Campaigns-300x169.jpg | https://africanmarketingconfederation.org/wp-content/uploads/2026/04/21-April-Executive-Appointments-300x169.jpeg | https://africanmarketingconfederation.org/wp-content/uploads/2026/04/22-April-Advertising-Awards-300x164.jpg | https://africanmarketingconfederation.org/wp-content/uploads/2026/04/22-April-Counterfeit-Goods-300x153.png | https://africanmarketingconfederation.org/wp-content/uploads/2026/04/23-April-Executive-Appointments-300x300.jpg | https://africanmarketingconfederation.org/wp-content/uploads/2026/04/23-April-Retail-Strategy-300x180.jpg | https://africanmarketingconfederation.org/wp-content/uploads/2026/04/24-April-AMC-Member-News-300x225.jpg | https://africanmarketingconfederation.org/wp-content/uploads/2026/04/24-April-Business-Strategy-300x199.jpg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https://africanmarketingconfederation.org/wp-content/uploads/2026/04/30-April-Marketing-Awards-300x133.jpg | https://africanmarketingconfederation.org/wp-content/uploads/2026/04/30-April-Supply-Chain-300x200.jpg | https://africanmarketingconfederation.org/wp-content/uploads/2026/04/SMA-Issue-1-2026-BACKGROUND-300x106.webp | https://www.facebook.com/tr?id=1795315120651843&amp;ev=PageView&amp;noscript=1 | https://www.facebook.com/tr?id=1795315120651843&amp;ev=PageView&amp;noscript=1&amp;cd%5Bpage_title%5D=News+Articles&amp;cd%5Bpost_type%5D=page&amp;cd%5Bpost_id%5D=2196&amp;cd%5Bplugin%5D=PixelYourSite&amp;cd%5Buser_role%5D=guest&amp;cd%5Bevent_url%5D=africanmarketingconfederation.org%2Fnews-articles%2F</t>
  </si>
  <si>
    <t>jpeg:1, jpg:9, other:2, png:4, svg:3, webp:1</t>
  </si>
  <si>
    <t>/wp-content/plugins/gtranslate/flags/svg/en.svg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Privacy+Policy&amp;cd%5Bpost_type%5D=page&amp;cd%5Bpost_id%5D=3&amp;cd%5Bplugin%5D=PixelYourSite&amp;cd%5Buser_role%5D=guest&amp;cd%5Bevent_url%5D=africanmarketingconfederation.org%2Fprivacy-policy%2F</t>
  </si>
  <si>
    <t>/wp-content/plugins/gtranslate/flags/svg/en.svg | https://africanmarketingconfederation.org/wp-content/uploads/2021/08/facebook.svg | https://africanmarketingconfederation.org/wp-content/uploads/2021/08/linkedin.svg | https://africanmarketingconfederation.org/wp-content/uploads/2023/01/Issue-1-2021.png | https://africanmarketingconfederation.org/wp-content/uploads/2023/01/Issue-1-2022.png | https://africanmarketingconfederation.org/wp-content/uploads/2023/01/Issue-2-2021.png | https://africanmarketingconfederation.org/wp-content/uploads/2023/01/Issue-2-2022.png | https://africanmarketingconfederation.org/wp-content/uploads/2023/01/Issue-3-2022.png | https://africanmarketingconfederation.org/wp-content/uploads/2023/01/Issue-4-2022.png | https://africanmarketingconfederation.org/wp-content/uploads/2023/04/SMA-Issue-1-2023.png | https://africanmarketingconfederation.org/wp-content/uploads/2023/06/SMA-Issue-2-2023-724x1024.png | https://africanmarketingconfederation.org/wp-content/uploads/2023/10/Cover.png | https://africanmarketingconfederation.org/wp-content/uploads/2023/12/SMA_ISSUE_4_FINAL-for-the-website-Cover-724x1024.png | https://africanmarketingconfederation.org/wp-content/uploads/2024/08/FINAL_SMA_ISSUE_2_2024.png | https://africanmarketingconfederation.org/wp-content/uploads/2024/08/SMA-Issue-1-2026-COVER-724x1024.png | https://africanmarketingconfederation.org/wp-content/uploads/2024/08/SMA-Issue-4-2025.jpg | https://africanmarketingconfederation.org/wp-content/uploads/2024/08/Strategic-Marketing-for-Africa-Issue-1-2024-Digital-mag-final-1.png | https://africanmarketingconfederation.org/wp-content/uploads/2024/10/SMA-DIGITAL-EDITION-SMA-Issue-3-2024-Final.png | https://africanmarketingconfederation.org/wp-content/uploads/2024/12/Strategic-Marketing-for-Africa-Issue-4-2024-Digital-Issue-for-website-posting-724x1024.png | https://africanmarketingconfederation.org/wp-content/uploads/2025/03/SMA-Issue-1-2025--724x1024.png | https://africanmarketingconfederation.org/wp-content/uploads/2025/06/AMC-Publication-Issue-2cover-2025.png | https://africanmarketingconfederation.org/wp-content/uploads/2025/10/SMA-Issue-3-2025-Digital-Edition-Single-Pages-FINAL-1.jpg | https://africanmarketingconfederation.org/wp-content/uploads/2026/03/og-image.png | https://www.facebook.com/tr?id=1795315120651843&amp;ev=PageView&amp;noscript=1 | https://www.facebook.com/tr?id=1795315120651843&amp;ev=PageView&amp;noscript=1&amp;cd%5Bpage_title%5D=Publication+Download+List&amp;cd%5Bpost_type%5D=page&amp;cd%5Bpost_id%5D=9047&amp;cd%5Bplugin%5D=PixelYourSite&amp;cd%5Buser_role%5D=guest&amp;cd%5Bevent_url%5D=africanmarketingconfederation.org%2Fpublication-download-list%2F</t>
  </si>
  <si>
    <t>jpg:2, other:2, png:18, svg:3</t>
  </si>
  <si>
    <t>/wp-content/plugins/gtranslate/flags/svg/en.svg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Publications&amp;cd%5Bpost_type%5D=page&amp;cd%5Bpost_id%5D=3686&amp;cd%5Bplugin%5D=PixelYourSite&amp;cd%5Buser_role%5D=guest&amp;cd%5Bevent_url%5D=africanmarketingconfederation.org%2Fpublications-2%2F</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</si>
  <si>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https://africanmarketingconfederation.org/wp-content/uploads/2024/04/AMC-Website-Elements-4-2.png | https://africanmarketingconfederation.org/wp-content/uploads/2025/04/Dr-Elaine-van-wyk.png | https://africanmarketingconfederation.org/wp-content/uploads/2025/08/AMC-Speakers-2025.png | https://africanmarketingconfederation.org/wp-content/uploads/2025/08/AMC-Speakers-2025_Charles.png | https://africanmarketingconfederation.org/wp-content/uploads/2025/08/AMC-Speakers-2025_Chris-Wulff.png | https://africanmarketingconfederation.org/wp-content/uploads/2025/08/AMC-Speakers-2025_Estella.png | https://africanmarketingconfederation.org/wp-content/uploads/2025/08/AMC-Speakers-2025_Frederic.png | https://africanmarketingconfederation.org/wp-content/uploads/2025/08/AMC-Speakers-2025_Girish1.png | https://africanmarketingconfederation.org/wp-content/uploads/2025/08/AMC-Speakers-2025_Jan.png | https://africanmarketingconfederation.org/wp-content/uploads/2025/08/AMC-Speakers-2025_Julius.png | https://africanmarketingconfederation.org/wp-content/uploads/2025/08/AMC-Speakers-2025_Matogo.png | https://africanmarketingconfederation.org/wp-content/uploads/2025/08/AMC-Speakers-2025_Orla.png | https://africanmarketingconfederation.org/wp-content/uploads/2025/08/AMC-Speakers-2025_Pluto.png | https://africanmarketingconfederation.org/wp-content/uploads/2025/08/AMC-Speakers-2025_Prof-Robert.png | https://africanmarketingconfederation.org/wp-content/uploads/2025/08/AMC-Speakers-2025_Thobekile.png | https://africanmarketingconfederation.org/wp-content/uploads/2025/08/AMC-Speakers-2025_Yannick.png | https://africanmarketingconfederation.org/wp-content/uploads/2025/08/AMC-Speakers-2025png-Ralf-speaker.png | https://africanmarketingconfederation.org/wp-content/uploads/2025/08/AMC-Speakers-2025png-coetzee.png | https://africanmarketingconfederation.org/wp-content/uploads/2025/08/AMC-Speakers-2025pngChief-Executive-Officer-at-Npontu-Technologies-Limited.png | https://africanmarketingconfederation.org/wp-content/uploads/2025/08/Dr-Syed-Ferhat-Anwar-AMC-Speaker.png | https://africanmarketingconfederation.org/wp-content/uploads/2025/08/Elaine-van-Wyk-UXI-Group-CMO.png | https://africanmarketingconfederation.org/wp-content/uploads/2025/08/Helen-speaker.png | https://africanmarketingconfederation.org/wp-content/uploads/2025/08/James-stutton-CIM.png | https://africanmarketingconfederation.org/wp-content/uploads/2025/08/Maggi-CIM.png | https://africanmarketingconfederation.org/wp-content/uploads/2025/08/Provost-and-President-at-Academic-City-University-College.png | https://africanmarketingconfederation.org/wp-content/uploads/2025/08/robert1223-copy-14.png | https://africanmarketingconfederation.org/wp-content/uploads/2025/08/robert1223-copy-15.png | https://africanmarketingconfederation.org/wp-content/uploads/2025/08/robert1223-copy-16.png | https://africanmarketingconfederation.org/wp-content/uploads/2025/08/robert1223-copy-17.png | https://africanmarketingconfederation.org/wp-content/uploads/2025/08/robert1223-copy-18.png | https://africanmarketingconfederation.org/wp-content/uploads/2025/08/robert1223-copy-19.png | https://africanmarketingconfederation.org/wp-content/uploads/2025/08/robert1223-copy-20.png | https://africanmarketingconfederation.org/wp-content/uploads/2025/08/robert1223-copy-21.png | https://africanmarketingconfederation.org/wp-content/uploads/2025/08/robert1223-copy-22.png | https://africanmarketingconfederation.org/wp-content/uploads/2025/08/robert1223-copy-23.png | https://africanmarketingconfederation.org/wp-content/uploads/2025/09/AMC-Speakers-2025_DrAbubakar1-18.png | https://africanmarketingconfederation.org/wp-content/uploads/2025/09/AMC-Speakers-2025_Gilbert.png | https://africanmarketingconfederation.org/wp-content/uploads/2025/09/AMC-Speakers-2025_Pamela.png | https://africanmarketingconfederation.org/wp-content/uploads/2025/09/AMC-Speakers-2025_Stephen1-17.png | https://africanmarketingconfederation.org/wp-content/uploads/2026/03/AMC-Speakers-2025png-Prof-Douglas-new-2.png | https://www.facebook.com/tr?id=1795315120651843&amp;ev=PageView&amp;noscript=1 | https://www.facebook.com/tr?id=1795315120651843&amp;ev=PageView&amp;noscript=1&amp;cd%5Bpage_title%5D=Speakers+2025&amp;cd%5Bpost_type%5D=page&amp;cd%5Bpost_id%5D=21962&amp;cd%5Bplugin%5D=PixelYourSite&amp;cd%5Buser_role%5D=guest&amp;cd%5Bevent_url%5D=africanmarketingconfederation.org%2Fspeakers-2025%2F</t>
  </si>
  <si>
    <t>other:2, png:41, svg:4</t>
  </si>
  <si>
    <t>/wp-content/plugins/gtranslate/flags/svg/en.svg | 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https://africanmarketingconfederation.org/wp-content/uploads/2026/03/og-image.png | https://www.facebook.com/tr?id=1795315120651843&amp;ev=PageView&amp;noscript=1 | https://www.facebook.com/tr?id=1795315120651843&amp;ev=PageView&amp;noscript=1&amp;cd%5Bpage_title%5D=Speakers&amp;cd%5Bpost_type%5D=page&amp;cd%5Bpost_id%5D=3252&amp;cd%5Bplugin%5D=PixelYourSite&amp;cd%5Buser_role%5D=guest&amp;cd%5Bevent_url%5D=africanmarketingconfederation.org%2Fspeakers%2F</t>
  </si>
  <si>
    <t>other:2, png:14, svg:3</t>
  </si>
  <si>
    <t>/wp-content/plugins/gtranslate/flags/svg/en.svg | https://africanmarketingconfederation.org/wp-content/uploads/2021/08/cma_qualificationx3_1-1024x386.png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Committees&amp;cd%5Bpost_type%5D=page&amp;cd%5Bpost_id%5D=3634&amp;cd%5Bplugin%5D=PixelYourSite&amp;cd%5Buser_role%5D=guest&amp;cd%5Bevent_url%5D=africanmarketingconfederation.org%2Fsub-committees%2F</t>
  </si>
  <si>
    <t>/wp-content/plugins/gtranslate/flags/svg/en.svg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scribe&amp;cd%5Bpost_type%5D=page&amp;cd%5Bpost_id%5D=7781&amp;cd%5Bplugin%5D=PixelYourSite&amp;cd%5Buser_role%5D=guest&amp;cd%5Bevent_url%5D=africanmarketingconfederation.org%2Fsubscribe%2F</t>
  </si>
  <si>
    <t>/wp-content/plugins/gtranslate/flags/svg/en.svg | https://africanmarketingconfederation.org/wp-content/uploads/2021/08/facebook.svg | https://africanmarketingconfederation.org/wp-content/uploads/2021/08/linkedin.svg | https://africanmarketingconfederation.org/wp-content/uploads/2022/01/AMC-2022_Website-Slide-Navigating-image-3.png | https://africanmarketingconfederation.org/wp-content/uploads/2026/03/og-image.png | https://www.facebook.com/tr?id=1795315120651843&amp;ev=PageView&amp;noscript=1 | https://www.facebook.com/tr?id=1795315120651843&amp;ev=PageView&amp;noscript=1&amp;cd%5Bpage_title%5D=Test+HomeSlider&amp;cd%5Bpost_type%5D=page&amp;cd%5Bpost_id%5D=5490&amp;cd%5Bplugin%5D=PixelYourSite&amp;cd%5Buser_role%5D=guest&amp;cd%5Bevent_url%5D=africanmarketingconfederation.org%2Ftest-homeslider%2F</t>
  </si>
  <si>
    <t>/wp-content/plugins/gtranslate/flags/svg/en.svg | https://africanmarketingconfederation.org/wp-content/uploads/2021/08/facebook.svg | https://africanmarketingconfederation.org/wp-content/uploads/2021/08/linkedin.svg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https://africanmarketingconfederation.org/wp-content/uploads/2026/03/og-image.png | https://www.facebook.com/tr?id=1795315120651843&amp;ev=PageView&amp;noscript=1 | https://www.facebook.com/tr?id=1795315120651843&amp;ev=PageView&amp;noscript=1&amp;cd%5Bpage_title%5D=Test+payment+gate&amp;cd%5Bpost_type%5D=page&amp;cd%5Bpost_id%5D=27352&amp;cd%5Bplugin%5D=PixelYourSite&amp;cd%5Buser_role%5D=guest&amp;cd%5Bevent_url%5D=africanmarketingconfederation.org%2Ftest-payment-gate%2F</t>
  </si>
  <si>
    <t>other:2, png:5,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</si>
  <si>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https://africanmarketingconfederation.org/wp-content/uploads/2024/04/AMC-Website-Elements-8-819x1024.png | https://africanmarketingconfederation.org/wp-content/uploads/2026/03/og-image.png | https://www.facebook.com/tr?id=1795315120651843&amp;ev=PageView&amp;noscript=1 | https://www.facebook.com/tr?id=1795315120651843&amp;ev=PageView&amp;noscript=1&amp;cd%5Bpage_title%5D=Thank+you+for+registering+2024+Registrations+KENYA&amp;cd%5Bpost_type%5D=page&amp;cd%5Bpost_id%5D=21591&amp;cd%5Bplugin%5D=PixelYourSite&amp;cd%5Buser_role%5D=guest&amp;cd%5Bevent_url%5D=africanmarketingconfederation.org%2Fthank-you-for-registering-2024-registrations-kenya%2F</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</si>
  <si>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https://africanmarketingconfederation.org/wp-content/uploads/2024/06/AMC-elements-08-856x1024.png | https://africanmarketingconfederation.org/wp-content/uploads/2026/03/og-image.png | https://www.facebook.com/tr?id=1795315120651843&amp;ev=PageView&amp;noscript=1 | https://www.facebook.com/tr?id=1795315120651843&amp;ev=PageView&amp;noscript=1&amp;cd%5Bpage_title%5D=Thank+you+for+registering+2024+Registrations&amp;cd%5Bpost_type%5D=page&amp;cd%5Bpost_id%5D=17195&amp;cd%5Bplugin%5D=PixelYourSite&amp;cd%5Buser_role%5D=guest&amp;cd%5Bevent_url%5D=africanmarketingconfederation.org%2Fthank-you-for-registering-2024-registrations%2F</t>
  </si>
  <si>
    <t>/wp-content/plugins/gtranslate/flags/svg/en.svg | https://africanmarketingconfederation.org/wp-content/uploads/2021/08/facebook.svg | https://africanmarketingconfederation.org/wp-content/uploads/2021/08/linkedin.svg | https://africanmarketingconfederation.org/wp-content/uploads/2022/07/amc_Thank-You-for-Subscribing-Image-1.png | https://africanmarketingconfederation.org/wp-content/uploads/2022/07/amc_Thank-You-for-Subscribing-Image-2.png | https://africanmarketingconfederation.org/wp-content/uploads/2022/07/amc_Thank-You-for-Subscribing-Image-3.png | https://africanmarketingconfederation.org/wp-content/uploads/2022/07/amc_Thank-You-for-Subscribing-Image-4.png | https://africanmarketingconfederation.org/wp-content/uploads/2026/03/og-image.png | https://www.facebook.com/tr?id=1795315120651843&amp;ev=PageView&amp;noscript=1 | https://www.facebook.com/tr?id=1795315120651843&amp;ev=PageView&amp;noscript=1&amp;cd%5Bpage_title%5D=Thank+You+for+Subscribing&amp;cd%5Bpost_type%5D=page&amp;cd%5Bpost_id%5D=7916&amp;cd%5Bplugin%5D=PixelYourSite&amp;cd%5Buser_role%5D=guest&amp;cd%5Bevent_url%5D=africanmarketingconfederation.org%2Fthank-you-for-subscribing%2F</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</si>
  <si>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https://africanmarketingconfederation.org/wp-content/uploads/2024/03/AMC-Website-Elements-2-1-819x1024.png | https://africanmarketingconfederation.org/wp-content/uploads/2026/03/og-image.png | https://www.facebook.com/tr?id=1795315120651843&amp;ev=PageView&amp;noscript=1 | https://www.facebook.com/tr?id=1795315120651843&amp;ev=PageView&amp;noscript=1&amp;cd%5Bpage_title%5D=Thank+you+for+the+nomination+2024&amp;cd%5Bpost_type%5D=page&amp;cd%5Bpost_id%5D=17000&amp;cd%5Bplugin%5D=PixelYourSite&amp;cd%5Buser_role%5D=guest&amp;cd%5Bevent_url%5D=africanmarketingconfederation.org%2Fthank-you-for-the-nomination-2024%2F</t>
  </si>
  <si>
    <t>/wp-content/plugins/gtranslate/flags/svg/en.svg | https://africanmarketingconfederation.org/wp-content/uploads/2021/08/facebook.svg | https://africanmarketingconfederation.org/wp-content/uploads/2021/08/linkedin.svg | https://africanmarketingconfederation.org/wp-content/uploads/2024/04/AMC-Website-Elements-4-2.png | https://africanmarketingconfederation.org/wp-content/uploads/2026/03/og-image.png | https://www.facebook.com/tr?id=1795315120651843&amp;ev=PageView&amp;noscript=1 | https://www.facebook.com/tr?id=1795315120651843&amp;ev=PageView&amp;noscript=1&amp;cd%5Bpage_title%5D=Thank+you+for+the+Submission+2024&amp;cd%5Bpost_type%5D=page&amp;cd%5Bpost_id%5D=17196&amp;cd%5Bplugin%5D=PixelYourSite&amp;cd%5Buser_role%5D=guest&amp;cd%5Bevent_url%5D=africanmarketingconfederation.org%2Fthank-you-for-the-submission-2024%2F</t>
  </si>
  <si>
    <t>/wp-content/plugins/gtranslate/flags/svg/en.svg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Upcoming+Events&amp;cd%5Bpost_type%5D=page&amp;cd%5Bpost_id%5D=4909&amp;cd%5Bplugin%5D=PixelYourSite&amp;cd%5Buser_role%5D=guest&amp;cd%5Bevent_url%5D=africanmarketingconfederation.org%2Fupcoming-events%2F</t>
  </si>
  <si>
    <t>/wp-content/plugins/gtranslate/flags/svg/en.svg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VIRTUAL+PROGRAMME&amp;cd%5Bpost_type%5D=page&amp;cd%5Bpost_id%5D=5290&amp;cd%5Bplugin%5D=PixelYourSite&amp;cd%5Buser_role%5D=guest&amp;cd%5Bevent_url%5D=africanmarketingconfederation.org%2Fvirtual-programme%2F</t>
  </si>
  <si>
    <t>Title Duplicate Count</t>
  </si>
  <si>
    <t>Meta Description Duplicate Count</t>
  </si>
  <si>
    <t>Title Duplicate URLs</t>
  </si>
  <si>
    <t>Meta Duplicate URLs</t>
  </si>
  <si>
    <t>https://africanmarketingconfederation.org/amc-conference-2023/speakers | https://africanmarketingconfederation.org/speakers</t>
  </si>
  <si>
    <t>https://africanmarketingconfederation.org/amc-forum-mombasa | https://africanmarketingconfederation.org/amc-marketing-conference-2024</t>
  </si>
  <si>
    <t>https://africanmarketingconfederation.org/awards-2026-1 | https://africanmarketingconfederation.org/awards-2026</t>
  </si>
  <si>
    <t>WHAT IS THIS? This tab detects structural flaws coded into your page templates. Fixing one template here can instantly fix hundreds of pages.</t>
  </si>
  <si>
    <t>Column_2</t>
  </si>
  <si>
    <t>Column_3</t>
  </si>
  <si>
    <t>Column_4</t>
  </si>
  <si>
    <t>Column_5</t>
  </si>
  <si>
    <t>Subfolder</t>
  </si>
  <si>
    <t>URL Count</t>
  </si>
  <si>
    <t>Systemic Issue</t>
  </si>
  <si>
    <t>Affected Ratio</t>
  </si>
  <si>
    <t>/amc-conference-2022-prospectus/</t>
  </si>
  <si>
    <t>Missing H1 is template-wide</t>
  </si>
  <si>
    <t>Update template to render exactly one descriptive H1 for each page based on page-specific title data.</t>
  </si>
  <si>
    <t>/amc-conference-2022-thank-you/</t>
  </si>
  <si>
    <t>/amc-conference-2022/</t>
  </si>
  <si>
    <t>/amc-forum-sponsors/</t>
  </si>
  <si>
    <t>Missing meta description is template-wide</t>
  </si>
  <si>
    <t>Update template/meta generation logic to output a unique 120-160 character meta description per page.</t>
  </si>
  <si>
    <t>/amc-conference-programme/</t>
  </si>
  <si>
    <t>/amc-forum-payments/</t>
  </si>
  <si>
    <t>/amc-forum-speakers/</t>
  </si>
  <si>
    <t>/amc-masterclass-bookings/</t>
  </si>
  <si>
    <t>/amc-masterclass-thank-you/</t>
  </si>
  <si>
    <t>/amc-masterclass/</t>
  </si>
  <si>
    <t>/amc-relaunch-programme/</t>
  </si>
  <si>
    <t>/certified-professional-marketer-africa/</t>
  </si>
  <si>
    <t>/chartered-marketer-africa-thank-you/</t>
  </si>
  <si>
    <t>/cart/</t>
  </si>
  <si>
    <t>/download-brochure/</t>
  </si>
  <si>
    <t>/download-prospectus-2024/</t>
  </si>
  <si>
    <t>/education/</t>
  </si>
  <si>
    <t>/elementor-16548/</t>
  </si>
  <si>
    <t>/elementor-20341/</t>
  </si>
  <si>
    <t>/general-enquiry-form-thank-you/</t>
  </si>
  <si>
    <t>/publication-download-list/</t>
  </si>
  <si>
    <t>/speakers/</t>
  </si>
  <si>
    <t>/subscribe/</t>
  </si>
  <si>
    <t>/test-homeslider/</t>
  </si>
  <si>
    <t>/test-payment-gate/</t>
  </si>
  <si>
    <t>/thank-you-for-registering-2024-registrations-kenya/</t>
  </si>
  <si>
    <t>/thank-you-for-registering-2024-registrations/</t>
  </si>
  <si>
    <t>/thank-you-for-subscribing/</t>
  </si>
  <si>
    <t>/thank-you-for-the-nomination-2024/</t>
  </si>
  <si>
    <t>/thank-you-for-the-submission-2024/</t>
  </si>
  <si>
    <t>/upcoming-events/</t>
  </si>
  <si>
    <t>/virtual-programme/</t>
  </si>
  <si>
    <t>Desktop Score</t>
  </si>
  <si>
    <t>Mobile Score</t>
  </si>
  <si>
    <t>Mobile LCP</t>
  </si>
  <si>
    <t>Mobile TTFB</t>
  </si>
  <si>
    <t>Open in Reference</t>
  </si>
  <si>
    <t>https://africanmarketingconfederation.org/::unmeasured</t>
  </si>
  <si>
    <t>https://africanmarketingconfederation.org/about-us::unmeasured</t>
  </si>
  <si>
    <t>https://africanmarketingconfederation.org/african-marketing-confederation-tourism-chapter::unmeasured</t>
  </si>
  <si>
    <t>https://africanmarketingconfederation.org/amc-awards-2024::unmeasured</t>
  </si>
  <si>
    <t>https://africanmarketingconfederation.org/amc-conference-2022-prospectus::unmeasured</t>
  </si>
  <si>
    <t>https://africanmarketingconfederation.org/amc-conference-2022-thank-you::unmeasured</t>
  </si>
  <si>
    <t>https://africanmarketingconfederation.org/amc-conference-2022::unmeasured</t>
  </si>
  <si>
    <t>https://africanmarketingconfederation.org/amc-conference-2023::unmeasured</t>
  </si>
  <si>
    <t>https://africanmarketingconfederation.org/amc-conference-2023/amc-awards-book-now::unmeasured</t>
  </si>
  <si>
    <t>https://africanmarketingconfederation.org/amc-conference-2023/amc-awards::unmeasured</t>
  </si>
  <si>
    <t>https://africanmarketingconfederation.org/amc-conference-2023/book-now-thank-you::unmeasured</t>
  </si>
  <si>
    <t>https://africanmarketingconfederation.org/amc-conference-2023/book-now::unmeasured</t>
  </si>
  <si>
    <t>https://africanmarketingconfederation.org/amc-conference-2023/download-prospectus::unmeasured</t>
  </si>
  <si>
    <t>https://africanmarketingconfederation.org/amc-conference-2023/gallery::unmeasured</t>
  </si>
  <si>
    <t>https://africanmarketingconfederation.org/amc-conference-2023/partners::unmeasured</t>
  </si>
  <si>
    <t>https://africanmarketingconfederation.org/amc-conference-2023/programme::unmeasured</t>
  </si>
  <si>
    <t>https://africanmarketingconfederation.org/amc-conference-2024-recap::unmeasured</t>
  </si>
  <si>
    <t>https://africanmarketingconfederation.org/amc-conference-2023/speakers::unmeasured</t>
  </si>
  <si>
    <t>https://africanmarketingconfederation.org/amc-conference-2024-sponsors-packages::unmeasured</t>
  </si>
  <si>
    <t>https://africanmarketingconfederation.org/amc-conference-2025-highlights::unmeasured</t>
  </si>
  <si>
    <t>https://africanmarketingconfederation.org/amc-conference-2025::unmeasured</t>
  </si>
  <si>
    <t>https://africanmarketingconfederation.org/amc-conference-2026-awards-nominations-thank-you::unmeasured</t>
  </si>
  <si>
    <t>https://africanmarketingconfederation.org/amc-conference-2026-zambia-thank-you::unmeasured</t>
  </si>
  <si>
    <t>https://africanmarketingconfederation.org/amc-conference-2026::unmeasured</t>
  </si>
  <si>
    <t>https://africanmarketingconfederation.org/amc-conference-sponsors::unmeasured</t>
  </si>
  <si>
    <t>https://africanmarketingconfederation.org/amc-conference-programme::unmeasured</t>
  </si>
  <si>
    <t>https://africanmarketingconfederation.org/amc-conference-thank-you::unmeasured</t>
  </si>
  <si>
    <t>https://africanmarketingconfederation.org/amc-forum-mombasa::unmeasured</t>
  </si>
  <si>
    <t>https://africanmarketingconfederation.org/amc-forum-payments::unmeasured</t>
  </si>
  <si>
    <t>https://africanmarketingconfederation.org/amc-launch-event-zambia-thank-you-2026::unmeasured</t>
  </si>
  <si>
    <t>https://africanmarketingconfederation.org/amc-marketing-conference-2024::unmeasured</t>
  </si>
  <si>
    <t>https://africanmarketingconfederation.org/amc-marketing-conference-2024/amc-conference-2025-ghana-sponsors::unmeasured</t>
  </si>
  <si>
    <t>https://africanmarketingconfederation.org/amc-marketing-conference-2024/amc-launch-event-2025::unmeasured</t>
  </si>
  <si>
    <t>https://africanmarketingconfederation.org/amc-marketing-conference-2024/amc-preregister-2025::unmeasured</t>
  </si>
  <si>
    <t>https://africanmarketingconfederation.org/amc-marketing-conference-2024/amc-programme-2025::unmeasured</t>
  </si>
  <si>
    <t>https://africanmarketingconfederation.org/amc-marketing-conference-2024/amc-speakers-presentations-2024::unmeasured</t>
  </si>
  <si>
    <t>https://africanmarketingconfederation.org/amc-marketing-conference-2024/awards-2025::unmeasured</t>
  </si>
  <si>
    <t>https://africanmarketingconfederation.org/amc-marketing-conference-2024/speakers-2024::unmeasured</t>
  </si>
  <si>
    <t>https://africanmarketingconfederation.org/amc-marketing-conference-2024/programme-2024::unmeasured</t>
  </si>
  <si>
    <t>https://africanmarketingconfederation.org/amc-marketing-conference-2024/testimony-thank-you-page::unmeasured</t>
  </si>
  <si>
    <t>https://africanmarketingconfederation.org/amc-masterclass-bookings::unmeasured</t>
  </si>
  <si>
    <t>https://africanmarketingconfederation.org/amc-masterclass-thank-you::unmeasured</t>
  </si>
  <si>
    <t>https://africanmarketingconfederation.org/amc-masterclass::unmeasured</t>
  </si>
  <si>
    <t>https://africanmarketingconfederation.org/amc-relaunch-programme::unmeasured</t>
  </si>
  <si>
    <t>https://africanmarketingconfederation.org/amc-sign-up-now-form-2025::unmeasured</t>
  </si>
  <si>
    <t>https://africanmarketingconfederation.org/amc-sponsors-2025::unmeasured</t>
  </si>
  <si>
    <t>https://africanmarketingconfederation.org/amc-testimony-page-2024::unmeasured</t>
  </si>
  <si>
    <t>https://africanmarketingconfederation.org/awards-2026-1::unmeasured</t>
  </si>
  <si>
    <t>https://africanmarketingconfederation.org/awards-2026-test::unmeasured</t>
  </si>
  <si>
    <t>https://africanmarketingconfederation.org/awards-2026::unmeasured</t>
  </si>
  <si>
    <t>https://africanmarketingconfederation.org/certified-professional-marketer-africa::unmeasured</t>
  </si>
  <si>
    <t>https://africanmarketingconfederation.org/chartered-marketer-africa-final-submission-fee::unmeasured</t>
  </si>
  <si>
    <t>https://africanmarketingconfederation.org/chartered-marketer-africa-programme-fee::unmeasured</t>
  </si>
  <si>
    <t>https://africanmarketingconfederation.org/chartered-marketer-africa-thank-you::unmeasured</t>
  </si>
  <si>
    <t>https://africanmarketingconfederation.org/chartered-marketer-africa::unmeasured</t>
  </si>
  <si>
    <t>https://africanmarketingconfederation.org/checkout::unmeasured</t>
  </si>
  <si>
    <t>https://africanmarketingconfederation.org/conference-faq-2025::unmeasured</t>
  </si>
  <si>
    <t>https://africanmarketingconfederation.org/conference-registrations-2024::unmeasured</t>
  </si>
  <si>
    <t>https://africanmarketingconfederation.org/contact-us::unmeasured</t>
  </si>
  <si>
    <t>https://africanmarketingconfederation.org/download-brochure::unmeasured</t>
  </si>
  <si>
    <t>https://africanmarketingconfederation.org/download-prospectus-2024::unmeasured</t>
  </si>
  <si>
    <t>https://africanmarketingconfederation.org/education::unmeasured</t>
  </si>
  <si>
    <t>https://africanmarketingconfederation.org/elementor-16548::unmeasured</t>
  </si>
  <si>
    <t>https://africanmarketingconfederation.org/elementor-20341::unmeasured</t>
  </si>
  <si>
    <t>https://africanmarketingconfederation.org/elementor-31820::unmeasured</t>
  </si>
  <si>
    <t>https://africanmarketingconfederation.org/general-enquiry-form-thank-you::unmeasured</t>
  </si>
  <si>
    <t>https://africanmarketingconfederation.org/launch-event-2026-amc-conference::unmeasured</t>
  </si>
  <si>
    <t>https://africanmarketingconfederation.org/members::unmeasured</t>
  </si>
  <si>
    <t>https://africanmarketingconfederation.org/news-articles::unmeasured</t>
  </si>
  <si>
    <t>https://africanmarketingconfederation.org/privacy-policy::unmeasured</t>
  </si>
  <si>
    <t>https://africanmarketingconfederation.org/publication-download-list::unmeasured</t>
  </si>
  <si>
    <t>https://africanmarketingconfederation.org/publications-2::unmeasured</t>
  </si>
  <si>
    <t>https://africanmarketingconfederation.org/speakers-2025::unmeasured</t>
  </si>
  <si>
    <t>https://africanmarketingconfederation.org/speakers::unmeasured</t>
  </si>
  <si>
    <t>https://africanmarketingconfederation.org/sub-committees::unmeasured</t>
  </si>
  <si>
    <t>https://africanmarketingconfederation.org/subscribe::unmeasured</t>
  </si>
  <si>
    <t>https://africanmarketingconfederation.org/test-homeslider::unmeasured</t>
  </si>
  <si>
    <t>https://africanmarketingconfederation.org/test-payment-gate::unmeasured</t>
  </si>
  <si>
    <t>https://africanmarketingconfederation.org/thank-you-for-registering-2024-registrations-kenya::unmeasured</t>
  </si>
  <si>
    <t>https://africanmarketingconfederation.org/thank-you-for-registering-2024-registrations::unmeasured</t>
  </si>
  <si>
    <t>https://africanmarketingconfederation.org/thank-you-for-subscribing::unmeasured</t>
  </si>
  <si>
    <t>https://africanmarketingconfederation.org/thank-you-for-the-nomination-2024::unmeasured</t>
  </si>
  <si>
    <t>https://africanmarketingconfederation.org/thank-you-for-the-submission-2024::unmeasured</t>
  </si>
  <si>
    <t>https://africanmarketingconfederation.org/upcoming-events::unmeasured</t>
  </si>
  <si>
    <t>https://africanmarketingconfederation.org/virtual-programme::unmeasured</t>
  </si>
  <si>
    <t>Inlinks Count</t>
  </si>
  <si>
    <t>Inlinks URLs</t>
  </si>
  <si>
    <t>Orphan Candidate</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</si>
  <si>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https://africanmarketingconfederation.org/amc-conference-thank-you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 | https://africanmarketingconfederation.org/amc-masterclass-bookings | https://africanmarketingconfederation.org/amc-relaunch-programme | https://africanmarketingconfederation.org/amc-sponsors-2025 | https://africanmarketingconfederation.org/awards-2026 | https://africanmarketingconfederation.org/awards-2026-1 | https://africanmarketingconfederation.org/awards-2026-test | https://africanmarketingconfederation.org/certified-professional-marketer-africa | https://africanmarketingconfederation.org/chartered-marketer-africa | https://africanmarketingconfederation.org/chartered-marketer-africa-final-submission-fee | https://africanmarketingconfederation.org/chartered-marketer-africa-programme-fee | https://africanmarketingconfederation.org/chartered-marketer-africa-thank-you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 | https://africanmarketingconfederation.org/speakers-2025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 | https://africanmarketingconfederation.org/thank-you-for-registering-2024-registrations-kenya | https://africanmarketingconfederation.org/thank-you-for-subscribing | https://africanmarketingconfederation.org/thank-you-for-the-nomination-2024 | https://africanmarketingconfederation.org/thank-you-for-the-submission-2024 | https://africanmarketingconfederation.org/upcoming-events | https://africanmarketingconfederation.org/virtual-programme</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</si>
  <si>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https://africanmarketingconfederation.org/amc-conference-2025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 | https://africanmarketingconfederation.org/amc-masterclass-bookings | https://africanmarketingconfederation.org/amc-relaunch-programme | https://africanmarketingconfederation.org/amc-sponsors-2025 | https://africanmarketingconfederation.org/awards-2026 | https://africanmarketingconfederation.org/awards-2026-1 | https://africanmarketingconfederation.org/awards-2026-test | https://africanmarketingconfederation.org/certified-professional-marketer-africa | https://africanmarketingconfederation.org/chartered-marketer-africa | https://africanmarketingconfederation.org/chartered-marketer-africa-final-submission-fee | https://africanmarketingconfederation.org/chartered-marketer-africa-programme-fee | https://africanmarketingconfederation.org/chartered-marketer-africa-thank-you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 | https://africanmarketingconfederation.org/speakers-2025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 | https://africanmarketingconfederation.org/thank-you-for-registering-2024-registrations-kenya | https://africanmarketingconfederation.org/thank-you-for-subscribing | https://africanmarketingconfederation.org/thank-you-for-the-nomination-2024 | https://africanmarketingconfederation.org/thank-you-for-the-submission-2024 | https://africanmarketingconfederation.org/upcoming-events | https://africanmarketingconfederation.org/virtual-programme</t>
  </si>
  <si>
    <t>https://africanmarketingconfederation.org/amc-conference-2025 | https://africanmarketingconfederation.org/amc-conference-2026</t>
  </si>
  <si>
    <t>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https://africanmarketingconfederation.org/amc-conference-thank-you</t>
  </si>
  <si>
    <t>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</si>
  <si>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https://africanmarketingconfederation.org/amc-conference-2023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</si>
  <si>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https://africanmarketingconfederation.org/amc-conference-2023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 | https://africanmarketingconfederation.org/conference-registrations-2024</t>
  </si>
  <si>
    <t>https://africanmarketingconfederation.org/african-marketing-confederation-tourism-chapter | https://africanmarketingconfederation.org/amc-conference-2026</t>
  </si>
  <si>
    <t>https://africanmarketingconfederation.org/ | 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 | https://africanmarketingconfederation.org/amc-conference-2025-highlights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</si>
  <si>
    <t>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 | https://africanmarketingconfederation.org/amc-conference-2025-highlights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</si>
  <si>
    <t>https://africanmarketingconfederation.org/amc-conference-2026 | https://africanmarketingconfederation.org/awards-2026 | https://africanmarketingconfederation.org/launch-event-2026-amc-conference</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</si>
  <si>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 | https://africanmarketingconfederation.org/amc-conference-2022-prospectus | https://africanmarketingconfederation.org/amc-conference-2022-thank-you | https://africanmarketingconfederation.org/amc-conference-2023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https://africanmarketingconfederation.org/amc-conference-2024-recap | https://africanmarketingconfederation.org/amc-conference-2024-sponsors-packages | https://africanmarketingconfederation.org/amc-conference-2025 | https://africanmarketingconfederation.org/amc-conference-2025-highlights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https://africanmarketingconfederation.org/amc-conference-thank-you | https://africanmarketingconfederation.org/amc-forum-mombasa | https://africanmarketingconfederation.org/amc-forum-payments | https://africanmarketingconfederation.org/amc-launch-event-zambia-thank-you-2026 | https://africanmarketingconfederation.org/amc-marketing-conference-2024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https://africanmarketingconfederation.org/amc-masterclass | https://africanmarketingconfederation.org/amc-masterclass-bookings | https://africanmarketingconfederation.org/amc-relaunch-programme | https://africanmarketingconfederation.org/amc-sign-up-now-form-2025 | https://africanmarketingconfederation.org/amc-sponsors-2025 | https://africanmarketingconfederation.org/amc-testimony-page-2024 | https://africanmarketingconfederation.org/awards-2026 | https://africanmarketingconfederation.org/awards-2026-1 | https://africanmarketingconfederation.org/awards-2026-test | https://africanmarketingconfederation.org/certified-professional-marketer-africa | https://africanmarketingconfederation.org/chartered-marketer-africa | https://africanmarketingconfederation.org/chartered-marketer-africa-final-submission-fee | https://africanmarketingconfederation.org/chartered-marketer-africa-programme-fee | https://africanmarketingconfederation.org/chartered-marketer-africa-thank-you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 | https://africanmarketingconfederation.org/speakers-2025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 | https://africanmarketingconfederation.org/thank-you-for-registering-2024-registrations-kenya | https://africanmarketingconfederation.org/thank-you-for-subscribing | https://africanmarketingconfederation.org/thank-you-for-the-nomination-2024 | https://africanmarketingconfederation.org/thank-you-for-the-submission-2024 | https://africanmarketingconfederation.org/upcoming-events | https://africanmarketingconfederation.org/virtual-programme</t>
  </si>
  <si>
    <t>https://africanmarketingconfederation.org/ | https://africanmarketingconfederation.org/news-articles | https://africanmarketingconfederation.org/upcoming-events</t>
  </si>
  <si>
    <t>Sitemap URL</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</si>
  <si>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</si>
  <si>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</si>
  <si>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</si>
  <si>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</si>
  <si>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</si>
  <si>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</si>
  <si>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</si>
  <si>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</si>
  <si>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</si>
  <si>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</si>
  <si>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2026-04-29 08:23:06</t>
  </si>
  <si>
    <t>https://africanmarketingconfederation.org/page-sitemap.xml</t>
  </si>
  <si>
    <t>https://africanmarketingconfederation.org/publications-2/</t>
  </si>
  <si>
    <t>2026-04-29 07:05:09</t>
  </si>
  <si>
    <t>https://africanmarketingconfederation.org/publication-download-list/</t>
  </si>
  <si>
    <t>2026-04-28 12:04:20</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</si>
  <si>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</si>
  <si>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</si>
  <si>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</si>
  <si>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</si>
  <si>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</si>
  <si>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</si>
  <si>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</si>
  <si>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</si>
  <si>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</si>
  <si>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</si>
  <si>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</si>
  <si>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</si>
  <si>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</si>
  <si>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</si>
  <si>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</si>
  <si>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</si>
  <si>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</si>
  <si>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</si>
  <si>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</si>
  <si>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</si>
  <si>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</si>
  <si>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</si>
  <si>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</si>
  <si>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</si>
  <si>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</si>
  <si>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</si>
  <si>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</si>
  <si>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</si>
  <si>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</si>
  <si>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</si>
  <si>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</si>
  <si>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</si>
  <si>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</si>
  <si>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</si>
  <si>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</si>
  <si>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</si>
  <si>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</si>
  <si>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</si>
  <si>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</si>
  <si>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</si>
  <si>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</si>
  <si>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</si>
  <si>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</si>
  <si>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</si>
  <si>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</si>
  <si>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</si>
  <si>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</si>
  <si>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</si>
  <si>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</si>
  <si>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</si>
  <si>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</si>
  <si>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</si>
  <si>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</si>
  <si>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</si>
  <si>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</si>
  <si>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</si>
  <si>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</si>
  <si>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</si>
  <si>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</si>
  <si>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</si>
  <si>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</si>
  <si>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</si>
  <si>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</si>
  <si>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</si>
  <si>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</si>
  <si>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</si>
  <si>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</si>
  <si>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</si>
  <si>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</si>
  <si>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</si>
  <si>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</si>
  <si>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</si>
  <si>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</si>
  <si>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</si>
  <si>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</si>
  <si>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</si>
  <si>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</si>
  <si>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</si>
  <si>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</si>
  <si>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</si>
  <si>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</si>
  <si>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</si>
  <si>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</si>
  <si>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</si>
  <si>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</si>
  <si>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</si>
  <si>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</si>
  <si>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</si>
  <si>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</si>
  <si>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</si>
  <si>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</si>
  <si>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</si>
  <si>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</si>
  <si>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</si>
  <si>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</si>
  <si>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</si>
  <si>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</si>
  <si>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</si>
  <si>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</si>
  <si>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</si>
  <si>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</si>
  <si>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</si>
  <si>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</si>
  <si>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</si>
  <si>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</si>
  <si>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</si>
  <si>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</si>
  <si>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</si>
  <si>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</si>
  <si>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</si>
  <si>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</si>
  <si>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</si>
  <si>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</si>
  <si>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</si>
  <si>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</si>
  <si>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</si>
  <si>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</si>
  <si>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</si>
  <si>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</si>
  <si>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</si>
  <si>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</si>
  <si>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</si>
  <si>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</si>
  <si>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</si>
  <si>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</si>
  <si>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</si>
  <si>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</si>
  <si>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</si>
  <si>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</si>
  <si>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</si>
  <si>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</si>
  <si>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</si>
  <si>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</si>
  <si>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</si>
  <si>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</si>
  <si>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</si>
  <si>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</si>
  <si>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</si>
  <si>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</si>
  <si>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</si>
  <si>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</si>
  <si>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</si>
  <si>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</si>
  <si>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</si>
  <si>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</si>
  <si>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</si>
  <si>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</si>
  <si>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</si>
  <si>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</si>
  <si>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</si>
  <si>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</si>
  <si>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</si>
  <si>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</si>
  <si>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</si>
  <si>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</si>
  <si>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</si>
  <si>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</si>
  <si>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</si>
  <si>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</si>
  <si>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</si>
  <si>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</si>
  <si>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</si>
  <si>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</si>
  <si>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</si>
  <si>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</si>
  <si>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</si>
  <si>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</si>
  <si>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</si>
  <si>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</si>
  <si>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</si>
  <si>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</si>
  <si>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</si>
  <si>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</si>
  <si>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</si>
  <si>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</si>
  <si>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</si>
  <si>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</si>
  <si>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</si>
  <si>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</si>
  <si>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</si>
  <si>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</si>
  <si>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</si>
  <si>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</si>
  <si>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</si>
  <si>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</si>
  <si>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</si>
  <si>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</si>
  <si>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</si>
  <si>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</si>
  <si>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</si>
  <si>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</si>
  <si>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</si>
  <si>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</si>
  <si>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</si>
  <si>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</si>
  <si>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</si>
  <si>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</si>
  <si>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</si>
  <si>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</si>
  <si>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</si>
  <si>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</si>
  <si>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</si>
  <si>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</si>
  <si>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</si>
  <si>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2026-05-02 20:16:01</t>
  </si>
  <si>
    <t>Total URLs</t>
  </si>
  <si>
    <t>Mode</t>
  </si>
  <si>
    <t>Full Suite</t>
  </si>
  <si>
    <t>Workers</t>
  </si>
  <si>
    <t>Delay Seconds</t>
  </si>
  <si>
    <t>Retries</t>
  </si>
  <si>
    <t>Timeout Seconds</t>
  </si>
  <si>
    <t>Checkpoint Every</t>
  </si>
  <si>
    <t>Previous Audit Path</t>
  </si>
  <si>
    <t>Not supplied</t>
  </si>
  <si>
    <t>No resolved issues identified for this comparison run.</t>
  </si>
  <si>
    <t>Term</t>
  </si>
  <si>
    <t>Meaning</t>
  </si>
  <si>
    <t>Values/Threshold</t>
  </si>
  <si>
    <t>Related Tabs</t>
  </si>
  <si>
    <t>How To Use</t>
  </si>
  <si>
    <t>Step 1: Start on Dashboard</t>
  </si>
  <si>
    <t>Review pass rate, critical URL count, and Immediate Actions to understand overall risk first.</t>
  </si>
  <si>
    <t>5-minute executive scan</t>
  </si>
  <si>
    <t>Dashboard, Priority URLs</t>
  </si>
  <si>
    <t>Step 2: Prioritize and Assign</t>
  </si>
  <si>
    <t>Use Priority URLs and FixPlan to pick highest-impact items, assign owner, and set status/sprint.</t>
  </si>
  <si>
    <t>Work top-down by Business Risk Score</t>
  </si>
  <si>
    <t>Priority URLs, FixPlan</t>
  </si>
  <si>
    <t>Step 3: Execute and Validate</t>
  </si>
  <si>
    <t>Implement fixes, then verify by checking Technical/Indexability/AEO tabs and rerunning the audit.</t>
  </si>
  <si>
    <t>Close loop every sprint</t>
  </si>
  <si>
    <t>Technical, Indexability, AEO, AIOSEO</t>
  </si>
  <si>
    <t>Orientation</t>
  </si>
  <si>
    <t>Where to Start</t>
  </si>
  <si>
    <t>If you're short on time, work only Critical and Warning issues first, then return to Observation items.</t>
  </si>
  <si>
    <t>Critical &gt; Warning &gt; Observation</t>
  </si>
  <si>
    <t>Summary, FixPlan, Technical</t>
  </si>
  <si>
    <t>How to Track Progress</t>
  </si>
  <si>
    <t>Use Status and Owner columns as your project board; move from To Do -&gt; In Progress -&gt; Fixed.</t>
  </si>
  <si>
    <t>Update weekly</t>
  </si>
  <si>
    <t>FixPlan, AIOSEO, Priority URLs</t>
  </si>
  <si>
    <t>High-impact SEO blocker that should be fixed first.</t>
  </si>
  <si>
    <t>Immediate action</t>
  </si>
  <si>
    <t>Out-of-best-practice issue likely affecting performance.</t>
  </si>
  <si>
    <t>Plan next sprint</t>
  </si>
  <si>
    <t>Optimization opportunity or context signal.</t>
  </si>
  <si>
    <t>Backlog/monitor</t>
  </si>
  <si>
    <t>Summary, Technical</t>
  </si>
  <si>
    <t>Scoring</t>
  </si>
  <si>
    <t>Weighted technical SEO quality score per URL.</t>
  </si>
  <si>
    <t>&gt;=90 green, 70-89 orange, &lt;70 red</t>
  </si>
  <si>
    <t>Technical, Priority URLs, Dashboard</t>
  </si>
  <si>
    <t>Answer Engine Optimization readiness score per URL.</t>
  </si>
  <si>
    <t>&gt;=80 strong, 60-79 good, 40-59 fair</t>
  </si>
  <si>
    <t>Indexing</t>
  </si>
  <si>
    <t>Primary reason URL may not be indexed.</t>
  </si>
  <si>
    <t>Noindex, non-200, canonical mismatch</t>
  </si>
  <si>
    <t>Indexability, Technical</t>
  </si>
  <si>
    <t>Internal links returning 4xx/5xx or equivalent failures.</t>
  </si>
  <si>
    <t>&gt;0 flagged</t>
  </si>
  <si>
    <t>Links, LinksDetail, Priority URLs</t>
  </si>
  <si>
    <t>Body content depth class.</t>
  </si>
  <si>
    <t>Thin / OK / Strong</t>
  </si>
  <si>
    <t>Headings phrased as questions to match answer intent.</t>
  </si>
  <si>
    <t>Higher is generally better</t>
  </si>
  <si>
    <t>AEO &amp; Generative Search Terms</t>
  </si>
  <si>
    <t>Answer Engine Optimization</t>
  </si>
  <si>
    <t>The practice of structuring content so AI answer engines can reliably extract and cite direct answers.</t>
  </si>
  <si>
    <t>Answer-first formatting</t>
  </si>
  <si>
    <t>AEO, Content Optimization Hub</t>
  </si>
  <si>
    <t>Featured Snippet</t>
  </si>
  <si>
    <t>A concise answer block surfaced prominently in search results, often extracted from clear headings + short answer text.</t>
  </si>
  <si>
    <t>Direct question-answer format</t>
  </si>
  <si>
    <t>AEO, Content</t>
  </si>
  <si>
    <t>Structured data that marks up common questions and answers to improve machine readability and eligibility for rich results.</t>
  </si>
  <si>
    <t>Valid JSON-LD</t>
  </si>
  <si>
    <t>AEO, Schema &amp; Metadata</t>
  </si>
  <si>
    <t>llms.txt</t>
  </si>
  <si>
    <t>A guidance file for AI crawlers that can indicate allowed access and preferred content handling behavior.</t>
  </si>
  <si>
    <t>Present and reachable</t>
  </si>
  <si>
    <t>Technical, Security</t>
  </si>
  <si>
    <t>Entity-Based Search</t>
  </si>
  <si>
    <t>Search interpretation based on known entities (people, places, brands, topics) and their relationships, not only keywords.</t>
  </si>
  <si>
    <t>Clear entity context</t>
  </si>
  <si>
    <t>Color Key</t>
  </si>
  <si>
    <t>Green</t>
  </si>
  <si>
    <t>Pass / aligned with best practice or completed workflow item.</t>
  </si>
  <si>
    <t>Good</t>
  </si>
  <si>
    <t>All</t>
  </si>
  <si>
    <t>Orange</t>
  </si>
  <si>
    <t>Warning / in progress / medium-priority attention needed.</t>
  </si>
  <si>
    <t>Medium risk</t>
  </si>
  <si>
    <t>Red</t>
  </si>
  <si>
    <t>Failure / high-priority issue or to-do critical task.</t>
  </si>
  <si>
    <t>High risk</t>
  </si>
  <si>
    <t>Purple</t>
  </si>
  <si>
    <t>Informational edge-case or AEO category signal.</t>
  </si>
  <si>
    <t>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</si>
</sst>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4"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b/>
      <sz val="11"/>
      <color rgb="FF2F3A4A"/>
      <name val="Calibri"/>
    </font>
    <font>
      <b/>
      <u/>
      <sz val="11"/>
      <color rgb="FFFFFFFF"/>
      <name val="Calibri"/>
    </font>
  </fonts>
  <fills count="21">
    <fill>
      <patternFill patternType="none"/>
    </fill>
    <fill>
      <patternFill patternType="gray125"/>
    </fill>
    <fill>
      <patternFill patternType="solid">
        <fgColor rgb="FFF4CCCC"/>
        <bgColor rgb="FFF4CCCC"/>
      </patternFill>
    </fill>
    <fill>
      <patternFill patternType="solid">
        <fgColor rgb="FFF7F7F7"/>
        <bgColor rgb="FFF7F7F7"/>
      </patternFill>
    </fill>
    <fill>
      <patternFill patternType="solid">
        <fgColor rgb="FFD9EAD3"/>
        <bgColor rgb="FFD9EAD3"/>
      </patternFill>
    </fill>
    <fill>
      <patternFill patternType="solid">
        <fgColor rgb="FFF4B183"/>
        <bgColor rgb="FFF4B183"/>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FFEB9C"/>
      </patternFill>
    </fill>
    <fill>
      <patternFill patternType="solid">
        <fgColor rgb="FFBFE9E4"/>
        <bgColor rgb="FFBFE9E4"/>
      </patternFill>
    </fill>
    <fill>
      <patternFill patternType="solid">
        <fgColor rgb="FFD9D2E9"/>
        <bgColor rgb="FFD9D2E9"/>
      </patternFill>
    </fill>
    <fill>
      <patternFill patternType="solid">
        <fgColor rgb="FFFFF2CC"/>
        <bgColor rgb="FFFFF2CC"/>
      </patternFill>
    </fill>
    <fill>
      <patternFill patternType="solid">
        <fgColor rgb="FF1F4E78"/>
        <bgColor rgb="FF1F4E78"/>
      </patternFill>
    </fill>
  </fills>
  <borders count="1">
    <border>
      <left/>
      <right/>
      <top/>
      <bottom/>
      <diagonal/>
    </border>
  </borders>
  <cellStyleXfs count="2">
    <xf numFmtId="0" fontId="0" fillId="0" borderId="0"/>
    <xf numFmtId="0" fontId="1" fillId="0" borderId="0"/>
  </cellStyleXfs>
  <cellXfs count="70">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0" fillId="9" borderId="0" xfId="0" applyFont="1" applyFill="1" applyAlignment="1">
      <alignment horizontal="left" vertical="center" wrapText="1"/>
    </xf>
    <xf numFmtId="0" fontId="9" fillId="9" borderId="0" xfId="0" applyFont="1" applyFill="1" applyAlignment="1">
      <alignment horizontal="center" vertical="center" wrapText="1"/>
    </xf>
    <xf numFmtId="0" fontId="0" fillId="10" borderId="0" xfId="0" applyFill="1" applyAlignment="1">
      <alignment horizontal="center" vertical="center"/>
    </xf>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9" fillId="15" borderId="0" xfId="0" applyNumberFormat="1" applyFont="1" applyFill="1" applyAlignment="1">
      <alignment horizontal="center" vertical="center"/>
    </xf>
    <xf numFmtId="0" fontId="0" fillId="12" borderId="0" xfId="0" applyFill="1" applyAlignment="1">
      <alignment horizontal="center" vertical="center"/>
    </xf>
    <xf numFmtId="0" fontId="9" fillId="9" borderId="0" xfId="0" applyFont="1" applyFill="1" applyAlignment="1">
      <alignment horizontal="center" vertical="center"/>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xf numFmtId="0" fontId="2" fillId="13" borderId="0" xfId="0" applyFont="1" applyFill="1" applyAlignment="1">
      <alignment wrapText="1"/>
    </xf>
    <xf numFmtId="0" fontId="8" fillId="9" borderId="0" xfId="0" applyFont="1" applyFill="1" applyAlignment="1">
      <alignment horizontal="left" vertical="center" wrapText="1"/>
    </xf>
    <xf numFmtId="10" fontId="9" fillId="16" borderId="0" xfId="0" applyNumberFormat="1" applyFont="1" applyFill="1" applyAlignment="1">
      <alignment horizontal="center" vertical="center"/>
    </xf>
    <xf numFmtId="10" fontId="9" fillId="10" borderId="0" xfId="0" applyNumberFormat="1" applyFont="1" applyFill="1" applyAlignment="1">
      <alignment horizontal="center" vertical="center"/>
    </xf>
    <xf numFmtId="0" fontId="0" fillId="10" borderId="0" xfId="0" applyFill="1"/>
    <xf numFmtId="10" fontId="0" fillId="13" borderId="0" xfId="0" applyNumberFormat="1" applyFill="1" applyAlignment="1">
      <alignment horizontal="center" vertical="center"/>
    </xf>
    <xf numFmtId="0" fontId="3" fillId="6" borderId="0" xfId="0" applyFont="1" applyFill="1" applyAlignment="1">
      <alignment horizontal="center" vertical="center" wrapText="1"/>
    </xf>
    <xf numFmtId="0" fontId="0" fillId="3" borderId="0" xfId="0" applyFill="1" applyAlignment="1">
      <alignment vertical="top"/>
    </xf>
    <xf numFmtId="0" fontId="0" fillId="2" borderId="0" xfId="0" applyFill="1" applyAlignment="1">
      <alignment vertical="top"/>
    </xf>
    <xf numFmtId="0" fontId="1" fillId="0" borderId="0" xfId="1" applyAlignment="1">
      <alignment vertical="top" wrapText="1"/>
    </xf>
    <xf numFmtId="0" fontId="0" fillId="3" borderId="0" xfId="0" applyFill="1" applyAlignment="1">
      <alignment vertical="top" wrapText="1"/>
    </xf>
    <xf numFmtId="0" fontId="0" fillId="5" borderId="0" xfId="0" applyFill="1" applyAlignment="1">
      <alignment vertical="top"/>
    </xf>
    <xf numFmtId="0" fontId="1" fillId="3" borderId="0" xfId="1" applyFill="1" applyAlignment="1">
      <alignment vertical="top" wrapText="1"/>
    </xf>
    <xf numFmtId="0" fontId="0" fillId="3" borderId="0" xfId="0" applyFill="1"/>
    <xf numFmtId="0" fontId="0" fillId="4" borderId="0" xfId="0" applyFill="1" applyAlignment="1">
      <alignment vertical="top"/>
    </xf>
    <xf numFmtId="0" fontId="3" fillId="6" borderId="0" xfId="1" applyFont="1" applyFill="1" applyAlignment="1">
      <alignment horizontal="center" vertical="center" wrapText="1"/>
    </xf>
    <xf numFmtId="0" fontId="0" fillId="0" borderId="0" xfId="0" applyAlignment="1">
      <alignment vertical="top"/>
    </xf>
    <xf numFmtId="165" fontId="0" fillId="2" borderId="0" xfId="0" applyNumberFormat="1" applyFill="1" applyAlignment="1">
      <alignment vertical="top"/>
    </xf>
    <xf numFmtId="165" fontId="0" fillId="3" borderId="0" xfId="0" applyNumberFormat="1" applyFill="1" applyAlignment="1">
      <alignment vertical="top"/>
    </xf>
    <xf numFmtId="165" fontId="0" fillId="19" borderId="0" xfId="0" applyNumberFormat="1" applyFill="1" applyAlignment="1">
      <alignment vertical="top"/>
    </xf>
    <xf numFmtId="166" fontId="0" fillId="3" borderId="0" xfId="0" applyNumberFormat="1" applyFill="1" applyAlignment="1">
      <alignment vertical="top"/>
    </xf>
    <xf numFmtId="165" fontId="0" fillId="0" borderId="0" xfId="0" applyNumberFormat="1" applyAlignment="1">
      <alignment vertical="top"/>
    </xf>
    <xf numFmtId="0" fontId="0" fillId="0" borderId="0" xfId="0" applyAlignment="1">
      <alignment vertical="top" wrapText="1"/>
    </xf>
    <xf numFmtId="166" fontId="0" fillId="0" borderId="0" xfId="0" applyNumberFormat="1" applyAlignment="1">
      <alignment vertical="top"/>
    </xf>
    <xf numFmtId="165" fontId="0" fillId="4" borderId="0" xfId="0" applyNumberFormat="1" applyFill="1" applyAlignment="1">
      <alignment vertical="top"/>
    </xf>
    <xf numFmtId="0" fontId="0" fillId="19" borderId="0" xfId="0" applyFill="1" applyAlignment="1">
      <alignment vertical="top"/>
    </xf>
    <xf numFmtId="0" fontId="0" fillId="18" borderId="0" xfId="0" applyFill="1" applyAlignment="1">
      <alignment vertical="top"/>
    </xf>
    <xf numFmtId="165" fontId="0" fillId="18" borderId="0" xfId="0" applyNumberFormat="1" applyFill="1" applyAlignment="1">
      <alignment vertical="top"/>
    </xf>
    <xf numFmtId="164" fontId="0" fillId="3" borderId="0" xfId="0" applyNumberFormat="1" applyFill="1" applyAlignment="1">
      <alignment vertical="top"/>
    </xf>
    <xf numFmtId="164" fontId="0" fillId="0" borderId="0" xfId="0" applyNumberFormat="1" applyAlignment="1">
      <alignment vertical="top"/>
    </xf>
    <xf numFmtId="0" fontId="0" fillId="3" borderId="0" xfId="0" applyFill="1" applyAlignment="1">
      <alignment vertical="top" shrinkToFit="1"/>
    </xf>
    <xf numFmtId="0" fontId="0" fillId="0" borderId="0" xfId="0" applyAlignment="1">
      <alignment vertical="top" shrinkToFit="1"/>
    </xf>
    <xf numFmtId="0" fontId="0" fillId="4" borderId="0" xfId="0" applyFill="1" applyAlignment="1">
      <alignment vertical="top" shrinkToFit="1"/>
    </xf>
    <xf numFmtId="0" fontId="0" fillId="4" borderId="0" xfId="0" applyFill="1" applyAlignment="1">
      <alignment vertical="top" wrapText="1"/>
    </xf>
    <xf numFmtId="0" fontId="13" fillId="20" borderId="0" xfId="1" applyFont="1" applyFill="1" applyAlignment="1">
      <alignment horizontal="center" vertical="center"/>
    </xf>
    <xf numFmtId="0" fontId="1" fillId="3" borderId="0" xfId="1" applyFill="1" applyAlignment="1">
      <alignment vertical="top"/>
    </xf>
    <xf numFmtId="0" fontId="1" fillId="0" borderId="0" xfId="1" applyAlignment="1">
      <alignment vertical="top"/>
    </xf>
    <xf numFmtId="0" fontId="1" fillId="3" borderId="0" xfId="1" applyFill="1"/>
    <xf numFmtId="0" fontId="1" fillId="0" borderId="0" xfId="1"/>
    <xf numFmtId="167" fontId="0" fillId="2" borderId="0" xfId="0" applyNumberFormat="1" applyFill="1" applyAlignment="1">
      <alignment vertical="top"/>
    </xf>
    <xf numFmtId="167" fontId="0" fillId="3" borderId="0" xfId="0" applyNumberFormat="1" applyFill="1" applyAlignment="1">
      <alignment vertical="top"/>
    </xf>
    <xf numFmtId="167" fontId="0" fillId="0" borderId="0" xfId="0" applyNumberFormat="1" applyAlignment="1">
      <alignment vertical="top"/>
    </xf>
    <xf numFmtId="167" fontId="0" fillId="19" borderId="0" xfId="0" applyNumberFormat="1" applyFill="1" applyAlignment="1">
      <alignment vertical="top"/>
    </xf>
    <xf numFmtId="166" fontId="0" fillId="4" borderId="0" xfId="0" applyNumberFormat="1" applyFill="1" applyAlignment="1">
      <alignment vertical="top"/>
    </xf>
    <xf numFmtId="0" fontId="0" fillId="13" borderId="0" xfId="0" applyFill="1" applyAlignment="1">
      <alignment horizontal="left" vertical="top" wrapText="1"/>
    </xf>
    <xf numFmtId="0" fontId="0" fillId="0" borderId="0" xfId="0"/>
    <xf numFmtId="0" fontId="11" fillId="8" borderId="0" xfId="0" applyFont="1" applyFill="1" applyAlignment="1">
      <alignment horizontal="center" vertical="center" wrapText="1"/>
    </xf>
    <xf numFmtId="0" fontId="11" fillId="14" borderId="0" xfId="0" applyFont="1" applyFill="1" applyAlignment="1">
      <alignment horizontal="center" vertical="center" wrapText="1"/>
    </xf>
    <xf numFmtId="0" fontId="12" fillId="17" borderId="0" xfId="0" applyFont="1" applyFill="1" applyAlignment="1">
      <alignment horizontal="left" vertical="center"/>
    </xf>
  </cellXfs>
  <cellStyles count="2">
    <cellStyle name="Hyperlink" xfId="1" builtinId="8"/>
    <cellStyle name="Normal" xfId="0" builtinId="0"/>
  </cellStyles>
  <dxfs count="73">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ont>
        <color rgb="FF9C0006"/>
      </font>
      <fill>
        <patternFill patternType="solid">
          <fgColor rgb="FFFFC7CE"/>
        </patternFill>
      </fill>
    </dxf>
    <dxf>
      <font>
        <color rgb="FF9C6500"/>
      </font>
      <fill>
        <patternFill patternType="solid">
          <fgColor rgb="FFFFEB9C"/>
        </patternFill>
      </fill>
    </dxf>
    <dxf>
      <font>
        <color rgb="FF006100"/>
      </font>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ont>
        <color rgb="FF9C0006"/>
      </font>
      <fill>
        <patternFill patternType="solid">
          <fgColor rgb="FFFFC7CE"/>
          <b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ont>
        <color rgb="FFFFFFFF"/>
      </font>
      <fill>
        <patternFill patternType="solid">
          <fgColor rgb="FFFF0000"/>
        </patternFill>
      </fill>
    </dxf>
    <dxf>
      <font>
        <color rgb="FF000000"/>
      </font>
      <fill>
        <patternFill patternType="solid">
          <fgColor rgb="FFFFC000"/>
        </patternFill>
      </fill>
    </dxf>
    <dxf>
      <font>
        <color rgb="FF000000"/>
      </font>
      <fill>
        <patternFill patternType="solid">
          <fgColor rgb="FFFFFF00"/>
        </patternFill>
      </fill>
    </dxf>
    <dxf>
      <font>
        <color rgb="FF000000"/>
      </font>
      <fill>
        <patternFill patternType="solid">
          <fgColor rgb="FF00B050"/>
        </patternFill>
      </fill>
    </dxf>
    <dxf>
      <fill>
        <patternFill patternType="solid">
          <fgColor rgb="FFFFF2CC"/>
        </patternFill>
      </fill>
    </dxf>
    <dxf>
      <fill>
        <patternFill patternType="solid">
          <fgColor rgb="FFD9EAD3"/>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0</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13" Type="http://schemas.openxmlformats.org/officeDocument/2006/relationships/hyperlink" Target="https://africanmarketingconfederation.org/amc-conference-2023/download-prospectus"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hyperlink" Target="https://africanmarketingconfederation.org/amc-conference-2023/book-now" TargetMode="External"/><Relationship Id="rId5" Type="http://schemas.openxmlformats.org/officeDocument/2006/relationships/hyperlink" Target="https://africanmarketingconfederation.org/amc-conference-2022" TargetMode="External"/><Relationship Id="rId15" Type="http://schemas.openxmlformats.org/officeDocument/2006/relationships/hyperlink" Target="https://africanmarketingconfederation.org/amc-conference-2023/partners"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 Id="rId14" Type="http://schemas.openxmlformats.org/officeDocument/2006/relationships/hyperlink" Target="https://africanmarketingconfederation.org/amc-conference-2023/gallery"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africanmarketingconfederation.org/amc-conference-2026-zambia-thank-you" TargetMode="External"/><Relationship Id="rId21" Type="http://schemas.openxmlformats.org/officeDocument/2006/relationships/hyperlink" Target="https://africanmarketingconfederation.org/amc-conference-2024-sponsors-packages" TargetMode="External"/><Relationship Id="rId42" Type="http://schemas.openxmlformats.org/officeDocument/2006/relationships/hyperlink" Target="https://africanmarketingconfederation.org/amc-masterclass-bookings"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gallery" TargetMode="External"/><Relationship Id="rId11" Type="http://schemas.openxmlformats.org/officeDocument/2006/relationships/hyperlink" Target="https://africanmarketingconfederation.org/amc-conference-2023/amc-awards" TargetMode="External"/><Relationship Id="rId32" Type="http://schemas.openxmlformats.org/officeDocument/2006/relationships/hyperlink" Target="https://africanmarketingconfederation.org/amc-marketing-conference-2024" TargetMode="External"/><Relationship Id="rId37" Type="http://schemas.openxmlformats.org/officeDocument/2006/relationships/hyperlink" Target="https://africanmarketingconfederation.org/amc-marketing-conference-2024/amc-speakers-presentations-2024" TargetMode="External"/><Relationship Id="rId53" Type="http://schemas.openxmlformats.org/officeDocument/2006/relationships/hyperlink" Target="https://africanmarketingconfederation.org/chartered-marketer-africa-final-submission-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2025" TargetMode="External"/><Relationship Id="rId79" Type="http://schemas.openxmlformats.org/officeDocument/2006/relationships/hyperlink" Target="https://africanmarketingconfederation.org/thank-you-for-registering-2024-registrations" TargetMode="External"/><Relationship Id="rId5" Type="http://schemas.openxmlformats.org/officeDocument/2006/relationships/hyperlink" Target="https://africanmarketingconfederation.org/african-marketing-confederation-tourism-chapter" TargetMode="External"/><Relationship Id="rId19" Type="http://schemas.openxmlformats.org/officeDocument/2006/relationships/hyperlink" Target="https://africanmarketingconfederation.org/amc-conference-2023/speakers" TargetMode="External"/><Relationship Id="rId14" Type="http://schemas.openxmlformats.org/officeDocument/2006/relationships/hyperlink" Target="https://africanmarketingconfederation.org/amc-conference-2023/book-now-thank-you" TargetMode="External"/><Relationship Id="rId22" Type="http://schemas.openxmlformats.org/officeDocument/2006/relationships/hyperlink" Target="https://africanmarketingconfederation.org/amc-conference-2025" TargetMode="External"/><Relationship Id="rId27" Type="http://schemas.openxmlformats.org/officeDocument/2006/relationships/hyperlink" Target="https://africanmarketingconfederation.org/amc-conference-programme" TargetMode="External"/><Relationship Id="rId30" Type="http://schemas.openxmlformats.org/officeDocument/2006/relationships/hyperlink" Target="https://africanmarketingconfederation.org/amc-forum-payments"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sterclass-thank-you" TargetMode="External"/><Relationship Id="rId48" Type="http://schemas.openxmlformats.org/officeDocument/2006/relationships/hyperlink" Target="https://africanmarketingconfederation.org/awards-2026"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2-prospectus"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kenya"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 TargetMode="External"/><Relationship Id="rId12" Type="http://schemas.openxmlformats.org/officeDocument/2006/relationships/hyperlink" Target="https://africanmarketingconfederation.org/amc-conference-2023/amc-awards-book-now" TargetMode="External"/><Relationship Id="rId17" Type="http://schemas.openxmlformats.org/officeDocument/2006/relationships/hyperlink" Target="https://africanmarketingconfederation.org/amc-conference-2023/partners" TargetMode="External"/><Relationship Id="rId25" Type="http://schemas.openxmlformats.org/officeDocument/2006/relationships/hyperlink" Target="https://africanmarketingconfederation.org/amc-conference-2026-awards-nominations-thank-you" TargetMode="External"/><Relationship Id="rId33" Type="http://schemas.openxmlformats.org/officeDocument/2006/relationships/hyperlink" Target="https://africanmarketingconfederation.org/amc-marketing-conference-2024/amc-conference-2025-ghana-sponsors" TargetMode="External"/><Relationship Id="rId38" Type="http://schemas.openxmlformats.org/officeDocument/2006/relationships/hyperlink" Target="https://africanmarketingconfederation.org/amc-marketing-conference-2024/awards-2025"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4-recap" TargetMode="External"/><Relationship Id="rId41" Type="http://schemas.openxmlformats.org/officeDocument/2006/relationships/hyperlink" Target="https://africanmarketingconfederation.org/amc-masterclass" TargetMode="External"/><Relationship Id="rId54" Type="http://schemas.openxmlformats.org/officeDocument/2006/relationships/hyperlink" Target="https://africanmarketingconfederation.org/chartered-marketer-africa-programme-fee"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amc-conference-sponsors" TargetMode="External"/><Relationship Id="rId6" Type="http://schemas.openxmlformats.org/officeDocument/2006/relationships/hyperlink" Target="https://africanmarketingconfederation.org/amc-awards-2024" TargetMode="External"/><Relationship Id="rId15" Type="http://schemas.openxmlformats.org/officeDocument/2006/relationships/hyperlink" Target="https://africanmarketingconfederation.org/amc-conference-2023/download-prospec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thank-you" TargetMode="External"/><Relationship Id="rId36" Type="http://schemas.openxmlformats.org/officeDocument/2006/relationships/hyperlink" Target="https://africanmarketingconfederation.org/amc-marketing-conference-2024/amc-programme-2025" TargetMode="External"/><Relationship Id="rId49" Type="http://schemas.openxmlformats.org/officeDocument/2006/relationships/hyperlink" Target="https://africanmarketingconfederation.org/awards-2026-1"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 TargetMode="External"/><Relationship Id="rId31" Type="http://schemas.openxmlformats.org/officeDocument/2006/relationships/hyperlink" Target="https://africanmarketingconfederation.org/amc-launch-event-zambia-thank-you-2026"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2-thank-you" TargetMode="External"/><Relationship Id="rId13" Type="http://schemas.openxmlformats.org/officeDocument/2006/relationships/hyperlink" Target="https://africanmarketingconfederation.org/amc-conference-2023/book-now" TargetMode="External"/><Relationship Id="rId18" Type="http://schemas.openxmlformats.org/officeDocument/2006/relationships/hyperlink" Target="https://africanmarketingconfederation.org/amc-conference-2023/programme"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launch-event-2025" TargetMode="External"/><Relationship Id="rId50" Type="http://schemas.openxmlformats.org/officeDocument/2006/relationships/hyperlink" Target="https://africanmarketingconfederation.org/awards-2026-test" TargetMode="External"/><Relationship Id="rId55" Type="http://schemas.openxmlformats.org/officeDocument/2006/relationships/hyperlink" Target="https://africanmarketingconfederation.org/chartered-marketer-africa-thank-you"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mc-marketing-conference-2024/speakers-2024" TargetMode="External"/><Relationship Id="rId29" Type="http://schemas.openxmlformats.org/officeDocument/2006/relationships/hyperlink" Target="https://africanmarketingconfederation.org/amc-forum-mombasa"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africanmarketingconfederation.org/amc-conference-2026-zambia-thank-you" TargetMode="External"/><Relationship Id="rId21" Type="http://schemas.openxmlformats.org/officeDocument/2006/relationships/hyperlink" Target="https://africanmarketingconfederation.org/amc-conference-2024-sponsors-packages" TargetMode="External"/><Relationship Id="rId42" Type="http://schemas.openxmlformats.org/officeDocument/2006/relationships/hyperlink" Target="https://africanmarketingconfederation.org/amc-masterclass-bookings"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gallery" TargetMode="External"/><Relationship Id="rId11" Type="http://schemas.openxmlformats.org/officeDocument/2006/relationships/hyperlink" Target="https://africanmarketingconfederation.org/amc-conference-2023/amc-awards" TargetMode="External"/><Relationship Id="rId32" Type="http://schemas.openxmlformats.org/officeDocument/2006/relationships/hyperlink" Target="https://africanmarketingconfederation.org/amc-marketing-conference-2024" TargetMode="External"/><Relationship Id="rId37" Type="http://schemas.openxmlformats.org/officeDocument/2006/relationships/hyperlink" Target="https://africanmarketingconfederation.org/amc-marketing-conference-2024/amc-speakers-presentations-2024" TargetMode="External"/><Relationship Id="rId53" Type="http://schemas.openxmlformats.org/officeDocument/2006/relationships/hyperlink" Target="https://africanmarketingconfederation.org/chartered-marketer-africa-final-submission-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2025" TargetMode="External"/><Relationship Id="rId79" Type="http://schemas.openxmlformats.org/officeDocument/2006/relationships/hyperlink" Target="https://africanmarketingconfederation.org/thank-you-for-registering-2024-registrations" TargetMode="External"/><Relationship Id="rId5" Type="http://schemas.openxmlformats.org/officeDocument/2006/relationships/hyperlink" Target="https://africanmarketingconfederation.org/african-marketing-confederation-tourism-chapter" TargetMode="External"/><Relationship Id="rId19" Type="http://schemas.openxmlformats.org/officeDocument/2006/relationships/hyperlink" Target="https://africanmarketingconfederation.org/amc-conference-2023/speakers" TargetMode="External"/><Relationship Id="rId14" Type="http://schemas.openxmlformats.org/officeDocument/2006/relationships/hyperlink" Target="https://africanmarketingconfederation.org/amc-conference-2023/book-now-thank-you" TargetMode="External"/><Relationship Id="rId22" Type="http://schemas.openxmlformats.org/officeDocument/2006/relationships/hyperlink" Target="https://africanmarketingconfederation.org/amc-conference-2025" TargetMode="External"/><Relationship Id="rId27" Type="http://schemas.openxmlformats.org/officeDocument/2006/relationships/hyperlink" Target="https://africanmarketingconfederation.org/amc-conference-programme" TargetMode="External"/><Relationship Id="rId30" Type="http://schemas.openxmlformats.org/officeDocument/2006/relationships/hyperlink" Target="https://africanmarketingconfederation.org/amc-forum-payments"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sterclass-thank-you" TargetMode="External"/><Relationship Id="rId48" Type="http://schemas.openxmlformats.org/officeDocument/2006/relationships/hyperlink" Target="https://africanmarketingconfederation.org/awards-2026"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2-prospectus"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kenya"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 TargetMode="External"/><Relationship Id="rId12" Type="http://schemas.openxmlformats.org/officeDocument/2006/relationships/hyperlink" Target="https://africanmarketingconfederation.org/amc-conference-2023/amc-awards-book-now" TargetMode="External"/><Relationship Id="rId17" Type="http://schemas.openxmlformats.org/officeDocument/2006/relationships/hyperlink" Target="https://africanmarketingconfederation.org/amc-conference-2023/partners" TargetMode="External"/><Relationship Id="rId25" Type="http://schemas.openxmlformats.org/officeDocument/2006/relationships/hyperlink" Target="https://africanmarketingconfederation.org/amc-conference-2026-awards-nominations-thank-you" TargetMode="External"/><Relationship Id="rId33" Type="http://schemas.openxmlformats.org/officeDocument/2006/relationships/hyperlink" Target="https://africanmarketingconfederation.org/amc-marketing-conference-2024/amc-conference-2025-ghana-sponsors" TargetMode="External"/><Relationship Id="rId38" Type="http://schemas.openxmlformats.org/officeDocument/2006/relationships/hyperlink" Target="https://africanmarketingconfederation.org/amc-marketing-conference-2024/awards-2025"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4-recap" TargetMode="External"/><Relationship Id="rId41" Type="http://schemas.openxmlformats.org/officeDocument/2006/relationships/hyperlink" Target="https://africanmarketingconfederation.org/amc-masterclass" TargetMode="External"/><Relationship Id="rId54" Type="http://schemas.openxmlformats.org/officeDocument/2006/relationships/hyperlink" Target="https://africanmarketingconfederation.org/chartered-marketer-africa-programme-fee"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amc-conference-sponsors" TargetMode="External"/><Relationship Id="rId6" Type="http://schemas.openxmlformats.org/officeDocument/2006/relationships/hyperlink" Target="https://africanmarketingconfederation.org/amc-awards-2024" TargetMode="External"/><Relationship Id="rId15" Type="http://schemas.openxmlformats.org/officeDocument/2006/relationships/hyperlink" Target="https://africanmarketingconfederation.org/amc-conference-2023/download-prospec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thank-you" TargetMode="External"/><Relationship Id="rId36" Type="http://schemas.openxmlformats.org/officeDocument/2006/relationships/hyperlink" Target="https://africanmarketingconfederation.org/amc-marketing-conference-2024/amc-programme-2025" TargetMode="External"/><Relationship Id="rId49" Type="http://schemas.openxmlformats.org/officeDocument/2006/relationships/hyperlink" Target="https://africanmarketingconfederation.org/awards-2026-1"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 TargetMode="External"/><Relationship Id="rId31" Type="http://schemas.openxmlformats.org/officeDocument/2006/relationships/hyperlink" Target="https://africanmarketingconfederation.org/amc-launch-event-zambia-thank-you-2026"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2-thank-you" TargetMode="External"/><Relationship Id="rId13" Type="http://schemas.openxmlformats.org/officeDocument/2006/relationships/hyperlink" Target="https://africanmarketingconfederation.org/amc-conference-2023/book-now" TargetMode="External"/><Relationship Id="rId18" Type="http://schemas.openxmlformats.org/officeDocument/2006/relationships/hyperlink" Target="https://africanmarketingconfederation.org/amc-conference-2023/programme"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launch-event-2025" TargetMode="External"/><Relationship Id="rId50" Type="http://schemas.openxmlformats.org/officeDocument/2006/relationships/hyperlink" Target="https://africanmarketingconfederation.org/awards-2026-test" TargetMode="External"/><Relationship Id="rId55" Type="http://schemas.openxmlformats.org/officeDocument/2006/relationships/hyperlink" Target="https://africanmarketingconfederation.org/chartered-marketer-africa-thank-you"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mc-marketing-conference-2024/speakers-2024" TargetMode="External"/><Relationship Id="rId29" Type="http://schemas.openxmlformats.org/officeDocument/2006/relationships/hyperlink" Target="https://africanmarketingconfederation.org/amc-forum-mombasa"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15.xml.rels><?xml version="1.0" encoding="UTF-8" standalone="yes"?>
<Relationships xmlns="http://schemas.openxmlformats.org/package/2006/relationships"><Relationship Id="rId1522" Type="http://schemas.openxmlformats.org/officeDocument/2006/relationships/hyperlink" Target="https://africanmarketingconfederation.org/wp-admin/post.php?post=16472&amp;action=edit" TargetMode="External"/><Relationship Id="rId21" Type="http://schemas.openxmlformats.org/officeDocument/2006/relationships/hyperlink" Target="https://africanmarketingconfederation.org/amc-conference-2023/amc-awards" TargetMode="External"/><Relationship Id="rId170" Type="http://schemas.openxmlformats.org/officeDocument/2006/relationships/hyperlink" Target="https://africanmarketingconfederation.org/wp-admin/post.php?post=5290&amp;action=edit" TargetMode="External"/><Relationship Id="rId268" Type="http://schemas.openxmlformats.org/officeDocument/2006/relationships/hyperlink" Target="https://africanmarketingconfederation.org/wp-admin/post.php?post=21952&amp;action=edit" TargetMode="External"/><Relationship Id="rId475" Type="http://schemas.openxmlformats.org/officeDocument/2006/relationships/hyperlink" Target="https://africanmarketingconfederation.org/amc-sponsors-2025" TargetMode="External"/><Relationship Id="rId682" Type="http://schemas.openxmlformats.org/officeDocument/2006/relationships/hyperlink" Target="https://africanmarketingconfederation.org/amc-launch-event-zambia-thank-you-2026" TargetMode="External"/><Relationship Id="rId128" Type="http://schemas.openxmlformats.org/officeDocument/2006/relationships/hyperlink" Target="https://africanmarketingconfederation.org/wp-admin/post.php?post=20341&amp;action=edit" TargetMode="External"/><Relationship Id="rId335" Type="http://schemas.openxmlformats.org/officeDocument/2006/relationships/hyperlink" Target="https://africanmarketingconfederation.org/thank-you-for-registering-2024-registrations-kenya" TargetMode="External"/><Relationship Id="rId542" Type="http://schemas.openxmlformats.org/officeDocument/2006/relationships/hyperlink" Target="https://africanmarketingconfederation.org/wp-admin/post.php?post=5597&amp;action=edit" TargetMode="External"/><Relationship Id="rId987" Type="http://schemas.openxmlformats.org/officeDocument/2006/relationships/hyperlink" Target="https://africanmarketingconfederation.org/wp-admin/post.php?post=12477&amp;action=edit" TargetMode="External"/><Relationship Id="rId1172" Type="http://schemas.openxmlformats.org/officeDocument/2006/relationships/hyperlink" Target="https://africanmarketingconfederation.org/amc-conference-thank-you" TargetMode="External"/><Relationship Id="rId402" Type="http://schemas.openxmlformats.org/officeDocument/2006/relationships/hyperlink" Target="https://africanmarketingconfederation.org/wp-admin/post.php?post=13282&amp;action=edit" TargetMode="External"/><Relationship Id="rId847" Type="http://schemas.openxmlformats.org/officeDocument/2006/relationships/hyperlink" Target="https://africanmarketingconfederation.org/wp-admin/post.php?post=33131&amp;action=edit" TargetMode="External"/><Relationship Id="rId1032" Type="http://schemas.openxmlformats.org/officeDocument/2006/relationships/hyperlink" Target="https://africanmarketingconfederation.org/wp-admin/post.php?post=34552&amp;action=edit" TargetMode="External"/><Relationship Id="rId1477" Type="http://schemas.openxmlformats.org/officeDocument/2006/relationships/hyperlink" Target="https://africanmarketingconfederation.org/virtual-programme" TargetMode="External"/><Relationship Id="rId707" Type="http://schemas.openxmlformats.org/officeDocument/2006/relationships/hyperlink" Target="https://africanmarketingconfederation.org/amc-masterclass-thank-you" TargetMode="External"/><Relationship Id="rId914" Type="http://schemas.openxmlformats.org/officeDocument/2006/relationships/hyperlink" Target="https://africanmarketingconfederation.org/wp-admin/post.php?post=3634&amp;action=edit" TargetMode="External"/><Relationship Id="rId1337" Type="http://schemas.openxmlformats.org/officeDocument/2006/relationships/hyperlink" Target="https://africanmarketingconfederation.org/amc-conference-2023/gallery" TargetMode="External"/><Relationship Id="rId43" Type="http://schemas.openxmlformats.org/officeDocument/2006/relationships/hyperlink" Target="https://africanmarketingconfederation.org/amc-conference-2025" TargetMode="External"/><Relationship Id="rId1404" Type="http://schemas.openxmlformats.org/officeDocument/2006/relationships/hyperlink" Target="https://africanmarketingconfederation.org/wp-admin/post.php?post=34622&amp;action=edit" TargetMode="External"/><Relationship Id="rId192" Type="http://schemas.openxmlformats.org/officeDocument/2006/relationships/hyperlink" Target="https://africanmarketingconfederation.org/wp-admin/post.php?post=4941&amp;action=edit" TargetMode="External"/><Relationship Id="rId497" Type="http://schemas.openxmlformats.org/officeDocument/2006/relationships/hyperlink" Target="https://africanmarketingconfederation.org/chartered-marketer-africa-thank-you" TargetMode="External"/><Relationship Id="rId357" Type="http://schemas.openxmlformats.org/officeDocument/2006/relationships/hyperlink" Target="https://africanmarketingconfederation.org/amc-conference-2022" TargetMode="External"/><Relationship Id="rId1194" Type="http://schemas.openxmlformats.org/officeDocument/2006/relationships/hyperlink" Target="https://africanmarketingconfederation.org/amc-marketing-conference-2024/amc-speakers-presentations-2024" TargetMode="External"/><Relationship Id="rId217" Type="http://schemas.openxmlformats.org/officeDocument/2006/relationships/hyperlink" Target="https://africanmarketingconfederation.org/amc-conference-2025" TargetMode="External"/><Relationship Id="rId564" Type="http://schemas.openxmlformats.org/officeDocument/2006/relationships/hyperlink" Target="https://africanmarketingconfederation.org/wp-admin/post.php?post=3686&amp;action=edit" TargetMode="External"/><Relationship Id="rId771" Type="http://schemas.openxmlformats.org/officeDocument/2006/relationships/hyperlink" Target="https://africanmarketingconfederation.org/sub-committees" TargetMode="External"/><Relationship Id="rId869" Type="http://schemas.openxmlformats.org/officeDocument/2006/relationships/hyperlink" Target="https://africanmarketingconfederation.org/amc-relaunch-programme" TargetMode="External"/><Relationship Id="rId1499" Type="http://schemas.openxmlformats.org/officeDocument/2006/relationships/hyperlink" Target="https://africanmarketingconfederation.org/amc-marketing-conference-2024/amc-conference-2025-ghana-sponsors" TargetMode="External"/><Relationship Id="rId424" Type="http://schemas.openxmlformats.org/officeDocument/2006/relationships/hyperlink" Target="https://africanmarketingconfederation.org/wp-admin/post.php?post=22778&amp;action=edit" TargetMode="External"/><Relationship Id="rId631" Type="http://schemas.openxmlformats.org/officeDocument/2006/relationships/hyperlink" Target="https://africanmarketingconfederation.org/amc-awards-2024" TargetMode="External"/><Relationship Id="rId729" Type="http://schemas.openxmlformats.org/officeDocument/2006/relationships/hyperlink" Target="https://africanmarketingconfederation.org/chartered-marketer-africa-programme-fee" TargetMode="External"/><Relationship Id="rId1054" Type="http://schemas.openxmlformats.org/officeDocument/2006/relationships/hyperlink" Target="https://africanmarketingconfederation.org/wp-admin/post.php?post=19172&amp;action=edit" TargetMode="External"/><Relationship Id="rId1261" Type="http://schemas.openxmlformats.org/officeDocument/2006/relationships/hyperlink" Target="https://africanmarketingconfederation.org/elementor-20341" TargetMode="External"/><Relationship Id="rId1359" Type="http://schemas.openxmlformats.org/officeDocument/2006/relationships/hyperlink" Target="https://africanmarketingconfederation.org/amc-conference-programme" TargetMode="External"/><Relationship Id="rId936" Type="http://schemas.openxmlformats.org/officeDocument/2006/relationships/hyperlink" Target="https://africanmarketingconfederation.org/wp-admin/post.php?post=8&amp;action=edit" TargetMode="External"/><Relationship Id="rId1121" Type="http://schemas.openxmlformats.org/officeDocument/2006/relationships/hyperlink" Target="https://africanmarketingconfederation.org/amc-conference-2022-thank-you" TargetMode="External"/><Relationship Id="rId1219" Type="http://schemas.openxmlformats.org/officeDocument/2006/relationships/hyperlink" Target="https://africanmarketingconfederation.org/amc-testimony-page-2024" TargetMode="External"/><Relationship Id="rId65" Type="http://schemas.openxmlformats.org/officeDocument/2006/relationships/hyperlink" Target="https://africanmarketingconfederation.org/amc-marketing-conference-2024/amc-conference-2025-ghana-sponsors" TargetMode="External"/><Relationship Id="rId1426" Type="http://schemas.openxmlformats.org/officeDocument/2006/relationships/hyperlink" Target="https://africanmarketingconfederation.org/wp-admin/post.php?post=92&amp;action=edit" TargetMode="External"/><Relationship Id="rId281" Type="http://schemas.openxmlformats.org/officeDocument/2006/relationships/hyperlink" Target="https://africanmarketingconfederation.org/chartered-marketer-africa-final-submission-fee" TargetMode="External"/><Relationship Id="rId141" Type="http://schemas.openxmlformats.org/officeDocument/2006/relationships/hyperlink" Target="https://africanmarketingconfederation.org/publication-download-list" TargetMode="External"/><Relationship Id="rId379" Type="http://schemas.openxmlformats.org/officeDocument/2006/relationships/hyperlink" Target="https://africanmarketingconfederation.org/amc-conference-2023/amc-awards-book-now" TargetMode="External"/><Relationship Id="rId586" Type="http://schemas.openxmlformats.org/officeDocument/2006/relationships/hyperlink" Target="https://africanmarketingconfederation.org/wp-admin/post.php?post=27352&amp;action=edit" TargetMode="External"/><Relationship Id="rId793" Type="http://schemas.openxmlformats.org/officeDocument/2006/relationships/hyperlink" Target="https://africanmarketingconfederation.org/amc-conference-sponsors" TargetMode="External"/><Relationship Id="rId7" Type="http://schemas.openxmlformats.org/officeDocument/2006/relationships/hyperlink" Target="https://africanmarketingconfederation.org/about-us" TargetMode="External"/><Relationship Id="rId239" Type="http://schemas.openxmlformats.org/officeDocument/2006/relationships/hyperlink" Target="https://africanmarketingconfederation.org/wp-admin/post.php?post=21958&amp;action=edit" TargetMode="External"/><Relationship Id="rId446" Type="http://schemas.openxmlformats.org/officeDocument/2006/relationships/hyperlink" Target="https://africanmarketingconfederation.org/amc-marketing-conference-2024/amc-speakers-presentations-2024" TargetMode="External"/><Relationship Id="rId653" Type="http://schemas.openxmlformats.org/officeDocument/2006/relationships/hyperlink" Target="https://africanmarketingconfederation.org/amc-conference-2023/partners" TargetMode="External"/><Relationship Id="rId1076" Type="http://schemas.openxmlformats.org/officeDocument/2006/relationships/hyperlink" Target="https://africanmarketingconfederation.org/wp-admin/post.php?post=3686&amp;action=edit" TargetMode="External"/><Relationship Id="rId1283" Type="http://schemas.openxmlformats.org/officeDocument/2006/relationships/hyperlink" Target="https://africanmarketingconfederation.org/speakers-2025" TargetMode="External"/><Relationship Id="rId1490" Type="http://schemas.openxmlformats.org/officeDocument/2006/relationships/hyperlink" Target="https://africanmarketingconfederation.org/wp-admin/post.php?post=23710&amp;action=edit" TargetMode="External"/><Relationship Id="rId306" Type="http://schemas.openxmlformats.org/officeDocument/2006/relationships/hyperlink" Target="https://africanmarketingconfederation.org/wp-admin/post.php?post=31820&amp;action=edit" TargetMode="External"/><Relationship Id="rId860" Type="http://schemas.openxmlformats.org/officeDocument/2006/relationships/hyperlink" Target="https://africanmarketingconfederation.org/amc-marketing-conference-2024/programme-2024" TargetMode="External"/><Relationship Id="rId958" Type="http://schemas.openxmlformats.org/officeDocument/2006/relationships/hyperlink" Target="https://africanmarketingconfederation.org/wp-admin/post.php?post=12497&amp;action=edit" TargetMode="External"/><Relationship Id="rId1143" Type="http://schemas.openxmlformats.org/officeDocument/2006/relationships/hyperlink" Target="https://africanmarketingconfederation.org/amc-conference-2023/speakers" TargetMode="External"/><Relationship Id="rId87" Type="http://schemas.openxmlformats.org/officeDocument/2006/relationships/hyperlink" Target="https://africanmarketingconfederation.org/amc-relaunch-programme" TargetMode="External"/><Relationship Id="rId513" Type="http://schemas.openxmlformats.org/officeDocument/2006/relationships/hyperlink" Target="https://africanmarketingconfederation.org/download-brochure" TargetMode="External"/><Relationship Id="rId720" Type="http://schemas.openxmlformats.org/officeDocument/2006/relationships/hyperlink" Target="https://africanmarketingconfederation.org/wp-admin/post.php?post=32554&amp;action=edit" TargetMode="External"/><Relationship Id="rId818" Type="http://schemas.openxmlformats.org/officeDocument/2006/relationships/hyperlink" Target="https://africanmarketingconfederation.org/wp-admin/post.php?post=13549&amp;action=edit" TargetMode="External"/><Relationship Id="rId1350" Type="http://schemas.openxmlformats.org/officeDocument/2006/relationships/hyperlink" Target="https://africanmarketingconfederation.org/wp-admin/post.php?post=23710&amp;action=edit" TargetMode="External"/><Relationship Id="rId1448" Type="http://schemas.openxmlformats.org/officeDocument/2006/relationships/hyperlink" Target="https://africanmarketingconfederation.org/wp-admin/post.php?post=3&amp;action=edit" TargetMode="External"/><Relationship Id="rId1003" Type="http://schemas.openxmlformats.org/officeDocument/2006/relationships/hyperlink" Target="https://africanmarketingconfederation.org/wp-admin/post.php?post=24882&amp;action=edit" TargetMode="External"/><Relationship Id="rId1210" Type="http://schemas.openxmlformats.org/officeDocument/2006/relationships/hyperlink" Target="https://africanmarketingconfederation.org/wp-admin/post.php?post=6816&amp;action=edit" TargetMode="External"/><Relationship Id="rId1308" Type="http://schemas.openxmlformats.org/officeDocument/2006/relationships/hyperlink" Target="https://africanmarketingconfederation.org/wp-admin/post.php?post=4909&amp;action=edit" TargetMode="External"/><Relationship Id="rId1515" Type="http://schemas.openxmlformats.org/officeDocument/2006/relationships/hyperlink" Target="https://africanmarketingconfederation.org/chartered-marketer-africa-thank-you" TargetMode="External"/><Relationship Id="rId14" Type="http://schemas.openxmlformats.org/officeDocument/2006/relationships/hyperlink" Target="https://africanmarketingconfederation.org/wp-admin/post.php?post=4494&amp;action=edit" TargetMode="External"/><Relationship Id="rId163" Type="http://schemas.openxmlformats.org/officeDocument/2006/relationships/hyperlink" Target="https://africanmarketingconfederation.org/thank-you-for-the-nomination-2024" TargetMode="External"/><Relationship Id="rId370" Type="http://schemas.openxmlformats.org/officeDocument/2006/relationships/hyperlink" Target="https://africanmarketingconfederation.org/wp-admin/post.php?post=4941&amp;action=edit" TargetMode="External"/><Relationship Id="rId230" Type="http://schemas.openxmlformats.org/officeDocument/2006/relationships/hyperlink" Target="https://africanmarketingconfederation.org/amc-conference-thank-you" TargetMode="External"/><Relationship Id="rId468" Type="http://schemas.openxmlformats.org/officeDocument/2006/relationships/hyperlink" Target="https://africanmarketingconfederation.org/wp-admin/post.php?post=6822&amp;action=edit" TargetMode="External"/><Relationship Id="rId675" Type="http://schemas.openxmlformats.org/officeDocument/2006/relationships/hyperlink" Target="https://africanmarketingconfederation.org/amc-conference-sponsors" TargetMode="External"/><Relationship Id="rId882" Type="http://schemas.openxmlformats.org/officeDocument/2006/relationships/hyperlink" Target="https://africanmarketingconfederation.org/wp-admin/post.php?post=20001&amp;action=edit" TargetMode="External"/><Relationship Id="rId1098" Type="http://schemas.openxmlformats.org/officeDocument/2006/relationships/hyperlink" Target="https://africanmarketingconfederation.org/wp-admin/post.php?post=17196&amp;action=edit" TargetMode="External"/><Relationship Id="rId328" Type="http://schemas.openxmlformats.org/officeDocument/2006/relationships/hyperlink" Target="https://africanmarketingconfederation.org/wp-admin/post.php?post=7781&amp;action=edit" TargetMode="External"/><Relationship Id="rId535" Type="http://schemas.openxmlformats.org/officeDocument/2006/relationships/hyperlink" Target="https://africanmarketingconfederation.org/elementor-20341" TargetMode="External"/><Relationship Id="rId742" Type="http://schemas.openxmlformats.org/officeDocument/2006/relationships/hyperlink" Target="https://africanmarketingconfederation.org/wp-admin/post.php?post=18478&amp;action=edit" TargetMode="External"/><Relationship Id="rId1165" Type="http://schemas.openxmlformats.org/officeDocument/2006/relationships/hyperlink" Target="https://africanmarketingconfederation.org/amc-conference-2026-zambia-thank-you" TargetMode="External"/><Relationship Id="rId1372" Type="http://schemas.openxmlformats.org/officeDocument/2006/relationships/hyperlink" Target="https://africanmarketingconfederation.org/amc-marketing-conference-2024/amc-conference-2025-ghana-sponsors" TargetMode="External"/><Relationship Id="rId602" Type="http://schemas.openxmlformats.org/officeDocument/2006/relationships/hyperlink" Target="https://africanmarketingconfederation.org/wp-admin/post.php?post=7916&amp;action=edit" TargetMode="External"/><Relationship Id="rId1025" Type="http://schemas.openxmlformats.org/officeDocument/2006/relationships/hyperlink" Target="https://africanmarketingconfederation.org/amc-testimony-page-2024" TargetMode="External"/><Relationship Id="rId1232" Type="http://schemas.openxmlformats.org/officeDocument/2006/relationships/hyperlink" Target="https://africanmarketingconfederation.org/wp-admin/post.php?post=34552&amp;action=edit" TargetMode="External"/><Relationship Id="rId907" Type="http://schemas.openxmlformats.org/officeDocument/2006/relationships/hyperlink" Target="https://africanmarketingconfederation.org/privacy-policy" TargetMode="External"/><Relationship Id="rId36" Type="http://schemas.openxmlformats.org/officeDocument/2006/relationships/hyperlink" Target="https://africanmarketingconfederation.org/wp-admin/post.php?post=12945&amp;action=edit" TargetMode="External"/><Relationship Id="rId185" Type="http://schemas.openxmlformats.org/officeDocument/2006/relationships/hyperlink" Target="https://africanmarketingconfederation.org/amc-awards-2024" TargetMode="External"/><Relationship Id="rId392" Type="http://schemas.openxmlformats.org/officeDocument/2006/relationships/hyperlink" Target="https://africanmarketingconfederation.org/wp-admin/post.php?post=13098&amp;action=edit" TargetMode="External"/><Relationship Id="rId697" Type="http://schemas.openxmlformats.org/officeDocument/2006/relationships/hyperlink" Target="https://africanmarketingconfederation.org/wp-admin/post.php?post=29496&amp;action=edit" TargetMode="External"/><Relationship Id="rId252" Type="http://schemas.openxmlformats.org/officeDocument/2006/relationships/hyperlink" Target="https://africanmarketingconfederation.org/amc-marketing-conference-2024/programme-2024" TargetMode="External"/><Relationship Id="rId1187" Type="http://schemas.openxmlformats.org/officeDocument/2006/relationships/hyperlink" Target="https://africanmarketingconfederation.org/wp-admin/post.php?post=25788&amp;action=edit" TargetMode="External"/><Relationship Id="rId112" Type="http://schemas.openxmlformats.org/officeDocument/2006/relationships/hyperlink" Target="https://africanmarketingconfederation.org/wp-admin/post.php?post=17908&amp;action=edit" TargetMode="External"/><Relationship Id="rId557" Type="http://schemas.openxmlformats.org/officeDocument/2006/relationships/hyperlink" Target="https://africanmarketingconfederation.org/publication-download-list" TargetMode="External"/><Relationship Id="rId764" Type="http://schemas.openxmlformats.org/officeDocument/2006/relationships/hyperlink" Target="https://africanmarketingconfederation.org/wp-admin/post.php?post=9047&amp;action=edit" TargetMode="External"/><Relationship Id="rId971" Type="http://schemas.openxmlformats.org/officeDocument/2006/relationships/hyperlink" Target="https://africanmarketingconfederation.org/amc-conference-2024-sponsors-packages" TargetMode="External"/><Relationship Id="rId1394" Type="http://schemas.openxmlformats.org/officeDocument/2006/relationships/hyperlink" Target="https://africanmarketingconfederation.org/wp-admin/post.php?post=6822&amp;action=edit" TargetMode="External"/><Relationship Id="rId417" Type="http://schemas.openxmlformats.org/officeDocument/2006/relationships/hyperlink" Target="https://africanmarketingconfederation.org/amc-conference-2026-awards-nominations-thank-you" TargetMode="External"/><Relationship Id="rId624" Type="http://schemas.openxmlformats.org/officeDocument/2006/relationships/hyperlink" Target="https://africanmarketingconfederation.org/wp-admin/post.php?post=5290&amp;action=edit" TargetMode="External"/><Relationship Id="rId831" Type="http://schemas.openxmlformats.org/officeDocument/2006/relationships/hyperlink" Target="https://africanmarketingconfederation.org/amc-conference-2026" TargetMode="External"/><Relationship Id="rId1047" Type="http://schemas.openxmlformats.org/officeDocument/2006/relationships/hyperlink" Target="https://africanmarketingconfederation.org/conference-registrations-2024" TargetMode="External"/><Relationship Id="rId1254" Type="http://schemas.openxmlformats.org/officeDocument/2006/relationships/hyperlink" Target="https://africanmarketingconfederation.org/wp-admin/post.php?post=18478&amp;action=edit" TargetMode="External"/><Relationship Id="rId1461" Type="http://schemas.openxmlformats.org/officeDocument/2006/relationships/hyperlink" Target="https://africanmarketingconfederation.org/test-homeslider" TargetMode="External"/><Relationship Id="rId929" Type="http://schemas.openxmlformats.org/officeDocument/2006/relationships/hyperlink" Target="https://africanmarketingconfederation.org/thank-you-for-the-submission-2024" TargetMode="External"/><Relationship Id="rId1114" Type="http://schemas.openxmlformats.org/officeDocument/2006/relationships/hyperlink" Target="https://africanmarketingconfederation.org/wp-admin/post.php?post=16125&amp;action=edit" TargetMode="External"/><Relationship Id="rId1321" Type="http://schemas.openxmlformats.org/officeDocument/2006/relationships/hyperlink" Target="https://africanmarketingconfederation.org/amc-conference-2022-prospectus" TargetMode="External"/><Relationship Id="rId58" Type="http://schemas.openxmlformats.org/officeDocument/2006/relationships/hyperlink" Target="https://africanmarketingconfederation.org/wp-admin/post.php?post=21958&amp;action=edit" TargetMode="External"/><Relationship Id="rId1419" Type="http://schemas.openxmlformats.org/officeDocument/2006/relationships/hyperlink" Target="https://africanmarketingconfederation.org/checkout" TargetMode="External"/><Relationship Id="rId274" Type="http://schemas.openxmlformats.org/officeDocument/2006/relationships/hyperlink" Target="https://africanmarketingconfederation.org/wp-admin/post.php?post=32554&amp;action=edit" TargetMode="External"/><Relationship Id="rId481" Type="http://schemas.openxmlformats.org/officeDocument/2006/relationships/hyperlink" Target="https://africanmarketingconfederation.org/awards-2026-1" TargetMode="External"/><Relationship Id="rId134" Type="http://schemas.openxmlformats.org/officeDocument/2006/relationships/hyperlink" Target="https://africanmarketingconfederation.org/wp-admin/post.php?post=33050&amp;action=edit" TargetMode="External"/><Relationship Id="rId579" Type="http://schemas.openxmlformats.org/officeDocument/2006/relationships/hyperlink" Target="https://africanmarketingconfederation.org/subscribe" TargetMode="External"/><Relationship Id="rId786" Type="http://schemas.openxmlformats.org/officeDocument/2006/relationships/hyperlink" Target="https://africanmarketingconfederation.org/wp-admin/post.php?post=17000&amp;action=edit" TargetMode="External"/><Relationship Id="rId993" Type="http://schemas.openxmlformats.org/officeDocument/2006/relationships/hyperlink" Target="https://africanmarketingconfederation.org/wp-admin/post.php?post=33131&amp;action=edit" TargetMode="External"/><Relationship Id="rId341" Type="http://schemas.openxmlformats.org/officeDocument/2006/relationships/hyperlink" Target="https://africanmarketingconfederation.org/thank-you-for-the-submission-2024" TargetMode="External"/><Relationship Id="rId439" Type="http://schemas.openxmlformats.org/officeDocument/2006/relationships/hyperlink" Target="https://africanmarketingconfederation.org/wp-admin/post.php?post=33131&amp;action=edit" TargetMode="External"/><Relationship Id="rId646" Type="http://schemas.openxmlformats.org/officeDocument/2006/relationships/hyperlink" Target="https://africanmarketingconfederation.org/wp-admin/post.php?post=12407&amp;action=edit" TargetMode="External"/><Relationship Id="rId1069" Type="http://schemas.openxmlformats.org/officeDocument/2006/relationships/hyperlink" Target="https://africanmarketingconfederation.org/news-articles" TargetMode="External"/><Relationship Id="rId1276" Type="http://schemas.openxmlformats.org/officeDocument/2006/relationships/hyperlink" Target="https://africanmarketingconfederation.org/wp-admin/post.php?post=3&amp;action=edit" TargetMode="External"/><Relationship Id="rId1483" Type="http://schemas.openxmlformats.org/officeDocument/2006/relationships/hyperlink" Target="https://africanmarketingconfederation.org/african-marketing-confederation-tourism-chapter" TargetMode="External"/><Relationship Id="rId201" Type="http://schemas.openxmlformats.org/officeDocument/2006/relationships/hyperlink" Target="https://africanmarketingconfederation.org/amc-conference-2023/book-now-thank-you" TargetMode="External"/><Relationship Id="rId506" Type="http://schemas.openxmlformats.org/officeDocument/2006/relationships/hyperlink" Target="https://africanmarketingconfederation.org/wp-admin/post.php?post=17908&amp;action=edit" TargetMode="External"/><Relationship Id="rId853" Type="http://schemas.openxmlformats.org/officeDocument/2006/relationships/hyperlink" Target="https://africanmarketingconfederation.org/wp-admin/post.php?post=25788&amp;action=edit" TargetMode="External"/><Relationship Id="rId1136" Type="http://schemas.openxmlformats.org/officeDocument/2006/relationships/hyperlink" Target="https://africanmarketingconfederation.org/wp-admin/post.php?post=13098&amp;action=edit" TargetMode="External"/><Relationship Id="rId713" Type="http://schemas.openxmlformats.org/officeDocument/2006/relationships/hyperlink" Target="https://africanmarketingconfederation.org/amc-sponsors-2025" TargetMode="External"/><Relationship Id="rId920" Type="http://schemas.openxmlformats.org/officeDocument/2006/relationships/hyperlink" Target="https://africanmarketingconfederation.org/wp-admin/post.php?post=27352&amp;action=edit" TargetMode="External"/><Relationship Id="rId1343" Type="http://schemas.openxmlformats.org/officeDocument/2006/relationships/hyperlink" Target="https://africanmarketingconfederation.org/amc-conference-2023/speakers" TargetMode="External"/><Relationship Id="rId1203" Type="http://schemas.openxmlformats.org/officeDocument/2006/relationships/hyperlink" Target="https://africanmarketingconfederation.org/amc-marketing-conference-2024/testimony-thank-you-page" TargetMode="External"/><Relationship Id="rId1410" Type="http://schemas.openxmlformats.org/officeDocument/2006/relationships/hyperlink" Target="https://africanmarketingconfederation.org/wp-admin/post.php?post=28742&amp;action=edit" TargetMode="External"/><Relationship Id="rId1508" Type="http://schemas.openxmlformats.org/officeDocument/2006/relationships/hyperlink" Target="https://africanmarketingconfederation.org/wp-admin/post.php?post=28742&amp;action=edit" TargetMode="External"/><Relationship Id="rId296" Type="http://schemas.openxmlformats.org/officeDocument/2006/relationships/hyperlink" Target="https://africanmarketingconfederation.org/wp-admin/post.php?post=18478&amp;action=edit" TargetMode="External"/><Relationship Id="rId156" Type="http://schemas.openxmlformats.org/officeDocument/2006/relationships/hyperlink" Target="https://africanmarketingconfederation.org/wp-admin/post.php?post=27352&amp;action=edit" TargetMode="External"/><Relationship Id="rId363" Type="http://schemas.openxmlformats.org/officeDocument/2006/relationships/hyperlink" Target="https://africanmarketingconfederation.org/amc-conference-2022-prospectus" TargetMode="External"/><Relationship Id="rId570" Type="http://schemas.openxmlformats.org/officeDocument/2006/relationships/hyperlink" Target="https://africanmarketingconfederation.org/wp-admin/post.php?post=3252&amp;action=edit" TargetMode="External"/><Relationship Id="rId223" Type="http://schemas.openxmlformats.org/officeDocument/2006/relationships/hyperlink" Target="https://africanmarketingconfederation.org/amc-conference-2026-awards-nominations-thank-you" TargetMode="External"/><Relationship Id="rId430" Type="http://schemas.openxmlformats.org/officeDocument/2006/relationships/hyperlink" Target="https://africanmarketingconfederation.org/amc-conference-thank-you" TargetMode="External"/><Relationship Id="rId668" Type="http://schemas.openxmlformats.org/officeDocument/2006/relationships/hyperlink" Target="https://africanmarketingconfederation.org/wp-admin/post.php?post=31478&amp;action=edit" TargetMode="External"/><Relationship Id="rId875" Type="http://schemas.openxmlformats.org/officeDocument/2006/relationships/hyperlink" Target="https://africanmarketingconfederation.org/amc-testimony-page-2024" TargetMode="External"/><Relationship Id="rId1060" Type="http://schemas.openxmlformats.org/officeDocument/2006/relationships/hyperlink" Target="https://africanmarketingconfederation.org/wp-admin/post.php?post=20341&amp;action=edit" TargetMode="External"/><Relationship Id="rId1298" Type="http://schemas.openxmlformats.org/officeDocument/2006/relationships/hyperlink" Target="https://africanmarketingconfederation.org/wp-admin/post.php?post=17195&amp;action=edit" TargetMode="External"/><Relationship Id="rId528" Type="http://schemas.openxmlformats.org/officeDocument/2006/relationships/hyperlink" Target="https://africanmarketingconfederation.org/wp-admin/post.php?post=16548&amp;action=edit" TargetMode="External"/><Relationship Id="rId735" Type="http://schemas.openxmlformats.org/officeDocument/2006/relationships/hyperlink" Target="https://africanmarketingconfederation.org/conference-faq-2025" TargetMode="External"/><Relationship Id="rId942" Type="http://schemas.openxmlformats.org/officeDocument/2006/relationships/hyperlink" Target="https://africanmarketingconfederation.org/wp-admin/post.php?post=16125&amp;action=edit" TargetMode="External"/><Relationship Id="rId1158" Type="http://schemas.openxmlformats.org/officeDocument/2006/relationships/hyperlink" Target="https://africanmarketingconfederation.org/wp-admin/post.php?post=30257&amp;action=edit" TargetMode="External"/><Relationship Id="rId1365" Type="http://schemas.openxmlformats.org/officeDocument/2006/relationships/hyperlink" Target="https://africanmarketingconfederation.org/wp-admin/post.php?post=21958&amp;action=edit" TargetMode="External"/><Relationship Id="rId1018" Type="http://schemas.openxmlformats.org/officeDocument/2006/relationships/hyperlink" Target="https://africanmarketingconfederation.org/wp-admin/post.php?post=6822&amp;action=edit" TargetMode="External"/><Relationship Id="rId1225" Type="http://schemas.openxmlformats.org/officeDocument/2006/relationships/hyperlink" Target="https://africanmarketingconfederation.org/awards-2026-1" TargetMode="External"/><Relationship Id="rId1432" Type="http://schemas.openxmlformats.org/officeDocument/2006/relationships/hyperlink" Target="https://africanmarketingconfederation.org/wp-admin/post.php?post=88&amp;action=edit" TargetMode="External"/><Relationship Id="rId71" Type="http://schemas.openxmlformats.org/officeDocument/2006/relationships/hyperlink" Target="https://africanmarketingconfederation.org/amc-marketing-conference-2024/amc-programme-2025" TargetMode="External"/><Relationship Id="rId802" Type="http://schemas.openxmlformats.org/officeDocument/2006/relationships/hyperlink" Target="https://africanmarketingconfederation.org/wp-admin/post.php?post=4494&amp;action=edit" TargetMode="External"/><Relationship Id="rId29" Type="http://schemas.openxmlformats.org/officeDocument/2006/relationships/hyperlink" Target="https://africanmarketingconfederation.org/amc-conference-2023/download-prospectus" TargetMode="External"/><Relationship Id="rId178" Type="http://schemas.openxmlformats.org/officeDocument/2006/relationships/hyperlink" Target="https://africanmarketingconfederation.org/wp-admin/post.php?post=20341&amp;action=edit" TargetMode="External"/><Relationship Id="rId385" Type="http://schemas.openxmlformats.org/officeDocument/2006/relationships/hyperlink" Target="https://africanmarketingconfederation.org/amc-conference-2023/book-now" TargetMode="External"/><Relationship Id="rId592" Type="http://schemas.openxmlformats.org/officeDocument/2006/relationships/hyperlink" Target="https://africanmarketingconfederation.org/wp-admin/post.php?post=17195&amp;action=edit" TargetMode="External"/><Relationship Id="rId245" Type="http://schemas.openxmlformats.org/officeDocument/2006/relationships/hyperlink" Target="https://africanmarketingconfederation.org/wp-admin/post.php?post=26290&amp;action=edit" TargetMode="External"/><Relationship Id="rId452" Type="http://schemas.openxmlformats.org/officeDocument/2006/relationships/hyperlink" Target="https://africanmarketingconfederation.org/wp-admin/post.php?post=23021&amp;action=edit" TargetMode="External"/><Relationship Id="rId897" Type="http://schemas.openxmlformats.org/officeDocument/2006/relationships/hyperlink" Target="https://africanmarketingconfederation.org/education" TargetMode="External"/><Relationship Id="rId1082" Type="http://schemas.openxmlformats.org/officeDocument/2006/relationships/hyperlink" Target="https://africanmarketingconfederation.org/wp-admin/post.php?post=3634&amp;action=edit" TargetMode="External"/><Relationship Id="rId105" Type="http://schemas.openxmlformats.org/officeDocument/2006/relationships/hyperlink" Target="https://africanmarketingconfederation.org/chartered-marketer-africa-final-submission-fee" TargetMode="External"/><Relationship Id="rId312" Type="http://schemas.openxmlformats.org/officeDocument/2006/relationships/hyperlink" Target="https://africanmarketingconfederation.org/wp-admin/post.php?post=86&amp;action=edit" TargetMode="External"/><Relationship Id="rId757" Type="http://schemas.openxmlformats.org/officeDocument/2006/relationships/hyperlink" Target="https://africanmarketingconfederation.org/members" TargetMode="External"/><Relationship Id="rId964" Type="http://schemas.openxmlformats.org/officeDocument/2006/relationships/hyperlink" Target="https://africanmarketingconfederation.org/wp-admin/post.php?post=13282&amp;action=edit" TargetMode="External"/><Relationship Id="rId1387" Type="http://schemas.openxmlformats.org/officeDocument/2006/relationships/hyperlink" Target="https://africanmarketingconfederation.org/amc-marketing-conference-2024/testimony-thank-you-page" TargetMode="External"/><Relationship Id="rId93" Type="http://schemas.openxmlformats.org/officeDocument/2006/relationships/hyperlink" Target="https://africanmarketingconfederation.org/amc-testimony-page-2024" TargetMode="External"/><Relationship Id="rId617" Type="http://schemas.openxmlformats.org/officeDocument/2006/relationships/hyperlink" Target="https://africanmarketingconfederation.org/upcoming-events" TargetMode="External"/><Relationship Id="rId824" Type="http://schemas.openxmlformats.org/officeDocument/2006/relationships/hyperlink" Target="https://africanmarketingconfederation.org/wp-admin/post.php?post=13179&amp;action=edit" TargetMode="External"/><Relationship Id="rId1247" Type="http://schemas.openxmlformats.org/officeDocument/2006/relationships/hyperlink" Target="https://africanmarketingconfederation.org/conference-registrations-2024" TargetMode="External"/><Relationship Id="rId1454" Type="http://schemas.openxmlformats.org/officeDocument/2006/relationships/hyperlink" Target="https://africanmarketingconfederation.org/wp-admin/post.php?post=3252&amp;action=edit" TargetMode="External"/><Relationship Id="rId1107" Type="http://schemas.openxmlformats.org/officeDocument/2006/relationships/hyperlink" Target="https://africanmarketingconfederation.org/about-us" TargetMode="External"/><Relationship Id="rId1314" Type="http://schemas.openxmlformats.org/officeDocument/2006/relationships/hyperlink" Target="https://africanmarketingconfederation.org/wp-admin/post.php?post=84&amp;action=edit" TargetMode="External"/><Relationship Id="rId1521" Type="http://schemas.openxmlformats.org/officeDocument/2006/relationships/hyperlink" Target="https://africanmarketingconfederation.org/conference-registrations-2024" TargetMode="External"/><Relationship Id="rId20" Type="http://schemas.openxmlformats.org/officeDocument/2006/relationships/hyperlink" Target="https://africanmarketingconfederation.org/wp-admin/post.php?post=12371&amp;action=edit" TargetMode="External"/><Relationship Id="rId267" Type="http://schemas.openxmlformats.org/officeDocument/2006/relationships/hyperlink" Target="https://africanmarketingconfederation.org/amc-sponsors-2025" TargetMode="External"/><Relationship Id="rId474" Type="http://schemas.openxmlformats.org/officeDocument/2006/relationships/hyperlink" Target="https://africanmarketingconfederation.org/wp-admin/post.php?post=23001&amp;action=edit" TargetMode="External"/><Relationship Id="rId127" Type="http://schemas.openxmlformats.org/officeDocument/2006/relationships/hyperlink" Target="https://africanmarketingconfederation.org/elementor-20341" TargetMode="External"/><Relationship Id="rId681" Type="http://schemas.openxmlformats.org/officeDocument/2006/relationships/hyperlink" Target="https://africanmarketingconfederation.org/wp-admin/post.php?post=21984&amp;action=edit" TargetMode="External"/><Relationship Id="rId779" Type="http://schemas.openxmlformats.org/officeDocument/2006/relationships/hyperlink" Target="https://africanmarketingconfederation.org/thank-you-for-registering-2024-registrations" TargetMode="External"/><Relationship Id="rId986" Type="http://schemas.openxmlformats.org/officeDocument/2006/relationships/hyperlink" Target="https://africanmarketingconfederation.org/amc-conference-thank-you" TargetMode="External"/><Relationship Id="rId334" Type="http://schemas.openxmlformats.org/officeDocument/2006/relationships/hyperlink" Target="https://africanmarketingconfederation.org/wp-admin/post.php?post=17195&amp;action=edit" TargetMode="External"/><Relationship Id="rId541" Type="http://schemas.openxmlformats.org/officeDocument/2006/relationships/hyperlink" Target="https://africanmarketingconfederation.org/general-enquiry-form-thank-you" TargetMode="External"/><Relationship Id="rId639" Type="http://schemas.openxmlformats.org/officeDocument/2006/relationships/hyperlink" Target="https://africanmarketingconfederation.org/amc-conference-2023" TargetMode="External"/><Relationship Id="rId1171" Type="http://schemas.openxmlformats.org/officeDocument/2006/relationships/hyperlink" Target="https://africanmarketingconfederation.org/amc-conference-sponsors" TargetMode="External"/><Relationship Id="rId1269" Type="http://schemas.openxmlformats.org/officeDocument/2006/relationships/hyperlink" Target="https://africanmarketingconfederation.org/members" TargetMode="External"/><Relationship Id="rId1476" Type="http://schemas.openxmlformats.org/officeDocument/2006/relationships/hyperlink" Target="https://africanmarketingconfederation.org/wp-admin/post.php?post=4909&amp;action=edit" TargetMode="External"/><Relationship Id="rId401" Type="http://schemas.openxmlformats.org/officeDocument/2006/relationships/hyperlink" Target="https://africanmarketingconfederation.org/amc-conference-2023/partners" TargetMode="External"/><Relationship Id="rId846" Type="http://schemas.openxmlformats.org/officeDocument/2006/relationships/hyperlink" Target="https://africanmarketingconfederation.org/amc-launch-event-zambia-thank-you-2026" TargetMode="External"/><Relationship Id="rId1031" Type="http://schemas.openxmlformats.org/officeDocument/2006/relationships/hyperlink" Target="https://africanmarketingconfederation.org/awards-2026-test" TargetMode="External"/><Relationship Id="rId1129" Type="http://schemas.openxmlformats.org/officeDocument/2006/relationships/hyperlink" Target="https://africanmarketingconfederation.org/amc-conference-2023/book-now" TargetMode="External"/><Relationship Id="rId706" Type="http://schemas.openxmlformats.org/officeDocument/2006/relationships/hyperlink" Target="https://africanmarketingconfederation.org/wp-admin/post.php?post=6816&amp;action=edit" TargetMode="External"/><Relationship Id="rId913" Type="http://schemas.openxmlformats.org/officeDocument/2006/relationships/hyperlink" Target="https://africanmarketingconfederation.org/sub-committees" TargetMode="External"/><Relationship Id="rId1336" Type="http://schemas.openxmlformats.org/officeDocument/2006/relationships/hyperlink" Target="https://africanmarketingconfederation.org/wp-admin/post.php?post=13098&amp;action=edit" TargetMode="External"/><Relationship Id="rId42" Type="http://schemas.openxmlformats.org/officeDocument/2006/relationships/hyperlink" Target="https://africanmarketingconfederation.org/wp-admin/post.php?post=18318&amp;action=edit" TargetMode="External"/><Relationship Id="rId1403" Type="http://schemas.openxmlformats.org/officeDocument/2006/relationships/hyperlink" Target="https://africanmarketingconfederation.org/awards-2026" TargetMode="External"/><Relationship Id="rId191" Type="http://schemas.openxmlformats.org/officeDocument/2006/relationships/hyperlink" Target="https://africanmarketingconfederation.org/amc-conference-2022-thank-you" TargetMode="External"/><Relationship Id="rId289" Type="http://schemas.openxmlformats.org/officeDocument/2006/relationships/hyperlink" Target="https://africanmarketingconfederation.org/conference-faq-2025" TargetMode="External"/><Relationship Id="rId496" Type="http://schemas.openxmlformats.org/officeDocument/2006/relationships/hyperlink" Target="https://africanmarketingconfederation.org/wp-admin/post.php?post=10823&amp;action=edit" TargetMode="External"/><Relationship Id="rId149" Type="http://schemas.openxmlformats.org/officeDocument/2006/relationships/hyperlink" Target="https://africanmarketingconfederation.org/sub-committees" TargetMode="External"/><Relationship Id="rId356" Type="http://schemas.openxmlformats.org/officeDocument/2006/relationships/hyperlink" Target="https://africanmarketingconfederation.org/wp-admin/post.php?post=16125&amp;action=edit" TargetMode="External"/><Relationship Id="rId563" Type="http://schemas.openxmlformats.org/officeDocument/2006/relationships/hyperlink" Target="https://africanmarketingconfederation.org/publications-2" TargetMode="External"/><Relationship Id="rId770" Type="http://schemas.openxmlformats.org/officeDocument/2006/relationships/hyperlink" Target="https://africanmarketingconfederation.org/wp-admin/post.php?post=21962&amp;action=edit" TargetMode="External"/><Relationship Id="rId1193" Type="http://schemas.openxmlformats.org/officeDocument/2006/relationships/hyperlink" Target="https://africanmarketingconfederation.org/wp-admin/post.php?post=24882&amp;action=edit" TargetMode="External"/><Relationship Id="rId216" Type="http://schemas.openxmlformats.org/officeDocument/2006/relationships/hyperlink" Target="https://africanmarketingconfederation.org/wp-admin/post.php?post=18318&amp;action=edit" TargetMode="External"/><Relationship Id="rId423" Type="http://schemas.openxmlformats.org/officeDocument/2006/relationships/hyperlink" Target="https://africanmarketingconfederation.org/amc-conference-2026-zambia-thank-you" TargetMode="External"/><Relationship Id="rId868" Type="http://schemas.openxmlformats.org/officeDocument/2006/relationships/hyperlink" Target="https://africanmarketingconfederation.org/wp-admin/post.php?post=6822&amp;action=edit" TargetMode="External"/><Relationship Id="rId1053" Type="http://schemas.openxmlformats.org/officeDocument/2006/relationships/hyperlink" Target="https://africanmarketingconfederation.org/download-prospectus-2024" TargetMode="External"/><Relationship Id="rId1260" Type="http://schemas.openxmlformats.org/officeDocument/2006/relationships/hyperlink" Target="https://africanmarketingconfederation.org/wp-admin/post.php?post=16548&amp;action=edit" TargetMode="External"/><Relationship Id="rId1498" Type="http://schemas.openxmlformats.org/officeDocument/2006/relationships/hyperlink" Target="https://africanmarketingconfederation.org/wp-admin/post.php?post=33131&amp;action=edit" TargetMode="External"/><Relationship Id="rId630" Type="http://schemas.openxmlformats.org/officeDocument/2006/relationships/hyperlink" Target="https://africanmarketingconfederation.org/wp-admin/post.php?post=28165&amp;action=edit" TargetMode="External"/><Relationship Id="rId728" Type="http://schemas.openxmlformats.org/officeDocument/2006/relationships/hyperlink" Target="https://africanmarketingconfederation.org/wp-admin/post.php?post=20001&amp;action=edit" TargetMode="External"/><Relationship Id="rId935" Type="http://schemas.openxmlformats.org/officeDocument/2006/relationships/hyperlink" Target="https://africanmarketingconfederation.org/" TargetMode="External"/><Relationship Id="rId1358" Type="http://schemas.openxmlformats.org/officeDocument/2006/relationships/hyperlink" Target="https://africanmarketingconfederation.org/wp-admin/post.php?post=22778&amp;action=edit" TargetMode="External"/><Relationship Id="rId64" Type="http://schemas.openxmlformats.org/officeDocument/2006/relationships/hyperlink" Target="https://africanmarketingconfederation.org/wp-admin/post.php?post=21958&amp;action=edit" TargetMode="External"/><Relationship Id="rId1120" Type="http://schemas.openxmlformats.org/officeDocument/2006/relationships/hyperlink" Target="https://africanmarketingconfederation.org/wp-admin/post.php?post=5619&amp;action=edit" TargetMode="External"/><Relationship Id="rId1218" Type="http://schemas.openxmlformats.org/officeDocument/2006/relationships/hyperlink" Target="https://africanmarketingconfederation.org/wp-admin/post.php?post=21952&amp;action=edit" TargetMode="External"/><Relationship Id="rId1425" Type="http://schemas.openxmlformats.org/officeDocument/2006/relationships/hyperlink" Target="https://africanmarketingconfederation.org/contact-us" TargetMode="External"/><Relationship Id="rId280" Type="http://schemas.openxmlformats.org/officeDocument/2006/relationships/hyperlink" Target="https://africanmarketingconfederation.org/wp-admin/post.php?post=9075&amp;action=edit" TargetMode="External"/><Relationship Id="rId140" Type="http://schemas.openxmlformats.org/officeDocument/2006/relationships/hyperlink" Target="https://africanmarketingconfederation.org/wp-admin/post.php?post=3&amp;action=edit" TargetMode="External"/><Relationship Id="rId378" Type="http://schemas.openxmlformats.org/officeDocument/2006/relationships/hyperlink" Target="https://africanmarketingconfederation.org/wp-admin/post.php?post=13164&amp;action=edit" TargetMode="External"/><Relationship Id="rId585" Type="http://schemas.openxmlformats.org/officeDocument/2006/relationships/hyperlink" Target="https://africanmarketingconfederation.org/test-payment-gate" TargetMode="External"/><Relationship Id="rId792" Type="http://schemas.openxmlformats.org/officeDocument/2006/relationships/hyperlink" Target="https://africanmarketingconfederation.org/wp-admin/post.php?post=5290&amp;action=edit" TargetMode="External"/><Relationship Id="rId6" Type="http://schemas.openxmlformats.org/officeDocument/2006/relationships/hyperlink" Target="https://africanmarketingconfederation.org/wp-admin/post.php?post=8&amp;action=edit" TargetMode="External"/><Relationship Id="rId238" Type="http://schemas.openxmlformats.org/officeDocument/2006/relationships/hyperlink" Target="https://africanmarketingconfederation.org/amc-marketing-conference-2024" TargetMode="External"/><Relationship Id="rId445" Type="http://schemas.openxmlformats.org/officeDocument/2006/relationships/hyperlink" Target="https://africanmarketingconfederation.org/wp-admin/post.php?post=24882&amp;action=edit" TargetMode="External"/><Relationship Id="rId652" Type="http://schemas.openxmlformats.org/officeDocument/2006/relationships/hyperlink" Target="https://africanmarketingconfederation.org/wp-admin/post.php?post=13549&amp;action=edit" TargetMode="External"/><Relationship Id="rId1075" Type="http://schemas.openxmlformats.org/officeDocument/2006/relationships/hyperlink" Target="https://africanmarketingconfederation.org/publications-2" TargetMode="External"/><Relationship Id="rId1282" Type="http://schemas.openxmlformats.org/officeDocument/2006/relationships/hyperlink" Target="https://africanmarketingconfederation.org/wp-admin/post.php?post=3252&amp;action=edit" TargetMode="External"/><Relationship Id="rId305" Type="http://schemas.openxmlformats.org/officeDocument/2006/relationships/hyperlink" Target="https://africanmarketingconfederation.org/elementor-31820" TargetMode="External"/><Relationship Id="rId512" Type="http://schemas.openxmlformats.org/officeDocument/2006/relationships/hyperlink" Target="https://africanmarketingconfederation.org/wp-admin/post.php?post=18478&amp;action=edit" TargetMode="External"/><Relationship Id="rId957" Type="http://schemas.openxmlformats.org/officeDocument/2006/relationships/hyperlink" Target="https://africanmarketingconfederation.org/amc-conference-2023/book-now-thank-you" TargetMode="External"/><Relationship Id="rId1142" Type="http://schemas.openxmlformats.org/officeDocument/2006/relationships/hyperlink" Target="https://africanmarketingconfederation.org/wp-admin/post.php?post=12945&amp;action=edit" TargetMode="External"/><Relationship Id="rId86" Type="http://schemas.openxmlformats.org/officeDocument/2006/relationships/hyperlink" Target="https://africanmarketingconfederation.org/wp-admin/post.php?post=6822&amp;action=edit" TargetMode="External"/><Relationship Id="rId817" Type="http://schemas.openxmlformats.org/officeDocument/2006/relationships/hyperlink" Target="https://africanmarketingconfederation.org/amc-conference-2023/gallery" TargetMode="External"/><Relationship Id="rId1002" Type="http://schemas.openxmlformats.org/officeDocument/2006/relationships/hyperlink" Target="https://africanmarketingconfederation.org/amc-marketing-conference-2024/amc-programme-2025" TargetMode="External"/><Relationship Id="rId1447" Type="http://schemas.openxmlformats.org/officeDocument/2006/relationships/hyperlink" Target="https://africanmarketingconfederation.org/privacy-policy" TargetMode="External"/><Relationship Id="rId1307" Type="http://schemas.openxmlformats.org/officeDocument/2006/relationships/hyperlink" Target="https://africanmarketingconfederation.org/upcoming-events" TargetMode="External"/><Relationship Id="rId1514" Type="http://schemas.openxmlformats.org/officeDocument/2006/relationships/hyperlink" Target="https://africanmarketingconfederation.org/wp-admin/post.php?post=19980&amp;action=edit" TargetMode="External"/><Relationship Id="rId13" Type="http://schemas.openxmlformats.org/officeDocument/2006/relationships/hyperlink" Target="https://africanmarketingconfederation.org/amc-conference-2022" TargetMode="External"/><Relationship Id="rId162" Type="http://schemas.openxmlformats.org/officeDocument/2006/relationships/hyperlink" Target="https://africanmarketingconfederation.org/wp-admin/post.php?post=7916&amp;action=edit" TargetMode="External"/><Relationship Id="rId467" Type="http://schemas.openxmlformats.org/officeDocument/2006/relationships/hyperlink" Target="https://africanmarketingconfederation.org/amc-masterclass-thank-you" TargetMode="External"/><Relationship Id="rId1097" Type="http://schemas.openxmlformats.org/officeDocument/2006/relationships/hyperlink" Target="https://africanmarketingconfederation.org/thank-you-for-the-submission-2024" TargetMode="External"/><Relationship Id="rId674" Type="http://schemas.openxmlformats.org/officeDocument/2006/relationships/hyperlink" Target="https://africanmarketingconfederation.org/wp-admin/post.php?post=5057&amp;action=edit" TargetMode="External"/><Relationship Id="rId881" Type="http://schemas.openxmlformats.org/officeDocument/2006/relationships/hyperlink" Target="https://africanmarketingconfederation.org/chartered-marketer-africa-final-submission-fee" TargetMode="External"/><Relationship Id="rId979" Type="http://schemas.openxmlformats.org/officeDocument/2006/relationships/hyperlink" Target="https://africanmarketingconfederation.org/amc-conference-2026-awards-nominations-thank-you" TargetMode="External"/><Relationship Id="rId327" Type="http://schemas.openxmlformats.org/officeDocument/2006/relationships/hyperlink" Target="https://africanmarketingconfederation.org/subscribe" TargetMode="External"/><Relationship Id="rId534" Type="http://schemas.openxmlformats.org/officeDocument/2006/relationships/hyperlink" Target="https://africanmarketingconfederation.org/wp-admin/post.php?post=20341&amp;action=edit" TargetMode="External"/><Relationship Id="rId741" Type="http://schemas.openxmlformats.org/officeDocument/2006/relationships/hyperlink" Target="https://africanmarketingconfederation.org/download-brochure" TargetMode="External"/><Relationship Id="rId839" Type="http://schemas.openxmlformats.org/officeDocument/2006/relationships/hyperlink" Target="https://africanmarketingconfederation.org/amc-conference-sponsors" TargetMode="External"/><Relationship Id="rId1164" Type="http://schemas.openxmlformats.org/officeDocument/2006/relationships/hyperlink" Target="https://africanmarketingconfederation.org/wp-admin/post.php?post=33280&amp;action=edit" TargetMode="External"/><Relationship Id="rId1371" Type="http://schemas.openxmlformats.org/officeDocument/2006/relationships/hyperlink" Target="https://africanmarketingconfederation.org/wp-admin/post.php?post=21958&amp;action=edit" TargetMode="External"/><Relationship Id="rId1469" Type="http://schemas.openxmlformats.org/officeDocument/2006/relationships/hyperlink" Target="https://africanmarketingconfederation.org/thank-you-for-subscribing" TargetMode="External"/><Relationship Id="rId601" Type="http://schemas.openxmlformats.org/officeDocument/2006/relationships/hyperlink" Target="https://africanmarketingconfederation.org/thank-you-for-subscribing" TargetMode="External"/><Relationship Id="rId1024" Type="http://schemas.openxmlformats.org/officeDocument/2006/relationships/hyperlink" Target="https://africanmarketingconfederation.org/wp-admin/post.php?post=21952&amp;action=edit" TargetMode="External"/><Relationship Id="rId1231" Type="http://schemas.openxmlformats.org/officeDocument/2006/relationships/hyperlink" Target="https://africanmarketingconfederation.org/awards-2026-test" TargetMode="External"/><Relationship Id="rId906" Type="http://schemas.openxmlformats.org/officeDocument/2006/relationships/hyperlink" Target="https://africanmarketingconfederation.org/wp-admin/post.php?post=86&amp;action=edit" TargetMode="External"/><Relationship Id="rId1329" Type="http://schemas.openxmlformats.org/officeDocument/2006/relationships/hyperlink" Target="https://africanmarketingconfederation.org/amc-conference-2023/amc-awards-book-now" TargetMode="External"/><Relationship Id="rId1536" Type="http://schemas.openxmlformats.org/officeDocument/2006/relationships/hyperlink" Target="https://africanmarketingconfederation.org/wp-admin/post.php?post=17196&amp;action=edit" TargetMode="External"/><Relationship Id="rId35" Type="http://schemas.openxmlformats.org/officeDocument/2006/relationships/hyperlink" Target="https://africanmarketingconfederation.org/amc-conference-2023/programme" TargetMode="External"/><Relationship Id="rId184" Type="http://schemas.openxmlformats.org/officeDocument/2006/relationships/hyperlink" Target="https://africanmarketingconfederation.org/wp-admin/post.php?post=28165&amp;action=edit" TargetMode="External"/><Relationship Id="rId391" Type="http://schemas.openxmlformats.org/officeDocument/2006/relationships/hyperlink" Target="https://africanmarketingconfederation.org/amc-conference-2023/download-prospectus" TargetMode="External"/><Relationship Id="rId251" Type="http://schemas.openxmlformats.org/officeDocument/2006/relationships/hyperlink" Target="https://africanmarketingconfederation.org/wp-admin/post.php?post=29496&amp;action=edit" TargetMode="External"/><Relationship Id="rId489" Type="http://schemas.openxmlformats.org/officeDocument/2006/relationships/hyperlink" Target="https://africanmarketingconfederation.org/chartered-marketer-africa" TargetMode="External"/><Relationship Id="rId696" Type="http://schemas.openxmlformats.org/officeDocument/2006/relationships/hyperlink" Target="https://africanmarketingconfederation.org/amc-marketing-conference-2024/awards-2025" TargetMode="External"/><Relationship Id="rId349" Type="http://schemas.openxmlformats.org/officeDocument/2006/relationships/hyperlink" Target="https://africanmarketingconfederation.org/" TargetMode="External"/><Relationship Id="rId556" Type="http://schemas.openxmlformats.org/officeDocument/2006/relationships/hyperlink" Target="https://africanmarketingconfederation.org/wp-admin/post.php?post=3&amp;action=edit" TargetMode="External"/><Relationship Id="rId763" Type="http://schemas.openxmlformats.org/officeDocument/2006/relationships/hyperlink" Target="https://africanmarketingconfederation.org/publication-download-list" TargetMode="External"/><Relationship Id="rId1186" Type="http://schemas.openxmlformats.org/officeDocument/2006/relationships/hyperlink" Target="https://africanmarketingconfederation.org/amc-marketing-conference-2024/amc-launch-event-2025" TargetMode="External"/><Relationship Id="rId1393" Type="http://schemas.openxmlformats.org/officeDocument/2006/relationships/hyperlink" Target="https://africanmarketingconfederation.org/amc-masterclass-thank-you" TargetMode="External"/><Relationship Id="rId111" Type="http://schemas.openxmlformats.org/officeDocument/2006/relationships/hyperlink" Target="https://africanmarketingconfederation.org/checkout" TargetMode="External"/><Relationship Id="rId209" Type="http://schemas.openxmlformats.org/officeDocument/2006/relationships/hyperlink" Target="https://africanmarketingconfederation.org/amc-conference-2023/programme" TargetMode="External"/><Relationship Id="rId416" Type="http://schemas.openxmlformats.org/officeDocument/2006/relationships/hyperlink" Target="https://africanmarketingconfederation.org/wp-admin/post.php?post=31478&amp;action=edit" TargetMode="External"/><Relationship Id="rId970" Type="http://schemas.openxmlformats.org/officeDocument/2006/relationships/hyperlink" Target="https://africanmarketingconfederation.org/wp-admin/post.php?post=22401&amp;action=edit" TargetMode="External"/><Relationship Id="rId1046" Type="http://schemas.openxmlformats.org/officeDocument/2006/relationships/hyperlink" Target="https://africanmarketingconfederation.org/wp-admin/post.php?post=24640&amp;action=edit" TargetMode="External"/><Relationship Id="rId1253" Type="http://schemas.openxmlformats.org/officeDocument/2006/relationships/hyperlink" Target="https://africanmarketingconfederation.org/download-brochure" TargetMode="External"/><Relationship Id="rId623" Type="http://schemas.openxmlformats.org/officeDocument/2006/relationships/hyperlink" Target="https://africanmarketingconfederation.org/virtual-programme" TargetMode="External"/><Relationship Id="rId830" Type="http://schemas.openxmlformats.org/officeDocument/2006/relationships/hyperlink" Target="https://africanmarketingconfederation.org/wp-admin/post.php?post=30257&amp;action=edit" TargetMode="External"/><Relationship Id="rId928" Type="http://schemas.openxmlformats.org/officeDocument/2006/relationships/hyperlink" Target="https://africanmarketingconfederation.org/wp-admin/post.php?post=17000&amp;action=edit" TargetMode="External"/><Relationship Id="rId1460" Type="http://schemas.openxmlformats.org/officeDocument/2006/relationships/hyperlink" Target="https://africanmarketingconfederation.org/wp-admin/post.php?post=7781&amp;action=edit" TargetMode="External"/><Relationship Id="rId57" Type="http://schemas.openxmlformats.org/officeDocument/2006/relationships/hyperlink" Target="https://africanmarketingconfederation.org/amc-forum-mombasa" TargetMode="External"/><Relationship Id="rId1113" Type="http://schemas.openxmlformats.org/officeDocument/2006/relationships/hyperlink" Target="https://africanmarketingconfederation.org/amc-awards-2024" TargetMode="External"/><Relationship Id="rId1320" Type="http://schemas.openxmlformats.org/officeDocument/2006/relationships/hyperlink" Target="https://africanmarketingconfederation.org/wp-admin/post.php?post=4494&amp;action=edit" TargetMode="External"/><Relationship Id="rId1418" Type="http://schemas.openxmlformats.org/officeDocument/2006/relationships/hyperlink" Target="https://africanmarketingconfederation.org/wp-admin/post.php?post=10823&amp;action=edit" TargetMode="External"/><Relationship Id="rId273" Type="http://schemas.openxmlformats.org/officeDocument/2006/relationships/hyperlink" Target="https://africanmarketingconfederation.org/awards-2026-1" TargetMode="External"/><Relationship Id="rId480" Type="http://schemas.openxmlformats.org/officeDocument/2006/relationships/hyperlink" Target="https://africanmarketingconfederation.org/wp-admin/post.php?post=34622&amp;action=edit" TargetMode="External"/><Relationship Id="rId133" Type="http://schemas.openxmlformats.org/officeDocument/2006/relationships/hyperlink" Target="https://africanmarketingconfederation.org/launch-event-2026-amc-conference" TargetMode="External"/><Relationship Id="rId340" Type="http://schemas.openxmlformats.org/officeDocument/2006/relationships/hyperlink" Target="https://africanmarketingconfederation.org/wp-admin/post.php?post=17000&amp;action=edit" TargetMode="External"/><Relationship Id="rId578" Type="http://schemas.openxmlformats.org/officeDocument/2006/relationships/hyperlink" Target="https://africanmarketingconfederation.org/wp-admin/post.php?post=7781&amp;action=edit" TargetMode="External"/><Relationship Id="rId785" Type="http://schemas.openxmlformats.org/officeDocument/2006/relationships/hyperlink" Target="https://africanmarketingconfederation.org/thank-you-for-the-nomination-2024" TargetMode="External"/><Relationship Id="rId992" Type="http://schemas.openxmlformats.org/officeDocument/2006/relationships/hyperlink" Target="https://africanmarketingconfederation.org/amc-launch-event-zambia-thank-you-2026" TargetMode="External"/><Relationship Id="rId200" Type="http://schemas.openxmlformats.org/officeDocument/2006/relationships/hyperlink" Target="https://africanmarketingconfederation.org/wp-admin/post.php?post=12407&amp;action=edit" TargetMode="External"/><Relationship Id="rId438" Type="http://schemas.openxmlformats.org/officeDocument/2006/relationships/hyperlink" Target="https://africanmarketingconfederation.org/amc-launch-event-zambia-thank-you-2026" TargetMode="External"/><Relationship Id="rId645" Type="http://schemas.openxmlformats.org/officeDocument/2006/relationships/hyperlink" Target="https://africanmarketingconfederation.org/amc-conference-2023/book-now" TargetMode="External"/><Relationship Id="rId852" Type="http://schemas.openxmlformats.org/officeDocument/2006/relationships/hyperlink" Target="https://africanmarketingconfederation.org/amc-marketing-conference-2024/amc-launch-event-2025" TargetMode="External"/><Relationship Id="rId1068" Type="http://schemas.openxmlformats.org/officeDocument/2006/relationships/hyperlink" Target="https://africanmarketingconfederation.org/wp-admin/post.php?post=86&amp;action=edit" TargetMode="External"/><Relationship Id="rId1275" Type="http://schemas.openxmlformats.org/officeDocument/2006/relationships/hyperlink" Target="https://africanmarketingconfederation.org/privacy-policy" TargetMode="External"/><Relationship Id="rId1482" Type="http://schemas.openxmlformats.org/officeDocument/2006/relationships/hyperlink" Target="https://africanmarketingconfederation.org/wp-admin/post.php?post=84&amp;action=edit" TargetMode="External"/><Relationship Id="rId505" Type="http://schemas.openxmlformats.org/officeDocument/2006/relationships/hyperlink" Target="https://africanmarketingconfederation.org/checkout" TargetMode="External"/><Relationship Id="rId712" Type="http://schemas.openxmlformats.org/officeDocument/2006/relationships/hyperlink" Target="https://africanmarketingconfederation.org/wp-admin/post.php?post=23001&amp;action=edit" TargetMode="External"/><Relationship Id="rId1135" Type="http://schemas.openxmlformats.org/officeDocument/2006/relationships/hyperlink" Target="https://africanmarketingconfederation.org/amc-conference-2023/download-prospectus" TargetMode="External"/><Relationship Id="rId1342" Type="http://schemas.openxmlformats.org/officeDocument/2006/relationships/hyperlink" Target="https://africanmarketingconfederation.org/wp-admin/post.php?post=12945&amp;action=edit" TargetMode="External"/><Relationship Id="rId79" Type="http://schemas.openxmlformats.org/officeDocument/2006/relationships/hyperlink" Target="https://africanmarketingconfederation.org/amc-marketing-conference-2024/testimony-thank-you-page" TargetMode="External"/><Relationship Id="rId1202" Type="http://schemas.openxmlformats.org/officeDocument/2006/relationships/hyperlink" Target="https://africanmarketingconfederation.org/amc-marketing-conference-2024/speakers-2024" TargetMode="External"/><Relationship Id="rId1507" Type="http://schemas.openxmlformats.org/officeDocument/2006/relationships/hyperlink" Target="https://africanmarketingconfederation.org/certified-professional-marketer-africa" TargetMode="External"/><Relationship Id="rId295" Type="http://schemas.openxmlformats.org/officeDocument/2006/relationships/hyperlink" Target="https://africanmarketingconfederation.org/download-brochure" TargetMode="External"/><Relationship Id="rId155" Type="http://schemas.openxmlformats.org/officeDocument/2006/relationships/hyperlink" Target="https://africanmarketingconfederation.org/test-payment-gate" TargetMode="External"/><Relationship Id="rId362" Type="http://schemas.openxmlformats.org/officeDocument/2006/relationships/hyperlink" Target="https://africanmarketingconfederation.org/wp-admin/post.php?post=4494&amp;action=edit" TargetMode="External"/><Relationship Id="rId1297" Type="http://schemas.openxmlformats.org/officeDocument/2006/relationships/hyperlink" Target="https://africanmarketingconfederation.org/thank-you-for-registering-2024-registrations" TargetMode="External"/><Relationship Id="rId222" Type="http://schemas.openxmlformats.org/officeDocument/2006/relationships/hyperlink" Target="https://africanmarketingconfederation.org/wp-admin/post.php?post=31478&amp;action=edit" TargetMode="External"/><Relationship Id="rId667" Type="http://schemas.openxmlformats.org/officeDocument/2006/relationships/hyperlink" Target="https://africanmarketingconfederation.org/amc-conference-2026" TargetMode="External"/><Relationship Id="rId874" Type="http://schemas.openxmlformats.org/officeDocument/2006/relationships/hyperlink" Target="https://africanmarketingconfederation.org/wp-admin/post.php?post=21952&amp;action=edit" TargetMode="External"/><Relationship Id="rId527" Type="http://schemas.openxmlformats.org/officeDocument/2006/relationships/hyperlink" Target="https://africanmarketingconfederation.org/elementor-16548" TargetMode="External"/><Relationship Id="rId734" Type="http://schemas.openxmlformats.org/officeDocument/2006/relationships/hyperlink" Target="https://africanmarketingconfederation.org/wp-admin/post.php?post=17908&amp;action=edit" TargetMode="External"/><Relationship Id="rId941" Type="http://schemas.openxmlformats.org/officeDocument/2006/relationships/hyperlink" Target="https://africanmarketingconfederation.org/amc-awards-2024" TargetMode="External"/><Relationship Id="rId1157" Type="http://schemas.openxmlformats.org/officeDocument/2006/relationships/hyperlink" Target="https://africanmarketingconfederation.org/amc-conference-2025-highlights" TargetMode="External"/><Relationship Id="rId1364" Type="http://schemas.openxmlformats.org/officeDocument/2006/relationships/hyperlink" Target="https://africanmarketingconfederation.org/amc-forum-mombasa" TargetMode="External"/><Relationship Id="rId70" Type="http://schemas.openxmlformats.org/officeDocument/2006/relationships/hyperlink" Target="https://africanmarketingconfederation.org/wp-admin/post.php?post=26290&amp;action=edit" TargetMode="External"/><Relationship Id="rId801" Type="http://schemas.openxmlformats.org/officeDocument/2006/relationships/hyperlink" Target="https://africanmarketingconfederation.org/amc-conference-2022" TargetMode="External"/><Relationship Id="rId1017" Type="http://schemas.openxmlformats.org/officeDocument/2006/relationships/hyperlink" Target="https://africanmarketingconfederation.org/amc-masterclass-thank-you" TargetMode="External"/><Relationship Id="rId1224" Type="http://schemas.openxmlformats.org/officeDocument/2006/relationships/hyperlink" Target="https://africanmarketingconfederation.org/wp-admin/post.php?post=34622&amp;action=edit" TargetMode="External"/><Relationship Id="rId1431" Type="http://schemas.openxmlformats.org/officeDocument/2006/relationships/hyperlink" Target="https://africanmarketingconfederation.org/education" TargetMode="External"/><Relationship Id="rId1529" Type="http://schemas.openxmlformats.org/officeDocument/2006/relationships/hyperlink" Target="https://africanmarketingconfederation.org/thank-you-for-registering-2024-registrations" TargetMode="External"/><Relationship Id="rId28" Type="http://schemas.openxmlformats.org/officeDocument/2006/relationships/hyperlink" Target="https://africanmarketingconfederation.org/wp-admin/post.php?post=12497&amp;action=edit" TargetMode="External"/><Relationship Id="rId177" Type="http://schemas.openxmlformats.org/officeDocument/2006/relationships/hyperlink" Target="https://africanmarketingconfederation.org/elementor-20341" TargetMode="External"/><Relationship Id="rId384" Type="http://schemas.openxmlformats.org/officeDocument/2006/relationships/hyperlink" Target="https://africanmarketingconfederation.org/wp-admin/post.php?post=12407&amp;action=edit" TargetMode="External"/><Relationship Id="rId591" Type="http://schemas.openxmlformats.org/officeDocument/2006/relationships/hyperlink" Target="https://africanmarketingconfederation.org/thank-you-for-registering-2024-registrations" TargetMode="External"/><Relationship Id="rId244" Type="http://schemas.openxmlformats.org/officeDocument/2006/relationships/hyperlink" Target="https://africanmarketingconfederation.org/amc-marketing-conference-2024/amc-preregister-2025" TargetMode="External"/><Relationship Id="rId689" Type="http://schemas.openxmlformats.org/officeDocument/2006/relationships/hyperlink" Target="https://africanmarketingconfederation.org/wp-admin/post.php?post=25788&amp;action=edit" TargetMode="External"/><Relationship Id="rId896" Type="http://schemas.openxmlformats.org/officeDocument/2006/relationships/hyperlink" Target="https://africanmarketingconfederation.org/wp-admin/post.php?post=19172&amp;action=edit" TargetMode="External"/><Relationship Id="rId1081" Type="http://schemas.openxmlformats.org/officeDocument/2006/relationships/hyperlink" Target="https://africanmarketingconfederation.org/sub-committees" TargetMode="External"/><Relationship Id="rId451" Type="http://schemas.openxmlformats.org/officeDocument/2006/relationships/hyperlink" Target="https://africanmarketingconfederation.org/amc-marketing-conference-2024/testimony-thank-you-page" TargetMode="External"/><Relationship Id="rId549" Type="http://schemas.openxmlformats.org/officeDocument/2006/relationships/hyperlink" Target="https://africanmarketingconfederation.org/launch-event-2026-amc-conference" TargetMode="External"/><Relationship Id="rId756" Type="http://schemas.openxmlformats.org/officeDocument/2006/relationships/hyperlink" Target="https://africanmarketingconfederation.org/wp-admin/post.php?post=33050&amp;action=edit" TargetMode="External"/><Relationship Id="rId1179" Type="http://schemas.openxmlformats.org/officeDocument/2006/relationships/hyperlink" Target="https://africanmarketingconfederation.org/wp-admin/post.php?post=33131&amp;action=edit" TargetMode="External"/><Relationship Id="rId1386" Type="http://schemas.openxmlformats.org/officeDocument/2006/relationships/hyperlink" Target="https://africanmarketingconfederation.org/amc-marketing-conference-2024/speakers-2024" TargetMode="External"/><Relationship Id="rId104" Type="http://schemas.openxmlformats.org/officeDocument/2006/relationships/hyperlink" Target="https://africanmarketingconfederation.org/wp-admin/post.php?post=9075&amp;action=edit" TargetMode="External"/><Relationship Id="rId311" Type="http://schemas.openxmlformats.org/officeDocument/2006/relationships/hyperlink" Target="https://africanmarketingconfederation.org/members" TargetMode="External"/><Relationship Id="rId409" Type="http://schemas.openxmlformats.org/officeDocument/2006/relationships/hyperlink" Target="https://africanmarketingconfederation.org/amc-conference-2024-sponsors-packages" TargetMode="External"/><Relationship Id="rId963" Type="http://schemas.openxmlformats.org/officeDocument/2006/relationships/hyperlink" Target="https://africanmarketingconfederation.org/amc-conference-2023/partners" TargetMode="External"/><Relationship Id="rId1039" Type="http://schemas.openxmlformats.org/officeDocument/2006/relationships/hyperlink" Target="https://africanmarketingconfederation.org/chartered-marketer-africa-programme-fee" TargetMode="External"/><Relationship Id="rId1246" Type="http://schemas.openxmlformats.org/officeDocument/2006/relationships/hyperlink" Target="https://africanmarketingconfederation.org/wp-admin/post.php?post=24640&amp;action=edit" TargetMode="External"/><Relationship Id="rId92" Type="http://schemas.openxmlformats.org/officeDocument/2006/relationships/hyperlink" Target="https://africanmarketingconfederation.org/wp-admin/post.php?post=21952&amp;action=edit" TargetMode="External"/><Relationship Id="rId616" Type="http://schemas.openxmlformats.org/officeDocument/2006/relationships/hyperlink" Target="https://africanmarketingconfederation.org/wp-admin/post.php?post=4909&amp;action=edit" TargetMode="External"/><Relationship Id="rId823" Type="http://schemas.openxmlformats.org/officeDocument/2006/relationships/hyperlink" Target="https://africanmarketingconfederation.org/amc-conference-2023/speakers" TargetMode="External"/><Relationship Id="rId1453" Type="http://schemas.openxmlformats.org/officeDocument/2006/relationships/hyperlink" Target="https://africanmarketingconfederation.org/speakers" TargetMode="External"/><Relationship Id="rId1106" Type="http://schemas.openxmlformats.org/officeDocument/2006/relationships/hyperlink" Target="https://africanmarketingconfederation.org/wp-admin/post.php?post=8&amp;action=edit" TargetMode="External"/><Relationship Id="rId1313" Type="http://schemas.openxmlformats.org/officeDocument/2006/relationships/hyperlink" Target="https://africanmarketingconfederation.org/about-us" TargetMode="External"/><Relationship Id="rId1520" Type="http://schemas.openxmlformats.org/officeDocument/2006/relationships/hyperlink" Target="https://africanmarketingconfederation.org/wp-admin/post.php?post=24640&amp;action=edit" TargetMode="External"/><Relationship Id="rId199" Type="http://schemas.openxmlformats.org/officeDocument/2006/relationships/hyperlink" Target="https://africanmarketingconfederation.org/amc-conference-2023/book-now" TargetMode="External"/><Relationship Id="rId266" Type="http://schemas.openxmlformats.org/officeDocument/2006/relationships/hyperlink" Target="https://africanmarketingconfederation.org/wp-admin/post.php?post=23001&amp;action=edit" TargetMode="External"/><Relationship Id="rId473" Type="http://schemas.openxmlformats.org/officeDocument/2006/relationships/hyperlink" Target="https://africanmarketingconfederation.org/amc-sign-up-now-form-2025" TargetMode="External"/><Relationship Id="rId680" Type="http://schemas.openxmlformats.org/officeDocument/2006/relationships/hyperlink" Target="https://africanmarketingconfederation.org/amc-forum-payments" TargetMode="External"/><Relationship Id="rId126" Type="http://schemas.openxmlformats.org/officeDocument/2006/relationships/hyperlink" Target="https://africanmarketingconfederation.org/wp-admin/post.php?post=16548&amp;action=edit" TargetMode="External"/><Relationship Id="rId333" Type="http://schemas.openxmlformats.org/officeDocument/2006/relationships/hyperlink" Target="https://africanmarketingconfederation.org/thank-you-for-registering-2024-registrations" TargetMode="External"/><Relationship Id="rId540" Type="http://schemas.openxmlformats.org/officeDocument/2006/relationships/hyperlink" Target="https://africanmarketingconfederation.org/wp-admin/post.php?post=31820&amp;action=edit" TargetMode="External"/><Relationship Id="rId778" Type="http://schemas.openxmlformats.org/officeDocument/2006/relationships/hyperlink" Target="https://africanmarketingconfederation.org/wp-admin/post.php?post=27352&amp;action=edit" TargetMode="External"/><Relationship Id="rId985" Type="http://schemas.openxmlformats.org/officeDocument/2006/relationships/hyperlink" Target="https://africanmarketingconfederation.org/amc-conference-sponsors" TargetMode="External"/><Relationship Id="rId1170" Type="http://schemas.openxmlformats.org/officeDocument/2006/relationships/hyperlink" Target="https://africanmarketingconfederation.org/wp-admin/post.php?post=5057&amp;action=edit" TargetMode="External"/><Relationship Id="rId638" Type="http://schemas.openxmlformats.org/officeDocument/2006/relationships/hyperlink" Target="https://africanmarketingconfederation.org/wp-admin/post.php?post=4941&amp;action=edit" TargetMode="External"/><Relationship Id="rId845" Type="http://schemas.openxmlformats.org/officeDocument/2006/relationships/hyperlink" Target="https://africanmarketingconfederation.org/wp-admin/post.php?post=21984&amp;action=edit" TargetMode="External"/><Relationship Id="rId1030" Type="http://schemas.openxmlformats.org/officeDocument/2006/relationships/hyperlink" Target="https://africanmarketingconfederation.org/wp-admin/post.php?post=32554&amp;action=edit" TargetMode="External"/><Relationship Id="rId1268" Type="http://schemas.openxmlformats.org/officeDocument/2006/relationships/hyperlink" Target="https://africanmarketingconfederation.org/wp-admin/post.php?post=33050&amp;action=edit" TargetMode="External"/><Relationship Id="rId1475" Type="http://schemas.openxmlformats.org/officeDocument/2006/relationships/hyperlink" Target="https://africanmarketingconfederation.org/upcoming-events" TargetMode="External"/><Relationship Id="rId400" Type="http://schemas.openxmlformats.org/officeDocument/2006/relationships/hyperlink" Target="https://africanmarketingconfederation.org/wp-admin/post.php?post=13282&amp;action=edit" TargetMode="External"/><Relationship Id="rId705" Type="http://schemas.openxmlformats.org/officeDocument/2006/relationships/hyperlink" Target="https://africanmarketingconfederation.org/amc-masterclass-bookings" TargetMode="External"/><Relationship Id="rId1128" Type="http://schemas.openxmlformats.org/officeDocument/2006/relationships/hyperlink" Target="https://africanmarketingconfederation.org/wp-admin/post.php?post=13164&amp;action=edit" TargetMode="External"/><Relationship Id="rId1335" Type="http://schemas.openxmlformats.org/officeDocument/2006/relationships/hyperlink" Target="https://africanmarketingconfederation.org/amc-conference-2023/download-prospectus" TargetMode="External"/><Relationship Id="rId912" Type="http://schemas.openxmlformats.org/officeDocument/2006/relationships/hyperlink" Target="https://africanmarketingconfederation.org/wp-admin/post.php?post=3252&amp;action=edit" TargetMode="External"/><Relationship Id="rId41" Type="http://schemas.openxmlformats.org/officeDocument/2006/relationships/hyperlink" Target="https://africanmarketingconfederation.org/amc-conference-2024-sponsors-packages" TargetMode="External"/><Relationship Id="rId1402" Type="http://schemas.openxmlformats.org/officeDocument/2006/relationships/hyperlink" Target="https://africanmarketingconfederation.org/wp-admin/post.php?post=22679&amp;action=edit" TargetMode="External"/><Relationship Id="rId190" Type="http://schemas.openxmlformats.org/officeDocument/2006/relationships/hyperlink" Target="https://africanmarketingconfederation.org/wp-admin/post.php?post=5619&amp;action=edit" TargetMode="External"/><Relationship Id="rId288" Type="http://schemas.openxmlformats.org/officeDocument/2006/relationships/hyperlink" Target="https://africanmarketingconfederation.org/wp-admin/post.php?post=17908&amp;action=edit" TargetMode="External"/><Relationship Id="rId495" Type="http://schemas.openxmlformats.org/officeDocument/2006/relationships/hyperlink" Target="https://africanmarketingconfederation.org/chartered-marketer-africa-thank-you" TargetMode="External"/><Relationship Id="rId148" Type="http://schemas.openxmlformats.org/officeDocument/2006/relationships/hyperlink" Target="https://africanmarketingconfederation.org/wp-admin/post.php?post=21962&amp;action=edit" TargetMode="External"/><Relationship Id="rId355" Type="http://schemas.openxmlformats.org/officeDocument/2006/relationships/hyperlink" Target="https://africanmarketingconfederation.org/amc-awards-2024" TargetMode="External"/><Relationship Id="rId562" Type="http://schemas.openxmlformats.org/officeDocument/2006/relationships/hyperlink" Target="https://africanmarketingconfederation.org/wp-admin/post.php?post=9047&amp;action=edit" TargetMode="External"/><Relationship Id="rId1192" Type="http://schemas.openxmlformats.org/officeDocument/2006/relationships/hyperlink" Target="https://africanmarketingconfederation.org/amc-marketing-conference-2024/amc-programme-2025" TargetMode="External"/><Relationship Id="rId215" Type="http://schemas.openxmlformats.org/officeDocument/2006/relationships/hyperlink" Target="https://africanmarketingconfederation.org/amc-conference-2024-sponsors-packages" TargetMode="External"/><Relationship Id="rId422" Type="http://schemas.openxmlformats.org/officeDocument/2006/relationships/hyperlink" Target="https://africanmarketingconfederation.org/wp-admin/post.php?post=22778&amp;action=edit" TargetMode="External"/><Relationship Id="rId867" Type="http://schemas.openxmlformats.org/officeDocument/2006/relationships/hyperlink" Target="https://africanmarketingconfederation.org/amc-masterclass-thank-you" TargetMode="External"/><Relationship Id="rId1052" Type="http://schemas.openxmlformats.org/officeDocument/2006/relationships/hyperlink" Target="https://africanmarketingconfederation.org/wp-admin/post.php?post=18478&amp;action=edit" TargetMode="External"/><Relationship Id="rId1497" Type="http://schemas.openxmlformats.org/officeDocument/2006/relationships/hyperlink" Target="https://africanmarketingconfederation.org/amc-launch-event-zambia-thank-you-2026" TargetMode="External"/><Relationship Id="rId299" Type="http://schemas.openxmlformats.org/officeDocument/2006/relationships/hyperlink" Target="https://africanmarketingconfederation.org/education" TargetMode="External"/><Relationship Id="rId727" Type="http://schemas.openxmlformats.org/officeDocument/2006/relationships/hyperlink" Target="https://africanmarketingconfederation.org/chartered-marketer-africa-final-submission-fee" TargetMode="External"/><Relationship Id="rId934" Type="http://schemas.openxmlformats.org/officeDocument/2006/relationships/hyperlink" Target="https://africanmarketingconfederation.org/wp-admin/post.php?post=5290&amp;action=edit" TargetMode="External"/><Relationship Id="rId1357" Type="http://schemas.openxmlformats.org/officeDocument/2006/relationships/hyperlink" Target="https://africanmarketingconfederation.org/amc-conference-2026-zambia-thank-you" TargetMode="External"/><Relationship Id="rId63" Type="http://schemas.openxmlformats.org/officeDocument/2006/relationships/hyperlink" Target="https://africanmarketingconfederation.org/amc-marketing-conference-2024" TargetMode="External"/><Relationship Id="rId159" Type="http://schemas.openxmlformats.org/officeDocument/2006/relationships/hyperlink" Target="https://africanmarketingconfederation.org/thank-you-for-registering-2024-registrations-kenya" TargetMode="External"/><Relationship Id="rId366" Type="http://schemas.openxmlformats.org/officeDocument/2006/relationships/hyperlink" Target="https://africanmarketingconfederation.org/wp-admin/post.php?post=5619&amp;action=edit" TargetMode="External"/><Relationship Id="rId573" Type="http://schemas.openxmlformats.org/officeDocument/2006/relationships/hyperlink" Target="https://africanmarketingconfederation.org/speakers-2025" TargetMode="External"/><Relationship Id="rId780" Type="http://schemas.openxmlformats.org/officeDocument/2006/relationships/hyperlink" Target="https://africanmarketingconfederation.org/wp-admin/post.php?post=17195&amp;action=edit" TargetMode="External"/><Relationship Id="rId1217" Type="http://schemas.openxmlformats.org/officeDocument/2006/relationships/hyperlink" Target="https://africanmarketingconfederation.org/amc-sponsors-2025" TargetMode="External"/><Relationship Id="rId1424" Type="http://schemas.openxmlformats.org/officeDocument/2006/relationships/hyperlink" Target="https://africanmarketingconfederation.org/wp-admin/post.php?post=16472&amp;action=edit" TargetMode="External"/><Relationship Id="rId226" Type="http://schemas.openxmlformats.org/officeDocument/2006/relationships/hyperlink" Target="https://africanmarketingconfederation.org/wp-admin/post.php?post=22778&amp;action=edit" TargetMode="External"/><Relationship Id="rId433" Type="http://schemas.openxmlformats.org/officeDocument/2006/relationships/hyperlink" Target="https://africanmarketingconfederation.org/wp-admin/post.php?post=21984&amp;action=edit" TargetMode="External"/><Relationship Id="rId878" Type="http://schemas.openxmlformats.org/officeDocument/2006/relationships/hyperlink" Target="https://africanmarketingconfederation.org/wp-admin/post.php?post=34552&amp;action=edit" TargetMode="External"/><Relationship Id="rId1063" Type="http://schemas.openxmlformats.org/officeDocument/2006/relationships/hyperlink" Target="https://africanmarketingconfederation.org/general-enquiry-form-thank-you" TargetMode="External"/><Relationship Id="rId1270" Type="http://schemas.openxmlformats.org/officeDocument/2006/relationships/hyperlink" Target="https://africanmarketingconfederation.org/wp-admin/post.php?post=86&amp;action=edit" TargetMode="External"/><Relationship Id="rId640" Type="http://schemas.openxmlformats.org/officeDocument/2006/relationships/hyperlink" Target="https://africanmarketingconfederation.org/wp-admin/post.php?post=12371&amp;action=edit" TargetMode="External"/><Relationship Id="rId738" Type="http://schemas.openxmlformats.org/officeDocument/2006/relationships/hyperlink" Target="https://africanmarketingconfederation.org/wp-admin/post.php?post=16472&amp;action=edit" TargetMode="External"/><Relationship Id="rId945" Type="http://schemas.openxmlformats.org/officeDocument/2006/relationships/hyperlink" Target="https://africanmarketingconfederation.org/amc-conference-2022-prospectus" TargetMode="External"/><Relationship Id="rId1368" Type="http://schemas.openxmlformats.org/officeDocument/2006/relationships/hyperlink" Target="https://africanmarketingconfederation.org/amc-launch-event-zambia-thank-you-2026" TargetMode="External"/><Relationship Id="rId74" Type="http://schemas.openxmlformats.org/officeDocument/2006/relationships/hyperlink" Target="https://africanmarketingconfederation.org/wp-admin/post.php?post=22595&amp;action=edit" TargetMode="External"/><Relationship Id="rId377" Type="http://schemas.openxmlformats.org/officeDocument/2006/relationships/hyperlink" Target="https://africanmarketingconfederation.org/amc-conference-2023/amc-awards-book-now" TargetMode="External"/><Relationship Id="rId500" Type="http://schemas.openxmlformats.org/officeDocument/2006/relationships/hyperlink" Target="https://africanmarketingconfederation.org/wp-admin/post.php?post=10823&amp;action=edit" TargetMode="External"/><Relationship Id="rId584" Type="http://schemas.openxmlformats.org/officeDocument/2006/relationships/hyperlink" Target="https://africanmarketingconfederation.org/wp-admin/post.php?post=5490&amp;action=edit" TargetMode="External"/><Relationship Id="rId805" Type="http://schemas.openxmlformats.org/officeDocument/2006/relationships/hyperlink" Target="https://africanmarketingconfederation.org/amc-conference-2022-thank-you" TargetMode="External"/><Relationship Id="rId1130" Type="http://schemas.openxmlformats.org/officeDocument/2006/relationships/hyperlink" Target="https://africanmarketingconfederation.org/wp-admin/post.php?post=12407&amp;action=edit" TargetMode="External"/><Relationship Id="rId1228" Type="http://schemas.openxmlformats.org/officeDocument/2006/relationships/hyperlink" Target="https://africanmarketingconfederation.org/wp-admin/post.php?post=32554&amp;action=edit" TargetMode="External"/><Relationship Id="rId1435" Type="http://schemas.openxmlformats.org/officeDocument/2006/relationships/hyperlink" Target="https://africanmarketingconfederation.org/elementor-20341" TargetMode="External"/><Relationship Id="rId5" Type="http://schemas.openxmlformats.org/officeDocument/2006/relationships/hyperlink" Target="https://africanmarketingconfederation.org/" TargetMode="External"/><Relationship Id="rId237" Type="http://schemas.openxmlformats.org/officeDocument/2006/relationships/hyperlink" Target="https://africanmarketingconfederation.org/wp-admin/post.php?post=33131&amp;action=edit" TargetMode="External"/><Relationship Id="rId791" Type="http://schemas.openxmlformats.org/officeDocument/2006/relationships/hyperlink" Target="https://africanmarketingconfederation.org/virtual-programme" TargetMode="External"/><Relationship Id="rId889" Type="http://schemas.openxmlformats.org/officeDocument/2006/relationships/hyperlink" Target="https://africanmarketingconfederation.org/conference-registrations-2024" TargetMode="External"/><Relationship Id="rId1074" Type="http://schemas.openxmlformats.org/officeDocument/2006/relationships/hyperlink" Target="https://africanmarketingconfederation.org/wp-admin/post.php?post=9047&amp;action=edit" TargetMode="External"/><Relationship Id="rId444" Type="http://schemas.openxmlformats.org/officeDocument/2006/relationships/hyperlink" Target="https://africanmarketingconfederation.org/amc-marketing-conference-2024/amc-programme-2025" TargetMode="External"/><Relationship Id="rId651" Type="http://schemas.openxmlformats.org/officeDocument/2006/relationships/hyperlink" Target="https://africanmarketingconfederation.org/amc-conference-2023/gallery" TargetMode="External"/><Relationship Id="rId749" Type="http://schemas.openxmlformats.org/officeDocument/2006/relationships/hyperlink" Target="https://africanmarketingconfederation.org/elementor-20341" TargetMode="External"/><Relationship Id="rId1281" Type="http://schemas.openxmlformats.org/officeDocument/2006/relationships/hyperlink" Target="https://africanmarketingconfederation.org/speakers" TargetMode="External"/><Relationship Id="rId1379" Type="http://schemas.openxmlformats.org/officeDocument/2006/relationships/hyperlink" Target="https://africanmarketingconfederation.org/wp-admin/post.php?post=24882&amp;action=edit" TargetMode="External"/><Relationship Id="rId1502" Type="http://schemas.openxmlformats.org/officeDocument/2006/relationships/hyperlink" Target="https://africanmarketingconfederation.org/wp-admin/post.php?post=24882&amp;action=edit" TargetMode="External"/><Relationship Id="rId290" Type="http://schemas.openxmlformats.org/officeDocument/2006/relationships/hyperlink" Target="https://africanmarketingconfederation.org/wp-admin/post.php?post=24640&amp;action=edit" TargetMode="External"/><Relationship Id="rId304" Type="http://schemas.openxmlformats.org/officeDocument/2006/relationships/hyperlink" Target="https://africanmarketingconfederation.org/wp-admin/post.php?post=20341&amp;action=edit" TargetMode="External"/><Relationship Id="rId388" Type="http://schemas.openxmlformats.org/officeDocument/2006/relationships/hyperlink" Target="https://africanmarketingconfederation.org/wp-admin/post.php?post=12497&amp;action=edit" TargetMode="External"/><Relationship Id="rId511" Type="http://schemas.openxmlformats.org/officeDocument/2006/relationships/hyperlink" Target="https://africanmarketingconfederation.org/download-brochure" TargetMode="External"/><Relationship Id="rId609" Type="http://schemas.openxmlformats.org/officeDocument/2006/relationships/hyperlink" Target="https://africanmarketingconfederation.org/thank-you-for-the-submission-2024" TargetMode="External"/><Relationship Id="rId956" Type="http://schemas.openxmlformats.org/officeDocument/2006/relationships/hyperlink" Target="https://africanmarketingconfederation.org/wp-admin/post.php?post=12407&amp;action=edit" TargetMode="External"/><Relationship Id="rId1141" Type="http://schemas.openxmlformats.org/officeDocument/2006/relationships/hyperlink" Target="https://africanmarketingconfederation.org/amc-conference-2023/programme" TargetMode="External"/><Relationship Id="rId1239" Type="http://schemas.openxmlformats.org/officeDocument/2006/relationships/hyperlink" Target="https://africanmarketingconfederation.org/chartered-marketer-africa-programme-fee" TargetMode="External"/><Relationship Id="rId85" Type="http://schemas.openxmlformats.org/officeDocument/2006/relationships/hyperlink" Target="https://africanmarketingconfederation.org/amc-masterclass-thank-you" TargetMode="External"/><Relationship Id="rId150" Type="http://schemas.openxmlformats.org/officeDocument/2006/relationships/hyperlink" Target="https://africanmarketingconfederation.org/wp-admin/post.php?post=3634&amp;action=edit" TargetMode="External"/><Relationship Id="rId595" Type="http://schemas.openxmlformats.org/officeDocument/2006/relationships/hyperlink" Target="https://africanmarketingconfederation.org/thank-you-for-registering-2024-registrations-kenya" TargetMode="External"/><Relationship Id="rId816" Type="http://schemas.openxmlformats.org/officeDocument/2006/relationships/hyperlink" Target="https://africanmarketingconfederation.org/wp-admin/post.php?post=13098&amp;action=edit" TargetMode="External"/><Relationship Id="rId1001" Type="http://schemas.openxmlformats.org/officeDocument/2006/relationships/hyperlink" Target="https://africanmarketingconfederation.org/wp-admin/post.php?post=26290&amp;action=edit" TargetMode="External"/><Relationship Id="rId1446" Type="http://schemas.openxmlformats.org/officeDocument/2006/relationships/hyperlink" Target="https://africanmarketingconfederation.org/wp-admin/post.php?post=2196&amp;action=edit" TargetMode="External"/><Relationship Id="rId248" Type="http://schemas.openxmlformats.org/officeDocument/2006/relationships/hyperlink" Target="https://africanmarketingconfederation.org/amc-marketing-conference-2024/amc-speakers-presentations-2024" TargetMode="External"/><Relationship Id="rId455" Type="http://schemas.openxmlformats.org/officeDocument/2006/relationships/hyperlink" Target="https://africanmarketingconfederation.org/amc-masterclass" TargetMode="External"/><Relationship Id="rId662" Type="http://schemas.openxmlformats.org/officeDocument/2006/relationships/hyperlink" Target="https://africanmarketingconfederation.org/wp-admin/post.php?post=18318&amp;action=edit" TargetMode="External"/><Relationship Id="rId1085" Type="http://schemas.openxmlformats.org/officeDocument/2006/relationships/hyperlink" Target="https://africanmarketingconfederation.org/test-homeslider" TargetMode="External"/><Relationship Id="rId1292" Type="http://schemas.openxmlformats.org/officeDocument/2006/relationships/hyperlink" Target="https://africanmarketingconfederation.org/wp-admin/post.php?post=5490&amp;action=edit" TargetMode="External"/><Relationship Id="rId1306" Type="http://schemas.openxmlformats.org/officeDocument/2006/relationships/hyperlink" Target="https://africanmarketingconfederation.org/wp-admin/post.php?post=17196&amp;action=edit" TargetMode="External"/><Relationship Id="rId1513" Type="http://schemas.openxmlformats.org/officeDocument/2006/relationships/hyperlink" Target="https://africanmarketingconfederation.org/chartered-marketer-africa-programme-fee" TargetMode="External"/><Relationship Id="rId12" Type="http://schemas.openxmlformats.org/officeDocument/2006/relationships/hyperlink" Target="https://africanmarketingconfederation.org/wp-admin/post.php?post=16125&amp;action=edit" TargetMode="External"/><Relationship Id="rId108" Type="http://schemas.openxmlformats.org/officeDocument/2006/relationships/hyperlink" Target="https://africanmarketingconfederation.org/wp-admin/post.php?post=19980&amp;action=edit" TargetMode="External"/><Relationship Id="rId315" Type="http://schemas.openxmlformats.org/officeDocument/2006/relationships/hyperlink" Target="https://africanmarketingconfederation.org/privacy-policy" TargetMode="External"/><Relationship Id="rId522" Type="http://schemas.openxmlformats.org/officeDocument/2006/relationships/hyperlink" Target="https://africanmarketingconfederation.org/wp-admin/post.php?post=19172&amp;action=edit" TargetMode="External"/><Relationship Id="rId967" Type="http://schemas.openxmlformats.org/officeDocument/2006/relationships/hyperlink" Target="https://africanmarketingconfederation.org/amc-conference-2023/speakers" TargetMode="External"/><Relationship Id="rId1152" Type="http://schemas.openxmlformats.org/officeDocument/2006/relationships/hyperlink" Target="https://africanmarketingconfederation.org/wp-admin/post.php?post=23710&amp;action=edit" TargetMode="External"/><Relationship Id="rId96" Type="http://schemas.openxmlformats.org/officeDocument/2006/relationships/hyperlink" Target="https://africanmarketingconfederation.org/wp-admin/post.php?post=34622&amp;action=edit" TargetMode="External"/><Relationship Id="rId161" Type="http://schemas.openxmlformats.org/officeDocument/2006/relationships/hyperlink" Target="https://africanmarketingconfederation.org/thank-you-for-subscribing" TargetMode="External"/><Relationship Id="rId399" Type="http://schemas.openxmlformats.org/officeDocument/2006/relationships/hyperlink" Target="https://africanmarketingconfederation.org/amc-conference-2023/partners" TargetMode="External"/><Relationship Id="rId827" Type="http://schemas.openxmlformats.org/officeDocument/2006/relationships/hyperlink" Target="https://africanmarketingconfederation.org/amc-conference-2024-sponsors-packages" TargetMode="External"/><Relationship Id="rId1012" Type="http://schemas.openxmlformats.org/officeDocument/2006/relationships/hyperlink" Target="https://africanmarketingconfederation.org/wp-admin/post.php?post=23021&amp;action=edit" TargetMode="External"/><Relationship Id="rId1457" Type="http://schemas.openxmlformats.org/officeDocument/2006/relationships/hyperlink" Target="https://africanmarketingconfederation.org/sub-committees" TargetMode="External"/><Relationship Id="rId259" Type="http://schemas.openxmlformats.org/officeDocument/2006/relationships/hyperlink" Target="https://africanmarketingconfederation.org/amc-masterclass-bookings" TargetMode="External"/><Relationship Id="rId466" Type="http://schemas.openxmlformats.org/officeDocument/2006/relationships/hyperlink" Target="https://africanmarketingconfederation.org/wp-admin/post.php?post=6816&amp;action=edit" TargetMode="External"/><Relationship Id="rId673" Type="http://schemas.openxmlformats.org/officeDocument/2006/relationships/hyperlink" Target="https://africanmarketingconfederation.org/amc-conference-programme" TargetMode="External"/><Relationship Id="rId880" Type="http://schemas.openxmlformats.org/officeDocument/2006/relationships/hyperlink" Target="https://africanmarketingconfederation.org/wp-admin/post.php?post=28742&amp;action=edit" TargetMode="External"/><Relationship Id="rId1096" Type="http://schemas.openxmlformats.org/officeDocument/2006/relationships/hyperlink" Target="https://africanmarketingconfederation.org/wp-admin/post.php?post=17000&amp;action=edit" TargetMode="External"/><Relationship Id="rId1317" Type="http://schemas.openxmlformats.org/officeDocument/2006/relationships/hyperlink" Target="https://africanmarketingconfederation.org/amc-awards-2024" TargetMode="External"/><Relationship Id="rId1524" Type="http://schemas.openxmlformats.org/officeDocument/2006/relationships/hyperlink" Target="https://africanmarketingconfederation.org/wp-admin/post.php?post=5597&amp;action=edit" TargetMode="External"/><Relationship Id="rId23" Type="http://schemas.openxmlformats.org/officeDocument/2006/relationships/hyperlink" Target="https://africanmarketingconfederation.org/amc-conference-2023/amc-awards-book-now" TargetMode="External"/><Relationship Id="rId119" Type="http://schemas.openxmlformats.org/officeDocument/2006/relationships/hyperlink" Target="https://africanmarketingconfederation.org/download-brochure" TargetMode="External"/><Relationship Id="rId326" Type="http://schemas.openxmlformats.org/officeDocument/2006/relationships/hyperlink" Target="https://africanmarketingconfederation.org/wp-admin/post.php?post=3634&amp;action=edit" TargetMode="External"/><Relationship Id="rId533" Type="http://schemas.openxmlformats.org/officeDocument/2006/relationships/hyperlink" Target="https://africanmarketingconfederation.org/elementor-20341" TargetMode="External"/><Relationship Id="rId978" Type="http://schemas.openxmlformats.org/officeDocument/2006/relationships/hyperlink" Target="https://africanmarketingconfederation.org/wp-admin/post.php?post=31478&amp;action=edit" TargetMode="External"/><Relationship Id="rId1163" Type="http://schemas.openxmlformats.org/officeDocument/2006/relationships/hyperlink" Target="https://africanmarketingconfederation.org/amc-conference-2026-awards-nominations-thank-you" TargetMode="External"/><Relationship Id="rId1370" Type="http://schemas.openxmlformats.org/officeDocument/2006/relationships/hyperlink" Target="https://africanmarketingconfederation.org/amc-marketing-conference-2024" TargetMode="External"/><Relationship Id="rId740" Type="http://schemas.openxmlformats.org/officeDocument/2006/relationships/hyperlink" Target="https://africanmarketingconfederation.org/wp-admin/post.php?post=92&amp;action=edit" TargetMode="External"/><Relationship Id="rId838" Type="http://schemas.openxmlformats.org/officeDocument/2006/relationships/hyperlink" Target="https://africanmarketingconfederation.org/wp-admin/post.php?post=5057&amp;action=edit" TargetMode="External"/><Relationship Id="rId1023" Type="http://schemas.openxmlformats.org/officeDocument/2006/relationships/hyperlink" Target="https://africanmarketingconfederation.org/amc-sponsors-2025" TargetMode="External"/><Relationship Id="rId1468" Type="http://schemas.openxmlformats.org/officeDocument/2006/relationships/hyperlink" Target="https://africanmarketingconfederation.org/wp-admin/post.php?post=21591&amp;action=edit" TargetMode="External"/><Relationship Id="rId172" Type="http://schemas.openxmlformats.org/officeDocument/2006/relationships/hyperlink" Target="https://africanmarketingconfederation.org/wp-admin/post.php?post=13164&amp;action=edit" TargetMode="External"/><Relationship Id="rId477" Type="http://schemas.openxmlformats.org/officeDocument/2006/relationships/hyperlink" Target="https://africanmarketingconfederation.org/amc-testimony-page-2024" TargetMode="External"/><Relationship Id="rId600" Type="http://schemas.openxmlformats.org/officeDocument/2006/relationships/hyperlink" Target="https://africanmarketingconfederation.org/wp-admin/post.php?post=7916&amp;action=edit" TargetMode="External"/><Relationship Id="rId684" Type="http://schemas.openxmlformats.org/officeDocument/2006/relationships/hyperlink" Target="https://africanmarketingconfederation.org/amc-marketing-conference-2024" TargetMode="External"/><Relationship Id="rId1230" Type="http://schemas.openxmlformats.org/officeDocument/2006/relationships/hyperlink" Target="https://africanmarketingconfederation.org/wp-admin/post.php?post=34552&amp;action=edit" TargetMode="External"/><Relationship Id="rId1328" Type="http://schemas.openxmlformats.org/officeDocument/2006/relationships/hyperlink" Target="https://africanmarketingconfederation.org/wp-admin/post.php?post=12954&amp;action=edit" TargetMode="External"/><Relationship Id="rId1535" Type="http://schemas.openxmlformats.org/officeDocument/2006/relationships/hyperlink" Target="https://africanmarketingconfederation.org/thank-you-for-the-submission-2024" TargetMode="External"/><Relationship Id="rId337" Type="http://schemas.openxmlformats.org/officeDocument/2006/relationships/hyperlink" Target="https://africanmarketingconfederation.org/thank-you-for-subscribing" TargetMode="External"/><Relationship Id="rId891" Type="http://schemas.openxmlformats.org/officeDocument/2006/relationships/hyperlink" Target="https://africanmarketingconfederation.org/contact-us" TargetMode="External"/><Relationship Id="rId905" Type="http://schemas.openxmlformats.org/officeDocument/2006/relationships/hyperlink" Target="https://africanmarketingconfederation.org/members" TargetMode="External"/><Relationship Id="rId989" Type="http://schemas.openxmlformats.org/officeDocument/2006/relationships/hyperlink" Target="https://africanmarketingconfederation.org/wp-admin/post.php?post=21958&amp;action=edit" TargetMode="External"/><Relationship Id="rId34" Type="http://schemas.openxmlformats.org/officeDocument/2006/relationships/hyperlink" Target="https://africanmarketingconfederation.org/wp-admin/post.php?post=13282&amp;action=edit" TargetMode="External"/><Relationship Id="rId544" Type="http://schemas.openxmlformats.org/officeDocument/2006/relationships/hyperlink" Target="https://africanmarketingconfederation.org/wp-admin/post.php?post=5597&amp;action=edit" TargetMode="External"/><Relationship Id="rId751" Type="http://schemas.openxmlformats.org/officeDocument/2006/relationships/hyperlink" Target="https://africanmarketingconfederation.org/elementor-31820" TargetMode="External"/><Relationship Id="rId849" Type="http://schemas.openxmlformats.org/officeDocument/2006/relationships/hyperlink" Target="https://africanmarketingconfederation.org/wp-admin/post.php?post=21958&amp;action=edit" TargetMode="External"/><Relationship Id="rId1174" Type="http://schemas.openxmlformats.org/officeDocument/2006/relationships/hyperlink" Target="https://africanmarketingconfederation.org/amc-forum-mombasa" TargetMode="External"/><Relationship Id="rId1381" Type="http://schemas.openxmlformats.org/officeDocument/2006/relationships/hyperlink" Target="https://africanmarketingconfederation.org/wp-admin/post.php?post=22595&amp;action=edit" TargetMode="External"/><Relationship Id="rId1479" Type="http://schemas.openxmlformats.org/officeDocument/2006/relationships/hyperlink" Target="https://africanmarketingconfederation.org/" TargetMode="External"/><Relationship Id="rId183" Type="http://schemas.openxmlformats.org/officeDocument/2006/relationships/hyperlink" Target="https://africanmarketingconfederation.org/african-marketing-confederation-tourism-chapter" TargetMode="External"/><Relationship Id="rId390" Type="http://schemas.openxmlformats.org/officeDocument/2006/relationships/hyperlink" Target="https://africanmarketingconfederation.org/wp-admin/post.php?post=12497&amp;action=edit" TargetMode="External"/><Relationship Id="rId404" Type="http://schemas.openxmlformats.org/officeDocument/2006/relationships/hyperlink" Target="https://africanmarketingconfederation.org/wp-admin/post.php?post=12945&amp;action=edit" TargetMode="External"/><Relationship Id="rId611" Type="http://schemas.openxmlformats.org/officeDocument/2006/relationships/hyperlink" Target="https://africanmarketingconfederation.org/thank-you-for-the-submission-2024" TargetMode="External"/><Relationship Id="rId1034" Type="http://schemas.openxmlformats.org/officeDocument/2006/relationships/hyperlink" Target="https://africanmarketingconfederation.org/wp-admin/post.php?post=28742&amp;action=edit" TargetMode="External"/><Relationship Id="rId1241" Type="http://schemas.openxmlformats.org/officeDocument/2006/relationships/hyperlink" Target="https://africanmarketingconfederation.org/chartered-marketer-africa-thank-you" TargetMode="External"/><Relationship Id="rId1339" Type="http://schemas.openxmlformats.org/officeDocument/2006/relationships/hyperlink" Target="https://africanmarketingconfederation.org/amc-conference-2023/partners" TargetMode="External"/><Relationship Id="rId250" Type="http://schemas.openxmlformats.org/officeDocument/2006/relationships/hyperlink" Target="https://africanmarketingconfederation.org/amc-marketing-conference-2024/awards-2025" TargetMode="External"/><Relationship Id="rId488" Type="http://schemas.openxmlformats.org/officeDocument/2006/relationships/hyperlink" Target="https://africanmarketingconfederation.org/wp-admin/post.php?post=28742&amp;action=edit" TargetMode="External"/><Relationship Id="rId695" Type="http://schemas.openxmlformats.org/officeDocument/2006/relationships/hyperlink" Target="https://africanmarketingconfederation.org/wp-admin/post.php?post=22595&amp;action=edit" TargetMode="External"/><Relationship Id="rId709" Type="http://schemas.openxmlformats.org/officeDocument/2006/relationships/hyperlink" Target="https://africanmarketingconfederation.org/amc-relaunch-programme" TargetMode="External"/><Relationship Id="rId916" Type="http://schemas.openxmlformats.org/officeDocument/2006/relationships/hyperlink" Target="https://africanmarketingconfederation.org/wp-admin/post.php?post=7781&amp;action=edit" TargetMode="External"/><Relationship Id="rId1101" Type="http://schemas.openxmlformats.org/officeDocument/2006/relationships/hyperlink" Target="https://africanmarketingconfederation.org/virtual-programme" TargetMode="External"/><Relationship Id="rId45" Type="http://schemas.openxmlformats.org/officeDocument/2006/relationships/hyperlink" Target="https://africanmarketingconfederation.org/amc-conference-2025-highlights" TargetMode="External"/><Relationship Id="rId110" Type="http://schemas.openxmlformats.org/officeDocument/2006/relationships/hyperlink" Target="https://africanmarketingconfederation.org/wp-admin/post.php?post=10823&amp;action=edit" TargetMode="External"/><Relationship Id="rId348" Type="http://schemas.openxmlformats.org/officeDocument/2006/relationships/hyperlink" Target="https://africanmarketingconfederation.org/wp-admin/post.php?post=8&amp;action=edit" TargetMode="External"/><Relationship Id="rId555" Type="http://schemas.openxmlformats.org/officeDocument/2006/relationships/hyperlink" Target="https://africanmarketingconfederation.org/privacy-policy" TargetMode="External"/><Relationship Id="rId762" Type="http://schemas.openxmlformats.org/officeDocument/2006/relationships/hyperlink" Target="https://africanmarketingconfederation.org/wp-admin/post.php?post=3&amp;action=edit" TargetMode="External"/><Relationship Id="rId1185" Type="http://schemas.openxmlformats.org/officeDocument/2006/relationships/hyperlink" Target="https://africanmarketingconfederation.org/wp-admin/post.php?post=25857&amp;action=edit" TargetMode="External"/><Relationship Id="rId1392" Type="http://schemas.openxmlformats.org/officeDocument/2006/relationships/hyperlink" Target="https://africanmarketingconfederation.org/wp-admin/post.php?post=6816&amp;action=edit" TargetMode="External"/><Relationship Id="rId1406" Type="http://schemas.openxmlformats.org/officeDocument/2006/relationships/hyperlink" Target="https://africanmarketingconfederation.org/wp-admin/post.php?post=32554&amp;action=edit" TargetMode="External"/><Relationship Id="rId194" Type="http://schemas.openxmlformats.org/officeDocument/2006/relationships/hyperlink" Target="https://africanmarketingconfederation.org/wp-admin/post.php?post=12371&amp;action=edit" TargetMode="External"/><Relationship Id="rId208" Type="http://schemas.openxmlformats.org/officeDocument/2006/relationships/hyperlink" Target="https://africanmarketingconfederation.org/wp-admin/post.php?post=13282&amp;action=edit" TargetMode="External"/><Relationship Id="rId415" Type="http://schemas.openxmlformats.org/officeDocument/2006/relationships/hyperlink" Target="https://africanmarketingconfederation.org/amc-conference-2026" TargetMode="External"/><Relationship Id="rId622" Type="http://schemas.openxmlformats.org/officeDocument/2006/relationships/hyperlink" Target="https://africanmarketingconfederation.org/wp-admin/post.php?post=5290&amp;action=edit" TargetMode="External"/><Relationship Id="rId1045" Type="http://schemas.openxmlformats.org/officeDocument/2006/relationships/hyperlink" Target="https://africanmarketingconfederation.org/conference-faq-2025" TargetMode="External"/><Relationship Id="rId1252" Type="http://schemas.openxmlformats.org/officeDocument/2006/relationships/hyperlink" Target="https://africanmarketingconfederation.org/wp-admin/post.php?post=92&amp;action=edit" TargetMode="External"/><Relationship Id="rId261" Type="http://schemas.openxmlformats.org/officeDocument/2006/relationships/hyperlink" Target="https://africanmarketingconfederation.org/amc-masterclass-thank-you" TargetMode="External"/><Relationship Id="rId499" Type="http://schemas.openxmlformats.org/officeDocument/2006/relationships/hyperlink" Target="https://africanmarketingconfederation.org/chartered-marketer-africa-thank-you" TargetMode="External"/><Relationship Id="rId927" Type="http://schemas.openxmlformats.org/officeDocument/2006/relationships/hyperlink" Target="https://africanmarketingconfederation.org/thank-you-for-the-nomination-2024" TargetMode="External"/><Relationship Id="rId1112" Type="http://schemas.openxmlformats.org/officeDocument/2006/relationships/hyperlink" Target="https://africanmarketingconfederation.org/wp-admin/post.php?post=28165&amp;action=edit" TargetMode="External"/><Relationship Id="rId56" Type="http://schemas.openxmlformats.org/officeDocument/2006/relationships/hyperlink" Target="https://africanmarketingconfederation.org/wp-admin/post.php?post=12477&amp;action=edit" TargetMode="External"/><Relationship Id="rId359" Type="http://schemas.openxmlformats.org/officeDocument/2006/relationships/hyperlink" Target="https://africanmarketingconfederation.org/amc-conference-2022" TargetMode="External"/><Relationship Id="rId566" Type="http://schemas.openxmlformats.org/officeDocument/2006/relationships/hyperlink" Target="https://africanmarketingconfederation.org/wp-admin/post.php?post=3686&amp;action=edit" TargetMode="External"/><Relationship Id="rId773" Type="http://schemas.openxmlformats.org/officeDocument/2006/relationships/hyperlink" Target="https://africanmarketingconfederation.org/subscribe" TargetMode="External"/><Relationship Id="rId1196" Type="http://schemas.openxmlformats.org/officeDocument/2006/relationships/hyperlink" Target="https://africanmarketingconfederation.org/amc-marketing-conference-2024/amc-speakers-presentations-2024" TargetMode="External"/><Relationship Id="rId1417" Type="http://schemas.openxmlformats.org/officeDocument/2006/relationships/hyperlink" Target="https://africanmarketingconfederation.org/chartered-marketer-africa-thank-you" TargetMode="External"/><Relationship Id="rId121" Type="http://schemas.openxmlformats.org/officeDocument/2006/relationships/hyperlink" Target="https://africanmarketingconfederation.org/download-prospectus-2024" TargetMode="External"/><Relationship Id="rId219" Type="http://schemas.openxmlformats.org/officeDocument/2006/relationships/hyperlink" Target="https://africanmarketingconfederation.org/amc-conference-2025-highlights" TargetMode="External"/><Relationship Id="rId426" Type="http://schemas.openxmlformats.org/officeDocument/2006/relationships/hyperlink" Target="https://africanmarketingconfederation.org/wp-admin/post.php?post=5057&amp;action=edit" TargetMode="External"/><Relationship Id="rId633" Type="http://schemas.openxmlformats.org/officeDocument/2006/relationships/hyperlink" Target="https://africanmarketingconfederation.org/amc-conference-2022" TargetMode="External"/><Relationship Id="rId980" Type="http://schemas.openxmlformats.org/officeDocument/2006/relationships/hyperlink" Target="https://africanmarketingconfederation.org/wp-admin/post.php?post=33280&amp;action=edit" TargetMode="External"/><Relationship Id="rId1056" Type="http://schemas.openxmlformats.org/officeDocument/2006/relationships/hyperlink" Target="https://africanmarketingconfederation.org/wp-admin/post.php?post=88&amp;action=edit" TargetMode="External"/><Relationship Id="rId1263" Type="http://schemas.openxmlformats.org/officeDocument/2006/relationships/hyperlink" Target="https://africanmarketingconfederation.org/elementor-31820" TargetMode="External"/><Relationship Id="rId840" Type="http://schemas.openxmlformats.org/officeDocument/2006/relationships/hyperlink" Target="https://africanmarketingconfederation.org/amc-conference-thank-you" TargetMode="External"/><Relationship Id="rId938" Type="http://schemas.openxmlformats.org/officeDocument/2006/relationships/hyperlink" Target="https://africanmarketingconfederation.org/wp-admin/post.php?post=84&amp;action=edit" TargetMode="External"/><Relationship Id="rId1470" Type="http://schemas.openxmlformats.org/officeDocument/2006/relationships/hyperlink" Target="https://africanmarketingconfederation.org/wp-admin/post.php?post=7916&amp;action=edit" TargetMode="External"/><Relationship Id="rId67" Type="http://schemas.openxmlformats.org/officeDocument/2006/relationships/hyperlink" Target="https://africanmarketingconfederation.org/amc-marketing-conference-2024/amc-launch-event-2025" TargetMode="External"/><Relationship Id="rId272" Type="http://schemas.openxmlformats.org/officeDocument/2006/relationships/hyperlink" Target="https://africanmarketingconfederation.org/wp-admin/post.php?post=34622&amp;action=edit" TargetMode="External"/><Relationship Id="rId577" Type="http://schemas.openxmlformats.org/officeDocument/2006/relationships/hyperlink" Target="https://africanmarketingconfederation.org/subscribe" TargetMode="External"/><Relationship Id="rId700" Type="http://schemas.openxmlformats.org/officeDocument/2006/relationships/hyperlink" Target="https://africanmarketingconfederation.org/amc-marketing-conference-2024/speakers-2024" TargetMode="External"/><Relationship Id="rId1123" Type="http://schemas.openxmlformats.org/officeDocument/2006/relationships/hyperlink" Target="https://africanmarketingconfederation.org/amc-conference-2023" TargetMode="External"/><Relationship Id="rId1330" Type="http://schemas.openxmlformats.org/officeDocument/2006/relationships/hyperlink" Target="https://africanmarketingconfederation.org/wp-admin/post.php?post=13164&amp;action=edit" TargetMode="External"/><Relationship Id="rId1428" Type="http://schemas.openxmlformats.org/officeDocument/2006/relationships/hyperlink" Target="https://africanmarketingconfederation.org/wp-admin/post.php?post=18478&amp;action=edit" TargetMode="External"/><Relationship Id="rId132" Type="http://schemas.openxmlformats.org/officeDocument/2006/relationships/hyperlink" Target="https://africanmarketingconfederation.org/wp-admin/post.php?post=5597&amp;action=edit" TargetMode="External"/><Relationship Id="rId784" Type="http://schemas.openxmlformats.org/officeDocument/2006/relationships/hyperlink" Target="https://africanmarketingconfederation.org/wp-admin/post.php?post=7916&amp;action=edit" TargetMode="External"/><Relationship Id="rId991" Type="http://schemas.openxmlformats.org/officeDocument/2006/relationships/hyperlink" Target="https://africanmarketingconfederation.org/wp-admin/post.php?post=21984&amp;action=edit" TargetMode="External"/><Relationship Id="rId1067" Type="http://schemas.openxmlformats.org/officeDocument/2006/relationships/hyperlink" Target="https://africanmarketingconfederation.org/members" TargetMode="External"/><Relationship Id="rId437" Type="http://schemas.openxmlformats.org/officeDocument/2006/relationships/hyperlink" Target="https://africanmarketingconfederation.org/wp-admin/post.php?post=33131&amp;action=edit" TargetMode="External"/><Relationship Id="rId644" Type="http://schemas.openxmlformats.org/officeDocument/2006/relationships/hyperlink" Target="https://africanmarketingconfederation.org/wp-admin/post.php?post=13164&amp;action=edit" TargetMode="External"/><Relationship Id="rId851" Type="http://schemas.openxmlformats.org/officeDocument/2006/relationships/hyperlink" Target="https://africanmarketingconfederation.org/wp-admin/post.php?post=25857&amp;action=edit" TargetMode="External"/><Relationship Id="rId1274" Type="http://schemas.openxmlformats.org/officeDocument/2006/relationships/hyperlink" Target="https://africanmarketingconfederation.org/wp-admin/post.php?post=3&amp;action=edit" TargetMode="External"/><Relationship Id="rId1481" Type="http://schemas.openxmlformats.org/officeDocument/2006/relationships/hyperlink" Target="https://africanmarketingconfederation.org/about-us" TargetMode="External"/><Relationship Id="rId283" Type="http://schemas.openxmlformats.org/officeDocument/2006/relationships/hyperlink" Target="https://africanmarketingconfederation.org/chartered-marketer-africa-programme-fee" TargetMode="External"/><Relationship Id="rId490" Type="http://schemas.openxmlformats.org/officeDocument/2006/relationships/hyperlink" Target="https://africanmarketingconfederation.org/wp-admin/post.php?post=9075&amp;action=edit" TargetMode="External"/><Relationship Id="rId504" Type="http://schemas.openxmlformats.org/officeDocument/2006/relationships/hyperlink" Target="https://africanmarketingconfederation.org/wp-admin/post.php?post=17908&amp;action=edit" TargetMode="External"/><Relationship Id="rId711" Type="http://schemas.openxmlformats.org/officeDocument/2006/relationships/hyperlink" Target="https://africanmarketingconfederation.org/amc-sign-up-now-form-2025" TargetMode="External"/><Relationship Id="rId949" Type="http://schemas.openxmlformats.org/officeDocument/2006/relationships/hyperlink" Target="https://africanmarketingconfederation.org/amc-conference-2023" TargetMode="External"/><Relationship Id="rId1134" Type="http://schemas.openxmlformats.org/officeDocument/2006/relationships/hyperlink" Target="https://africanmarketingconfederation.org/wp-admin/post.php?post=12497&amp;action=edit" TargetMode="External"/><Relationship Id="rId1341" Type="http://schemas.openxmlformats.org/officeDocument/2006/relationships/hyperlink" Target="https://africanmarketingconfederation.org/amc-conference-2023/programme" TargetMode="External"/><Relationship Id="rId78" Type="http://schemas.openxmlformats.org/officeDocument/2006/relationships/hyperlink" Target="https://africanmarketingconfederation.org/wp-admin/post.php?post=16104&amp;action=edit" TargetMode="External"/><Relationship Id="rId143" Type="http://schemas.openxmlformats.org/officeDocument/2006/relationships/hyperlink" Target="https://africanmarketingconfederation.org/publications-2" TargetMode="External"/><Relationship Id="rId350" Type="http://schemas.openxmlformats.org/officeDocument/2006/relationships/hyperlink" Target="https://africanmarketingconfederation.org/wp-admin/post.php?post=8&amp;action=edit" TargetMode="External"/><Relationship Id="rId588" Type="http://schemas.openxmlformats.org/officeDocument/2006/relationships/hyperlink" Target="https://africanmarketingconfederation.org/wp-admin/post.php?post=27352&amp;action=edit" TargetMode="External"/><Relationship Id="rId795" Type="http://schemas.openxmlformats.org/officeDocument/2006/relationships/hyperlink" Target="https://africanmarketingconfederation.org/about-us" TargetMode="External"/><Relationship Id="rId809" Type="http://schemas.openxmlformats.org/officeDocument/2006/relationships/hyperlink" Target="https://africanmarketingconfederation.org/amc-conference-2023/amc-awards" TargetMode="External"/><Relationship Id="rId1201" Type="http://schemas.openxmlformats.org/officeDocument/2006/relationships/hyperlink" Target="https://africanmarketingconfederation.org/wp-admin/post.php?post=16104&amp;action=edit" TargetMode="External"/><Relationship Id="rId1439" Type="http://schemas.openxmlformats.org/officeDocument/2006/relationships/hyperlink" Target="https://africanmarketingconfederation.org/general-enquiry-form-thank-you" TargetMode="External"/><Relationship Id="rId9" Type="http://schemas.openxmlformats.org/officeDocument/2006/relationships/hyperlink" Target="https://africanmarketingconfederation.org/african-marketing-confederation-tourism-chapter" TargetMode="External"/><Relationship Id="rId210" Type="http://schemas.openxmlformats.org/officeDocument/2006/relationships/hyperlink" Target="https://africanmarketingconfederation.org/wp-admin/post.php?post=12945&amp;action=edit" TargetMode="External"/><Relationship Id="rId448" Type="http://schemas.openxmlformats.org/officeDocument/2006/relationships/hyperlink" Target="https://africanmarketingconfederation.org/amc-marketing-conference-2024/awards-2025" TargetMode="External"/><Relationship Id="rId655" Type="http://schemas.openxmlformats.org/officeDocument/2006/relationships/hyperlink" Target="https://africanmarketingconfederation.org/amc-conference-2023/programme" TargetMode="External"/><Relationship Id="rId862" Type="http://schemas.openxmlformats.org/officeDocument/2006/relationships/hyperlink" Target="https://africanmarketingconfederation.org/amc-marketing-conference-2024/speakers-2024" TargetMode="External"/><Relationship Id="rId1078" Type="http://schemas.openxmlformats.org/officeDocument/2006/relationships/hyperlink" Target="https://africanmarketingconfederation.org/wp-admin/post.php?post=3252&amp;action=edit" TargetMode="External"/><Relationship Id="rId1285" Type="http://schemas.openxmlformats.org/officeDocument/2006/relationships/hyperlink" Target="https://africanmarketingconfederation.org/speakers-2025" TargetMode="External"/><Relationship Id="rId1492" Type="http://schemas.openxmlformats.org/officeDocument/2006/relationships/hyperlink" Target="https://africanmarketingconfederation.org/wp-admin/post.php?post=30257&amp;action=edit" TargetMode="External"/><Relationship Id="rId1506" Type="http://schemas.openxmlformats.org/officeDocument/2006/relationships/hyperlink" Target="https://africanmarketingconfederation.org/wp-admin/post.php?post=6822&amp;action=edit" TargetMode="External"/><Relationship Id="rId294" Type="http://schemas.openxmlformats.org/officeDocument/2006/relationships/hyperlink" Target="https://africanmarketingconfederation.org/wp-admin/post.php?post=92&amp;action=edit" TargetMode="External"/><Relationship Id="rId308" Type="http://schemas.openxmlformats.org/officeDocument/2006/relationships/hyperlink" Target="https://africanmarketingconfederation.org/wp-admin/post.php?post=5597&amp;action=edit" TargetMode="External"/><Relationship Id="rId515" Type="http://schemas.openxmlformats.org/officeDocument/2006/relationships/hyperlink" Target="https://africanmarketingconfederation.org/download-brochure" TargetMode="External"/><Relationship Id="rId722" Type="http://schemas.openxmlformats.org/officeDocument/2006/relationships/hyperlink" Target="https://africanmarketingconfederation.org/wp-admin/post.php?post=34552&amp;action=edit" TargetMode="External"/><Relationship Id="rId1145" Type="http://schemas.openxmlformats.org/officeDocument/2006/relationships/hyperlink" Target="https://africanmarketingconfederation.org/amc-conference-2024-recap" TargetMode="External"/><Relationship Id="rId1352" Type="http://schemas.openxmlformats.org/officeDocument/2006/relationships/hyperlink" Target="https://africanmarketingconfederation.org/wp-admin/post.php?post=30257&amp;action=edit" TargetMode="External"/><Relationship Id="rId89" Type="http://schemas.openxmlformats.org/officeDocument/2006/relationships/hyperlink" Target="https://africanmarketingconfederation.org/amc-sign-up-now-form-2025" TargetMode="External"/><Relationship Id="rId154" Type="http://schemas.openxmlformats.org/officeDocument/2006/relationships/hyperlink" Target="https://africanmarketingconfederation.org/wp-admin/post.php?post=5490&amp;action=edit" TargetMode="External"/><Relationship Id="rId361" Type="http://schemas.openxmlformats.org/officeDocument/2006/relationships/hyperlink" Target="https://africanmarketingconfederation.org/amc-conference-2022" TargetMode="External"/><Relationship Id="rId599" Type="http://schemas.openxmlformats.org/officeDocument/2006/relationships/hyperlink" Target="https://africanmarketingconfederation.org/thank-you-for-subscribing" TargetMode="External"/><Relationship Id="rId1005" Type="http://schemas.openxmlformats.org/officeDocument/2006/relationships/hyperlink" Target="https://africanmarketingconfederation.org/wp-admin/post.php?post=22595&amp;action=edit" TargetMode="External"/><Relationship Id="rId1212" Type="http://schemas.openxmlformats.org/officeDocument/2006/relationships/hyperlink" Target="https://africanmarketingconfederation.org/wp-admin/post.php?post=6822&amp;action=edit" TargetMode="External"/><Relationship Id="rId459" Type="http://schemas.openxmlformats.org/officeDocument/2006/relationships/hyperlink" Target="https://africanmarketingconfederation.org/amc-masterclass" TargetMode="External"/><Relationship Id="rId666" Type="http://schemas.openxmlformats.org/officeDocument/2006/relationships/hyperlink" Target="https://africanmarketingconfederation.org/wp-admin/post.php?post=30257&amp;action=edit" TargetMode="External"/><Relationship Id="rId873" Type="http://schemas.openxmlformats.org/officeDocument/2006/relationships/hyperlink" Target="https://africanmarketingconfederation.org/amc-sponsors-2025" TargetMode="External"/><Relationship Id="rId1089" Type="http://schemas.openxmlformats.org/officeDocument/2006/relationships/hyperlink" Target="https://africanmarketingconfederation.org/thank-you-for-registering-2024-registrations" TargetMode="External"/><Relationship Id="rId1296" Type="http://schemas.openxmlformats.org/officeDocument/2006/relationships/hyperlink" Target="https://africanmarketingconfederation.org/wp-admin/post.php?post=27352&amp;action=edit" TargetMode="External"/><Relationship Id="rId1517" Type="http://schemas.openxmlformats.org/officeDocument/2006/relationships/hyperlink" Target="https://africanmarketingconfederation.org/checkout" TargetMode="External"/><Relationship Id="rId16" Type="http://schemas.openxmlformats.org/officeDocument/2006/relationships/hyperlink" Target="https://africanmarketingconfederation.org/wp-admin/post.php?post=5619&amp;action=edit" TargetMode="External"/><Relationship Id="rId221" Type="http://schemas.openxmlformats.org/officeDocument/2006/relationships/hyperlink" Target="https://africanmarketingconfederation.org/amc-conference-2026" TargetMode="External"/><Relationship Id="rId319" Type="http://schemas.openxmlformats.org/officeDocument/2006/relationships/hyperlink" Target="https://africanmarketingconfederation.org/publications-2" TargetMode="External"/><Relationship Id="rId526" Type="http://schemas.openxmlformats.org/officeDocument/2006/relationships/hyperlink" Target="https://africanmarketingconfederation.org/wp-admin/post.php?post=88&amp;action=edit" TargetMode="External"/><Relationship Id="rId1156" Type="http://schemas.openxmlformats.org/officeDocument/2006/relationships/hyperlink" Target="https://africanmarketingconfederation.org/wp-admin/post.php?post=30257&amp;action=edit" TargetMode="External"/><Relationship Id="rId1363" Type="http://schemas.openxmlformats.org/officeDocument/2006/relationships/hyperlink" Target="https://africanmarketingconfederation.org/wp-admin/post.php?post=12477&amp;action=edit" TargetMode="External"/><Relationship Id="rId733" Type="http://schemas.openxmlformats.org/officeDocument/2006/relationships/hyperlink" Target="https://africanmarketingconfederation.org/checkout" TargetMode="External"/><Relationship Id="rId940" Type="http://schemas.openxmlformats.org/officeDocument/2006/relationships/hyperlink" Target="https://africanmarketingconfederation.org/wp-admin/post.php?post=28165&amp;action=edit" TargetMode="External"/><Relationship Id="rId1016" Type="http://schemas.openxmlformats.org/officeDocument/2006/relationships/hyperlink" Target="https://africanmarketingconfederation.org/wp-admin/post.php?post=6816&amp;action=edit" TargetMode="External"/><Relationship Id="rId165" Type="http://schemas.openxmlformats.org/officeDocument/2006/relationships/hyperlink" Target="https://africanmarketingconfederation.org/thank-you-for-the-submission-2024" TargetMode="External"/><Relationship Id="rId372" Type="http://schemas.openxmlformats.org/officeDocument/2006/relationships/hyperlink" Target="https://africanmarketingconfederation.org/wp-admin/post.php?post=4941&amp;action=edit" TargetMode="External"/><Relationship Id="rId677" Type="http://schemas.openxmlformats.org/officeDocument/2006/relationships/hyperlink" Target="https://africanmarketingconfederation.org/wp-admin/post.php?post=12477&amp;action=edit" TargetMode="External"/><Relationship Id="rId800" Type="http://schemas.openxmlformats.org/officeDocument/2006/relationships/hyperlink" Target="https://africanmarketingconfederation.org/wp-admin/post.php?post=16125&amp;action=edit" TargetMode="External"/><Relationship Id="rId1223" Type="http://schemas.openxmlformats.org/officeDocument/2006/relationships/hyperlink" Target="https://africanmarketingconfederation.org/awards-2026" TargetMode="External"/><Relationship Id="rId1430" Type="http://schemas.openxmlformats.org/officeDocument/2006/relationships/hyperlink" Target="https://africanmarketingconfederation.org/wp-admin/post.php?post=19172&amp;action=edit" TargetMode="External"/><Relationship Id="rId1528" Type="http://schemas.openxmlformats.org/officeDocument/2006/relationships/hyperlink" Target="https://africanmarketingconfederation.org/wp-admin/post.php?post=21962&amp;action=edit" TargetMode="External"/><Relationship Id="rId232" Type="http://schemas.openxmlformats.org/officeDocument/2006/relationships/hyperlink" Target="https://africanmarketingconfederation.org/amc-forum-mombasa" TargetMode="External"/><Relationship Id="rId884" Type="http://schemas.openxmlformats.org/officeDocument/2006/relationships/hyperlink" Target="https://africanmarketingconfederation.org/wp-admin/post.php?post=19980&amp;action=edit" TargetMode="External"/><Relationship Id="rId27" Type="http://schemas.openxmlformats.org/officeDocument/2006/relationships/hyperlink" Target="https://africanmarketingconfederation.org/amc-conference-2023/book-now-thank-you" TargetMode="External"/><Relationship Id="rId537" Type="http://schemas.openxmlformats.org/officeDocument/2006/relationships/hyperlink" Target="https://africanmarketingconfederation.org/elementor-20341" TargetMode="External"/><Relationship Id="rId744" Type="http://schemas.openxmlformats.org/officeDocument/2006/relationships/hyperlink" Target="https://africanmarketingconfederation.org/wp-admin/post.php?post=19172&amp;action=edit" TargetMode="External"/><Relationship Id="rId951" Type="http://schemas.openxmlformats.org/officeDocument/2006/relationships/hyperlink" Target="https://africanmarketingconfederation.org/amc-conference-2023/amc-awards" TargetMode="External"/><Relationship Id="rId1167" Type="http://schemas.openxmlformats.org/officeDocument/2006/relationships/hyperlink" Target="https://africanmarketingconfederation.org/amc-conference-2026-zambia-thank-you" TargetMode="External"/><Relationship Id="rId1374" Type="http://schemas.openxmlformats.org/officeDocument/2006/relationships/hyperlink" Target="https://africanmarketingconfederation.org/amc-marketing-conference-2024/amc-launch-event-2025" TargetMode="External"/><Relationship Id="rId80" Type="http://schemas.openxmlformats.org/officeDocument/2006/relationships/hyperlink" Target="https://africanmarketingconfederation.org/wp-admin/post.php?post=23021&amp;action=edit" TargetMode="External"/><Relationship Id="rId176" Type="http://schemas.openxmlformats.org/officeDocument/2006/relationships/hyperlink" Target="https://africanmarketingconfederation.org/wp-admin/post.php?post=6816&amp;action=edit" TargetMode="External"/><Relationship Id="rId383" Type="http://schemas.openxmlformats.org/officeDocument/2006/relationships/hyperlink" Target="https://africanmarketingconfederation.org/amc-conference-2023/book-now" TargetMode="External"/><Relationship Id="rId590" Type="http://schemas.openxmlformats.org/officeDocument/2006/relationships/hyperlink" Target="https://africanmarketingconfederation.org/wp-admin/post.php?post=27352&amp;action=edit" TargetMode="External"/><Relationship Id="rId604" Type="http://schemas.openxmlformats.org/officeDocument/2006/relationships/hyperlink" Target="https://africanmarketingconfederation.org/wp-admin/post.php?post=7916&amp;action=edit" TargetMode="External"/><Relationship Id="rId811" Type="http://schemas.openxmlformats.org/officeDocument/2006/relationships/hyperlink" Target="https://africanmarketingconfederation.org/amc-conference-2023/book-now" TargetMode="External"/><Relationship Id="rId1027" Type="http://schemas.openxmlformats.org/officeDocument/2006/relationships/hyperlink" Target="https://africanmarketingconfederation.org/awards-2026" TargetMode="External"/><Relationship Id="rId1234" Type="http://schemas.openxmlformats.org/officeDocument/2006/relationships/hyperlink" Target="https://africanmarketingconfederation.org/wp-admin/post.php?post=28742&amp;action=edit" TargetMode="External"/><Relationship Id="rId1441" Type="http://schemas.openxmlformats.org/officeDocument/2006/relationships/hyperlink" Target="https://africanmarketingconfederation.org/launch-event-2026-amc-conference" TargetMode="External"/><Relationship Id="rId243" Type="http://schemas.openxmlformats.org/officeDocument/2006/relationships/hyperlink" Target="https://africanmarketingconfederation.org/wp-admin/post.php?post=25788&amp;action=edit" TargetMode="External"/><Relationship Id="rId450" Type="http://schemas.openxmlformats.org/officeDocument/2006/relationships/hyperlink" Target="https://africanmarketingconfederation.org/amc-marketing-conference-2024/speakers-2024" TargetMode="External"/><Relationship Id="rId688" Type="http://schemas.openxmlformats.org/officeDocument/2006/relationships/hyperlink" Target="https://africanmarketingconfederation.org/amc-marketing-conference-2024/amc-launch-event-2025" TargetMode="External"/><Relationship Id="rId895" Type="http://schemas.openxmlformats.org/officeDocument/2006/relationships/hyperlink" Target="https://africanmarketingconfederation.org/download-prospectus-2024" TargetMode="External"/><Relationship Id="rId909" Type="http://schemas.openxmlformats.org/officeDocument/2006/relationships/hyperlink" Target="https://africanmarketingconfederation.org/publication-download-list" TargetMode="External"/><Relationship Id="rId1080" Type="http://schemas.openxmlformats.org/officeDocument/2006/relationships/hyperlink" Target="https://africanmarketingconfederation.org/wp-admin/post.php?post=21962&amp;action=edit" TargetMode="External"/><Relationship Id="rId1301" Type="http://schemas.openxmlformats.org/officeDocument/2006/relationships/hyperlink" Target="https://africanmarketingconfederation.org/thank-you-for-subscribing" TargetMode="External"/><Relationship Id="rId38" Type="http://schemas.openxmlformats.org/officeDocument/2006/relationships/hyperlink" Target="https://africanmarketingconfederation.org/wp-admin/post.php?post=13179&amp;action=edit" TargetMode="External"/><Relationship Id="rId103" Type="http://schemas.openxmlformats.org/officeDocument/2006/relationships/hyperlink" Target="https://africanmarketingconfederation.org/chartered-marketer-africa" TargetMode="External"/><Relationship Id="rId310" Type="http://schemas.openxmlformats.org/officeDocument/2006/relationships/hyperlink" Target="https://africanmarketingconfederation.org/wp-admin/post.php?post=33050&amp;action=edit" TargetMode="External"/><Relationship Id="rId548" Type="http://schemas.openxmlformats.org/officeDocument/2006/relationships/hyperlink" Target="https://africanmarketingconfederation.org/wp-admin/post.php?post=33050&amp;action=edit" TargetMode="External"/><Relationship Id="rId755" Type="http://schemas.openxmlformats.org/officeDocument/2006/relationships/hyperlink" Target="https://africanmarketingconfederation.org/launch-event-2026-amc-conference" TargetMode="External"/><Relationship Id="rId962" Type="http://schemas.openxmlformats.org/officeDocument/2006/relationships/hyperlink" Target="https://africanmarketingconfederation.org/wp-admin/post.php?post=13549&amp;action=edit" TargetMode="External"/><Relationship Id="rId1178" Type="http://schemas.openxmlformats.org/officeDocument/2006/relationships/hyperlink" Target="https://africanmarketingconfederation.org/amc-launch-event-zambia-thank-you-2026" TargetMode="External"/><Relationship Id="rId1385" Type="http://schemas.openxmlformats.org/officeDocument/2006/relationships/hyperlink" Target="https://africanmarketingconfederation.org/wp-admin/post.php?post=16104&amp;action=edit" TargetMode="External"/><Relationship Id="rId91" Type="http://schemas.openxmlformats.org/officeDocument/2006/relationships/hyperlink" Target="https://africanmarketingconfederation.org/amc-sponsors-2025" TargetMode="External"/><Relationship Id="rId187" Type="http://schemas.openxmlformats.org/officeDocument/2006/relationships/hyperlink" Target="https://africanmarketingconfederation.org/amc-conference-2022" TargetMode="External"/><Relationship Id="rId394" Type="http://schemas.openxmlformats.org/officeDocument/2006/relationships/hyperlink" Target="https://africanmarketingconfederation.org/wp-admin/post.php?post=13098&amp;action=edit" TargetMode="External"/><Relationship Id="rId408" Type="http://schemas.openxmlformats.org/officeDocument/2006/relationships/hyperlink" Target="https://africanmarketingconfederation.org/wp-admin/post.php?post=18318&amp;action=edit" TargetMode="External"/><Relationship Id="rId615" Type="http://schemas.openxmlformats.org/officeDocument/2006/relationships/hyperlink" Target="https://africanmarketingconfederation.org/upcoming-events" TargetMode="External"/><Relationship Id="rId822" Type="http://schemas.openxmlformats.org/officeDocument/2006/relationships/hyperlink" Target="https://africanmarketingconfederation.org/wp-admin/post.php?post=12945&amp;action=edit" TargetMode="External"/><Relationship Id="rId1038" Type="http://schemas.openxmlformats.org/officeDocument/2006/relationships/hyperlink" Target="https://africanmarketingconfederation.org/wp-admin/post.php?post=20001&amp;action=edit" TargetMode="External"/><Relationship Id="rId1245" Type="http://schemas.openxmlformats.org/officeDocument/2006/relationships/hyperlink" Target="https://africanmarketingconfederation.org/conference-faq-2025" TargetMode="External"/><Relationship Id="rId1452" Type="http://schemas.openxmlformats.org/officeDocument/2006/relationships/hyperlink" Target="https://africanmarketingconfederation.org/wp-admin/post.php?post=3686&amp;action=edit" TargetMode="External"/><Relationship Id="rId254" Type="http://schemas.openxmlformats.org/officeDocument/2006/relationships/hyperlink" Target="https://africanmarketingconfederation.org/amc-marketing-conference-2024/speakers-2024" TargetMode="External"/><Relationship Id="rId699" Type="http://schemas.openxmlformats.org/officeDocument/2006/relationships/hyperlink" Target="https://africanmarketingconfederation.org/wp-admin/post.php?post=16104&amp;action=edit" TargetMode="External"/><Relationship Id="rId1091" Type="http://schemas.openxmlformats.org/officeDocument/2006/relationships/hyperlink" Target="https://africanmarketingconfederation.org/thank-you-for-registering-2024-registrations-kenya" TargetMode="External"/><Relationship Id="rId1105" Type="http://schemas.openxmlformats.org/officeDocument/2006/relationships/hyperlink" Target="https://africanmarketingconfederation.org/" TargetMode="External"/><Relationship Id="rId1312" Type="http://schemas.openxmlformats.org/officeDocument/2006/relationships/hyperlink" Target="https://africanmarketingconfederation.org/wp-admin/post.php?post=8&amp;action=edit" TargetMode="External"/><Relationship Id="rId49" Type="http://schemas.openxmlformats.org/officeDocument/2006/relationships/hyperlink" Target="https://africanmarketingconfederation.org/amc-conference-2026-awards-nominations-thank-you" TargetMode="External"/><Relationship Id="rId114" Type="http://schemas.openxmlformats.org/officeDocument/2006/relationships/hyperlink" Target="https://africanmarketingconfederation.org/wp-admin/post.php?post=24640&amp;action=edit" TargetMode="External"/><Relationship Id="rId461" Type="http://schemas.openxmlformats.org/officeDocument/2006/relationships/hyperlink" Target="https://africanmarketingconfederation.org/amc-masterclass-bookings" TargetMode="External"/><Relationship Id="rId559" Type="http://schemas.openxmlformats.org/officeDocument/2006/relationships/hyperlink" Target="https://africanmarketingconfederation.org/publication-download-list" TargetMode="External"/><Relationship Id="rId766" Type="http://schemas.openxmlformats.org/officeDocument/2006/relationships/hyperlink" Target="https://africanmarketingconfederation.org/wp-admin/post.php?post=3686&amp;action=edit" TargetMode="External"/><Relationship Id="rId1189" Type="http://schemas.openxmlformats.org/officeDocument/2006/relationships/hyperlink" Target="https://africanmarketingconfederation.org/wp-admin/post.php?post=26290&amp;action=edit" TargetMode="External"/><Relationship Id="rId1396" Type="http://schemas.openxmlformats.org/officeDocument/2006/relationships/hyperlink" Target="https://africanmarketingconfederation.org/wp-admin/post.php?post=4492&amp;action=edit" TargetMode="External"/><Relationship Id="rId198" Type="http://schemas.openxmlformats.org/officeDocument/2006/relationships/hyperlink" Target="https://africanmarketingconfederation.org/wp-admin/post.php?post=13164&amp;action=edit" TargetMode="External"/><Relationship Id="rId321" Type="http://schemas.openxmlformats.org/officeDocument/2006/relationships/hyperlink" Target="https://africanmarketingconfederation.org/speakers" TargetMode="External"/><Relationship Id="rId419" Type="http://schemas.openxmlformats.org/officeDocument/2006/relationships/hyperlink" Target="https://africanmarketingconfederation.org/amc-conference-2026-awards-nominations-thank-you" TargetMode="External"/><Relationship Id="rId626" Type="http://schemas.openxmlformats.org/officeDocument/2006/relationships/hyperlink" Target="https://africanmarketingconfederation.org/wp-admin/post.php?post=8&amp;action=edit" TargetMode="External"/><Relationship Id="rId973" Type="http://schemas.openxmlformats.org/officeDocument/2006/relationships/hyperlink" Target="https://africanmarketingconfederation.org/amc-conference-2025" TargetMode="External"/><Relationship Id="rId1049" Type="http://schemas.openxmlformats.org/officeDocument/2006/relationships/hyperlink" Target="https://africanmarketingconfederation.org/contact-us" TargetMode="External"/><Relationship Id="rId1256" Type="http://schemas.openxmlformats.org/officeDocument/2006/relationships/hyperlink" Target="https://africanmarketingconfederation.org/wp-admin/post.php?post=19172&amp;action=edit" TargetMode="External"/><Relationship Id="rId833" Type="http://schemas.openxmlformats.org/officeDocument/2006/relationships/hyperlink" Target="https://africanmarketingconfederation.org/amc-conference-2026-awards-nominations-thank-you" TargetMode="External"/><Relationship Id="rId1116" Type="http://schemas.openxmlformats.org/officeDocument/2006/relationships/hyperlink" Target="https://africanmarketingconfederation.org/wp-admin/post.php?post=16125&amp;action=edit" TargetMode="External"/><Relationship Id="rId1463" Type="http://schemas.openxmlformats.org/officeDocument/2006/relationships/hyperlink" Target="https://africanmarketingconfederation.org/test-payment-gate" TargetMode="External"/><Relationship Id="rId265" Type="http://schemas.openxmlformats.org/officeDocument/2006/relationships/hyperlink" Target="https://africanmarketingconfederation.org/amc-sign-up-now-form-2025" TargetMode="External"/><Relationship Id="rId472" Type="http://schemas.openxmlformats.org/officeDocument/2006/relationships/hyperlink" Target="https://africanmarketingconfederation.org/wp-admin/post.php?post=4492&amp;action=edit" TargetMode="External"/><Relationship Id="rId900" Type="http://schemas.openxmlformats.org/officeDocument/2006/relationships/hyperlink" Target="https://africanmarketingconfederation.org/wp-admin/post.php?post=16548&amp;action=edit" TargetMode="External"/><Relationship Id="rId1323" Type="http://schemas.openxmlformats.org/officeDocument/2006/relationships/hyperlink" Target="https://africanmarketingconfederation.org/amc-conference-2022-thank-you" TargetMode="External"/><Relationship Id="rId1530" Type="http://schemas.openxmlformats.org/officeDocument/2006/relationships/hyperlink" Target="https://africanmarketingconfederation.org/wp-admin/post.php?post=17195&amp;action=edit" TargetMode="External"/><Relationship Id="rId125" Type="http://schemas.openxmlformats.org/officeDocument/2006/relationships/hyperlink" Target="https://africanmarketingconfederation.org/elementor-16548" TargetMode="External"/><Relationship Id="rId332" Type="http://schemas.openxmlformats.org/officeDocument/2006/relationships/hyperlink" Target="https://africanmarketingconfederation.org/wp-admin/post.php?post=27352&amp;action=edit" TargetMode="External"/><Relationship Id="rId777" Type="http://schemas.openxmlformats.org/officeDocument/2006/relationships/hyperlink" Target="https://africanmarketingconfederation.org/test-payment-gate" TargetMode="External"/><Relationship Id="rId984" Type="http://schemas.openxmlformats.org/officeDocument/2006/relationships/hyperlink" Target="https://africanmarketingconfederation.org/wp-admin/post.php?post=5057&amp;action=edit" TargetMode="External"/><Relationship Id="rId637" Type="http://schemas.openxmlformats.org/officeDocument/2006/relationships/hyperlink" Target="https://africanmarketingconfederation.org/amc-conference-2022-thank-you" TargetMode="External"/><Relationship Id="rId844" Type="http://schemas.openxmlformats.org/officeDocument/2006/relationships/hyperlink" Target="https://africanmarketingconfederation.org/amc-forum-payments" TargetMode="External"/><Relationship Id="rId1267" Type="http://schemas.openxmlformats.org/officeDocument/2006/relationships/hyperlink" Target="https://africanmarketingconfederation.org/launch-event-2026-amc-conference" TargetMode="External"/><Relationship Id="rId1474" Type="http://schemas.openxmlformats.org/officeDocument/2006/relationships/hyperlink" Target="https://africanmarketingconfederation.org/wp-admin/post.php?post=17196&amp;action=edit" TargetMode="External"/><Relationship Id="rId276" Type="http://schemas.openxmlformats.org/officeDocument/2006/relationships/hyperlink" Target="https://africanmarketingconfederation.org/wp-admin/post.php?post=34552&amp;action=edit" TargetMode="External"/><Relationship Id="rId483" Type="http://schemas.openxmlformats.org/officeDocument/2006/relationships/hyperlink" Target="https://africanmarketingconfederation.org/awards-2026-test" TargetMode="External"/><Relationship Id="rId690" Type="http://schemas.openxmlformats.org/officeDocument/2006/relationships/hyperlink" Target="https://africanmarketingconfederation.org/amc-marketing-conference-2024/amc-preregister-2025" TargetMode="External"/><Relationship Id="rId704" Type="http://schemas.openxmlformats.org/officeDocument/2006/relationships/hyperlink" Target="https://africanmarketingconfederation.org/wp-admin/post.php?post=6553&amp;action=edit" TargetMode="External"/><Relationship Id="rId911" Type="http://schemas.openxmlformats.org/officeDocument/2006/relationships/hyperlink" Target="https://africanmarketingconfederation.org/speakers" TargetMode="External"/><Relationship Id="rId1127" Type="http://schemas.openxmlformats.org/officeDocument/2006/relationships/hyperlink" Target="https://africanmarketingconfederation.org/amc-conference-2023/amc-awards-book-now" TargetMode="External"/><Relationship Id="rId1334" Type="http://schemas.openxmlformats.org/officeDocument/2006/relationships/hyperlink" Target="https://africanmarketingconfederation.org/wp-admin/post.php?post=12497&amp;action=edit" TargetMode="External"/><Relationship Id="rId40" Type="http://schemas.openxmlformats.org/officeDocument/2006/relationships/hyperlink" Target="https://africanmarketingconfederation.org/wp-admin/post.php?post=22401&amp;action=edit" TargetMode="External"/><Relationship Id="rId136" Type="http://schemas.openxmlformats.org/officeDocument/2006/relationships/hyperlink" Target="https://africanmarketingconfederation.org/wp-admin/post.php?post=86&amp;action=edit" TargetMode="External"/><Relationship Id="rId343" Type="http://schemas.openxmlformats.org/officeDocument/2006/relationships/hyperlink" Target="https://africanmarketingconfederation.org/upcoming-events" TargetMode="External"/><Relationship Id="rId550" Type="http://schemas.openxmlformats.org/officeDocument/2006/relationships/hyperlink" Target="https://africanmarketingconfederation.org/wp-admin/post.php?post=33050&amp;action=edit" TargetMode="External"/><Relationship Id="rId788" Type="http://schemas.openxmlformats.org/officeDocument/2006/relationships/hyperlink" Target="https://africanmarketingconfederation.org/wp-admin/post.php?post=17196&amp;action=edit" TargetMode="External"/><Relationship Id="rId995" Type="http://schemas.openxmlformats.org/officeDocument/2006/relationships/hyperlink" Target="https://africanmarketingconfederation.org/wp-admin/post.php?post=21958&amp;action=edit" TargetMode="External"/><Relationship Id="rId1180" Type="http://schemas.openxmlformats.org/officeDocument/2006/relationships/hyperlink" Target="https://africanmarketingconfederation.org/amc-launch-event-zambia-thank-you-2026" TargetMode="External"/><Relationship Id="rId1401" Type="http://schemas.openxmlformats.org/officeDocument/2006/relationships/hyperlink" Target="https://africanmarketingconfederation.org/amc-testimony-page-2024" TargetMode="External"/><Relationship Id="rId203" Type="http://schemas.openxmlformats.org/officeDocument/2006/relationships/hyperlink" Target="https://africanmarketingconfederation.org/amc-conference-2023/download-prospectus" TargetMode="External"/><Relationship Id="rId648" Type="http://schemas.openxmlformats.org/officeDocument/2006/relationships/hyperlink" Target="https://africanmarketingconfederation.org/wp-admin/post.php?post=12497&amp;action=edit" TargetMode="External"/><Relationship Id="rId855" Type="http://schemas.openxmlformats.org/officeDocument/2006/relationships/hyperlink" Target="https://africanmarketingconfederation.org/wp-admin/post.php?post=26290&amp;action=edit" TargetMode="External"/><Relationship Id="rId1040" Type="http://schemas.openxmlformats.org/officeDocument/2006/relationships/hyperlink" Target="https://africanmarketingconfederation.org/wp-admin/post.php?post=19980&amp;action=edit" TargetMode="External"/><Relationship Id="rId1278" Type="http://schemas.openxmlformats.org/officeDocument/2006/relationships/hyperlink" Target="https://africanmarketingconfederation.org/wp-admin/post.php?post=9047&amp;action=edit" TargetMode="External"/><Relationship Id="rId1485" Type="http://schemas.openxmlformats.org/officeDocument/2006/relationships/hyperlink" Target="https://africanmarketingconfederation.org/amc-conference-2022-prospectus" TargetMode="External"/><Relationship Id="rId287" Type="http://schemas.openxmlformats.org/officeDocument/2006/relationships/hyperlink" Target="https://africanmarketingconfederation.org/checkout" TargetMode="External"/><Relationship Id="rId410" Type="http://schemas.openxmlformats.org/officeDocument/2006/relationships/hyperlink" Target="https://africanmarketingconfederation.org/wp-admin/post.php?post=18318&amp;action=edit" TargetMode="External"/><Relationship Id="rId494" Type="http://schemas.openxmlformats.org/officeDocument/2006/relationships/hyperlink" Target="https://africanmarketingconfederation.org/wp-admin/post.php?post=19980&amp;action=edit" TargetMode="External"/><Relationship Id="rId508" Type="http://schemas.openxmlformats.org/officeDocument/2006/relationships/hyperlink" Target="https://africanmarketingconfederation.org/wp-admin/post.php?post=16472&amp;action=edit" TargetMode="External"/><Relationship Id="rId715" Type="http://schemas.openxmlformats.org/officeDocument/2006/relationships/hyperlink" Target="https://africanmarketingconfederation.org/amc-testimony-page-2024" TargetMode="External"/><Relationship Id="rId922" Type="http://schemas.openxmlformats.org/officeDocument/2006/relationships/hyperlink" Target="https://africanmarketingconfederation.org/wp-admin/post.php?post=17195&amp;action=edit" TargetMode="External"/><Relationship Id="rId1138" Type="http://schemas.openxmlformats.org/officeDocument/2006/relationships/hyperlink" Target="https://africanmarketingconfederation.org/wp-admin/post.php?post=13549&amp;action=edit" TargetMode="External"/><Relationship Id="rId1345" Type="http://schemas.openxmlformats.org/officeDocument/2006/relationships/hyperlink" Target="https://africanmarketingconfederation.org/amc-conference-2024-recap" TargetMode="External"/><Relationship Id="rId147" Type="http://schemas.openxmlformats.org/officeDocument/2006/relationships/hyperlink" Target="https://africanmarketingconfederation.org/speakers-2025" TargetMode="External"/><Relationship Id="rId354" Type="http://schemas.openxmlformats.org/officeDocument/2006/relationships/hyperlink" Target="https://africanmarketingconfederation.org/wp-admin/post.php?post=84&amp;action=edit" TargetMode="External"/><Relationship Id="rId799" Type="http://schemas.openxmlformats.org/officeDocument/2006/relationships/hyperlink" Target="https://africanmarketingconfederation.org/amc-awards-2024" TargetMode="External"/><Relationship Id="rId1191" Type="http://schemas.openxmlformats.org/officeDocument/2006/relationships/hyperlink" Target="https://africanmarketingconfederation.org/wp-admin/post.php?post=24882&amp;action=edit" TargetMode="External"/><Relationship Id="rId1205" Type="http://schemas.openxmlformats.org/officeDocument/2006/relationships/hyperlink" Target="https://africanmarketingconfederation.org/amc-marketing-conference-2024/testimony-thank-you-page" TargetMode="External"/><Relationship Id="rId51" Type="http://schemas.openxmlformats.org/officeDocument/2006/relationships/hyperlink" Target="https://africanmarketingconfederation.org/amc-conference-2026-zambia-thank-you" TargetMode="External"/><Relationship Id="rId561" Type="http://schemas.openxmlformats.org/officeDocument/2006/relationships/hyperlink" Target="https://africanmarketingconfederation.org/publication-download-list" TargetMode="External"/><Relationship Id="rId659" Type="http://schemas.openxmlformats.org/officeDocument/2006/relationships/hyperlink" Target="https://africanmarketingconfederation.org/amc-conference-2024-recap" TargetMode="External"/><Relationship Id="rId866" Type="http://schemas.openxmlformats.org/officeDocument/2006/relationships/hyperlink" Target="https://africanmarketingconfederation.org/wp-admin/post.php?post=6553&amp;action=edit" TargetMode="External"/><Relationship Id="rId1289" Type="http://schemas.openxmlformats.org/officeDocument/2006/relationships/hyperlink" Target="https://africanmarketingconfederation.org/subscribe" TargetMode="External"/><Relationship Id="rId1412" Type="http://schemas.openxmlformats.org/officeDocument/2006/relationships/hyperlink" Target="https://africanmarketingconfederation.org/wp-admin/post.php?post=9075&amp;action=edit" TargetMode="External"/><Relationship Id="rId1496" Type="http://schemas.openxmlformats.org/officeDocument/2006/relationships/hyperlink" Target="https://africanmarketingconfederation.org/wp-admin/post.php?post=22778&amp;action=edit" TargetMode="External"/><Relationship Id="rId214" Type="http://schemas.openxmlformats.org/officeDocument/2006/relationships/hyperlink" Target="https://africanmarketingconfederation.org/wp-admin/post.php?post=22401&amp;action=edit" TargetMode="External"/><Relationship Id="rId298" Type="http://schemas.openxmlformats.org/officeDocument/2006/relationships/hyperlink" Target="https://africanmarketingconfederation.org/wp-admin/post.php?post=19172&amp;action=edit" TargetMode="External"/><Relationship Id="rId421" Type="http://schemas.openxmlformats.org/officeDocument/2006/relationships/hyperlink" Target="https://africanmarketingconfederation.org/amc-conference-2026-zambia-thank-you" TargetMode="External"/><Relationship Id="rId519" Type="http://schemas.openxmlformats.org/officeDocument/2006/relationships/hyperlink" Target="https://africanmarketingconfederation.org/download-prospectus-2024" TargetMode="External"/><Relationship Id="rId1051" Type="http://schemas.openxmlformats.org/officeDocument/2006/relationships/hyperlink" Target="https://africanmarketingconfederation.org/download-brochure" TargetMode="External"/><Relationship Id="rId1149" Type="http://schemas.openxmlformats.org/officeDocument/2006/relationships/hyperlink" Target="https://africanmarketingconfederation.org/amc-conference-2024-sponsors-packages" TargetMode="External"/><Relationship Id="rId1356" Type="http://schemas.openxmlformats.org/officeDocument/2006/relationships/hyperlink" Target="https://africanmarketingconfederation.org/wp-admin/post.php?post=33280&amp;action=edit" TargetMode="External"/><Relationship Id="rId158" Type="http://schemas.openxmlformats.org/officeDocument/2006/relationships/hyperlink" Target="https://africanmarketingconfederation.org/wp-admin/post.php?post=17195&amp;action=edit" TargetMode="External"/><Relationship Id="rId726" Type="http://schemas.openxmlformats.org/officeDocument/2006/relationships/hyperlink" Target="https://africanmarketingconfederation.org/wp-admin/post.php?post=9075&amp;action=edit" TargetMode="External"/><Relationship Id="rId933" Type="http://schemas.openxmlformats.org/officeDocument/2006/relationships/hyperlink" Target="https://africanmarketingconfederation.org/virtual-programme" TargetMode="External"/><Relationship Id="rId1009" Type="http://schemas.openxmlformats.org/officeDocument/2006/relationships/hyperlink" Target="https://africanmarketingconfederation.org/wp-admin/post.php?post=16104&amp;action=edit" TargetMode="External"/><Relationship Id="rId62" Type="http://schemas.openxmlformats.org/officeDocument/2006/relationships/hyperlink" Target="https://africanmarketingconfederation.org/wp-admin/post.php?post=33131&amp;action=edit" TargetMode="External"/><Relationship Id="rId365" Type="http://schemas.openxmlformats.org/officeDocument/2006/relationships/hyperlink" Target="https://africanmarketingconfederation.org/amc-conference-2022-prospectus" TargetMode="External"/><Relationship Id="rId572" Type="http://schemas.openxmlformats.org/officeDocument/2006/relationships/hyperlink" Target="https://africanmarketingconfederation.org/wp-admin/post.php?post=3252&amp;action=edit" TargetMode="External"/><Relationship Id="rId1216" Type="http://schemas.openxmlformats.org/officeDocument/2006/relationships/hyperlink" Target="https://africanmarketingconfederation.org/wp-admin/post.php?post=23001&amp;action=edit" TargetMode="External"/><Relationship Id="rId1423" Type="http://schemas.openxmlformats.org/officeDocument/2006/relationships/hyperlink" Target="https://africanmarketingconfederation.org/conference-registrations-2024" TargetMode="External"/><Relationship Id="rId225" Type="http://schemas.openxmlformats.org/officeDocument/2006/relationships/hyperlink" Target="https://africanmarketingconfederation.org/amc-conference-2026-zambia-thank-you" TargetMode="External"/><Relationship Id="rId432" Type="http://schemas.openxmlformats.org/officeDocument/2006/relationships/hyperlink" Target="https://africanmarketingconfederation.org/amc-forum-payments" TargetMode="External"/><Relationship Id="rId877" Type="http://schemas.openxmlformats.org/officeDocument/2006/relationships/hyperlink" Target="https://africanmarketingconfederation.org/awards-2026-test" TargetMode="External"/><Relationship Id="rId1062" Type="http://schemas.openxmlformats.org/officeDocument/2006/relationships/hyperlink" Target="https://africanmarketingconfederation.org/wp-admin/post.php?post=31820&amp;action=edit" TargetMode="External"/><Relationship Id="rId737" Type="http://schemas.openxmlformats.org/officeDocument/2006/relationships/hyperlink" Target="https://africanmarketingconfederation.org/conference-registrations-2024" TargetMode="External"/><Relationship Id="rId944" Type="http://schemas.openxmlformats.org/officeDocument/2006/relationships/hyperlink" Target="https://africanmarketingconfederation.org/wp-admin/post.php?post=4494&amp;action=edit" TargetMode="External"/><Relationship Id="rId1367" Type="http://schemas.openxmlformats.org/officeDocument/2006/relationships/hyperlink" Target="https://africanmarketingconfederation.org/wp-admin/post.php?post=21984&amp;action=edit" TargetMode="External"/><Relationship Id="rId73" Type="http://schemas.openxmlformats.org/officeDocument/2006/relationships/hyperlink" Target="https://africanmarketingconfederation.org/amc-marketing-conference-2024/amc-speakers-presentations-2024" TargetMode="External"/><Relationship Id="rId169" Type="http://schemas.openxmlformats.org/officeDocument/2006/relationships/hyperlink" Target="https://africanmarketingconfederation.org/virtual-programme" TargetMode="External"/><Relationship Id="rId376" Type="http://schemas.openxmlformats.org/officeDocument/2006/relationships/hyperlink" Target="https://africanmarketingconfederation.org/wp-admin/post.php?post=12954&amp;action=edit" TargetMode="External"/><Relationship Id="rId583" Type="http://schemas.openxmlformats.org/officeDocument/2006/relationships/hyperlink" Target="https://africanmarketingconfederation.org/test-homeslider" TargetMode="External"/><Relationship Id="rId790" Type="http://schemas.openxmlformats.org/officeDocument/2006/relationships/hyperlink" Target="https://africanmarketingconfederation.org/wp-admin/post.php?post=4909&amp;action=edit" TargetMode="External"/><Relationship Id="rId804" Type="http://schemas.openxmlformats.org/officeDocument/2006/relationships/hyperlink" Target="https://africanmarketingconfederation.org/wp-admin/post.php?post=5619&amp;action=edit" TargetMode="External"/><Relationship Id="rId1227" Type="http://schemas.openxmlformats.org/officeDocument/2006/relationships/hyperlink" Target="https://africanmarketingconfederation.org/awards-2026-1" TargetMode="External"/><Relationship Id="rId1434" Type="http://schemas.openxmlformats.org/officeDocument/2006/relationships/hyperlink" Target="https://africanmarketingconfederation.org/wp-admin/post.php?post=16548&amp;action=edit" TargetMode="External"/><Relationship Id="rId4" Type="http://schemas.openxmlformats.org/officeDocument/2006/relationships/hyperlink" Target="https://africanmarketingconfederation.org/amc-marketing-conference-2024/speakers-2024" TargetMode="External"/><Relationship Id="rId236" Type="http://schemas.openxmlformats.org/officeDocument/2006/relationships/hyperlink" Target="https://africanmarketingconfederation.org/amc-launch-event-zambia-thank-you-2026" TargetMode="External"/><Relationship Id="rId443" Type="http://schemas.openxmlformats.org/officeDocument/2006/relationships/hyperlink" Target="https://africanmarketingconfederation.org/wp-admin/post.php?post=24882&amp;action=edit" TargetMode="External"/><Relationship Id="rId650" Type="http://schemas.openxmlformats.org/officeDocument/2006/relationships/hyperlink" Target="https://africanmarketingconfederation.org/wp-admin/post.php?post=13098&amp;action=edit" TargetMode="External"/><Relationship Id="rId888" Type="http://schemas.openxmlformats.org/officeDocument/2006/relationships/hyperlink" Target="https://africanmarketingconfederation.org/wp-admin/post.php?post=17908&amp;action=edit" TargetMode="External"/><Relationship Id="rId1073" Type="http://schemas.openxmlformats.org/officeDocument/2006/relationships/hyperlink" Target="https://africanmarketingconfederation.org/publication-download-list" TargetMode="External"/><Relationship Id="rId1280" Type="http://schemas.openxmlformats.org/officeDocument/2006/relationships/hyperlink" Target="https://africanmarketingconfederation.org/wp-admin/post.php?post=3686&amp;action=edit" TargetMode="External"/><Relationship Id="rId1501" Type="http://schemas.openxmlformats.org/officeDocument/2006/relationships/hyperlink" Target="https://africanmarketingconfederation.org/amc-marketing-conference-2024/amc-programme-2025" TargetMode="External"/><Relationship Id="rId303" Type="http://schemas.openxmlformats.org/officeDocument/2006/relationships/hyperlink" Target="https://africanmarketingconfederation.org/elementor-20341" TargetMode="External"/><Relationship Id="rId748" Type="http://schemas.openxmlformats.org/officeDocument/2006/relationships/hyperlink" Target="https://africanmarketingconfederation.org/wp-admin/post.php?post=16548&amp;action=edit" TargetMode="External"/><Relationship Id="rId955" Type="http://schemas.openxmlformats.org/officeDocument/2006/relationships/hyperlink" Target="https://africanmarketingconfederation.org/amc-conference-2023/book-now" TargetMode="External"/><Relationship Id="rId1140" Type="http://schemas.openxmlformats.org/officeDocument/2006/relationships/hyperlink" Target="https://africanmarketingconfederation.org/wp-admin/post.php?post=13282&amp;action=edit" TargetMode="External"/><Relationship Id="rId1378" Type="http://schemas.openxmlformats.org/officeDocument/2006/relationships/hyperlink" Target="https://africanmarketingconfederation.org/amc-marketing-conference-2024/amc-programme-2025" TargetMode="External"/><Relationship Id="rId84" Type="http://schemas.openxmlformats.org/officeDocument/2006/relationships/hyperlink" Target="https://africanmarketingconfederation.org/wp-admin/post.php?post=6816&amp;action=edit" TargetMode="External"/><Relationship Id="rId387" Type="http://schemas.openxmlformats.org/officeDocument/2006/relationships/hyperlink" Target="https://africanmarketingconfederation.org/amc-conference-2023/book-now-thank-you" TargetMode="External"/><Relationship Id="rId510" Type="http://schemas.openxmlformats.org/officeDocument/2006/relationships/hyperlink" Target="https://africanmarketingconfederation.org/wp-admin/post.php?post=92&amp;action=edit" TargetMode="External"/><Relationship Id="rId594" Type="http://schemas.openxmlformats.org/officeDocument/2006/relationships/hyperlink" Target="https://africanmarketingconfederation.org/wp-admin/post.php?post=17195&amp;action=edit" TargetMode="External"/><Relationship Id="rId608" Type="http://schemas.openxmlformats.org/officeDocument/2006/relationships/hyperlink" Target="https://africanmarketingconfederation.org/wp-admin/post.php?post=17000&amp;action=edit" TargetMode="External"/><Relationship Id="rId815" Type="http://schemas.openxmlformats.org/officeDocument/2006/relationships/hyperlink" Target="https://africanmarketingconfederation.org/amc-conference-2023/download-prospectus" TargetMode="External"/><Relationship Id="rId1238" Type="http://schemas.openxmlformats.org/officeDocument/2006/relationships/hyperlink" Target="https://africanmarketingconfederation.org/wp-admin/post.php?post=20001&amp;action=edit" TargetMode="External"/><Relationship Id="rId1445" Type="http://schemas.openxmlformats.org/officeDocument/2006/relationships/hyperlink" Target="https://africanmarketingconfederation.org/news-articles" TargetMode="External"/><Relationship Id="rId247" Type="http://schemas.openxmlformats.org/officeDocument/2006/relationships/hyperlink" Target="https://africanmarketingconfederation.org/wp-admin/post.php?post=24882&amp;action=edit" TargetMode="External"/><Relationship Id="rId899" Type="http://schemas.openxmlformats.org/officeDocument/2006/relationships/hyperlink" Target="https://africanmarketingconfederation.org/elementor-16548" TargetMode="External"/><Relationship Id="rId1000" Type="http://schemas.openxmlformats.org/officeDocument/2006/relationships/hyperlink" Target="https://africanmarketingconfederation.org/amc-marketing-conference-2024/amc-preregister-2025" TargetMode="External"/><Relationship Id="rId1084" Type="http://schemas.openxmlformats.org/officeDocument/2006/relationships/hyperlink" Target="https://africanmarketingconfederation.org/wp-admin/post.php?post=7781&amp;action=edit" TargetMode="External"/><Relationship Id="rId1305" Type="http://schemas.openxmlformats.org/officeDocument/2006/relationships/hyperlink" Target="https://africanmarketingconfederation.org/thank-you-for-the-submission-2024" TargetMode="External"/><Relationship Id="rId107" Type="http://schemas.openxmlformats.org/officeDocument/2006/relationships/hyperlink" Target="https://africanmarketingconfederation.org/chartered-marketer-africa-programme-fee" TargetMode="External"/><Relationship Id="rId454" Type="http://schemas.openxmlformats.org/officeDocument/2006/relationships/hyperlink" Target="https://africanmarketingconfederation.org/wp-admin/post.php?post=23021&amp;action=edit" TargetMode="External"/><Relationship Id="rId661" Type="http://schemas.openxmlformats.org/officeDocument/2006/relationships/hyperlink" Target="https://africanmarketingconfederation.org/amc-conference-2024-sponsors-packages" TargetMode="External"/><Relationship Id="rId759" Type="http://schemas.openxmlformats.org/officeDocument/2006/relationships/hyperlink" Target="https://africanmarketingconfederation.org/news-articles" TargetMode="External"/><Relationship Id="rId966" Type="http://schemas.openxmlformats.org/officeDocument/2006/relationships/hyperlink" Target="https://africanmarketingconfederation.org/wp-admin/post.php?post=12945&amp;action=edit" TargetMode="External"/><Relationship Id="rId1291" Type="http://schemas.openxmlformats.org/officeDocument/2006/relationships/hyperlink" Target="https://africanmarketingconfederation.org/test-homeslider" TargetMode="External"/><Relationship Id="rId1389" Type="http://schemas.openxmlformats.org/officeDocument/2006/relationships/hyperlink" Target="https://africanmarketingconfederation.org/amc-masterclass" TargetMode="External"/><Relationship Id="rId1512" Type="http://schemas.openxmlformats.org/officeDocument/2006/relationships/hyperlink" Target="https://africanmarketingconfederation.org/wp-admin/post.php?post=20001&amp;action=edit" TargetMode="External"/><Relationship Id="rId11" Type="http://schemas.openxmlformats.org/officeDocument/2006/relationships/hyperlink" Target="https://africanmarketingconfederation.org/amc-awards-2024" TargetMode="External"/><Relationship Id="rId314" Type="http://schemas.openxmlformats.org/officeDocument/2006/relationships/hyperlink" Target="https://africanmarketingconfederation.org/wp-admin/post.php?post=2196&amp;action=edit" TargetMode="External"/><Relationship Id="rId398" Type="http://schemas.openxmlformats.org/officeDocument/2006/relationships/hyperlink" Target="https://africanmarketingconfederation.org/wp-admin/post.php?post=13549&amp;action=edit" TargetMode="External"/><Relationship Id="rId521" Type="http://schemas.openxmlformats.org/officeDocument/2006/relationships/hyperlink" Target="https://africanmarketingconfederation.org/download-prospectus-2024" TargetMode="External"/><Relationship Id="rId619" Type="http://schemas.openxmlformats.org/officeDocument/2006/relationships/hyperlink" Target="https://africanmarketingconfederation.org/upcoming-events" TargetMode="External"/><Relationship Id="rId1151" Type="http://schemas.openxmlformats.org/officeDocument/2006/relationships/hyperlink" Target="https://africanmarketingconfederation.org/amc-conference-2025" TargetMode="External"/><Relationship Id="rId1249" Type="http://schemas.openxmlformats.org/officeDocument/2006/relationships/hyperlink" Target="https://africanmarketingconfederation.org/contact-us" TargetMode="External"/><Relationship Id="rId95" Type="http://schemas.openxmlformats.org/officeDocument/2006/relationships/hyperlink" Target="https://africanmarketingconfederation.org/awards-2026" TargetMode="External"/><Relationship Id="rId160" Type="http://schemas.openxmlformats.org/officeDocument/2006/relationships/hyperlink" Target="https://africanmarketingconfederation.org/wp-admin/post.php?post=21591&amp;action=edit" TargetMode="External"/><Relationship Id="rId826" Type="http://schemas.openxmlformats.org/officeDocument/2006/relationships/hyperlink" Target="https://africanmarketingconfederation.org/wp-admin/post.php?post=22401&amp;action=edit" TargetMode="External"/><Relationship Id="rId1011" Type="http://schemas.openxmlformats.org/officeDocument/2006/relationships/hyperlink" Target="https://africanmarketingconfederation.org/amc-marketing-conference-2024/testimony-thank-you-page" TargetMode="External"/><Relationship Id="rId1109" Type="http://schemas.openxmlformats.org/officeDocument/2006/relationships/hyperlink" Target="https://africanmarketingconfederation.org/african-marketing-confederation-tourism-chapter" TargetMode="External"/><Relationship Id="rId1456" Type="http://schemas.openxmlformats.org/officeDocument/2006/relationships/hyperlink" Target="https://africanmarketingconfederation.org/wp-admin/post.php?post=21962&amp;action=edit" TargetMode="External"/><Relationship Id="rId258" Type="http://schemas.openxmlformats.org/officeDocument/2006/relationships/hyperlink" Target="https://africanmarketingconfederation.org/wp-admin/post.php?post=6553&amp;action=edit" TargetMode="External"/><Relationship Id="rId465" Type="http://schemas.openxmlformats.org/officeDocument/2006/relationships/hyperlink" Target="https://africanmarketingconfederation.org/amc-masterclass-bookings" TargetMode="External"/><Relationship Id="rId672" Type="http://schemas.openxmlformats.org/officeDocument/2006/relationships/hyperlink" Target="https://africanmarketingconfederation.org/wp-admin/post.php?post=22778&amp;action=edit" TargetMode="External"/><Relationship Id="rId1095" Type="http://schemas.openxmlformats.org/officeDocument/2006/relationships/hyperlink" Target="https://africanmarketingconfederation.org/thank-you-for-the-nomination-2024" TargetMode="External"/><Relationship Id="rId1316" Type="http://schemas.openxmlformats.org/officeDocument/2006/relationships/hyperlink" Target="https://africanmarketingconfederation.org/wp-admin/post.php?post=28165&amp;action=edit" TargetMode="External"/><Relationship Id="rId1523" Type="http://schemas.openxmlformats.org/officeDocument/2006/relationships/hyperlink" Target="https://africanmarketingconfederation.org/general-enquiry-form-thank-you" TargetMode="External"/><Relationship Id="rId22" Type="http://schemas.openxmlformats.org/officeDocument/2006/relationships/hyperlink" Target="https://africanmarketingconfederation.org/wp-admin/post.php?post=12954&amp;action=edit" TargetMode="External"/><Relationship Id="rId118" Type="http://schemas.openxmlformats.org/officeDocument/2006/relationships/hyperlink" Target="https://africanmarketingconfederation.org/wp-admin/post.php?post=92&amp;action=edit" TargetMode="External"/><Relationship Id="rId325" Type="http://schemas.openxmlformats.org/officeDocument/2006/relationships/hyperlink" Target="https://africanmarketingconfederation.org/sub-committees" TargetMode="External"/><Relationship Id="rId532" Type="http://schemas.openxmlformats.org/officeDocument/2006/relationships/hyperlink" Target="https://africanmarketingconfederation.org/wp-admin/post.php?post=16548&amp;action=edit" TargetMode="External"/><Relationship Id="rId977" Type="http://schemas.openxmlformats.org/officeDocument/2006/relationships/hyperlink" Target="https://africanmarketingconfederation.org/amc-conference-2026" TargetMode="External"/><Relationship Id="rId1162" Type="http://schemas.openxmlformats.org/officeDocument/2006/relationships/hyperlink" Target="https://africanmarketingconfederation.org/wp-admin/post.php?post=33280&amp;action=edit" TargetMode="External"/><Relationship Id="rId171" Type="http://schemas.openxmlformats.org/officeDocument/2006/relationships/hyperlink" Target="https://africanmarketingconfederation.org/amc-conference-2023/amc-awards-book-now" TargetMode="External"/><Relationship Id="rId837" Type="http://schemas.openxmlformats.org/officeDocument/2006/relationships/hyperlink" Target="https://africanmarketingconfederation.org/amc-conference-programme" TargetMode="External"/><Relationship Id="rId1022" Type="http://schemas.openxmlformats.org/officeDocument/2006/relationships/hyperlink" Target="https://africanmarketingconfederation.org/wp-admin/post.php?post=23001&amp;action=edit" TargetMode="External"/><Relationship Id="rId1467" Type="http://schemas.openxmlformats.org/officeDocument/2006/relationships/hyperlink" Target="https://africanmarketingconfederation.org/thank-you-for-registering-2024-registrations-kenya" TargetMode="External"/><Relationship Id="rId269" Type="http://schemas.openxmlformats.org/officeDocument/2006/relationships/hyperlink" Target="https://africanmarketingconfederation.org/amc-testimony-page-2024" TargetMode="External"/><Relationship Id="rId476" Type="http://schemas.openxmlformats.org/officeDocument/2006/relationships/hyperlink" Target="https://africanmarketingconfederation.org/wp-admin/post.php?post=21952&amp;action=edit" TargetMode="External"/><Relationship Id="rId683" Type="http://schemas.openxmlformats.org/officeDocument/2006/relationships/hyperlink" Target="https://africanmarketingconfederation.org/wp-admin/post.php?post=33131&amp;action=edit" TargetMode="External"/><Relationship Id="rId890" Type="http://schemas.openxmlformats.org/officeDocument/2006/relationships/hyperlink" Target="https://africanmarketingconfederation.org/wp-admin/post.php?post=16472&amp;action=edit" TargetMode="External"/><Relationship Id="rId904" Type="http://schemas.openxmlformats.org/officeDocument/2006/relationships/hyperlink" Target="https://africanmarketingconfederation.org/wp-admin/post.php?post=33050&amp;action=edit" TargetMode="External"/><Relationship Id="rId1327" Type="http://schemas.openxmlformats.org/officeDocument/2006/relationships/hyperlink" Target="https://africanmarketingconfederation.org/amc-conference-2023/amc-awards" TargetMode="External"/><Relationship Id="rId1534" Type="http://schemas.openxmlformats.org/officeDocument/2006/relationships/hyperlink" Target="https://africanmarketingconfederation.org/wp-admin/post.php?post=17000&amp;action=edit" TargetMode="External"/><Relationship Id="rId33" Type="http://schemas.openxmlformats.org/officeDocument/2006/relationships/hyperlink" Target="https://africanmarketingconfederation.org/amc-conference-2023/partners" TargetMode="External"/><Relationship Id="rId129" Type="http://schemas.openxmlformats.org/officeDocument/2006/relationships/hyperlink" Target="https://africanmarketingconfederation.org/elementor-31820" TargetMode="External"/><Relationship Id="rId336" Type="http://schemas.openxmlformats.org/officeDocument/2006/relationships/hyperlink" Target="https://africanmarketingconfederation.org/wp-admin/post.php?post=21591&amp;action=edit" TargetMode="External"/><Relationship Id="rId543" Type="http://schemas.openxmlformats.org/officeDocument/2006/relationships/hyperlink" Target="https://africanmarketingconfederation.org/general-enquiry-form-thank-you" TargetMode="External"/><Relationship Id="rId988" Type="http://schemas.openxmlformats.org/officeDocument/2006/relationships/hyperlink" Target="https://africanmarketingconfederation.org/amc-forum-mombasa" TargetMode="External"/><Relationship Id="rId1173" Type="http://schemas.openxmlformats.org/officeDocument/2006/relationships/hyperlink" Target="https://africanmarketingconfederation.org/wp-admin/post.php?post=12477&amp;action=edit" TargetMode="External"/><Relationship Id="rId1380" Type="http://schemas.openxmlformats.org/officeDocument/2006/relationships/hyperlink" Target="https://africanmarketingconfederation.org/amc-marketing-conference-2024/amc-speakers-presentations-2024" TargetMode="External"/><Relationship Id="rId182" Type="http://schemas.openxmlformats.org/officeDocument/2006/relationships/hyperlink" Target="https://africanmarketingconfederation.org/wp-admin/post.php?post=84&amp;action=edit" TargetMode="External"/><Relationship Id="rId403" Type="http://schemas.openxmlformats.org/officeDocument/2006/relationships/hyperlink" Target="https://africanmarketingconfederation.org/amc-conference-2023/programme" TargetMode="External"/><Relationship Id="rId750" Type="http://schemas.openxmlformats.org/officeDocument/2006/relationships/hyperlink" Target="https://africanmarketingconfederation.org/wp-admin/post.php?post=20341&amp;action=edit" TargetMode="External"/><Relationship Id="rId848" Type="http://schemas.openxmlformats.org/officeDocument/2006/relationships/hyperlink" Target="https://africanmarketingconfederation.org/amc-marketing-conference-2024" TargetMode="External"/><Relationship Id="rId1033" Type="http://schemas.openxmlformats.org/officeDocument/2006/relationships/hyperlink" Target="https://africanmarketingconfederation.org/certified-professional-marketer-africa" TargetMode="External"/><Relationship Id="rId1478" Type="http://schemas.openxmlformats.org/officeDocument/2006/relationships/hyperlink" Target="https://africanmarketingconfederation.org/wp-admin/post.php?post=5290&amp;action=edit" TargetMode="External"/><Relationship Id="rId487" Type="http://schemas.openxmlformats.org/officeDocument/2006/relationships/hyperlink" Target="https://africanmarketingconfederation.org/certified-professional-marketer-africa" TargetMode="External"/><Relationship Id="rId610" Type="http://schemas.openxmlformats.org/officeDocument/2006/relationships/hyperlink" Target="https://africanmarketingconfederation.org/wp-admin/post.php?post=17196&amp;action=edit" TargetMode="External"/><Relationship Id="rId694" Type="http://schemas.openxmlformats.org/officeDocument/2006/relationships/hyperlink" Target="https://africanmarketingconfederation.org/amc-marketing-conference-2024/amc-speakers-presentations-2024" TargetMode="External"/><Relationship Id="rId708" Type="http://schemas.openxmlformats.org/officeDocument/2006/relationships/hyperlink" Target="https://africanmarketingconfederation.org/wp-admin/post.php?post=6822&amp;action=edit" TargetMode="External"/><Relationship Id="rId915" Type="http://schemas.openxmlformats.org/officeDocument/2006/relationships/hyperlink" Target="https://africanmarketingconfederation.org/subscribe" TargetMode="External"/><Relationship Id="rId1240" Type="http://schemas.openxmlformats.org/officeDocument/2006/relationships/hyperlink" Target="https://africanmarketingconfederation.org/wp-admin/post.php?post=19980&amp;action=edit" TargetMode="External"/><Relationship Id="rId1338" Type="http://schemas.openxmlformats.org/officeDocument/2006/relationships/hyperlink" Target="https://africanmarketingconfederation.org/wp-admin/post.php?post=13549&amp;action=edit" TargetMode="External"/><Relationship Id="rId347" Type="http://schemas.openxmlformats.org/officeDocument/2006/relationships/hyperlink" Target="https://africanmarketingconfederation.org/" TargetMode="External"/><Relationship Id="rId999" Type="http://schemas.openxmlformats.org/officeDocument/2006/relationships/hyperlink" Target="https://africanmarketingconfederation.org/wp-admin/post.php?post=25788&amp;action=edit" TargetMode="External"/><Relationship Id="rId1100" Type="http://schemas.openxmlformats.org/officeDocument/2006/relationships/hyperlink" Target="https://africanmarketingconfederation.org/wp-admin/post.php?post=4909&amp;action=edit" TargetMode="External"/><Relationship Id="rId1184" Type="http://schemas.openxmlformats.org/officeDocument/2006/relationships/hyperlink" Target="https://africanmarketingconfederation.org/amc-marketing-conference-2024/amc-conference-2025-ghana-sponsors" TargetMode="External"/><Relationship Id="rId1405" Type="http://schemas.openxmlformats.org/officeDocument/2006/relationships/hyperlink" Target="https://africanmarketingconfederation.org/awards-2026-1" TargetMode="External"/><Relationship Id="rId44" Type="http://schemas.openxmlformats.org/officeDocument/2006/relationships/hyperlink" Target="https://africanmarketingconfederation.org/wp-admin/post.php?post=23710&amp;action=edit" TargetMode="External"/><Relationship Id="rId554" Type="http://schemas.openxmlformats.org/officeDocument/2006/relationships/hyperlink" Target="https://africanmarketingconfederation.org/wp-admin/post.php?post=2196&amp;action=edit" TargetMode="External"/><Relationship Id="rId761" Type="http://schemas.openxmlformats.org/officeDocument/2006/relationships/hyperlink" Target="https://africanmarketingconfederation.org/privacy-policy" TargetMode="External"/><Relationship Id="rId859" Type="http://schemas.openxmlformats.org/officeDocument/2006/relationships/hyperlink" Target="https://africanmarketingconfederation.org/wp-admin/post.php?post=29496&amp;action=edit" TargetMode="External"/><Relationship Id="rId1391" Type="http://schemas.openxmlformats.org/officeDocument/2006/relationships/hyperlink" Target="https://africanmarketingconfederation.org/amc-masterclass-bookings" TargetMode="External"/><Relationship Id="rId1489" Type="http://schemas.openxmlformats.org/officeDocument/2006/relationships/hyperlink" Target="https://africanmarketingconfederation.org/amc-conference-2025" TargetMode="External"/><Relationship Id="rId193" Type="http://schemas.openxmlformats.org/officeDocument/2006/relationships/hyperlink" Target="https://africanmarketingconfederation.org/amc-conference-2023" TargetMode="External"/><Relationship Id="rId207" Type="http://schemas.openxmlformats.org/officeDocument/2006/relationships/hyperlink" Target="https://africanmarketingconfederation.org/amc-conference-2023/partners" TargetMode="External"/><Relationship Id="rId414" Type="http://schemas.openxmlformats.org/officeDocument/2006/relationships/hyperlink" Target="https://africanmarketingconfederation.org/wp-admin/post.php?post=30257&amp;action=edit" TargetMode="External"/><Relationship Id="rId498" Type="http://schemas.openxmlformats.org/officeDocument/2006/relationships/hyperlink" Target="https://africanmarketingconfederation.org/wp-admin/post.php?post=10823&amp;action=edit" TargetMode="External"/><Relationship Id="rId621" Type="http://schemas.openxmlformats.org/officeDocument/2006/relationships/hyperlink" Target="https://africanmarketingconfederation.org/virtual-programme" TargetMode="External"/><Relationship Id="rId1044" Type="http://schemas.openxmlformats.org/officeDocument/2006/relationships/hyperlink" Target="https://africanmarketingconfederation.org/wp-admin/post.php?post=17908&amp;action=edit" TargetMode="External"/><Relationship Id="rId1251" Type="http://schemas.openxmlformats.org/officeDocument/2006/relationships/hyperlink" Target="https://africanmarketingconfederation.org/contact-us" TargetMode="External"/><Relationship Id="rId1349" Type="http://schemas.openxmlformats.org/officeDocument/2006/relationships/hyperlink" Target="https://africanmarketingconfederation.org/amc-conference-2025" TargetMode="External"/><Relationship Id="rId260" Type="http://schemas.openxmlformats.org/officeDocument/2006/relationships/hyperlink" Target="https://africanmarketingconfederation.org/wp-admin/post.php?post=6816&amp;action=edit" TargetMode="External"/><Relationship Id="rId719" Type="http://schemas.openxmlformats.org/officeDocument/2006/relationships/hyperlink" Target="https://africanmarketingconfederation.org/awards-2026-1" TargetMode="External"/><Relationship Id="rId926" Type="http://schemas.openxmlformats.org/officeDocument/2006/relationships/hyperlink" Target="https://africanmarketingconfederation.org/wp-admin/post.php?post=7916&amp;action=edit" TargetMode="External"/><Relationship Id="rId1111" Type="http://schemas.openxmlformats.org/officeDocument/2006/relationships/hyperlink" Target="https://africanmarketingconfederation.org/african-marketing-confederation-tourism-chapter" TargetMode="External"/><Relationship Id="rId55" Type="http://schemas.openxmlformats.org/officeDocument/2006/relationships/hyperlink" Target="https://africanmarketingconfederation.org/amc-conference-thank-you" TargetMode="External"/><Relationship Id="rId120" Type="http://schemas.openxmlformats.org/officeDocument/2006/relationships/hyperlink" Target="https://africanmarketingconfederation.org/wp-admin/post.php?post=18478&amp;action=edit" TargetMode="External"/><Relationship Id="rId358" Type="http://schemas.openxmlformats.org/officeDocument/2006/relationships/hyperlink" Target="https://africanmarketingconfederation.org/wp-admin/post.php?post=4494&amp;action=edit" TargetMode="External"/><Relationship Id="rId565" Type="http://schemas.openxmlformats.org/officeDocument/2006/relationships/hyperlink" Target="https://africanmarketingconfederation.org/publications-2" TargetMode="External"/><Relationship Id="rId772" Type="http://schemas.openxmlformats.org/officeDocument/2006/relationships/hyperlink" Target="https://africanmarketingconfederation.org/wp-admin/post.php?post=3634&amp;action=edit" TargetMode="External"/><Relationship Id="rId1195" Type="http://schemas.openxmlformats.org/officeDocument/2006/relationships/hyperlink" Target="https://africanmarketingconfederation.org/wp-admin/post.php?post=22595&amp;action=edit" TargetMode="External"/><Relationship Id="rId1209" Type="http://schemas.openxmlformats.org/officeDocument/2006/relationships/hyperlink" Target="https://africanmarketingconfederation.org/amc-masterclass-bookings" TargetMode="External"/><Relationship Id="rId1416" Type="http://schemas.openxmlformats.org/officeDocument/2006/relationships/hyperlink" Target="https://africanmarketingconfederation.org/wp-admin/post.php?post=19980&amp;action=edit" TargetMode="External"/><Relationship Id="rId218" Type="http://schemas.openxmlformats.org/officeDocument/2006/relationships/hyperlink" Target="https://africanmarketingconfederation.org/wp-admin/post.php?post=23710&amp;action=edit" TargetMode="External"/><Relationship Id="rId425" Type="http://schemas.openxmlformats.org/officeDocument/2006/relationships/hyperlink" Target="https://africanmarketingconfederation.org/amc-conference-programme" TargetMode="External"/><Relationship Id="rId632" Type="http://schemas.openxmlformats.org/officeDocument/2006/relationships/hyperlink" Target="https://africanmarketingconfederation.org/wp-admin/post.php?post=16125&amp;action=edit" TargetMode="External"/><Relationship Id="rId1055" Type="http://schemas.openxmlformats.org/officeDocument/2006/relationships/hyperlink" Target="https://africanmarketingconfederation.org/education" TargetMode="External"/><Relationship Id="rId1262" Type="http://schemas.openxmlformats.org/officeDocument/2006/relationships/hyperlink" Target="https://africanmarketingconfederation.org/wp-admin/post.php?post=20341&amp;action=edit" TargetMode="External"/><Relationship Id="rId271" Type="http://schemas.openxmlformats.org/officeDocument/2006/relationships/hyperlink" Target="https://africanmarketingconfederation.org/awards-2026" TargetMode="External"/><Relationship Id="rId937" Type="http://schemas.openxmlformats.org/officeDocument/2006/relationships/hyperlink" Target="https://africanmarketingconfederation.org/about-us" TargetMode="External"/><Relationship Id="rId1122" Type="http://schemas.openxmlformats.org/officeDocument/2006/relationships/hyperlink" Target="https://africanmarketingconfederation.org/wp-admin/post.php?post=4941&amp;action=edit" TargetMode="External"/><Relationship Id="rId66" Type="http://schemas.openxmlformats.org/officeDocument/2006/relationships/hyperlink" Target="https://africanmarketingconfederation.org/wp-admin/post.php?post=25857&amp;action=edit" TargetMode="External"/><Relationship Id="rId131" Type="http://schemas.openxmlformats.org/officeDocument/2006/relationships/hyperlink" Target="https://africanmarketingconfederation.org/general-enquiry-form-thank-you" TargetMode="External"/><Relationship Id="rId369" Type="http://schemas.openxmlformats.org/officeDocument/2006/relationships/hyperlink" Target="https://africanmarketingconfederation.org/amc-conference-2022-thank-you" TargetMode="External"/><Relationship Id="rId576" Type="http://schemas.openxmlformats.org/officeDocument/2006/relationships/hyperlink" Target="https://africanmarketingconfederation.org/wp-admin/post.php?post=3634&amp;action=edit" TargetMode="External"/><Relationship Id="rId783" Type="http://schemas.openxmlformats.org/officeDocument/2006/relationships/hyperlink" Target="https://africanmarketingconfederation.org/thank-you-for-subscribing" TargetMode="External"/><Relationship Id="rId990" Type="http://schemas.openxmlformats.org/officeDocument/2006/relationships/hyperlink" Target="https://africanmarketingconfederation.org/amc-forum-payments" TargetMode="External"/><Relationship Id="rId1427" Type="http://schemas.openxmlformats.org/officeDocument/2006/relationships/hyperlink" Target="https://africanmarketingconfederation.org/download-brochure" TargetMode="External"/><Relationship Id="rId229" Type="http://schemas.openxmlformats.org/officeDocument/2006/relationships/hyperlink" Target="https://africanmarketingconfederation.org/amc-conference-sponsors" TargetMode="External"/><Relationship Id="rId436" Type="http://schemas.openxmlformats.org/officeDocument/2006/relationships/hyperlink" Target="https://africanmarketingconfederation.org/amc-launch-event-zambia-thank-you-2026" TargetMode="External"/><Relationship Id="rId643" Type="http://schemas.openxmlformats.org/officeDocument/2006/relationships/hyperlink" Target="https://africanmarketingconfederation.org/amc-conference-2023/amc-awards-book-now" TargetMode="External"/><Relationship Id="rId1066" Type="http://schemas.openxmlformats.org/officeDocument/2006/relationships/hyperlink" Target="https://africanmarketingconfederation.org/wp-admin/post.php?post=33050&amp;action=edit" TargetMode="External"/><Relationship Id="rId1273" Type="http://schemas.openxmlformats.org/officeDocument/2006/relationships/hyperlink" Target="https://africanmarketingconfederation.org/privacy-policy" TargetMode="External"/><Relationship Id="rId1480" Type="http://schemas.openxmlformats.org/officeDocument/2006/relationships/hyperlink" Target="https://africanmarketingconfederation.org/wp-admin/post.php?post=8&amp;action=edit" TargetMode="External"/><Relationship Id="rId850" Type="http://schemas.openxmlformats.org/officeDocument/2006/relationships/hyperlink" Target="https://africanmarketingconfederation.org/amc-marketing-conference-2024/amc-conference-2025-ghana-sponsors" TargetMode="External"/><Relationship Id="rId948" Type="http://schemas.openxmlformats.org/officeDocument/2006/relationships/hyperlink" Target="https://africanmarketingconfederation.org/wp-admin/post.php?post=4941&amp;action=edit" TargetMode="External"/><Relationship Id="rId1133" Type="http://schemas.openxmlformats.org/officeDocument/2006/relationships/hyperlink" Target="https://africanmarketingconfederation.org/amc-conference-2023/book-now-thank-you" TargetMode="External"/><Relationship Id="rId77" Type="http://schemas.openxmlformats.org/officeDocument/2006/relationships/hyperlink" Target="https://africanmarketingconfederation.org/amc-marketing-conference-2024/programme-2024" TargetMode="External"/><Relationship Id="rId282" Type="http://schemas.openxmlformats.org/officeDocument/2006/relationships/hyperlink" Target="https://africanmarketingconfederation.org/wp-admin/post.php?post=20001&amp;action=edit" TargetMode="External"/><Relationship Id="rId503" Type="http://schemas.openxmlformats.org/officeDocument/2006/relationships/hyperlink" Target="https://africanmarketingconfederation.org/checkout" TargetMode="External"/><Relationship Id="rId587" Type="http://schemas.openxmlformats.org/officeDocument/2006/relationships/hyperlink" Target="https://africanmarketingconfederation.org/test-payment-gate" TargetMode="External"/><Relationship Id="rId710" Type="http://schemas.openxmlformats.org/officeDocument/2006/relationships/hyperlink" Target="https://africanmarketingconfederation.org/wp-admin/post.php?post=4492&amp;action=edit" TargetMode="External"/><Relationship Id="rId808" Type="http://schemas.openxmlformats.org/officeDocument/2006/relationships/hyperlink" Target="https://africanmarketingconfederation.org/wp-admin/post.php?post=12371&amp;action=edit" TargetMode="External"/><Relationship Id="rId1340" Type="http://schemas.openxmlformats.org/officeDocument/2006/relationships/hyperlink" Target="https://africanmarketingconfederation.org/wp-admin/post.php?post=13282&amp;action=edit" TargetMode="External"/><Relationship Id="rId1438" Type="http://schemas.openxmlformats.org/officeDocument/2006/relationships/hyperlink" Target="https://africanmarketingconfederation.org/wp-admin/post.php?post=31820&amp;action=edit" TargetMode="External"/><Relationship Id="rId8" Type="http://schemas.openxmlformats.org/officeDocument/2006/relationships/hyperlink" Target="https://africanmarketingconfederation.org/wp-admin/post.php?post=84&amp;action=edit" TargetMode="External"/><Relationship Id="rId142" Type="http://schemas.openxmlformats.org/officeDocument/2006/relationships/hyperlink" Target="https://africanmarketingconfederation.org/wp-admin/post.php?post=9047&amp;action=edit" TargetMode="External"/><Relationship Id="rId447" Type="http://schemas.openxmlformats.org/officeDocument/2006/relationships/hyperlink" Target="https://africanmarketingconfederation.org/wp-admin/post.php?post=22595&amp;action=edit" TargetMode="External"/><Relationship Id="rId794" Type="http://schemas.openxmlformats.org/officeDocument/2006/relationships/hyperlink" Target="https://africanmarketingconfederation.org/amc-marketing-conference-2024/speakers-2024" TargetMode="External"/><Relationship Id="rId1077" Type="http://schemas.openxmlformats.org/officeDocument/2006/relationships/hyperlink" Target="https://africanmarketingconfederation.org/speakers" TargetMode="External"/><Relationship Id="rId1200" Type="http://schemas.openxmlformats.org/officeDocument/2006/relationships/hyperlink" Target="https://africanmarketingconfederation.org/amc-marketing-conference-2024/programme-2024" TargetMode="External"/><Relationship Id="rId654" Type="http://schemas.openxmlformats.org/officeDocument/2006/relationships/hyperlink" Target="https://africanmarketingconfederation.org/wp-admin/post.php?post=13282&amp;action=edit" TargetMode="External"/><Relationship Id="rId861" Type="http://schemas.openxmlformats.org/officeDocument/2006/relationships/hyperlink" Target="https://africanmarketingconfederation.org/wp-admin/post.php?post=16104&amp;action=edit" TargetMode="External"/><Relationship Id="rId959" Type="http://schemas.openxmlformats.org/officeDocument/2006/relationships/hyperlink" Target="https://africanmarketingconfederation.org/amc-conference-2023/download-prospectus" TargetMode="External"/><Relationship Id="rId1284" Type="http://schemas.openxmlformats.org/officeDocument/2006/relationships/hyperlink" Target="https://africanmarketingconfederation.org/wp-admin/post.php?post=21962&amp;action=edit" TargetMode="External"/><Relationship Id="rId1491" Type="http://schemas.openxmlformats.org/officeDocument/2006/relationships/hyperlink" Target="https://africanmarketingconfederation.org/amc-conference-2025-highlights" TargetMode="External"/><Relationship Id="rId1505" Type="http://schemas.openxmlformats.org/officeDocument/2006/relationships/hyperlink" Target="https://africanmarketingconfederation.org/amc-masterclass-thank-you" TargetMode="External"/><Relationship Id="rId293" Type="http://schemas.openxmlformats.org/officeDocument/2006/relationships/hyperlink" Target="https://africanmarketingconfederation.org/contact-us" TargetMode="External"/><Relationship Id="rId307" Type="http://schemas.openxmlformats.org/officeDocument/2006/relationships/hyperlink" Target="https://africanmarketingconfederation.org/general-enquiry-form-thank-you" TargetMode="External"/><Relationship Id="rId514" Type="http://schemas.openxmlformats.org/officeDocument/2006/relationships/hyperlink" Target="https://africanmarketingconfederation.org/wp-admin/post.php?post=18478&amp;action=edit" TargetMode="External"/><Relationship Id="rId721" Type="http://schemas.openxmlformats.org/officeDocument/2006/relationships/hyperlink" Target="https://africanmarketingconfederation.org/awards-2026-test" TargetMode="External"/><Relationship Id="rId1144" Type="http://schemas.openxmlformats.org/officeDocument/2006/relationships/hyperlink" Target="https://africanmarketingconfederation.org/wp-admin/post.php?post=13179&amp;action=edit" TargetMode="External"/><Relationship Id="rId1351" Type="http://schemas.openxmlformats.org/officeDocument/2006/relationships/hyperlink" Target="https://africanmarketingconfederation.org/amc-conference-2025-highlights" TargetMode="External"/><Relationship Id="rId1449" Type="http://schemas.openxmlformats.org/officeDocument/2006/relationships/hyperlink" Target="https://africanmarketingconfederation.org/publication-download-list" TargetMode="External"/><Relationship Id="rId88" Type="http://schemas.openxmlformats.org/officeDocument/2006/relationships/hyperlink" Target="https://africanmarketingconfederation.org/wp-admin/post.php?post=4492&amp;action=edit" TargetMode="External"/><Relationship Id="rId153" Type="http://schemas.openxmlformats.org/officeDocument/2006/relationships/hyperlink" Target="https://africanmarketingconfederation.org/test-homeslider" TargetMode="External"/><Relationship Id="rId360" Type="http://schemas.openxmlformats.org/officeDocument/2006/relationships/hyperlink" Target="https://africanmarketingconfederation.org/wp-admin/post.php?post=4494&amp;action=edit" TargetMode="External"/><Relationship Id="rId598" Type="http://schemas.openxmlformats.org/officeDocument/2006/relationships/hyperlink" Target="https://africanmarketingconfederation.org/wp-admin/post.php?post=21591&amp;action=edit" TargetMode="External"/><Relationship Id="rId819" Type="http://schemas.openxmlformats.org/officeDocument/2006/relationships/hyperlink" Target="https://africanmarketingconfederation.org/amc-conference-2023/partners" TargetMode="External"/><Relationship Id="rId1004" Type="http://schemas.openxmlformats.org/officeDocument/2006/relationships/hyperlink" Target="https://africanmarketingconfederation.org/amc-marketing-conference-2024/amc-speakers-presentations-2024" TargetMode="External"/><Relationship Id="rId1211" Type="http://schemas.openxmlformats.org/officeDocument/2006/relationships/hyperlink" Target="https://africanmarketingconfederation.org/amc-masterclass-thank-you" TargetMode="External"/><Relationship Id="rId220" Type="http://schemas.openxmlformats.org/officeDocument/2006/relationships/hyperlink" Target="https://africanmarketingconfederation.org/wp-admin/post.php?post=30257&amp;action=edit" TargetMode="External"/><Relationship Id="rId458" Type="http://schemas.openxmlformats.org/officeDocument/2006/relationships/hyperlink" Target="https://africanmarketingconfederation.org/wp-admin/post.php?post=6553&amp;action=edit" TargetMode="External"/><Relationship Id="rId665" Type="http://schemas.openxmlformats.org/officeDocument/2006/relationships/hyperlink" Target="https://africanmarketingconfederation.org/amc-conference-2025-highlights" TargetMode="External"/><Relationship Id="rId872" Type="http://schemas.openxmlformats.org/officeDocument/2006/relationships/hyperlink" Target="https://africanmarketingconfederation.org/wp-admin/post.php?post=23001&amp;action=edit" TargetMode="External"/><Relationship Id="rId1088" Type="http://schemas.openxmlformats.org/officeDocument/2006/relationships/hyperlink" Target="https://africanmarketingconfederation.org/wp-admin/post.php?post=27352&amp;action=edit" TargetMode="External"/><Relationship Id="rId1295" Type="http://schemas.openxmlformats.org/officeDocument/2006/relationships/hyperlink" Target="https://africanmarketingconfederation.org/test-payment-gate" TargetMode="External"/><Relationship Id="rId1309" Type="http://schemas.openxmlformats.org/officeDocument/2006/relationships/hyperlink" Target="https://africanmarketingconfederation.org/virtual-programme" TargetMode="External"/><Relationship Id="rId1516" Type="http://schemas.openxmlformats.org/officeDocument/2006/relationships/hyperlink" Target="https://africanmarketingconfederation.org/wp-admin/post.php?post=10823&amp;action=edit" TargetMode="External"/><Relationship Id="rId15" Type="http://schemas.openxmlformats.org/officeDocument/2006/relationships/hyperlink" Target="https://africanmarketingconfederation.org/amc-conference-2022-prospectus" TargetMode="External"/><Relationship Id="rId318" Type="http://schemas.openxmlformats.org/officeDocument/2006/relationships/hyperlink" Target="https://africanmarketingconfederation.org/wp-admin/post.php?post=9047&amp;action=edit" TargetMode="External"/><Relationship Id="rId525" Type="http://schemas.openxmlformats.org/officeDocument/2006/relationships/hyperlink" Target="https://africanmarketingconfederation.org/education" TargetMode="External"/><Relationship Id="rId732" Type="http://schemas.openxmlformats.org/officeDocument/2006/relationships/hyperlink" Target="https://africanmarketingconfederation.org/wp-admin/post.php?post=10823&amp;action=edit" TargetMode="External"/><Relationship Id="rId1155" Type="http://schemas.openxmlformats.org/officeDocument/2006/relationships/hyperlink" Target="https://africanmarketingconfederation.org/amc-conference-2025-highlights" TargetMode="External"/><Relationship Id="rId1362" Type="http://schemas.openxmlformats.org/officeDocument/2006/relationships/hyperlink" Target="https://africanmarketingconfederation.org/amc-conference-thank-you" TargetMode="External"/><Relationship Id="rId99" Type="http://schemas.openxmlformats.org/officeDocument/2006/relationships/hyperlink" Target="https://africanmarketingconfederation.org/awards-2026-test" TargetMode="External"/><Relationship Id="rId164" Type="http://schemas.openxmlformats.org/officeDocument/2006/relationships/hyperlink" Target="https://africanmarketingconfederation.org/wp-admin/post.php?post=17000&amp;action=edit" TargetMode="External"/><Relationship Id="rId371" Type="http://schemas.openxmlformats.org/officeDocument/2006/relationships/hyperlink" Target="https://africanmarketingconfederation.org/amc-conference-2022-thank-you" TargetMode="External"/><Relationship Id="rId1015" Type="http://schemas.openxmlformats.org/officeDocument/2006/relationships/hyperlink" Target="https://africanmarketingconfederation.org/amc-masterclass-bookings" TargetMode="External"/><Relationship Id="rId1222" Type="http://schemas.openxmlformats.org/officeDocument/2006/relationships/hyperlink" Target="https://africanmarketingconfederation.org/wp-admin/post.php?post=34622&amp;action=edit" TargetMode="External"/><Relationship Id="rId469" Type="http://schemas.openxmlformats.org/officeDocument/2006/relationships/hyperlink" Target="https://africanmarketingconfederation.org/amc-masterclass-thank-you" TargetMode="External"/><Relationship Id="rId676" Type="http://schemas.openxmlformats.org/officeDocument/2006/relationships/hyperlink" Target="https://africanmarketingconfederation.org/amc-conference-thank-you" TargetMode="External"/><Relationship Id="rId883" Type="http://schemas.openxmlformats.org/officeDocument/2006/relationships/hyperlink" Target="https://africanmarketingconfederation.org/chartered-marketer-africa-programme-fee" TargetMode="External"/><Relationship Id="rId1099" Type="http://schemas.openxmlformats.org/officeDocument/2006/relationships/hyperlink" Target="https://africanmarketingconfederation.org/upcoming-events" TargetMode="External"/><Relationship Id="rId1527" Type="http://schemas.openxmlformats.org/officeDocument/2006/relationships/hyperlink" Target="https://africanmarketingconfederation.org/speakers-2025" TargetMode="External"/><Relationship Id="rId26" Type="http://schemas.openxmlformats.org/officeDocument/2006/relationships/hyperlink" Target="https://africanmarketingconfederation.org/wp-admin/post.php?post=12407&amp;action=edit" TargetMode="External"/><Relationship Id="rId231" Type="http://schemas.openxmlformats.org/officeDocument/2006/relationships/hyperlink" Target="https://africanmarketingconfederation.org/wp-admin/post.php?post=12477&amp;action=edit" TargetMode="External"/><Relationship Id="rId329" Type="http://schemas.openxmlformats.org/officeDocument/2006/relationships/hyperlink" Target="https://africanmarketingconfederation.org/test-homeslider" TargetMode="External"/><Relationship Id="rId536" Type="http://schemas.openxmlformats.org/officeDocument/2006/relationships/hyperlink" Target="https://africanmarketingconfederation.org/wp-admin/post.php?post=20341&amp;action=edit" TargetMode="External"/><Relationship Id="rId1166" Type="http://schemas.openxmlformats.org/officeDocument/2006/relationships/hyperlink" Target="https://africanmarketingconfederation.org/wp-admin/post.php?post=22778&amp;action=edit" TargetMode="External"/><Relationship Id="rId1373" Type="http://schemas.openxmlformats.org/officeDocument/2006/relationships/hyperlink" Target="https://africanmarketingconfederation.org/wp-admin/post.php?post=25857&amp;action=edit" TargetMode="External"/><Relationship Id="rId175" Type="http://schemas.openxmlformats.org/officeDocument/2006/relationships/hyperlink" Target="https://africanmarketingconfederation.org/amc-masterclass-bookings" TargetMode="External"/><Relationship Id="rId743" Type="http://schemas.openxmlformats.org/officeDocument/2006/relationships/hyperlink" Target="https://africanmarketingconfederation.org/download-prospectus-2024" TargetMode="External"/><Relationship Id="rId950" Type="http://schemas.openxmlformats.org/officeDocument/2006/relationships/hyperlink" Target="https://africanmarketingconfederation.org/wp-admin/post.php?post=12371&amp;action=edit" TargetMode="External"/><Relationship Id="rId1026" Type="http://schemas.openxmlformats.org/officeDocument/2006/relationships/hyperlink" Target="https://africanmarketingconfederation.org/wp-admin/post.php?post=22679&amp;action=edit" TargetMode="External"/><Relationship Id="rId382" Type="http://schemas.openxmlformats.org/officeDocument/2006/relationships/hyperlink" Target="https://africanmarketingconfederation.org/wp-admin/post.php?post=13164&amp;action=edit" TargetMode="External"/><Relationship Id="rId603" Type="http://schemas.openxmlformats.org/officeDocument/2006/relationships/hyperlink" Target="https://africanmarketingconfederation.org/thank-you-for-subscribing" TargetMode="External"/><Relationship Id="rId687" Type="http://schemas.openxmlformats.org/officeDocument/2006/relationships/hyperlink" Target="https://africanmarketingconfederation.org/wp-admin/post.php?post=25857&amp;action=edit" TargetMode="External"/><Relationship Id="rId810" Type="http://schemas.openxmlformats.org/officeDocument/2006/relationships/hyperlink" Target="https://africanmarketingconfederation.org/wp-admin/post.php?post=12954&amp;action=edit" TargetMode="External"/><Relationship Id="rId908" Type="http://schemas.openxmlformats.org/officeDocument/2006/relationships/hyperlink" Target="https://africanmarketingconfederation.org/wp-admin/post.php?post=3&amp;action=edit" TargetMode="External"/><Relationship Id="rId1233" Type="http://schemas.openxmlformats.org/officeDocument/2006/relationships/hyperlink" Target="https://africanmarketingconfederation.org/certified-professional-marketer-africa" TargetMode="External"/><Relationship Id="rId1440" Type="http://schemas.openxmlformats.org/officeDocument/2006/relationships/hyperlink" Target="https://africanmarketingconfederation.org/wp-admin/post.php?post=5597&amp;action=edit" TargetMode="External"/><Relationship Id="rId242" Type="http://schemas.openxmlformats.org/officeDocument/2006/relationships/hyperlink" Target="https://africanmarketingconfederation.org/amc-marketing-conference-2024/amc-launch-event-2025" TargetMode="External"/><Relationship Id="rId894" Type="http://schemas.openxmlformats.org/officeDocument/2006/relationships/hyperlink" Target="https://africanmarketingconfederation.org/wp-admin/post.php?post=18478&amp;action=edit" TargetMode="External"/><Relationship Id="rId1177" Type="http://schemas.openxmlformats.org/officeDocument/2006/relationships/hyperlink" Target="https://africanmarketingconfederation.org/wp-admin/post.php?post=21984&amp;action=edit" TargetMode="External"/><Relationship Id="rId1300" Type="http://schemas.openxmlformats.org/officeDocument/2006/relationships/hyperlink" Target="https://africanmarketingconfederation.org/wp-admin/post.php?post=21591&amp;action=edit" TargetMode="External"/><Relationship Id="rId37" Type="http://schemas.openxmlformats.org/officeDocument/2006/relationships/hyperlink" Target="https://africanmarketingconfederation.org/amc-conference-2023/speakers" TargetMode="External"/><Relationship Id="rId102" Type="http://schemas.openxmlformats.org/officeDocument/2006/relationships/hyperlink" Target="https://africanmarketingconfederation.org/wp-admin/post.php?post=28742&amp;action=edit" TargetMode="External"/><Relationship Id="rId547" Type="http://schemas.openxmlformats.org/officeDocument/2006/relationships/hyperlink" Target="https://africanmarketingconfederation.org/launch-event-2026-amc-conference" TargetMode="External"/><Relationship Id="rId754" Type="http://schemas.openxmlformats.org/officeDocument/2006/relationships/hyperlink" Target="https://africanmarketingconfederation.org/wp-admin/post.php?post=5597&amp;action=edit" TargetMode="External"/><Relationship Id="rId961" Type="http://schemas.openxmlformats.org/officeDocument/2006/relationships/hyperlink" Target="https://africanmarketingconfederation.org/amc-conference-2023/gallery" TargetMode="External"/><Relationship Id="rId1384" Type="http://schemas.openxmlformats.org/officeDocument/2006/relationships/hyperlink" Target="https://africanmarketingconfederation.org/amc-marketing-conference-2024/programme-2024" TargetMode="External"/><Relationship Id="rId90" Type="http://schemas.openxmlformats.org/officeDocument/2006/relationships/hyperlink" Target="https://africanmarketingconfederation.org/wp-admin/post.php?post=23001&amp;action=edit" TargetMode="External"/><Relationship Id="rId186" Type="http://schemas.openxmlformats.org/officeDocument/2006/relationships/hyperlink" Target="https://africanmarketingconfederation.org/wp-admin/post.php?post=16125&amp;action=edit" TargetMode="External"/><Relationship Id="rId393" Type="http://schemas.openxmlformats.org/officeDocument/2006/relationships/hyperlink" Target="https://africanmarketingconfederation.org/amc-conference-2023/download-prospectus" TargetMode="External"/><Relationship Id="rId407" Type="http://schemas.openxmlformats.org/officeDocument/2006/relationships/hyperlink" Target="https://africanmarketingconfederation.org/amc-conference-2024-sponsors-packages" TargetMode="External"/><Relationship Id="rId614" Type="http://schemas.openxmlformats.org/officeDocument/2006/relationships/hyperlink" Target="https://africanmarketingconfederation.org/wp-admin/post.php?post=17196&amp;action=edit" TargetMode="External"/><Relationship Id="rId821" Type="http://schemas.openxmlformats.org/officeDocument/2006/relationships/hyperlink" Target="https://africanmarketingconfederation.org/amc-conference-2023/programme" TargetMode="External"/><Relationship Id="rId1037" Type="http://schemas.openxmlformats.org/officeDocument/2006/relationships/hyperlink" Target="https://africanmarketingconfederation.org/chartered-marketer-africa-final-submission-fee" TargetMode="External"/><Relationship Id="rId1244" Type="http://schemas.openxmlformats.org/officeDocument/2006/relationships/hyperlink" Target="https://africanmarketingconfederation.org/wp-admin/post.php?post=17908&amp;action=edit" TargetMode="External"/><Relationship Id="rId1451" Type="http://schemas.openxmlformats.org/officeDocument/2006/relationships/hyperlink" Target="https://africanmarketingconfederation.org/publications-2" TargetMode="External"/><Relationship Id="rId253" Type="http://schemas.openxmlformats.org/officeDocument/2006/relationships/hyperlink" Target="https://africanmarketingconfederation.org/wp-admin/post.php?post=16104&amp;action=edit" TargetMode="External"/><Relationship Id="rId460" Type="http://schemas.openxmlformats.org/officeDocument/2006/relationships/hyperlink" Target="https://africanmarketingconfederation.org/wp-admin/post.php?post=6553&amp;action=edit" TargetMode="External"/><Relationship Id="rId698" Type="http://schemas.openxmlformats.org/officeDocument/2006/relationships/hyperlink" Target="https://africanmarketingconfederation.org/amc-marketing-conference-2024/programme-2024" TargetMode="External"/><Relationship Id="rId919" Type="http://schemas.openxmlformats.org/officeDocument/2006/relationships/hyperlink" Target="https://africanmarketingconfederation.org/test-payment-gate" TargetMode="External"/><Relationship Id="rId1090" Type="http://schemas.openxmlformats.org/officeDocument/2006/relationships/hyperlink" Target="https://africanmarketingconfederation.org/wp-admin/post.php?post=17195&amp;action=edit" TargetMode="External"/><Relationship Id="rId1104" Type="http://schemas.openxmlformats.org/officeDocument/2006/relationships/hyperlink" Target="https://africanmarketingconfederation.org/wp-admin/post.php?post=8&amp;action=edit" TargetMode="External"/><Relationship Id="rId1311" Type="http://schemas.openxmlformats.org/officeDocument/2006/relationships/hyperlink" Target="https://africanmarketingconfederation.org/" TargetMode="External"/><Relationship Id="rId48" Type="http://schemas.openxmlformats.org/officeDocument/2006/relationships/hyperlink" Target="https://africanmarketingconfederation.org/wp-admin/post.php?post=31478&amp;action=edit" TargetMode="External"/><Relationship Id="rId113" Type="http://schemas.openxmlformats.org/officeDocument/2006/relationships/hyperlink" Target="https://africanmarketingconfederation.org/conference-faq-2025" TargetMode="External"/><Relationship Id="rId320" Type="http://schemas.openxmlformats.org/officeDocument/2006/relationships/hyperlink" Target="https://africanmarketingconfederation.org/wp-admin/post.php?post=3686&amp;action=edit" TargetMode="External"/><Relationship Id="rId558" Type="http://schemas.openxmlformats.org/officeDocument/2006/relationships/hyperlink" Target="https://africanmarketingconfederation.org/wp-admin/post.php?post=9047&amp;action=edit" TargetMode="External"/><Relationship Id="rId765" Type="http://schemas.openxmlformats.org/officeDocument/2006/relationships/hyperlink" Target="https://africanmarketingconfederation.org/publications-2" TargetMode="External"/><Relationship Id="rId972" Type="http://schemas.openxmlformats.org/officeDocument/2006/relationships/hyperlink" Target="https://africanmarketingconfederation.org/wp-admin/post.php?post=18318&amp;action=edit" TargetMode="External"/><Relationship Id="rId1188" Type="http://schemas.openxmlformats.org/officeDocument/2006/relationships/hyperlink" Target="https://africanmarketingconfederation.org/amc-marketing-conference-2024/amc-preregister-2025" TargetMode="External"/><Relationship Id="rId1395" Type="http://schemas.openxmlformats.org/officeDocument/2006/relationships/hyperlink" Target="https://africanmarketingconfederation.org/amc-relaunch-programme" TargetMode="External"/><Relationship Id="rId1409" Type="http://schemas.openxmlformats.org/officeDocument/2006/relationships/hyperlink" Target="https://africanmarketingconfederation.org/certified-professional-marketer-africa" TargetMode="External"/><Relationship Id="rId197" Type="http://schemas.openxmlformats.org/officeDocument/2006/relationships/hyperlink" Target="https://africanmarketingconfederation.org/amc-conference-2023/amc-awards-book-now" TargetMode="External"/><Relationship Id="rId418" Type="http://schemas.openxmlformats.org/officeDocument/2006/relationships/hyperlink" Target="https://africanmarketingconfederation.org/wp-admin/post.php?post=33280&amp;action=edit" TargetMode="External"/><Relationship Id="rId625" Type="http://schemas.openxmlformats.org/officeDocument/2006/relationships/hyperlink" Target="https://africanmarketingconfederation.org/" TargetMode="External"/><Relationship Id="rId832" Type="http://schemas.openxmlformats.org/officeDocument/2006/relationships/hyperlink" Target="https://africanmarketingconfederation.org/wp-admin/post.php?post=31478&amp;action=edit" TargetMode="External"/><Relationship Id="rId1048" Type="http://schemas.openxmlformats.org/officeDocument/2006/relationships/hyperlink" Target="https://africanmarketingconfederation.org/wp-admin/post.php?post=16472&amp;action=edit" TargetMode="External"/><Relationship Id="rId1255" Type="http://schemas.openxmlformats.org/officeDocument/2006/relationships/hyperlink" Target="https://africanmarketingconfederation.org/download-prospectus-2024" TargetMode="External"/><Relationship Id="rId1462" Type="http://schemas.openxmlformats.org/officeDocument/2006/relationships/hyperlink" Target="https://africanmarketingconfederation.org/wp-admin/post.php?post=5490&amp;action=edit" TargetMode="External"/><Relationship Id="rId264" Type="http://schemas.openxmlformats.org/officeDocument/2006/relationships/hyperlink" Target="https://africanmarketingconfederation.org/wp-admin/post.php?post=4492&amp;action=edit" TargetMode="External"/><Relationship Id="rId471" Type="http://schemas.openxmlformats.org/officeDocument/2006/relationships/hyperlink" Target="https://africanmarketingconfederation.org/amc-relaunch-programme" TargetMode="External"/><Relationship Id="rId1115" Type="http://schemas.openxmlformats.org/officeDocument/2006/relationships/hyperlink" Target="https://africanmarketingconfederation.org/amc-awards-2024" TargetMode="External"/><Relationship Id="rId1322" Type="http://schemas.openxmlformats.org/officeDocument/2006/relationships/hyperlink" Target="https://africanmarketingconfederation.org/wp-admin/post.php?post=5619&amp;action=edit" TargetMode="External"/><Relationship Id="rId59" Type="http://schemas.openxmlformats.org/officeDocument/2006/relationships/hyperlink" Target="https://africanmarketingconfederation.org/amc-forum-payments" TargetMode="External"/><Relationship Id="rId124" Type="http://schemas.openxmlformats.org/officeDocument/2006/relationships/hyperlink" Target="https://africanmarketingconfederation.org/wp-admin/post.php?post=88&amp;action=edit" TargetMode="External"/><Relationship Id="rId569" Type="http://schemas.openxmlformats.org/officeDocument/2006/relationships/hyperlink" Target="https://africanmarketingconfederation.org/speakers" TargetMode="External"/><Relationship Id="rId776" Type="http://schemas.openxmlformats.org/officeDocument/2006/relationships/hyperlink" Target="https://africanmarketingconfederation.org/wp-admin/post.php?post=5490&amp;action=edit" TargetMode="External"/><Relationship Id="rId983" Type="http://schemas.openxmlformats.org/officeDocument/2006/relationships/hyperlink" Target="https://africanmarketingconfederation.org/amc-conference-programme" TargetMode="External"/><Relationship Id="rId1199" Type="http://schemas.openxmlformats.org/officeDocument/2006/relationships/hyperlink" Target="https://africanmarketingconfederation.org/wp-admin/post.php?post=29496&amp;action=edit" TargetMode="External"/><Relationship Id="rId331" Type="http://schemas.openxmlformats.org/officeDocument/2006/relationships/hyperlink" Target="https://africanmarketingconfederation.org/test-payment-gate" TargetMode="External"/><Relationship Id="rId429" Type="http://schemas.openxmlformats.org/officeDocument/2006/relationships/hyperlink" Target="https://africanmarketingconfederation.org/amc-conference-sponsors" TargetMode="External"/><Relationship Id="rId636" Type="http://schemas.openxmlformats.org/officeDocument/2006/relationships/hyperlink" Target="https://africanmarketingconfederation.org/wp-admin/post.php?post=5619&amp;action=edit" TargetMode="External"/><Relationship Id="rId1059" Type="http://schemas.openxmlformats.org/officeDocument/2006/relationships/hyperlink" Target="https://africanmarketingconfederation.org/elementor-20341" TargetMode="External"/><Relationship Id="rId1266" Type="http://schemas.openxmlformats.org/officeDocument/2006/relationships/hyperlink" Target="https://africanmarketingconfederation.org/wp-admin/post.php?post=5597&amp;action=edit" TargetMode="External"/><Relationship Id="rId1473" Type="http://schemas.openxmlformats.org/officeDocument/2006/relationships/hyperlink" Target="https://africanmarketingconfederation.org/thank-you-for-the-submission-2024" TargetMode="External"/><Relationship Id="rId843" Type="http://schemas.openxmlformats.org/officeDocument/2006/relationships/hyperlink" Target="https://africanmarketingconfederation.org/wp-admin/post.php?post=21958&amp;action=edit" TargetMode="External"/><Relationship Id="rId1126" Type="http://schemas.openxmlformats.org/officeDocument/2006/relationships/hyperlink" Target="https://africanmarketingconfederation.org/wp-admin/post.php?post=12954&amp;action=edit" TargetMode="External"/><Relationship Id="rId275" Type="http://schemas.openxmlformats.org/officeDocument/2006/relationships/hyperlink" Target="https://africanmarketingconfederation.org/awards-2026-test" TargetMode="External"/><Relationship Id="rId482" Type="http://schemas.openxmlformats.org/officeDocument/2006/relationships/hyperlink" Target="https://africanmarketingconfederation.org/wp-admin/post.php?post=32554&amp;action=edit" TargetMode="External"/><Relationship Id="rId703" Type="http://schemas.openxmlformats.org/officeDocument/2006/relationships/hyperlink" Target="https://africanmarketingconfederation.org/amc-masterclass" TargetMode="External"/><Relationship Id="rId910" Type="http://schemas.openxmlformats.org/officeDocument/2006/relationships/hyperlink" Target="https://africanmarketingconfederation.org/wp-admin/post.php?post=9047&amp;action=edit" TargetMode="External"/><Relationship Id="rId1333" Type="http://schemas.openxmlformats.org/officeDocument/2006/relationships/hyperlink" Target="https://africanmarketingconfederation.org/amc-conference-2023/book-now-thank-you" TargetMode="External"/><Relationship Id="rId135" Type="http://schemas.openxmlformats.org/officeDocument/2006/relationships/hyperlink" Target="https://africanmarketingconfederation.org/members" TargetMode="External"/><Relationship Id="rId342" Type="http://schemas.openxmlformats.org/officeDocument/2006/relationships/hyperlink" Target="https://africanmarketingconfederation.org/wp-admin/post.php?post=17196&amp;action=edit" TargetMode="External"/><Relationship Id="rId787" Type="http://schemas.openxmlformats.org/officeDocument/2006/relationships/hyperlink" Target="https://africanmarketingconfederation.org/thank-you-for-the-submission-2024" TargetMode="External"/><Relationship Id="rId994" Type="http://schemas.openxmlformats.org/officeDocument/2006/relationships/hyperlink" Target="https://africanmarketingconfederation.org/amc-marketing-conference-2024" TargetMode="External"/><Relationship Id="rId1400" Type="http://schemas.openxmlformats.org/officeDocument/2006/relationships/hyperlink" Target="https://africanmarketingconfederation.org/wp-admin/post.php?post=21952&amp;action=edit" TargetMode="External"/><Relationship Id="rId202" Type="http://schemas.openxmlformats.org/officeDocument/2006/relationships/hyperlink" Target="https://africanmarketingconfederation.org/wp-admin/post.php?post=12497&amp;action=edit" TargetMode="External"/><Relationship Id="rId647" Type="http://schemas.openxmlformats.org/officeDocument/2006/relationships/hyperlink" Target="https://africanmarketingconfederation.org/amc-conference-2023/book-now-thank-you" TargetMode="External"/><Relationship Id="rId854" Type="http://schemas.openxmlformats.org/officeDocument/2006/relationships/hyperlink" Target="https://africanmarketingconfederation.org/amc-marketing-conference-2024/amc-preregister-2025" TargetMode="External"/><Relationship Id="rId1277" Type="http://schemas.openxmlformats.org/officeDocument/2006/relationships/hyperlink" Target="https://africanmarketingconfederation.org/publication-download-list" TargetMode="External"/><Relationship Id="rId1484" Type="http://schemas.openxmlformats.org/officeDocument/2006/relationships/hyperlink" Target="https://africanmarketingconfederation.org/wp-admin/post.php?post=28165&amp;action=edit" TargetMode="External"/><Relationship Id="rId286" Type="http://schemas.openxmlformats.org/officeDocument/2006/relationships/hyperlink" Target="https://africanmarketingconfederation.org/wp-admin/post.php?post=10823&amp;action=edit" TargetMode="External"/><Relationship Id="rId493" Type="http://schemas.openxmlformats.org/officeDocument/2006/relationships/hyperlink" Target="https://africanmarketingconfederation.org/chartered-marketer-africa-programme-fee" TargetMode="External"/><Relationship Id="rId507" Type="http://schemas.openxmlformats.org/officeDocument/2006/relationships/hyperlink" Target="https://africanmarketingconfederation.org/conference-registrations-2024" TargetMode="External"/><Relationship Id="rId714" Type="http://schemas.openxmlformats.org/officeDocument/2006/relationships/hyperlink" Target="https://africanmarketingconfederation.org/wp-admin/post.php?post=21952&amp;action=edit" TargetMode="External"/><Relationship Id="rId921" Type="http://schemas.openxmlformats.org/officeDocument/2006/relationships/hyperlink" Target="https://africanmarketingconfederation.org/thank-you-for-registering-2024-registrations" TargetMode="External"/><Relationship Id="rId1137" Type="http://schemas.openxmlformats.org/officeDocument/2006/relationships/hyperlink" Target="https://africanmarketingconfederation.org/amc-conference-2023/gallery" TargetMode="External"/><Relationship Id="rId1344" Type="http://schemas.openxmlformats.org/officeDocument/2006/relationships/hyperlink" Target="https://africanmarketingconfederation.org/wp-admin/post.php?post=13179&amp;action=edit" TargetMode="External"/><Relationship Id="rId50" Type="http://schemas.openxmlformats.org/officeDocument/2006/relationships/hyperlink" Target="https://africanmarketingconfederation.org/wp-admin/post.php?post=33280&amp;action=edit" TargetMode="External"/><Relationship Id="rId146" Type="http://schemas.openxmlformats.org/officeDocument/2006/relationships/hyperlink" Target="https://africanmarketingconfederation.org/wp-admin/post.php?post=3252&amp;action=edit" TargetMode="External"/><Relationship Id="rId353" Type="http://schemas.openxmlformats.org/officeDocument/2006/relationships/hyperlink" Target="https://africanmarketingconfederation.org/about-us" TargetMode="External"/><Relationship Id="rId560" Type="http://schemas.openxmlformats.org/officeDocument/2006/relationships/hyperlink" Target="https://africanmarketingconfederation.org/wp-admin/post.php?post=9047&amp;action=edit" TargetMode="External"/><Relationship Id="rId798" Type="http://schemas.openxmlformats.org/officeDocument/2006/relationships/hyperlink" Target="https://africanmarketingconfederation.org/wp-admin/post.php?post=28165&amp;action=edit" TargetMode="External"/><Relationship Id="rId1190" Type="http://schemas.openxmlformats.org/officeDocument/2006/relationships/hyperlink" Target="https://africanmarketingconfederation.org/amc-marketing-conference-2024/amc-programme-2025" TargetMode="External"/><Relationship Id="rId1204" Type="http://schemas.openxmlformats.org/officeDocument/2006/relationships/hyperlink" Target="https://africanmarketingconfederation.org/wp-admin/post.php?post=23021&amp;action=edit" TargetMode="External"/><Relationship Id="rId1411" Type="http://schemas.openxmlformats.org/officeDocument/2006/relationships/hyperlink" Target="https://africanmarketingconfederation.org/chartered-marketer-africa" TargetMode="External"/><Relationship Id="rId213" Type="http://schemas.openxmlformats.org/officeDocument/2006/relationships/hyperlink" Target="https://africanmarketingconfederation.org/amc-conference-2024-recap" TargetMode="External"/><Relationship Id="rId420" Type="http://schemas.openxmlformats.org/officeDocument/2006/relationships/hyperlink" Target="https://africanmarketingconfederation.org/wp-admin/post.php?post=33280&amp;action=edit" TargetMode="External"/><Relationship Id="rId658" Type="http://schemas.openxmlformats.org/officeDocument/2006/relationships/hyperlink" Target="https://africanmarketingconfederation.org/wp-admin/post.php?post=13179&amp;action=edit" TargetMode="External"/><Relationship Id="rId865" Type="http://schemas.openxmlformats.org/officeDocument/2006/relationships/hyperlink" Target="https://africanmarketingconfederation.org/amc-masterclass" TargetMode="External"/><Relationship Id="rId1050" Type="http://schemas.openxmlformats.org/officeDocument/2006/relationships/hyperlink" Target="https://africanmarketingconfederation.org/wp-admin/post.php?post=92&amp;action=edit" TargetMode="External"/><Relationship Id="rId1288" Type="http://schemas.openxmlformats.org/officeDocument/2006/relationships/hyperlink" Target="https://africanmarketingconfederation.org/wp-admin/post.php?post=3634&amp;action=edit" TargetMode="External"/><Relationship Id="rId1495" Type="http://schemas.openxmlformats.org/officeDocument/2006/relationships/hyperlink" Target="https://africanmarketingconfederation.org/amc-conference-2026-zambia-thank-you" TargetMode="External"/><Relationship Id="rId1509" Type="http://schemas.openxmlformats.org/officeDocument/2006/relationships/hyperlink" Target="https://africanmarketingconfederation.org/chartered-marketer-africa" TargetMode="External"/><Relationship Id="rId297" Type="http://schemas.openxmlformats.org/officeDocument/2006/relationships/hyperlink" Target="https://africanmarketingconfederation.org/download-prospectus-2024" TargetMode="External"/><Relationship Id="rId518" Type="http://schemas.openxmlformats.org/officeDocument/2006/relationships/hyperlink" Target="https://africanmarketingconfederation.org/wp-admin/post.php?post=19172&amp;action=edit" TargetMode="External"/><Relationship Id="rId725" Type="http://schemas.openxmlformats.org/officeDocument/2006/relationships/hyperlink" Target="https://africanmarketingconfederation.org/chartered-marketer-africa" TargetMode="External"/><Relationship Id="rId932" Type="http://schemas.openxmlformats.org/officeDocument/2006/relationships/hyperlink" Target="https://africanmarketingconfederation.org/wp-admin/post.php?post=4909&amp;action=edit" TargetMode="External"/><Relationship Id="rId1148" Type="http://schemas.openxmlformats.org/officeDocument/2006/relationships/hyperlink" Target="https://africanmarketingconfederation.org/wp-admin/post.php?post=22401&amp;action=edit" TargetMode="External"/><Relationship Id="rId1355" Type="http://schemas.openxmlformats.org/officeDocument/2006/relationships/hyperlink" Target="https://africanmarketingconfederation.org/amc-conference-2026-awards-nominations-thank-you" TargetMode="External"/><Relationship Id="rId157" Type="http://schemas.openxmlformats.org/officeDocument/2006/relationships/hyperlink" Target="https://africanmarketingconfederation.org/thank-you-for-registering-2024-registrations" TargetMode="External"/><Relationship Id="rId364" Type="http://schemas.openxmlformats.org/officeDocument/2006/relationships/hyperlink" Target="https://africanmarketingconfederation.org/wp-admin/post.php?post=5619&amp;action=edit" TargetMode="External"/><Relationship Id="rId1008" Type="http://schemas.openxmlformats.org/officeDocument/2006/relationships/hyperlink" Target="https://africanmarketingconfederation.org/amc-marketing-conference-2024/programme-2024" TargetMode="External"/><Relationship Id="rId1215" Type="http://schemas.openxmlformats.org/officeDocument/2006/relationships/hyperlink" Target="https://africanmarketingconfederation.org/amc-sign-up-now-form-2025" TargetMode="External"/><Relationship Id="rId1422" Type="http://schemas.openxmlformats.org/officeDocument/2006/relationships/hyperlink" Target="https://africanmarketingconfederation.org/wp-admin/post.php?post=24640&amp;action=edit" TargetMode="External"/><Relationship Id="rId61" Type="http://schemas.openxmlformats.org/officeDocument/2006/relationships/hyperlink" Target="https://africanmarketingconfederation.org/amc-launch-event-zambia-thank-you-2026" TargetMode="External"/><Relationship Id="rId571" Type="http://schemas.openxmlformats.org/officeDocument/2006/relationships/hyperlink" Target="https://africanmarketingconfederation.org/speakers" TargetMode="External"/><Relationship Id="rId669" Type="http://schemas.openxmlformats.org/officeDocument/2006/relationships/hyperlink" Target="https://africanmarketingconfederation.org/amc-conference-2026-awards-nominations-thank-you" TargetMode="External"/><Relationship Id="rId876" Type="http://schemas.openxmlformats.org/officeDocument/2006/relationships/hyperlink" Target="https://africanmarketingconfederation.org/wp-admin/post.php?post=22679&amp;action=edit" TargetMode="External"/><Relationship Id="rId1299" Type="http://schemas.openxmlformats.org/officeDocument/2006/relationships/hyperlink" Target="https://africanmarketingconfederation.org/thank-you-for-registering-2024-registrations-kenya" TargetMode="External"/><Relationship Id="rId19" Type="http://schemas.openxmlformats.org/officeDocument/2006/relationships/hyperlink" Target="https://africanmarketingconfederation.org/amc-conference-2023" TargetMode="External"/><Relationship Id="rId224" Type="http://schemas.openxmlformats.org/officeDocument/2006/relationships/hyperlink" Target="https://africanmarketingconfederation.org/wp-admin/post.php?post=33280&amp;action=edit" TargetMode="External"/><Relationship Id="rId431" Type="http://schemas.openxmlformats.org/officeDocument/2006/relationships/hyperlink" Target="https://africanmarketingconfederation.org/wp-admin/post.php?post=12477&amp;action=edit" TargetMode="External"/><Relationship Id="rId529" Type="http://schemas.openxmlformats.org/officeDocument/2006/relationships/hyperlink" Target="https://africanmarketingconfederation.org/elementor-16548" TargetMode="External"/><Relationship Id="rId736" Type="http://schemas.openxmlformats.org/officeDocument/2006/relationships/hyperlink" Target="https://africanmarketingconfederation.org/wp-admin/post.php?post=24640&amp;action=edit" TargetMode="External"/><Relationship Id="rId1061" Type="http://schemas.openxmlformats.org/officeDocument/2006/relationships/hyperlink" Target="https://africanmarketingconfederation.org/elementor-31820" TargetMode="External"/><Relationship Id="rId1159" Type="http://schemas.openxmlformats.org/officeDocument/2006/relationships/hyperlink" Target="https://africanmarketingconfederation.org/amc-conference-2026" TargetMode="External"/><Relationship Id="rId1366" Type="http://schemas.openxmlformats.org/officeDocument/2006/relationships/hyperlink" Target="https://africanmarketingconfederation.org/amc-forum-payments" TargetMode="External"/><Relationship Id="rId168" Type="http://schemas.openxmlformats.org/officeDocument/2006/relationships/hyperlink" Target="https://africanmarketingconfederation.org/wp-admin/post.php?post=4909&amp;action=edit" TargetMode="External"/><Relationship Id="rId943" Type="http://schemas.openxmlformats.org/officeDocument/2006/relationships/hyperlink" Target="https://africanmarketingconfederation.org/amc-conference-2022" TargetMode="External"/><Relationship Id="rId1019" Type="http://schemas.openxmlformats.org/officeDocument/2006/relationships/hyperlink" Target="https://africanmarketingconfederation.org/amc-relaunch-programme" TargetMode="External"/><Relationship Id="rId72" Type="http://schemas.openxmlformats.org/officeDocument/2006/relationships/hyperlink" Target="https://africanmarketingconfederation.org/wp-admin/post.php?post=24882&amp;action=edit" TargetMode="External"/><Relationship Id="rId375" Type="http://schemas.openxmlformats.org/officeDocument/2006/relationships/hyperlink" Target="https://africanmarketingconfederation.org/amc-conference-2023/amc-awards" TargetMode="External"/><Relationship Id="rId582" Type="http://schemas.openxmlformats.org/officeDocument/2006/relationships/hyperlink" Target="https://africanmarketingconfederation.org/wp-admin/post.php?post=5490&amp;action=edit" TargetMode="External"/><Relationship Id="rId803" Type="http://schemas.openxmlformats.org/officeDocument/2006/relationships/hyperlink" Target="https://africanmarketingconfederation.org/amc-conference-2022-prospectus" TargetMode="External"/><Relationship Id="rId1226" Type="http://schemas.openxmlformats.org/officeDocument/2006/relationships/hyperlink" Target="https://africanmarketingconfederation.org/wp-admin/post.php?post=32554&amp;action=edit" TargetMode="External"/><Relationship Id="rId1433" Type="http://schemas.openxmlformats.org/officeDocument/2006/relationships/hyperlink" Target="https://africanmarketingconfederation.org/elementor-16548" TargetMode="External"/><Relationship Id="rId3" Type="http://schemas.openxmlformats.org/officeDocument/2006/relationships/hyperlink" Target="https://africanmarketingconfederation.org/amc-conference-sponsors" TargetMode="External"/><Relationship Id="rId235" Type="http://schemas.openxmlformats.org/officeDocument/2006/relationships/hyperlink" Target="https://africanmarketingconfederation.org/wp-admin/post.php?post=21984&amp;action=edit" TargetMode="External"/><Relationship Id="rId442" Type="http://schemas.openxmlformats.org/officeDocument/2006/relationships/hyperlink" Target="https://africanmarketingconfederation.org/amc-marketing-conference-2024/amc-programme-2025" TargetMode="External"/><Relationship Id="rId887" Type="http://schemas.openxmlformats.org/officeDocument/2006/relationships/hyperlink" Target="https://africanmarketingconfederation.org/checkout" TargetMode="External"/><Relationship Id="rId1072" Type="http://schemas.openxmlformats.org/officeDocument/2006/relationships/hyperlink" Target="https://africanmarketingconfederation.org/wp-admin/post.php?post=3&amp;action=edit" TargetMode="External"/><Relationship Id="rId1500" Type="http://schemas.openxmlformats.org/officeDocument/2006/relationships/hyperlink" Target="https://africanmarketingconfederation.org/wp-admin/post.php?post=25857&amp;action=edit" TargetMode="External"/><Relationship Id="rId302" Type="http://schemas.openxmlformats.org/officeDocument/2006/relationships/hyperlink" Target="https://africanmarketingconfederation.org/wp-admin/post.php?post=16548&amp;action=edit" TargetMode="External"/><Relationship Id="rId747" Type="http://schemas.openxmlformats.org/officeDocument/2006/relationships/hyperlink" Target="https://africanmarketingconfederation.org/elementor-16548" TargetMode="External"/><Relationship Id="rId954" Type="http://schemas.openxmlformats.org/officeDocument/2006/relationships/hyperlink" Target="https://africanmarketingconfederation.org/wp-admin/post.php?post=13164&amp;action=edit" TargetMode="External"/><Relationship Id="rId1377" Type="http://schemas.openxmlformats.org/officeDocument/2006/relationships/hyperlink" Target="https://africanmarketingconfederation.org/wp-admin/post.php?post=26290&amp;action=edit" TargetMode="External"/><Relationship Id="rId83" Type="http://schemas.openxmlformats.org/officeDocument/2006/relationships/hyperlink" Target="https://africanmarketingconfederation.org/amc-masterclass-bookings" TargetMode="External"/><Relationship Id="rId179" Type="http://schemas.openxmlformats.org/officeDocument/2006/relationships/hyperlink" Target="https://africanmarketingconfederation.org/" TargetMode="External"/><Relationship Id="rId386" Type="http://schemas.openxmlformats.org/officeDocument/2006/relationships/hyperlink" Target="https://africanmarketingconfederation.org/wp-admin/post.php?post=12407&amp;action=edit" TargetMode="External"/><Relationship Id="rId593" Type="http://schemas.openxmlformats.org/officeDocument/2006/relationships/hyperlink" Target="https://africanmarketingconfederation.org/thank-you-for-registering-2024-registrations" TargetMode="External"/><Relationship Id="rId607" Type="http://schemas.openxmlformats.org/officeDocument/2006/relationships/hyperlink" Target="https://africanmarketingconfederation.org/thank-you-for-the-nomination-2024" TargetMode="External"/><Relationship Id="rId814" Type="http://schemas.openxmlformats.org/officeDocument/2006/relationships/hyperlink" Target="https://africanmarketingconfederation.org/wp-admin/post.php?post=12497&amp;action=edit" TargetMode="External"/><Relationship Id="rId1237" Type="http://schemas.openxmlformats.org/officeDocument/2006/relationships/hyperlink" Target="https://africanmarketingconfederation.org/chartered-marketer-africa-final-submission-fee" TargetMode="External"/><Relationship Id="rId1444" Type="http://schemas.openxmlformats.org/officeDocument/2006/relationships/hyperlink" Target="https://africanmarketingconfederation.org/wp-admin/post.php?post=86&amp;action=edit" TargetMode="External"/><Relationship Id="rId246" Type="http://schemas.openxmlformats.org/officeDocument/2006/relationships/hyperlink" Target="https://africanmarketingconfederation.org/amc-marketing-conference-2024/amc-programme-2025" TargetMode="External"/><Relationship Id="rId453" Type="http://schemas.openxmlformats.org/officeDocument/2006/relationships/hyperlink" Target="https://africanmarketingconfederation.org/amc-marketing-conference-2024/testimony-thank-you-page" TargetMode="External"/><Relationship Id="rId660" Type="http://schemas.openxmlformats.org/officeDocument/2006/relationships/hyperlink" Target="https://africanmarketingconfederation.org/wp-admin/post.php?post=22401&amp;action=edit" TargetMode="External"/><Relationship Id="rId898" Type="http://schemas.openxmlformats.org/officeDocument/2006/relationships/hyperlink" Target="https://africanmarketingconfederation.org/wp-admin/post.php?post=88&amp;action=edit" TargetMode="External"/><Relationship Id="rId1083" Type="http://schemas.openxmlformats.org/officeDocument/2006/relationships/hyperlink" Target="https://africanmarketingconfederation.org/subscribe" TargetMode="External"/><Relationship Id="rId1290" Type="http://schemas.openxmlformats.org/officeDocument/2006/relationships/hyperlink" Target="https://africanmarketingconfederation.org/wp-admin/post.php?post=7781&amp;action=edit" TargetMode="External"/><Relationship Id="rId1304" Type="http://schemas.openxmlformats.org/officeDocument/2006/relationships/hyperlink" Target="https://africanmarketingconfederation.org/wp-admin/post.php?post=17000&amp;action=edit" TargetMode="External"/><Relationship Id="rId1511" Type="http://schemas.openxmlformats.org/officeDocument/2006/relationships/hyperlink" Target="https://africanmarketingconfederation.org/chartered-marketer-africa-final-submission-fee" TargetMode="External"/><Relationship Id="rId106" Type="http://schemas.openxmlformats.org/officeDocument/2006/relationships/hyperlink" Target="https://africanmarketingconfederation.org/wp-admin/post.php?post=20001&amp;action=edit" TargetMode="External"/><Relationship Id="rId313" Type="http://schemas.openxmlformats.org/officeDocument/2006/relationships/hyperlink" Target="https://africanmarketingconfederation.org/news-articles" TargetMode="External"/><Relationship Id="rId758" Type="http://schemas.openxmlformats.org/officeDocument/2006/relationships/hyperlink" Target="https://africanmarketingconfederation.org/wp-admin/post.php?post=86&amp;action=edit" TargetMode="External"/><Relationship Id="rId965" Type="http://schemas.openxmlformats.org/officeDocument/2006/relationships/hyperlink" Target="https://africanmarketingconfederation.org/amc-conference-2023/programme" TargetMode="External"/><Relationship Id="rId1150" Type="http://schemas.openxmlformats.org/officeDocument/2006/relationships/hyperlink" Target="https://africanmarketingconfederation.org/wp-admin/post.php?post=18318&amp;action=edit" TargetMode="External"/><Relationship Id="rId1388" Type="http://schemas.openxmlformats.org/officeDocument/2006/relationships/hyperlink" Target="https://africanmarketingconfederation.org/wp-admin/post.php?post=23021&amp;action=edit" TargetMode="External"/><Relationship Id="rId10" Type="http://schemas.openxmlformats.org/officeDocument/2006/relationships/hyperlink" Target="https://africanmarketingconfederation.org/wp-admin/post.php?post=28165&amp;action=edit" TargetMode="External"/><Relationship Id="rId94" Type="http://schemas.openxmlformats.org/officeDocument/2006/relationships/hyperlink" Target="https://africanmarketingconfederation.org/wp-admin/post.php?post=22679&amp;action=edit" TargetMode="External"/><Relationship Id="rId397" Type="http://schemas.openxmlformats.org/officeDocument/2006/relationships/hyperlink" Target="https://africanmarketingconfederation.org/amc-conference-2023/gallery" TargetMode="External"/><Relationship Id="rId520" Type="http://schemas.openxmlformats.org/officeDocument/2006/relationships/hyperlink" Target="https://africanmarketingconfederation.org/wp-admin/post.php?post=19172&amp;action=edit" TargetMode="External"/><Relationship Id="rId618" Type="http://schemas.openxmlformats.org/officeDocument/2006/relationships/hyperlink" Target="https://africanmarketingconfederation.org/wp-admin/post.php?post=4909&amp;action=edit" TargetMode="External"/><Relationship Id="rId825" Type="http://schemas.openxmlformats.org/officeDocument/2006/relationships/hyperlink" Target="https://africanmarketingconfederation.org/amc-conference-2024-recap" TargetMode="External"/><Relationship Id="rId1248" Type="http://schemas.openxmlformats.org/officeDocument/2006/relationships/hyperlink" Target="https://africanmarketingconfederation.org/wp-admin/post.php?post=16472&amp;action=edit" TargetMode="External"/><Relationship Id="rId1455" Type="http://schemas.openxmlformats.org/officeDocument/2006/relationships/hyperlink" Target="https://africanmarketingconfederation.org/speakers-2025" TargetMode="External"/><Relationship Id="rId257" Type="http://schemas.openxmlformats.org/officeDocument/2006/relationships/hyperlink" Target="https://africanmarketingconfederation.org/amc-masterclass" TargetMode="External"/><Relationship Id="rId464" Type="http://schemas.openxmlformats.org/officeDocument/2006/relationships/hyperlink" Target="https://africanmarketingconfederation.org/wp-admin/post.php?post=6816&amp;action=edit" TargetMode="External"/><Relationship Id="rId1010" Type="http://schemas.openxmlformats.org/officeDocument/2006/relationships/hyperlink" Target="https://africanmarketingconfederation.org/amc-marketing-conference-2024/speakers-2024" TargetMode="External"/><Relationship Id="rId1094" Type="http://schemas.openxmlformats.org/officeDocument/2006/relationships/hyperlink" Target="https://africanmarketingconfederation.org/wp-admin/post.php?post=7916&amp;action=edit" TargetMode="External"/><Relationship Id="rId1108" Type="http://schemas.openxmlformats.org/officeDocument/2006/relationships/hyperlink" Target="https://africanmarketingconfederation.org/wp-admin/post.php?post=84&amp;action=edit" TargetMode="External"/><Relationship Id="rId1315" Type="http://schemas.openxmlformats.org/officeDocument/2006/relationships/hyperlink" Target="https://africanmarketingconfederation.org/african-marketing-confederation-tourism-chapter" TargetMode="External"/><Relationship Id="rId117" Type="http://schemas.openxmlformats.org/officeDocument/2006/relationships/hyperlink" Target="https://africanmarketingconfederation.org/contact-us" TargetMode="External"/><Relationship Id="rId671" Type="http://schemas.openxmlformats.org/officeDocument/2006/relationships/hyperlink" Target="https://africanmarketingconfederation.org/amc-conference-2026-zambia-thank-you" TargetMode="External"/><Relationship Id="rId769" Type="http://schemas.openxmlformats.org/officeDocument/2006/relationships/hyperlink" Target="https://africanmarketingconfederation.org/speakers-2025" TargetMode="External"/><Relationship Id="rId976" Type="http://schemas.openxmlformats.org/officeDocument/2006/relationships/hyperlink" Target="https://africanmarketingconfederation.org/wp-admin/post.php?post=30257&amp;action=edit" TargetMode="External"/><Relationship Id="rId1399" Type="http://schemas.openxmlformats.org/officeDocument/2006/relationships/hyperlink" Target="https://africanmarketingconfederation.org/amc-sponsors-2025" TargetMode="External"/><Relationship Id="rId324" Type="http://schemas.openxmlformats.org/officeDocument/2006/relationships/hyperlink" Target="https://africanmarketingconfederation.org/wp-admin/post.php?post=21962&amp;action=edit" TargetMode="External"/><Relationship Id="rId531" Type="http://schemas.openxmlformats.org/officeDocument/2006/relationships/hyperlink" Target="https://africanmarketingconfederation.org/elementor-16548" TargetMode="External"/><Relationship Id="rId629" Type="http://schemas.openxmlformats.org/officeDocument/2006/relationships/hyperlink" Target="https://africanmarketingconfederation.org/african-marketing-confederation-tourism-chapter" TargetMode="External"/><Relationship Id="rId1161" Type="http://schemas.openxmlformats.org/officeDocument/2006/relationships/hyperlink" Target="https://africanmarketingconfederation.org/amc-conference-2026-awards-nominations-thank-you" TargetMode="External"/><Relationship Id="rId1259" Type="http://schemas.openxmlformats.org/officeDocument/2006/relationships/hyperlink" Target="https://africanmarketingconfederation.org/elementor-16548" TargetMode="External"/><Relationship Id="rId1466" Type="http://schemas.openxmlformats.org/officeDocument/2006/relationships/hyperlink" Target="https://africanmarketingconfederation.org/wp-admin/post.php?post=17195&amp;action=edit" TargetMode="External"/><Relationship Id="rId836" Type="http://schemas.openxmlformats.org/officeDocument/2006/relationships/hyperlink" Target="https://africanmarketingconfederation.org/wp-admin/post.php?post=22778&amp;action=edit" TargetMode="External"/><Relationship Id="rId1021" Type="http://schemas.openxmlformats.org/officeDocument/2006/relationships/hyperlink" Target="https://africanmarketingconfederation.org/amc-sign-up-now-form-2025" TargetMode="External"/><Relationship Id="rId1119" Type="http://schemas.openxmlformats.org/officeDocument/2006/relationships/hyperlink" Target="https://africanmarketingconfederation.org/amc-conference-2022-prospectus" TargetMode="External"/><Relationship Id="rId903" Type="http://schemas.openxmlformats.org/officeDocument/2006/relationships/hyperlink" Target="https://africanmarketingconfederation.org/launch-event-2026-amc-conference" TargetMode="External"/><Relationship Id="rId1326" Type="http://schemas.openxmlformats.org/officeDocument/2006/relationships/hyperlink" Target="https://africanmarketingconfederation.org/wp-admin/post.php?post=12371&amp;action=edit" TargetMode="External"/><Relationship Id="rId1533" Type="http://schemas.openxmlformats.org/officeDocument/2006/relationships/hyperlink" Target="https://africanmarketingconfederation.org/thank-you-for-the-nomination-2024" TargetMode="External"/><Relationship Id="rId32" Type="http://schemas.openxmlformats.org/officeDocument/2006/relationships/hyperlink" Target="https://africanmarketingconfederation.org/wp-admin/post.php?post=13549&amp;action=edit" TargetMode="External"/><Relationship Id="rId181" Type="http://schemas.openxmlformats.org/officeDocument/2006/relationships/hyperlink" Target="https://africanmarketingconfederation.org/about-us" TargetMode="External"/><Relationship Id="rId279" Type="http://schemas.openxmlformats.org/officeDocument/2006/relationships/hyperlink" Target="https://africanmarketingconfederation.org/chartered-marketer-africa" TargetMode="External"/><Relationship Id="rId486" Type="http://schemas.openxmlformats.org/officeDocument/2006/relationships/hyperlink" Target="https://africanmarketingconfederation.org/wp-admin/post.php?post=28742&amp;action=edit" TargetMode="External"/><Relationship Id="rId693" Type="http://schemas.openxmlformats.org/officeDocument/2006/relationships/hyperlink" Target="https://africanmarketingconfederation.org/wp-admin/post.php?post=24882&amp;action=edit" TargetMode="External"/><Relationship Id="rId139" Type="http://schemas.openxmlformats.org/officeDocument/2006/relationships/hyperlink" Target="https://africanmarketingconfederation.org/privacy-policy" TargetMode="External"/><Relationship Id="rId346" Type="http://schemas.openxmlformats.org/officeDocument/2006/relationships/hyperlink" Target="https://africanmarketingconfederation.org/wp-admin/post.php?post=5290&amp;action=edit" TargetMode="External"/><Relationship Id="rId553" Type="http://schemas.openxmlformats.org/officeDocument/2006/relationships/hyperlink" Target="https://africanmarketingconfederation.org/news-articles" TargetMode="External"/><Relationship Id="rId760" Type="http://schemas.openxmlformats.org/officeDocument/2006/relationships/hyperlink" Target="https://africanmarketingconfederation.org/wp-admin/post.php?post=2196&amp;action=edit" TargetMode="External"/><Relationship Id="rId998" Type="http://schemas.openxmlformats.org/officeDocument/2006/relationships/hyperlink" Target="https://africanmarketingconfederation.org/amc-marketing-conference-2024/amc-launch-event-2025" TargetMode="External"/><Relationship Id="rId1183" Type="http://schemas.openxmlformats.org/officeDocument/2006/relationships/hyperlink" Target="https://africanmarketingconfederation.org/wp-admin/post.php?post=21958&amp;action=edit" TargetMode="External"/><Relationship Id="rId1390" Type="http://schemas.openxmlformats.org/officeDocument/2006/relationships/hyperlink" Target="https://africanmarketingconfederation.org/wp-admin/post.php?post=6553&amp;action=edit" TargetMode="External"/><Relationship Id="rId206" Type="http://schemas.openxmlformats.org/officeDocument/2006/relationships/hyperlink" Target="https://africanmarketingconfederation.org/wp-admin/post.php?post=13549&amp;action=edit" TargetMode="External"/><Relationship Id="rId413" Type="http://schemas.openxmlformats.org/officeDocument/2006/relationships/hyperlink" Target="https://africanmarketingconfederation.org/amc-conference-2025-highlights" TargetMode="External"/><Relationship Id="rId858" Type="http://schemas.openxmlformats.org/officeDocument/2006/relationships/hyperlink" Target="https://africanmarketingconfederation.org/amc-marketing-conference-2024/awards-2025" TargetMode="External"/><Relationship Id="rId1043" Type="http://schemas.openxmlformats.org/officeDocument/2006/relationships/hyperlink" Target="https://africanmarketingconfederation.org/checkout" TargetMode="External"/><Relationship Id="rId1488" Type="http://schemas.openxmlformats.org/officeDocument/2006/relationships/hyperlink" Target="https://africanmarketingconfederation.org/wp-admin/post.php?post=4941&amp;action=edit" TargetMode="External"/><Relationship Id="rId620" Type="http://schemas.openxmlformats.org/officeDocument/2006/relationships/hyperlink" Target="https://africanmarketingconfederation.org/wp-admin/post.php?post=4909&amp;action=edit" TargetMode="External"/><Relationship Id="rId718" Type="http://schemas.openxmlformats.org/officeDocument/2006/relationships/hyperlink" Target="https://africanmarketingconfederation.org/wp-admin/post.php?post=34622&amp;action=edit" TargetMode="External"/><Relationship Id="rId925" Type="http://schemas.openxmlformats.org/officeDocument/2006/relationships/hyperlink" Target="https://africanmarketingconfederation.org/thank-you-for-subscribing" TargetMode="External"/><Relationship Id="rId1250" Type="http://schemas.openxmlformats.org/officeDocument/2006/relationships/hyperlink" Target="https://africanmarketingconfederation.org/wp-admin/post.php?post=92&amp;action=edit" TargetMode="External"/><Relationship Id="rId1348" Type="http://schemas.openxmlformats.org/officeDocument/2006/relationships/hyperlink" Target="https://africanmarketingconfederation.org/wp-admin/post.php?post=18318&amp;action=edit" TargetMode="External"/><Relationship Id="rId1110" Type="http://schemas.openxmlformats.org/officeDocument/2006/relationships/hyperlink" Target="https://africanmarketingconfederation.org/wp-admin/post.php?post=28165&amp;action=edit" TargetMode="External"/><Relationship Id="rId1208" Type="http://schemas.openxmlformats.org/officeDocument/2006/relationships/hyperlink" Target="https://africanmarketingconfederation.org/wp-admin/post.php?post=6553&amp;action=edit" TargetMode="External"/><Relationship Id="rId1415" Type="http://schemas.openxmlformats.org/officeDocument/2006/relationships/hyperlink" Target="https://africanmarketingconfederation.org/chartered-marketer-africa-programme-fee" TargetMode="External"/><Relationship Id="rId54" Type="http://schemas.openxmlformats.org/officeDocument/2006/relationships/hyperlink" Target="https://africanmarketingconfederation.org/wp-admin/post.php?post=5057&amp;action=edit" TargetMode="External"/><Relationship Id="rId270" Type="http://schemas.openxmlformats.org/officeDocument/2006/relationships/hyperlink" Target="https://africanmarketingconfederation.org/wp-admin/post.php?post=22679&amp;action=edit" TargetMode="External"/><Relationship Id="rId130" Type="http://schemas.openxmlformats.org/officeDocument/2006/relationships/hyperlink" Target="https://africanmarketingconfederation.org/wp-admin/post.php?post=31820&amp;action=edit" TargetMode="External"/><Relationship Id="rId368" Type="http://schemas.openxmlformats.org/officeDocument/2006/relationships/hyperlink" Target="https://africanmarketingconfederation.org/wp-admin/post.php?post=5619&amp;action=edit" TargetMode="External"/><Relationship Id="rId575" Type="http://schemas.openxmlformats.org/officeDocument/2006/relationships/hyperlink" Target="https://africanmarketingconfederation.org/sub-committees" TargetMode="External"/><Relationship Id="rId782" Type="http://schemas.openxmlformats.org/officeDocument/2006/relationships/hyperlink" Target="https://africanmarketingconfederation.org/wp-admin/post.php?post=21591&amp;action=edit" TargetMode="External"/><Relationship Id="rId228" Type="http://schemas.openxmlformats.org/officeDocument/2006/relationships/hyperlink" Target="https://africanmarketingconfederation.org/wp-admin/post.php?post=5057&amp;action=edit" TargetMode="External"/><Relationship Id="rId435" Type="http://schemas.openxmlformats.org/officeDocument/2006/relationships/hyperlink" Target="https://africanmarketingconfederation.org/wp-admin/post.php?post=21984&amp;action=edit" TargetMode="External"/><Relationship Id="rId642" Type="http://schemas.openxmlformats.org/officeDocument/2006/relationships/hyperlink" Target="https://africanmarketingconfederation.org/wp-admin/post.php?post=12954&amp;action=edit" TargetMode="External"/><Relationship Id="rId1065" Type="http://schemas.openxmlformats.org/officeDocument/2006/relationships/hyperlink" Target="https://africanmarketingconfederation.org/launch-event-2026-amc-conference" TargetMode="External"/><Relationship Id="rId1272" Type="http://schemas.openxmlformats.org/officeDocument/2006/relationships/hyperlink" Target="https://africanmarketingconfederation.org/wp-admin/post.php?post=2196&amp;action=edit" TargetMode="External"/><Relationship Id="rId502" Type="http://schemas.openxmlformats.org/officeDocument/2006/relationships/hyperlink" Target="https://africanmarketingconfederation.org/wp-admin/post.php?post=17908&amp;action=edit" TargetMode="External"/><Relationship Id="rId947" Type="http://schemas.openxmlformats.org/officeDocument/2006/relationships/hyperlink" Target="https://africanmarketingconfederation.org/amc-conference-2022-thank-you" TargetMode="External"/><Relationship Id="rId1132" Type="http://schemas.openxmlformats.org/officeDocument/2006/relationships/hyperlink" Target="https://africanmarketingconfederation.org/wp-admin/post.php?post=12407&amp;action=edit" TargetMode="External"/><Relationship Id="rId76" Type="http://schemas.openxmlformats.org/officeDocument/2006/relationships/hyperlink" Target="https://africanmarketingconfederation.org/wp-admin/post.php?post=29496&amp;action=edit" TargetMode="External"/><Relationship Id="rId807" Type="http://schemas.openxmlformats.org/officeDocument/2006/relationships/hyperlink" Target="https://africanmarketingconfederation.org/amc-conference-2023" TargetMode="External"/><Relationship Id="rId1437" Type="http://schemas.openxmlformats.org/officeDocument/2006/relationships/hyperlink" Target="https://africanmarketingconfederation.org/elementor-31820" TargetMode="External"/><Relationship Id="rId1504" Type="http://schemas.openxmlformats.org/officeDocument/2006/relationships/hyperlink" Target="https://africanmarketingconfederation.org/wp-admin/post.php?post=22595&amp;action=edit" TargetMode="External"/><Relationship Id="rId292" Type="http://schemas.openxmlformats.org/officeDocument/2006/relationships/hyperlink" Target="https://africanmarketingconfederation.org/wp-admin/post.php?post=16472&amp;action=edit" TargetMode="External"/><Relationship Id="rId597" Type="http://schemas.openxmlformats.org/officeDocument/2006/relationships/hyperlink" Target="https://africanmarketingconfederation.org/thank-you-for-registering-2024-registrations-kenya" TargetMode="External"/><Relationship Id="rId152" Type="http://schemas.openxmlformats.org/officeDocument/2006/relationships/hyperlink" Target="https://africanmarketingconfederation.org/wp-admin/post.php?post=7781&amp;action=edit" TargetMode="External"/><Relationship Id="rId457" Type="http://schemas.openxmlformats.org/officeDocument/2006/relationships/hyperlink" Target="https://africanmarketingconfederation.org/amc-masterclass" TargetMode="External"/><Relationship Id="rId1087" Type="http://schemas.openxmlformats.org/officeDocument/2006/relationships/hyperlink" Target="https://africanmarketingconfederation.org/test-payment-gate" TargetMode="External"/><Relationship Id="rId1294" Type="http://schemas.openxmlformats.org/officeDocument/2006/relationships/hyperlink" Target="https://africanmarketingconfederation.org/wp-admin/post.php?post=27352&amp;action=edit" TargetMode="External"/><Relationship Id="rId664" Type="http://schemas.openxmlformats.org/officeDocument/2006/relationships/hyperlink" Target="https://africanmarketingconfederation.org/wp-admin/post.php?post=23710&amp;action=edit" TargetMode="External"/><Relationship Id="rId871" Type="http://schemas.openxmlformats.org/officeDocument/2006/relationships/hyperlink" Target="https://africanmarketingconfederation.org/amc-sign-up-now-form-2025" TargetMode="External"/><Relationship Id="rId969" Type="http://schemas.openxmlformats.org/officeDocument/2006/relationships/hyperlink" Target="https://africanmarketingconfederation.org/amc-conference-2024-recap" TargetMode="External"/><Relationship Id="rId317" Type="http://schemas.openxmlformats.org/officeDocument/2006/relationships/hyperlink" Target="https://africanmarketingconfederation.org/publication-download-list" TargetMode="External"/><Relationship Id="rId524" Type="http://schemas.openxmlformats.org/officeDocument/2006/relationships/hyperlink" Target="https://africanmarketingconfederation.org/wp-admin/post.php?post=88&amp;action=edit" TargetMode="External"/><Relationship Id="rId731" Type="http://schemas.openxmlformats.org/officeDocument/2006/relationships/hyperlink" Target="https://africanmarketingconfederation.org/chartered-marketer-africa-thank-you" TargetMode="External"/><Relationship Id="rId1154" Type="http://schemas.openxmlformats.org/officeDocument/2006/relationships/hyperlink" Target="https://africanmarketingconfederation.org/wp-admin/post.php?post=23710&amp;action=edit" TargetMode="External"/><Relationship Id="rId1361" Type="http://schemas.openxmlformats.org/officeDocument/2006/relationships/hyperlink" Target="https://africanmarketingconfederation.org/amc-conference-sponsors" TargetMode="External"/><Relationship Id="rId1459" Type="http://schemas.openxmlformats.org/officeDocument/2006/relationships/hyperlink" Target="https://africanmarketingconfederation.org/subscribe" TargetMode="External"/><Relationship Id="rId98" Type="http://schemas.openxmlformats.org/officeDocument/2006/relationships/hyperlink" Target="https://africanmarketingconfederation.org/wp-admin/post.php?post=32554&amp;action=edit" TargetMode="External"/><Relationship Id="rId829" Type="http://schemas.openxmlformats.org/officeDocument/2006/relationships/hyperlink" Target="https://africanmarketingconfederation.org/amc-conference-2025-highlights" TargetMode="External"/><Relationship Id="rId1014" Type="http://schemas.openxmlformats.org/officeDocument/2006/relationships/hyperlink" Target="https://africanmarketingconfederation.org/wp-admin/post.php?post=6553&amp;action=edit" TargetMode="External"/><Relationship Id="rId1221" Type="http://schemas.openxmlformats.org/officeDocument/2006/relationships/hyperlink" Target="https://africanmarketingconfederation.org/awards-2026" TargetMode="External"/><Relationship Id="rId1319" Type="http://schemas.openxmlformats.org/officeDocument/2006/relationships/hyperlink" Target="https://africanmarketingconfederation.org/amc-conference-2022" TargetMode="External"/><Relationship Id="rId1526" Type="http://schemas.openxmlformats.org/officeDocument/2006/relationships/hyperlink" Target="https://africanmarketingconfederation.org/wp-admin/post.php?post=33050&amp;action=edit" TargetMode="External"/><Relationship Id="rId25" Type="http://schemas.openxmlformats.org/officeDocument/2006/relationships/hyperlink" Target="https://africanmarketingconfederation.org/amc-conference-2023/book-now" TargetMode="External"/><Relationship Id="rId174" Type="http://schemas.openxmlformats.org/officeDocument/2006/relationships/hyperlink" Target="https://africanmarketingconfederation.org/amc-marketing-conference-2024/speakers-2024" TargetMode="External"/><Relationship Id="rId381" Type="http://schemas.openxmlformats.org/officeDocument/2006/relationships/hyperlink" Target="https://africanmarketingconfederation.org/amc-conference-2023/amc-awards-book-now" TargetMode="External"/><Relationship Id="rId241" Type="http://schemas.openxmlformats.org/officeDocument/2006/relationships/hyperlink" Target="https://africanmarketingconfederation.org/wp-admin/post.php?post=25857&amp;action=edit" TargetMode="External"/><Relationship Id="rId479" Type="http://schemas.openxmlformats.org/officeDocument/2006/relationships/hyperlink" Target="https://africanmarketingconfederation.org/awards-2026" TargetMode="External"/><Relationship Id="rId686" Type="http://schemas.openxmlformats.org/officeDocument/2006/relationships/hyperlink" Target="https://africanmarketingconfederation.org/amc-marketing-conference-2024/amc-conference-2025-ghana-sponsors" TargetMode="External"/><Relationship Id="rId893" Type="http://schemas.openxmlformats.org/officeDocument/2006/relationships/hyperlink" Target="https://africanmarketingconfederation.org/download-brochure" TargetMode="External"/><Relationship Id="rId339" Type="http://schemas.openxmlformats.org/officeDocument/2006/relationships/hyperlink" Target="https://africanmarketingconfederation.org/thank-you-for-the-nomination-2024" TargetMode="External"/><Relationship Id="rId546" Type="http://schemas.openxmlformats.org/officeDocument/2006/relationships/hyperlink" Target="https://africanmarketingconfederation.org/wp-admin/post.php?post=5597&amp;action=edit" TargetMode="External"/><Relationship Id="rId753" Type="http://schemas.openxmlformats.org/officeDocument/2006/relationships/hyperlink" Target="https://africanmarketingconfederation.org/general-enquiry-form-thank-you" TargetMode="External"/><Relationship Id="rId1176" Type="http://schemas.openxmlformats.org/officeDocument/2006/relationships/hyperlink" Target="https://africanmarketingconfederation.org/amc-forum-payments" TargetMode="External"/><Relationship Id="rId1383" Type="http://schemas.openxmlformats.org/officeDocument/2006/relationships/hyperlink" Target="https://africanmarketingconfederation.org/wp-admin/post.php?post=29496&amp;action=edit" TargetMode="External"/><Relationship Id="rId101" Type="http://schemas.openxmlformats.org/officeDocument/2006/relationships/hyperlink" Target="https://africanmarketingconfederation.org/certified-professional-marketer-africa" TargetMode="External"/><Relationship Id="rId406" Type="http://schemas.openxmlformats.org/officeDocument/2006/relationships/hyperlink" Target="https://africanmarketingconfederation.org/wp-admin/post.php?post=13179&amp;action=edit" TargetMode="External"/><Relationship Id="rId960" Type="http://schemas.openxmlformats.org/officeDocument/2006/relationships/hyperlink" Target="https://africanmarketingconfederation.org/wp-admin/post.php?post=13098&amp;action=edit" TargetMode="External"/><Relationship Id="rId1036" Type="http://schemas.openxmlformats.org/officeDocument/2006/relationships/hyperlink" Target="https://africanmarketingconfederation.org/wp-admin/post.php?post=9075&amp;action=edit" TargetMode="External"/><Relationship Id="rId1243" Type="http://schemas.openxmlformats.org/officeDocument/2006/relationships/hyperlink" Target="https://africanmarketingconfederation.org/checkout" TargetMode="External"/><Relationship Id="rId613" Type="http://schemas.openxmlformats.org/officeDocument/2006/relationships/hyperlink" Target="https://africanmarketingconfederation.org/thank-you-for-the-submission-2024" TargetMode="External"/><Relationship Id="rId820" Type="http://schemas.openxmlformats.org/officeDocument/2006/relationships/hyperlink" Target="https://africanmarketingconfederation.org/wp-admin/post.php?post=13282&amp;action=edit" TargetMode="External"/><Relationship Id="rId918" Type="http://schemas.openxmlformats.org/officeDocument/2006/relationships/hyperlink" Target="https://africanmarketingconfederation.org/wp-admin/post.php?post=5490&amp;action=edit" TargetMode="External"/><Relationship Id="rId1450" Type="http://schemas.openxmlformats.org/officeDocument/2006/relationships/hyperlink" Target="https://africanmarketingconfederation.org/wp-admin/post.php?post=9047&amp;action=edit" TargetMode="External"/><Relationship Id="rId1103" Type="http://schemas.openxmlformats.org/officeDocument/2006/relationships/hyperlink" Target="https://africanmarketingconfederation.org/" TargetMode="External"/><Relationship Id="rId1310" Type="http://schemas.openxmlformats.org/officeDocument/2006/relationships/hyperlink" Target="https://africanmarketingconfederation.org/wp-admin/post.php?post=5290&amp;action=edit" TargetMode="External"/><Relationship Id="rId1408" Type="http://schemas.openxmlformats.org/officeDocument/2006/relationships/hyperlink" Target="https://africanmarketingconfederation.org/wp-admin/post.php?post=34552&amp;action=edit" TargetMode="External"/><Relationship Id="rId47" Type="http://schemas.openxmlformats.org/officeDocument/2006/relationships/hyperlink" Target="https://africanmarketingconfederation.org/amc-conference-2026" TargetMode="External"/><Relationship Id="rId196" Type="http://schemas.openxmlformats.org/officeDocument/2006/relationships/hyperlink" Target="https://africanmarketingconfederation.org/wp-admin/post.php?post=12954&amp;action=edit" TargetMode="External"/><Relationship Id="rId263" Type="http://schemas.openxmlformats.org/officeDocument/2006/relationships/hyperlink" Target="https://africanmarketingconfederation.org/amc-relaunch-programme" TargetMode="External"/><Relationship Id="rId470" Type="http://schemas.openxmlformats.org/officeDocument/2006/relationships/hyperlink" Target="https://africanmarketingconfederation.org/wp-admin/post.php?post=6822&amp;action=edit" TargetMode="External"/><Relationship Id="rId123" Type="http://schemas.openxmlformats.org/officeDocument/2006/relationships/hyperlink" Target="https://africanmarketingconfederation.org/education" TargetMode="External"/><Relationship Id="rId330" Type="http://schemas.openxmlformats.org/officeDocument/2006/relationships/hyperlink" Target="https://africanmarketingconfederation.org/wp-admin/post.php?post=5490&amp;action=edit" TargetMode="External"/><Relationship Id="rId568" Type="http://schemas.openxmlformats.org/officeDocument/2006/relationships/hyperlink" Target="https://africanmarketingconfederation.org/wp-admin/post.php?post=3252&amp;action=edit" TargetMode="External"/><Relationship Id="rId775" Type="http://schemas.openxmlformats.org/officeDocument/2006/relationships/hyperlink" Target="https://africanmarketingconfederation.org/test-homeslider" TargetMode="External"/><Relationship Id="rId982" Type="http://schemas.openxmlformats.org/officeDocument/2006/relationships/hyperlink" Target="https://africanmarketingconfederation.org/wp-admin/post.php?post=22778&amp;action=edit" TargetMode="External"/><Relationship Id="rId1198" Type="http://schemas.openxmlformats.org/officeDocument/2006/relationships/hyperlink" Target="https://africanmarketingconfederation.org/amc-marketing-conference-2024/awards-2025" TargetMode="External"/><Relationship Id="rId428" Type="http://schemas.openxmlformats.org/officeDocument/2006/relationships/hyperlink" Target="https://africanmarketingconfederation.org/wp-admin/post.php?post=5057&amp;action=edit" TargetMode="External"/><Relationship Id="rId635" Type="http://schemas.openxmlformats.org/officeDocument/2006/relationships/hyperlink" Target="https://africanmarketingconfederation.org/amc-conference-2022-prospectus" TargetMode="External"/><Relationship Id="rId842" Type="http://schemas.openxmlformats.org/officeDocument/2006/relationships/hyperlink" Target="https://africanmarketingconfederation.org/amc-forum-mombasa" TargetMode="External"/><Relationship Id="rId1058" Type="http://schemas.openxmlformats.org/officeDocument/2006/relationships/hyperlink" Target="https://africanmarketingconfederation.org/wp-admin/post.php?post=16548&amp;action=edit" TargetMode="External"/><Relationship Id="rId1265" Type="http://schemas.openxmlformats.org/officeDocument/2006/relationships/hyperlink" Target="https://africanmarketingconfederation.org/general-enquiry-form-thank-you" TargetMode="External"/><Relationship Id="rId1472" Type="http://schemas.openxmlformats.org/officeDocument/2006/relationships/hyperlink" Target="https://africanmarketingconfederation.org/wp-admin/post.php?post=17000&amp;action=edit" TargetMode="External"/><Relationship Id="rId702" Type="http://schemas.openxmlformats.org/officeDocument/2006/relationships/hyperlink" Target="https://africanmarketingconfederation.org/wp-admin/post.php?post=23021&amp;action=edit" TargetMode="External"/><Relationship Id="rId1125" Type="http://schemas.openxmlformats.org/officeDocument/2006/relationships/hyperlink" Target="https://africanmarketingconfederation.org/amc-conference-2023/amc-awards" TargetMode="External"/><Relationship Id="rId1332" Type="http://schemas.openxmlformats.org/officeDocument/2006/relationships/hyperlink" Target="https://africanmarketingconfederation.org/wp-admin/post.php?post=12407&amp;action=edit" TargetMode="External"/><Relationship Id="rId69" Type="http://schemas.openxmlformats.org/officeDocument/2006/relationships/hyperlink" Target="https://africanmarketingconfederation.org/amc-marketing-conference-2024/amc-preregister-2025" TargetMode="External"/><Relationship Id="rId285" Type="http://schemas.openxmlformats.org/officeDocument/2006/relationships/hyperlink" Target="https://africanmarketingconfederation.org/chartered-marketer-africa-thank-you" TargetMode="External"/><Relationship Id="rId492" Type="http://schemas.openxmlformats.org/officeDocument/2006/relationships/hyperlink" Target="https://africanmarketingconfederation.org/wp-admin/post.php?post=20001&amp;action=edit" TargetMode="External"/><Relationship Id="rId797" Type="http://schemas.openxmlformats.org/officeDocument/2006/relationships/hyperlink" Target="https://africanmarketingconfederation.org/african-marketing-confederation-tourism-chapter" TargetMode="External"/><Relationship Id="rId145" Type="http://schemas.openxmlformats.org/officeDocument/2006/relationships/hyperlink" Target="https://africanmarketingconfederation.org/speakers" TargetMode="External"/><Relationship Id="rId352" Type="http://schemas.openxmlformats.org/officeDocument/2006/relationships/hyperlink" Target="https://africanmarketingconfederation.org/wp-admin/post.php?post=84&amp;action=edit" TargetMode="External"/><Relationship Id="rId1287" Type="http://schemas.openxmlformats.org/officeDocument/2006/relationships/hyperlink" Target="https://africanmarketingconfederation.org/sub-committees" TargetMode="External"/><Relationship Id="rId212" Type="http://schemas.openxmlformats.org/officeDocument/2006/relationships/hyperlink" Target="https://africanmarketingconfederation.org/wp-admin/post.php?post=13179&amp;action=edit" TargetMode="External"/><Relationship Id="rId657" Type="http://schemas.openxmlformats.org/officeDocument/2006/relationships/hyperlink" Target="https://africanmarketingconfederation.org/amc-conference-2023/speakers" TargetMode="External"/><Relationship Id="rId864" Type="http://schemas.openxmlformats.org/officeDocument/2006/relationships/hyperlink" Target="https://africanmarketingconfederation.org/wp-admin/post.php?post=23021&amp;action=edit" TargetMode="External"/><Relationship Id="rId1494" Type="http://schemas.openxmlformats.org/officeDocument/2006/relationships/hyperlink" Target="https://africanmarketingconfederation.org/wp-admin/post.php?post=33280&amp;action=edit" TargetMode="External"/><Relationship Id="rId517" Type="http://schemas.openxmlformats.org/officeDocument/2006/relationships/hyperlink" Target="https://africanmarketingconfederation.org/download-prospectus-2024" TargetMode="External"/><Relationship Id="rId724" Type="http://schemas.openxmlformats.org/officeDocument/2006/relationships/hyperlink" Target="https://africanmarketingconfederation.org/wp-admin/post.php?post=28742&amp;action=edit" TargetMode="External"/><Relationship Id="rId931" Type="http://schemas.openxmlformats.org/officeDocument/2006/relationships/hyperlink" Target="https://africanmarketingconfederation.org/upcoming-events" TargetMode="External"/><Relationship Id="rId1147" Type="http://schemas.openxmlformats.org/officeDocument/2006/relationships/hyperlink" Target="https://africanmarketingconfederation.org/amc-conference-2024-recap" TargetMode="External"/><Relationship Id="rId1354" Type="http://schemas.openxmlformats.org/officeDocument/2006/relationships/hyperlink" Target="https://africanmarketingconfederation.org/wp-admin/post.php?post=31478&amp;action=edit" TargetMode="External"/><Relationship Id="rId60" Type="http://schemas.openxmlformats.org/officeDocument/2006/relationships/hyperlink" Target="https://africanmarketingconfederation.org/wp-admin/post.php?post=21984&amp;action=edit" TargetMode="External"/><Relationship Id="rId1007" Type="http://schemas.openxmlformats.org/officeDocument/2006/relationships/hyperlink" Target="https://africanmarketingconfederation.org/wp-admin/post.php?post=29496&amp;action=edit" TargetMode="External"/><Relationship Id="rId1214" Type="http://schemas.openxmlformats.org/officeDocument/2006/relationships/hyperlink" Target="https://africanmarketingconfederation.org/wp-admin/post.php?post=4492&amp;action=edit" TargetMode="External"/><Relationship Id="rId1421" Type="http://schemas.openxmlformats.org/officeDocument/2006/relationships/hyperlink" Target="https://africanmarketingconfederation.org/conference-faq-2025" TargetMode="External"/><Relationship Id="rId1519" Type="http://schemas.openxmlformats.org/officeDocument/2006/relationships/hyperlink" Target="https://africanmarketingconfederation.org/conference-faq-2025" TargetMode="External"/><Relationship Id="rId18" Type="http://schemas.openxmlformats.org/officeDocument/2006/relationships/hyperlink" Target="https://africanmarketingconfederation.org/wp-admin/post.php?post=4941&amp;action=edit" TargetMode="External"/><Relationship Id="rId167" Type="http://schemas.openxmlformats.org/officeDocument/2006/relationships/hyperlink" Target="https://africanmarketingconfederation.org/upcoming-events" TargetMode="External"/><Relationship Id="rId374" Type="http://schemas.openxmlformats.org/officeDocument/2006/relationships/hyperlink" Target="https://africanmarketingconfederation.org/wp-admin/post.php?post=12371&amp;action=edit" TargetMode="External"/><Relationship Id="rId581" Type="http://schemas.openxmlformats.org/officeDocument/2006/relationships/hyperlink" Target="https://africanmarketingconfederation.org/test-homeslider" TargetMode="External"/><Relationship Id="rId234" Type="http://schemas.openxmlformats.org/officeDocument/2006/relationships/hyperlink" Target="https://africanmarketingconfederation.org/amc-forum-payments" TargetMode="External"/><Relationship Id="rId679" Type="http://schemas.openxmlformats.org/officeDocument/2006/relationships/hyperlink" Target="https://africanmarketingconfederation.org/wp-admin/post.php?post=21958&amp;action=edit" TargetMode="External"/><Relationship Id="rId886" Type="http://schemas.openxmlformats.org/officeDocument/2006/relationships/hyperlink" Target="https://africanmarketingconfederation.org/wp-admin/post.php?post=10823&amp;action=edit" TargetMode="External"/><Relationship Id="rId2" Type="http://schemas.openxmlformats.org/officeDocument/2006/relationships/hyperlink" Target="https://africanmarketingconfederation.org/wp-admin/post.php?post=17908&amp;action=edit" TargetMode="External"/><Relationship Id="rId441" Type="http://schemas.openxmlformats.org/officeDocument/2006/relationships/hyperlink" Target="https://africanmarketingconfederation.org/wp-admin/post.php?post=25857&amp;action=edit" TargetMode="External"/><Relationship Id="rId539" Type="http://schemas.openxmlformats.org/officeDocument/2006/relationships/hyperlink" Target="https://africanmarketingconfederation.org/elementor-31820" TargetMode="External"/><Relationship Id="rId746" Type="http://schemas.openxmlformats.org/officeDocument/2006/relationships/hyperlink" Target="https://africanmarketingconfederation.org/wp-admin/post.php?post=88&amp;action=edit" TargetMode="External"/><Relationship Id="rId1071" Type="http://schemas.openxmlformats.org/officeDocument/2006/relationships/hyperlink" Target="https://africanmarketingconfederation.org/privacy-policy" TargetMode="External"/><Relationship Id="rId1169" Type="http://schemas.openxmlformats.org/officeDocument/2006/relationships/hyperlink" Target="https://africanmarketingconfederation.org/amc-conference-programme" TargetMode="External"/><Relationship Id="rId1376" Type="http://schemas.openxmlformats.org/officeDocument/2006/relationships/hyperlink" Target="https://africanmarketingconfederation.org/amc-marketing-conference-2024/amc-preregister-2025" TargetMode="External"/><Relationship Id="rId301" Type="http://schemas.openxmlformats.org/officeDocument/2006/relationships/hyperlink" Target="https://africanmarketingconfederation.org/elementor-16548" TargetMode="External"/><Relationship Id="rId953" Type="http://schemas.openxmlformats.org/officeDocument/2006/relationships/hyperlink" Target="https://africanmarketingconfederation.org/amc-conference-2023/amc-awards-book-now" TargetMode="External"/><Relationship Id="rId1029" Type="http://schemas.openxmlformats.org/officeDocument/2006/relationships/hyperlink" Target="https://africanmarketingconfederation.org/awards-2026-1" TargetMode="External"/><Relationship Id="rId1236" Type="http://schemas.openxmlformats.org/officeDocument/2006/relationships/hyperlink" Target="https://africanmarketingconfederation.org/wp-admin/post.php?post=9075&amp;action=edit" TargetMode="External"/><Relationship Id="rId82" Type="http://schemas.openxmlformats.org/officeDocument/2006/relationships/hyperlink" Target="https://africanmarketingconfederation.org/wp-admin/post.php?post=6553&amp;action=edit" TargetMode="External"/><Relationship Id="rId606" Type="http://schemas.openxmlformats.org/officeDocument/2006/relationships/hyperlink" Target="https://africanmarketingconfederation.org/wp-admin/post.php?post=17000&amp;action=edit" TargetMode="External"/><Relationship Id="rId813" Type="http://schemas.openxmlformats.org/officeDocument/2006/relationships/hyperlink" Target="https://africanmarketingconfederation.org/amc-conference-2023/book-now-thank-you" TargetMode="External"/><Relationship Id="rId1443" Type="http://schemas.openxmlformats.org/officeDocument/2006/relationships/hyperlink" Target="https://africanmarketingconfederation.org/members" TargetMode="External"/><Relationship Id="rId1303" Type="http://schemas.openxmlformats.org/officeDocument/2006/relationships/hyperlink" Target="https://africanmarketingconfederation.org/thank-you-for-the-nomination-2024" TargetMode="External"/><Relationship Id="rId1510" Type="http://schemas.openxmlformats.org/officeDocument/2006/relationships/hyperlink" Target="https://africanmarketingconfederation.org/wp-admin/post.php?post=9075&amp;action=edit" TargetMode="External"/><Relationship Id="rId189" Type="http://schemas.openxmlformats.org/officeDocument/2006/relationships/hyperlink" Target="https://africanmarketingconfederation.org/amc-conference-2022-prospectus" TargetMode="External"/><Relationship Id="rId396" Type="http://schemas.openxmlformats.org/officeDocument/2006/relationships/hyperlink" Target="https://africanmarketingconfederation.org/wp-admin/post.php?post=13549&amp;action=edit" TargetMode="External"/><Relationship Id="rId256" Type="http://schemas.openxmlformats.org/officeDocument/2006/relationships/hyperlink" Target="https://africanmarketingconfederation.org/wp-admin/post.php?post=23021&amp;action=edit" TargetMode="External"/><Relationship Id="rId463" Type="http://schemas.openxmlformats.org/officeDocument/2006/relationships/hyperlink" Target="https://africanmarketingconfederation.org/amc-masterclass-bookings" TargetMode="External"/><Relationship Id="rId670" Type="http://schemas.openxmlformats.org/officeDocument/2006/relationships/hyperlink" Target="https://africanmarketingconfederation.org/wp-admin/post.php?post=33280&amp;action=edit" TargetMode="External"/><Relationship Id="rId1093" Type="http://schemas.openxmlformats.org/officeDocument/2006/relationships/hyperlink" Target="https://africanmarketingconfederation.org/thank-you-for-subscribing" TargetMode="External"/><Relationship Id="rId116" Type="http://schemas.openxmlformats.org/officeDocument/2006/relationships/hyperlink" Target="https://africanmarketingconfederation.org/wp-admin/post.php?post=16472&amp;action=edit" TargetMode="External"/><Relationship Id="rId323" Type="http://schemas.openxmlformats.org/officeDocument/2006/relationships/hyperlink" Target="https://africanmarketingconfederation.org/speakers-2025" TargetMode="External"/><Relationship Id="rId530" Type="http://schemas.openxmlformats.org/officeDocument/2006/relationships/hyperlink" Target="https://africanmarketingconfederation.org/wp-admin/post.php?post=16548&amp;action=edit" TargetMode="External"/><Relationship Id="rId768" Type="http://schemas.openxmlformats.org/officeDocument/2006/relationships/hyperlink" Target="https://africanmarketingconfederation.org/wp-admin/post.php?post=3252&amp;action=edit" TargetMode="External"/><Relationship Id="rId975" Type="http://schemas.openxmlformats.org/officeDocument/2006/relationships/hyperlink" Target="https://africanmarketingconfederation.org/amc-conference-2025-highlights" TargetMode="External"/><Relationship Id="rId1160" Type="http://schemas.openxmlformats.org/officeDocument/2006/relationships/hyperlink" Target="https://africanmarketingconfederation.org/wp-admin/post.php?post=31478&amp;action=edit" TargetMode="External"/><Relationship Id="rId1398" Type="http://schemas.openxmlformats.org/officeDocument/2006/relationships/hyperlink" Target="https://africanmarketingconfederation.org/wp-admin/post.php?post=23001&amp;action=edit" TargetMode="External"/><Relationship Id="rId628" Type="http://schemas.openxmlformats.org/officeDocument/2006/relationships/hyperlink" Target="https://africanmarketingconfederation.org/wp-admin/post.php?post=84&amp;action=edit" TargetMode="External"/><Relationship Id="rId835" Type="http://schemas.openxmlformats.org/officeDocument/2006/relationships/hyperlink" Target="https://africanmarketingconfederation.org/amc-conference-2026-zambia-thank-you" TargetMode="External"/><Relationship Id="rId1258" Type="http://schemas.openxmlformats.org/officeDocument/2006/relationships/hyperlink" Target="https://africanmarketingconfederation.org/wp-admin/post.php?post=88&amp;action=edit" TargetMode="External"/><Relationship Id="rId1465" Type="http://schemas.openxmlformats.org/officeDocument/2006/relationships/hyperlink" Target="https://africanmarketingconfederation.org/thank-you-for-registering-2024-registrations" TargetMode="External"/><Relationship Id="rId1020" Type="http://schemas.openxmlformats.org/officeDocument/2006/relationships/hyperlink" Target="https://africanmarketingconfederation.org/wp-admin/post.php?post=4492&amp;action=edit" TargetMode="External"/><Relationship Id="rId1118" Type="http://schemas.openxmlformats.org/officeDocument/2006/relationships/hyperlink" Target="https://africanmarketingconfederation.org/wp-admin/post.php?post=4494&amp;action=edit" TargetMode="External"/><Relationship Id="rId1325" Type="http://schemas.openxmlformats.org/officeDocument/2006/relationships/hyperlink" Target="https://africanmarketingconfederation.org/amc-conference-2023" TargetMode="External"/><Relationship Id="rId1532" Type="http://schemas.openxmlformats.org/officeDocument/2006/relationships/hyperlink" Target="https://africanmarketingconfederation.org/wp-admin/post.php?post=21591&amp;action=edit" TargetMode="External"/><Relationship Id="rId902" Type="http://schemas.openxmlformats.org/officeDocument/2006/relationships/hyperlink" Target="https://africanmarketingconfederation.org/wp-admin/post.php?post=31820&amp;action=edit" TargetMode="External"/><Relationship Id="rId31" Type="http://schemas.openxmlformats.org/officeDocument/2006/relationships/hyperlink" Target="https://africanmarketingconfederation.org/amc-conference-2023/gallery" TargetMode="External"/><Relationship Id="rId180" Type="http://schemas.openxmlformats.org/officeDocument/2006/relationships/hyperlink" Target="https://africanmarketingconfederation.org/wp-admin/post.php?post=8&amp;action=edit" TargetMode="External"/><Relationship Id="rId278" Type="http://schemas.openxmlformats.org/officeDocument/2006/relationships/hyperlink" Target="https://africanmarketingconfederation.org/wp-admin/post.php?post=28742&amp;action=edit" TargetMode="External"/><Relationship Id="rId485" Type="http://schemas.openxmlformats.org/officeDocument/2006/relationships/hyperlink" Target="https://africanmarketingconfederation.org/certified-professional-marketer-africa" TargetMode="External"/><Relationship Id="rId692" Type="http://schemas.openxmlformats.org/officeDocument/2006/relationships/hyperlink" Target="https://africanmarketingconfederation.org/amc-marketing-conference-2024/amc-programme-2025" TargetMode="External"/><Relationship Id="rId138" Type="http://schemas.openxmlformats.org/officeDocument/2006/relationships/hyperlink" Target="https://africanmarketingconfederation.org/wp-admin/post.php?post=2196&amp;action=edit" TargetMode="External"/><Relationship Id="rId345" Type="http://schemas.openxmlformats.org/officeDocument/2006/relationships/hyperlink" Target="https://africanmarketingconfederation.org/virtual-programme" TargetMode="External"/><Relationship Id="rId552" Type="http://schemas.openxmlformats.org/officeDocument/2006/relationships/hyperlink" Target="https://africanmarketingconfederation.org/wp-admin/post.php?post=86&amp;action=edit" TargetMode="External"/><Relationship Id="rId997" Type="http://schemas.openxmlformats.org/officeDocument/2006/relationships/hyperlink" Target="https://africanmarketingconfederation.org/wp-admin/post.php?post=25857&amp;action=edit" TargetMode="External"/><Relationship Id="rId1182" Type="http://schemas.openxmlformats.org/officeDocument/2006/relationships/hyperlink" Target="https://africanmarketingconfederation.org/amc-marketing-conference-2024" TargetMode="External"/><Relationship Id="rId205" Type="http://schemas.openxmlformats.org/officeDocument/2006/relationships/hyperlink" Target="https://africanmarketingconfederation.org/amc-conference-2023/gallery" TargetMode="External"/><Relationship Id="rId412" Type="http://schemas.openxmlformats.org/officeDocument/2006/relationships/hyperlink" Target="https://africanmarketingconfederation.org/wp-admin/post.php?post=23710&amp;action=edit" TargetMode="External"/><Relationship Id="rId857" Type="http://schemas.openxmlformats.org/officeDocument/2006/relationships/hyperlink" Target="https://africanmarketingconfederation.org/wp-admin/post.php?post=22595&amp;action=edit" TargetMode="External"/><Relationship Id="rId1042" Type="http://schemas.openxmlformats.org/officeDocument/2006/relationships/hyperlink" Target="https://africanmarketingconfederation.org/wp-admin/post.php?post=10823&amp;action=edit" TargetMode="External"/><Relationship Id="rId1487" Type="http://schemas.openxmlformats.org/officeDocument/2006/relationships/hyperlink" Target="https://africanmarketingconfederation.org/amc-conference-2022-thank-you" TargetMode="External"/><Relationship Id="rId717" Type="http://schemas.openxmlformats.org/officeDocument/2006/relationships/hyperlink" Target="https://africanmarketingconfederation.org/awards-2026" TargetMode="External"/><Relationship Id="rId924" Type="http://schemas.openxmlformats.org/officeDocument/2006/relationships/hyperlink" Target="https://africanmarketingconfederation.org/wp-admin/post.php?post=21591&amp;action=edit" TargetMode="External"/><Relationship Id="rId1347" Type="http://schemas.openxmlformats.org/officeDocument/2006/relationships/hyperlink" Target="https://africanmarketingconfederation.org/amc-conference-2024-sponsors-packages" TargetMode="External"/><Relationship Id="rId53" Type="http://schemas.openxmlformats.org/officeDocument/2006/relationships/hyperlink" Target="https://africanmarketingconfederation.org/amc-conference-programme" TargetMode="External"/><Relationship Id="rId1207" Type="http://schemas.openxmlformats.org/officeDocument/2006/relationships/hyperlink" Target="https://africanmarketingconfederation.org/amc-masterclass" TargetMode="External"/><Relationship Id="rId1414" Type="http://schemas.openxmlformats.org/officeDocument/2006/relationships/hyperlink" Target="https://africanmarketingconfederation.org/wp-admin/post.php?post=20001&amp;action=edit" TargetMode="External"/><Relationship Id="rId367" Type="http://schemas.openxmlformats.org/officeDocument/2006/relationships/hyperlink" Target="https://africanmarketingconfederation.org/amc-conference-2022-prospectus" TargetMode="External"/><Relationship Id="rId574" Type="http://schemas.openxmlformats.org/officeDocument/2006/relationships/hyperlink" Target="https://africanmarketingconfederation.org/wp-admin/post.php?post=21962&amp;action=edit" TargetMode="External"/><Relationship Id="rId227" Type="http://schemas.openxmlformats.org/officeDocument/2006/relationships/hyperlink" Target="https://africanmarketingconfederation.org/amc-conference-programme" TargetMode="External"/><Relationship Id="rId781" Type="http://schemas.openxmlformats.org/officeDocument/2006/relationships/hyperlink" Target="https://africanmarketingconfederation.org/thank-you-for-registering-2024-registrations-kenya" TargetMode="External"/><Relationship Id="rId879" Type="http://schemas.openxmlformats.org/officeDocument/2006/relationships/hyperlink" Target="https://africanmarketingconfederation.org/certified-professional-marketer-africa" TargetMode="External"/><Relationship Id="rId434" Type="http://schemas.openxmlformats.org/officeDocument/2006/relationships/hyperlink" Target="https://africanmarketingconfederation.org/amc-forum-payments" TargetMode="External"/><Relationship Id="rId641" Type="http://schemas.openxmlformats.org/officeDocument/2006/relationships/hyperlink" Target="https://africanmarketingconfederation.org/amc-conference-2023/amc-awards" TargetMode="External"/><Relationship Id="rId739" Type="http://schemas.openxmlformats.org/officeDocument/2006/relationships/hyperlink" Target="https://africanmarketingconfederation.org/contact-us" TargetMode="External"/><Relationship Id="rId1064" Type="http://schemas.openxmlformats.org/officeDocument/2006/relationships/hyperlink" Target="https://africanmarketingconfederation.org/wp-admin/post.php?post=5597&amp;action=edit" TargetMode="External"/><Relationship Id="rId1271" Type="http://schemas.openxmlformats.org/officeDocument/2006/relationships/hyperlink" Target="https://africanmarketingconfederation.org/news-articles" TargetMode="External"/><Relationship Id="rId1369" Type="http://schemas.openxmlformats.org/officeDocument/2006/relationships/hyperlink" Target="https://africanmarketingconfederation.org/wp-admin/post.php?post=33131&amp;action=edit" TargetMode="External"/><Relationship Id="rId501" Type="http://schemas.openxmlformats.org/officeDocument/2006/relationships/hyperlink" Target="https://africanmarketingconfederation.org/checkout" TargetMode="External"/><Relationship Id="rId946" Type="http://schemas.openxmlformats.org/officeDocument/2006/relationships/hyperlink" Target="https://africanmarketingconfederation.org/wp-admin/post.php?post=5619&amp;action=edit" TargetMode="External"/><Relationship Id="rId1131" Type="http://schemas.openxmlformats.org/officeDocument/2006/relationships/hyperlink" Target="https://africanmarketingconfederation.org/amc-conference-2023/book-now" TargetMode="External"/><Relationship Id="rId1229" Type="http://schemas.openxmlformats.org/officeDocument/2006/relationships/hyperlink" Target="https://africanmarketingconfederation.org/awards-2026-test" TargetMode="External"/><Relationship Id="rId75" Type="http://schemas.openxmlformats.org/officeDocument/2006/relationships/hyperlink" Target="https://africanmarketingconfederation.org/amc-marketing-conference-2024/awards-2025" TargetMode="External"/><Relationship Id="rId806" Type="http://schemas.openxmlformats.org/officeDocument/2006/relationships/hyperlink" Target="https://africanmarketingconfederation.org/wp-admin/post.php?post=4941&amp;action=edit" TargetMode="External"/><Relationship Id="rId1436" Type="http://schemas.openxmlformats.org/officeDocument/2006/relationships/hyperlink" Target="https://africanmarketingconfederation.org/wp-admin/post.php?post=20341&amp;action=edit" TargetMode="External"/><Relationship Id="rId1503" Type="http://schemas.openxmlformats.org/officeDocument/2006/relationships/hyperlink" Target="https://africanmarketingconfederation.org/amc-marketing-conference-2024/amc-speakers-presentations-2024" TargetMode="External"/><Relationship Id="rId291" Type="http://schemas.openxmlformats.org/officeDocument/2006/relationships/hyperlink" Target="https://africanmarketingconfederation.org/conference-registrations-2024" TargetMode="External"/><Relationship Id="rId151" Type="http://schemas.openxmlformats.org/officeDocument/2006/relationships/hyperlink" Target="https://africanmarketingconfederation.org/subscribe" TargetMode="External"/><Relationship Id="rId389" Type="http://schemas.openxmlformats.org/officeDocument/2006/relationships/hyperlink" Target="https://africanmarketingconfederation.org/amc-conference-2023/book-now-thank-you" TargetMode="External"/><Relationship Id="rId596" Type="http://schemas.openxmlformats.org/officeDocument/2006/relationships/hyperlink" Target="https://africanmarketingconfederation.org/wp-admin/post.php?post=21591&amp;action=edit" TargetMode="External"/><Relationship Id="rId249" Type="http://schemas.openxmlformats.org/officeDocument/2006/relationships/hyperlink" Target="https://africanmarketingconfederation.org/wp-admin/post.php?post=22595&amp;action=edit" TargetMode="External"/><Relationship Id="rId456" Type="http://schemas.openxmlformats.org/officeDocument/2006/relationships/hyperlink" Target="https://africanmarketingconfederation.org/wp-admin/post.php?post=6553&amp;action=edit" TargetMode="External"/><Relationship Id="rId663" Type="http://schemas.openxmlformats.org/officeDocument/2006/relationships/hyperlink" Target="https://africanmarketingconfederation.org/amc-conference-2025" TargetMode="External"/><Relationship Id="rId870" Type="http://schemas.openxmlformats.org/officeDocument/2006/relationships/hyperlink" Target="https://africanmarketingconfederation.org/wp-admin/post.php?post=4492&amp;action=edit" TargetMode="External"/><Relationship Id="rId1086" Type="http://schemas.openxmlformats.org/officeDocument/2006/relationships/hyperlink" Target="https://africanmarketingconfederation.org/wp-admin/post.php?post=5490&amp;action=edit" TargetMode="External"/><Relationship Id="rId1293" Type="http://schemas.openxmlformats.org/officeDocument/2006/relationships/hyperlink" Target="https://africanmarketingconfederation.org/test-payment-gate" TargetMode="External"/><Relationship Id="rId109" Type="http://schemas.openxmlformats.org/officeDocument/2006/relationships/hyperlink" Target="https://africanmarketingconfederation.org/chartered-marketer-africa-thank-you" TargetMode="External"/><Relationship Id="rId316" Type="http://schemas.openxmlformats.org/officeDocument/2006/relationships/hyperlink" Target="https://africanmarketingconfederation.org/wp-admin/post.php?post=3&amp;action=edit" TargetMode="External"/><Relationship Id="rId523" Type="http://schemas.openxmlformats.org/officeDocument/2006/relationships/hyperlink" Target="https://africanmarketingconfederation.org/education" TargetMode="External"/><Relationship Id="rId968" Type="http://schemas.openxmlformats.org/officeDocument/2006/relationships/hyperlink" Target="https://africanmarketingconfederation.org/wp-admin/post.php?post=13179&amp;action=edit" TargetMode="External"/><Relationship Id="rId1153" Type="http://schemas.openxmlformats.org/officeDocument/2006/relationships/hyperlink" Target="https://africanmarketingconfederation.org/amc-conference-2025" TargetMode="External"/><Relationship Id="rId97" Type="http://schemas.openxmlformats.org/officeDocument/2006/relationships/hyperlink" Target="https://africanmarketingconfederation.org/awards-2026-1" TargetMode="External"/><Relationship Id="rId730" Type="http://schemas.openxmlformats.org/officeDocument/2006/relationships/hyperlink" Target="https://africanmarketingconfederation.org/wp-admin/post.php?post=19980&amp;action=edit" TargetMode="External"/><Relationship Id="rId828" Type="http://schemas.openxmlformats.org/officeDocument/2006/relationships/hyperlink" Target="https://africanmarketingconfederation.org/wp-admin/post.php?post=18318&amp;action=edit" TargetMode="External"/><Relationship Id="rId1013" Type="http://schemas.openxmlformats.org/officeDocument/2006/relationships/hyperlink" Target="https://africanmarketingconfederation.org/amc-masterclass" TargetMode="External"/><Relationship Id="rId1360" Type="http://schemas.openxmlformats.org/officeDocument/2006/relationships/hyperlink" Target="https://africanmarketingconfederation.org/wp-admin/post.php?post=5057&amp;action=edit" TargetMode="External"/><Relationship Id="rId1458" Type="http://schemas.openxmlformats.org/officeDocument/2006/relationships/hyperlink" Target="https://africanmarketingconfederation.org/wp-admin/post.php?post=3634&amp;action=edit" TargetMode="External"/><Relationship Id="rId1220" Type="http://schemas.openxmlformats.org/officeDocument/2006/relationships/hyperlink" Target="https://africanmarketingconfederation.org/wp-admin/post.php?post=22679&amp;action=edit" TargetMode="External"/><Relationship Id="rId1318" Type="http://schemas.openxmlformats.org/officeDocument/2006/relationships/hyperlink" Target="https://africanmarketingconfederation.org/wp-admin/post.php?post=16125&amp;action=edit" TargetMode="External"/><Relationship Id="rId1525" Type="http://schemas.openxmlformats.org/officeDocument/2006/relationships/hyperlink" Target="https://africanmarketingconfederation.org/launch-event-2026-amc-conference" TargetMode="External"/><Relationship Id="rId24" Type="http://schemas.openxmlformats.org/officeDocument/2006/relationships/hyperlink" Target="https://africanmarketingconfederation.org/wp-admin/post.php?post=13164&amp;action=edit" TargetMode="External"/><Relationship Id="rId173" Type="http://schemas.openxmlformats.org/officeDocument/2006/relationships/hyperlink" Target="https://africanmarketingconfederation.org/amc-conference-sponsors" TargetMode="External"/><Relationship Id="rId380" Type="http://schemas.openxmlformats.org/officeDocument/2006/relationships/hyperlink" Target="https://africanmarketingconfederation.org/wp-admin/post.php?post=13164&amp;action=edit" TargetMode="External"/><Relationship Id="rId240" Type="http://schemas.openxmlformats.org/officeDocument/2006/relationships/hyperlink" Target="https://africanmarketingconfederation.org/amc-marketing-conference-2024/amc-conference-2025-ghana-sponsors" TargetMode="External"/><Relationship Id="rId478" Type="http://schemas.openxmlformats.org/officeDocument/2006/relationships/hyperlink" Target="https://africanmarketingconfederation.org/wp-admin/post.php?post=22679&amp;action=edit" TargetMode="External"/><Relationship Id="rId685" Type="http://schemas.openxmlformats.org/officeDocument/2006/relationships/hyperlink" Target="https://africanmarketingconfederation.org/wp-admin/post.php?post=21958&amp;action=edit" TargetMode="External"/><Relationship Id="rId892" Type="http://schemas.openxmlformats.org/officeDocument/2006/relationships/hyperlink" Target="https://africanmarketingconfederation.org/wp-admin/post.php?post=92&amp;action=edit" TargetMode="External"/><Relationship Id="rId100" Type="http://schemas.openxmlformats.org/officeDocument/2006/relationships/hyperlink" Target="https://africanmarketingconfederation.org/wp-admin/post.php?post=34552&amp;action=edit" TargetMode="External"/><Relationship Id="rId338" Type="http://schemas.openxmlformats.org/officeDocument/2006/relationships/hyperlink" Target="https://africanmarketingconfederation.org/wp-admin/post.php?post=7916&amp;action=edit" TargetMode="External"/><Relationship Id="rId545" Type="http://schemas.openxmlformats.org/officeDocument/2006/relationships/hyperlink" Target="https://africanmarketingconfederation.org/general-enquiry-form-thank-you" TargetMode="External"/><Relationship Id="rId752" Type="http://schemas.openxmlformats.org/officeDocument/2006/relationships/hyperlink" Target="https://africanmarketingconfederation.org/wp-admin/post.php?post=31820&amp;action=edit" TargetMode="External"/><Relationship Id="rId1175" Type="http://schemas.openxmlformats.org/officeDocument/2006/relationships/hyperlink" Target="https://africanmarketingconfederation.org/wp-admin/post.php?post=21958&amp;action=edit" TargetMode="External"/><Relationship Id="rId1382" Type="http://schemas.openxmlformats.org/officeDocument/2006/relationships/hyperlink" Target="https://africanmarketingconfederation.org/amc-marketing-conference-2024/awards-2025" TargetMode="External"/><Relationship Id="rId405" Type="http://schemas.openxmlformats.org/officeDocument/2006/relationships/hyperlink" Target="https://africanmarketingconfederation.org/amc-conference-2023/speakers" TargetMode="External"/><Relationship Id="rId612" Type="http://schemas.openxmlformats.org/officeDocument/2006/relationships/hyperlink" Target="https://africanmarketingconfederation.org/wp-admin/post.php?post=17196&amp;action=edit" TargetMode="External"/><Relationship Id="rId1035" Type="http://schemas.openxmlformats.org/officeDocument/2006/relationships/hyperlink" Target="https://africanmarketingconfederation.org/chartered-marketer-africa" TargetMode="External"/><Relationship Id="rId1242" Type="http://schemas.openxmlformats.org/officeDocument/2006/relationships/hyperlink" Target="https://africanmarketingconfederation.org/wp-admin/post.php?post=10823&amp;action=edit" TargetMode="External"/><Relationship Id="rId917" Type="http://schemas.openxmlformats.org/officeDocument/2006/relationships/hyperlink" Target="https://africanmarketingconfederation.org/test-homeslider" TargetMode="External"/><Relationship Id="rId1102" Type="http://schemas.openxmlformats.org/officeDocument/2006/relationships/hyperlink" Target="https://africanmarketingconfederation.org/wp-admin/post.php?post=5290&amp;action=edit" TargetMode="External"/><Relationship Id="rId46" Type="http://schemas.openxmlformats.org/officeDocument/2006/relationships/hyperlink" Target="https://africanmarketingconfederation.org/wp-admin/post.php?post=30257&amp;action=edit" TargetMode="External"/><Relationship Id="rId1407" Type="http://schemas.openxmlformats.org/officeDocument/2006/relationships/hyperlink" Target="https://africanmarketingconfederation.org/awards-2026-test" TargetMode="External"/><Relationship Id="rId195" Type="http://schemas.openxmlformats.org/officeDocument/2006/relationships/hyperlink" Target="https://africanmarketingconfederation.org/amc-conference-2023/amc-awards" TargetMode="External"/><Relationship Id="rId262" Type="http://schemas.openxmlformats.org/officeDocument/2006/relationships/hyperlink" Target="https://africanmarketingconfederation.org/wp-admin/post.php?post=6822&amp;action=edit" TargetMode="External"/><Relationship Id="rId567" Type="http://schemas.openxmlformats.org/officeDocument/2006/relationships/hyperlink" Target="https://africanmarketingconfederation.org/speakers" TargetMode="External"/><Relationship Id="rId1197" Type="http://schemas.openxmlformats.org/officeDocument/2006/relationships/hyperlink" Target="https://africanmarketingconfederation.org/wp-admin/post.php?post=22595&amp;action=edit" TargetMode="External"/><Relationship Id="rId122" Type="http://schemas.openxmlformats.org/officeDocument/2006/relationships/hyperlink" Target="https://africanmarketingconfederation.org/wp-admin/post.php?post=19172&amp;action=edit" TargetMode="External"/><Relationship Id="rId774" Type="http://schemas.openxmlformats.org/officeDocument/2006/relationships/hyperlink" Target="https://africanmarketingconfederation.org/wp-admin/post.php?post=7781&amp;action=edit" TargetMode="External"/><Relationship Id="rId981" Type="http://schemas.openxmlformats.org/officeDocument/2006/relationships/hyperlink" Target="https://africanmarketingconfederation.org/amc-conference-2026-zambia-thank-you" TargetMode="External"/><Relationship Id="rId1057" Type="http://schemas.openxmlformats.org/officeDocument/2006/relationships/hyperlink" Target="https://africanmarketingconfederation.org/elementor-16548" TargetMode="External"/><Relationship Id="rId427" Type="http://schemas.openxmlformats.org/officeDocument/2006/relationships/hyperlink" Target="https://africanmarketingconfederation.org/amc-conference-programme" TargetMode="External"/><Relationship Id="rId634" Type="http://schemas.openxmlformats.org/officeDocument/2006/relationships/hyperlink" Target="https://africanmarketingconfederation.org/wp-admin/post.php?post=4494&amp;action=edit" TargetMode="External"/><Relationship Id="rId841" Type="http://schemas.openxmlformats.org/officeDocument/2006/relationships/hyperlink" Target="https://africanmarketingconfederation.org/wp-admin/post.php?post=12477&amp;action=edit" TargetMode="External"/><Relationship Id="rId1264" Type="http://schemas.openxmlformats.org/officeDocument/2006/relationships/hyperlink" Target="https://africanmarketingconfederation.org/wp-admin/post.php?post=31820&amp;action=edit" TargetMode="External"/><Relationship Id="rId1471" Type="http://schemas.openxmlformats.org/officeDocument/2006/relationships/hyperlink" Target="https://africanmarketingconfederation.org/thank-you-for-the-nomination-2024" TargetMode="External"/><Relationship Id="rId701" Type="http://schemas.openxmlformats.org/officeDocument/2006/relationships/hyperlink" Target="https://africanmarketingconfederation.org/amc-marketing-conference-2024/testimony-thank-you-page" TargetMode="External"/><Relationship Id="rId939" Type="http://schemas.openxmlformats.org/officeDocument/2006/relationships/hyperlink" Target="https://africanmarketingconfederation.org/african-marketing-confederation-tourism-chapter" TargetMode="External"/><Relationship Id="rId1124" Type="http://schemas.openxmlformats.org/officeDocument/2006/relationships/hyperlink" Target="https://africanmarketingconfederation.org/wp-admin/post.php?post=12371&amp;action=edit" TargetMode="External"/><Relationship Id="rId1331" Type="http://schemas.openxmlformats.org/officeDocument/2006/relationships/hyperlink" Target="https://africanmarketingconfederation.org/amc-conference-2023/book-now" TargetMode="External"/><Relationship Id="rId68" Type="http://schemas.openxmlformats.org/officeDocument/2006/relationships/hyperlink" Target="https://africanmarketingconfederation.org/wp-admin/post.php?post=25788&amp;action=edit" TargetMode="External"/><Relationship Id="rId1429" Type="http://schemas.openxmlformats.org/officeDocument/2006/relationships/hyperlink" Target="https://africanmarketingconfederation.org/download-prospectus-2024" TargetMode="External"/><Relationship Id="rId284" Type="http://schemas.openxmlformats.org/officeDocument/2006/relationships/hyperlink" Target="https://africanmarketingconfederation.org/wp-admin/post.php?post=19980&amp;action=edit" TargetMode="External"/><Relationship Id="rId491" Type="http://schemas.openxmlformats.org/officeDocument/2006/relationships/hyperlink" Target="https://africanmarketingconfederation.org/chartered-marketer-africa-final-submission-fee" TargetMode="External"/><Relationship Id="rId144" Type="http://schemas.openxmlformats.org/officeDocument/2006/relationships/hyperlink" Target="https://africanmarketingconfederation.org/wp-admin/post.php?post=3686&amp;action=edit" TargetMode="External"/><Relationship Id="rId589" Type="http://schemas.openxmlformats.org/officeDocument/2006/relationships/hyperlink" Target="https://africanmarketingconfederation.org/test-payment-gate" TargetMode="External"/><Relationship Id="rId796" Type="http://schemas.openxmlformats.org/officeDocument/2006/relationships/hyperlink" Target="https://africanmarketingconfederation.org/wp-admin/post.php?post=84&amp;action=edit" TargetMode="External"/><Relationship Id="rId351" Type="http://schemas.openxmlformats.org/officeDocument/2006/relationships/hyperlink" Target="https://africanmarketingconfederation.org/about-us" TargetMode="External"/><Relationship Id="rId449" Type="http://schemas.openxmlformats.org/officeDocument/2006/relationships/hyperlink" Target="https://africanmarketingconfederation.org/wp-admin/post.php?post=29496&amp;action=edit" TargetMode="External"/><Relationship Id="rId656" Type="http://schemas.openxmlformats.org/officeDocument/2006/relationships/hyperlink" Target="https://africanmarketingconfederation.org/wp-admin/post.php?post=12945&amp;action=edit" TargetMode="External"/><Relationship Id="rId863" Type="http://schemas.openxmlformats.org/officeDocument/2006/relationships/hyperlink" Target="https://africanmarketingconfederation.org/amc-marketing-conference-2024/testimony-thank-you-page" TargetMode="External"/><Relationship Id="rId1079" Type="http://schemas.openxmlformats.org/officeDocument/2006/relationships/hyperlink" Target="https://africanmarketingconfederation.org/speakers-2025" TargetMode="External"/><Relationship Id="rId1286" Type="http://schemas.openxmlformats.org/officeDocument/2006/relationships/hyperlink" Target="https://africanmarketingconfederation.org/wp-admin/post.php?post=21962&amp;action=edit" TargetMode="External"/><Relationship Id="rId1493" Type="http://schemas.openxmlformats.org/officeDocument/2006/relationships/hyperlink" Target="https://africanmarketingconfederation.org/amc-conference-2026-awards-nominations-thank-you" TargetMode="External"/><Relationship Id="rId211" Type="http://schemas.openxmlformats.org/officeDocument/2006/relationships/hyperlink" Target="https://africanmarketingconfederation.org/amc-conference-2023/speakers" TargetMode="External"/><Relationship Id="rId309" Type="http://schemas.openxmlformats.org/officeDocument/2006/relationships/hyperlink" Target="https://africanmarketingconfederation.org/launch-event-2026-amc-conference" TargetMode="External"/><Relationship Id="rId516" Type="http://schemas.openxmlformats.org/officeDocument/2006/relationships/hyperlink" Target="https://africanmarketingconfederation.org/wp-admin/post.php?post=18478&amp;action=edit" TargetMode="External"/><Relationship Id="rId1146" Type="http://schemas.openxmlformats.org/officeDocument/2006/relationships/hyperlink" Target="https://africanmarketingconfederation.org/wp-admin/post.php?post=22401&amp;action=edit" TargetMode="External"/><Relationship Id="rId723" Type="http://schemas.openxmlformats.org/officeDocument/2006/relationships/hyperlink" Target="https://africanmarketingconfederation.org/certified-professional-marketer-africa" TargetMode="External"/><Relationship Id="rId930" Type="http://schemas.openxmlformats.org/officeDocument/2006/relationships/hyperlink" Target="https://africanmarketingconfederation.org/wp-admin/post.php?post=17196&amp;action=edit" TargetMode="External"/><Relationship Id="rId1006" Type="http://schemas.openxmlformats.org/officeDocument/2006/relationships/hyperlink" Target="https://africanmarketingconfederation.org/amc-marketing-conference-2024/awards-2025" TargetMode="External"/><Relationship Id="rId1353" Type="http://schemas.openxmlformats.org/officeDocument/2006/relationships/hyperlink" Target="https://africanmarketingconfederation.org/amc-conference-2026" TargetMode="External"/><Relationship Id="rId1213" Type="http://schemas.openxmlformats.org/officeDocument/2006/relationships/hyperlink" Target="https://africanmarketingconfederation.org/amc-relaunch-programme" TargetMode="External"/><Relationship Id="rId1420" Type="http://schemas.openxmlformats.org/officeDocument/2006/relationships/hyperlink" Target="https://africanmarketingconfederation.org/wp-admin/post.php?post=17908&amp;action=edit" TargetMode="External"/><Relationship Id="rId1518" Type="http://schemas.openxmlformats.org/officeDocument/2006/relationships/hyperlink" Target="https://africanmarketingconfederation.org/wp-admin/post.php?post=17908&amp;action=edit" TargetMode="External"/><Relationship Id="rId17" Type="http://schemas.openxmlformats.org/officeDocument/2006/relationships/hyperlink" Target="https://africanmarketingconfederation.org/amc-conference-2022-thank-you" TargetMode="External"/><Relationship Id="rId166" Type="http://schemas.openxmlformats.org/officeDocument/2006/relationships/hyperlink" Target="https://africanmarketingconfederation.org/wp-admin/post.php?post=17196&amp;action=edit" TargetMode="External"/><Relationship Id="rId373" Type="http://schemas.openxmlformats.org/officeDocument/2006/relationships/hyperlink" Target="https://africanmarketingconfederation.org/amc-conference-2023" TargetMode="External"/><Relationship Id="rId580" Type="http://schemas.openxmlformats.org/officeDocument/2006/relationships/hyperlink" Target="https://africanmarketingconfederation.org/wp-admin/post.php?post=7781&amp;action=edit" TargetMode="External"/><Relationship Id="rId1" Type="http://schemas.openxmlformats.org/officeDocument/2006/relationships/hyperlink" Target="https://africanmarketingconfederation.org/checkout" TargetMode="External"/><Relationship Id="rId233" Type="http://schemas.openxmlformats.org/officeDocument/2006/relationships/hyperlink" Target="https://africanmarketingconfederation.org/wp-admin/post.php?post=21958&amp;action=edit" TargetMode="External"/><Relationship Id="rId440" Type="http://schemas.openxmlformats.org/officeDocument/2006/relationships/hyperlink" Target="https://africanmarketingconfederation.org/amc-marketing-conference-2024/amc-conference-2025-ghana-sponsors" TargetMode="External"/><Relationship Id="rId678" Type="http://schemas.openxmlformats.org/officeDocument/2006/relationships/hyperlink" Target="https://africanmarketingconfederation.org/amc-forum-mombasa" TargetMode="External"/><Relationship Id="rId885" Type="http://schemas.openxmlformats.org/officeDocument/2006/relationships/hyperlink" Target="https://africanmarketingconfederation.org/chartered-marketer-africa-thank-you" TargetMode="External"/><Relationship Id="rId1070" Type="http://schemas.openxmlformats.org/officeDocument/2006/relationships/hyperlink" Target="https://africanmarketingconfederation.org/wp-admin/post.php?post=2196&amp;action=edit" TargetMode="External"/><Relationship Id="rId300" Type="http://schemas.openxmlformats.org/officeDocument/2006/relationships/hyperlink" Target="https://africanmarketingconfederation.org/wp-admin/post.php?post=88&amp;action=edit" TargetMode="External"/><Relationship Id="rId538" Type="http://schemas.openxmlformats.org/officeDocument/2006/relationships/hyperlink" Target="https://africanmarketingconfederation.org/wp-admin/post.php?post=20341&amp;action=edit" TargetMode="External"/><Relationship Id="rId745" Type="http://schemas.openxmlformats.org/officeDocument/2006/relationships/hyperlink" Target="https://africanmarketingconfederation.org/education" TargetMode="External"/><Relationship Id="rId952" Type="http://schemas.openxmlformats.org/officeDocument/2006/relationships/hyperlink" Target="https://africanmarketingconfederation.org/wp-admin/post.php?post=12954&amp;action=edit" TargetMode="External"/><Relationship Id="rId1168" Type="http://schemas.openxmlformats.org/officeDocument/2006/relationships/hyperlink" Target="https://africanmarketingconfederation.org/wp-admin/post.php?post=22778&amp;action=edit" TargetMode="External"/><Relationship Id="rId1375" Type="http://schemas.openxmlformats.org/officeDocument/2006/relationships/hyperlink" Target="https://africanmarketingconfederation.org/wp-admin/post.php?post=25788&amp;action=edit" TargetMode="External"/><Relationship Id="rId81" Type="http://schemas.openxmlformats.org/officeDocument/2006/relationships/hyperlink" Target="https://africanmarketingconfederation.org/amc-masterclass" TargetMode="External"/><Relationship Id="rId605" Type="http://schemas.openxmlformats.org/officeDocument/2006/relationships/hyperlink" Target="https://africanmarketingconfederation.org/thank-you-for-the-nomination-2024" TargetMode="External"/><Relationship Id="rId812" Type="http://schemas.openxmlformats.org/officeDocument/2006/relationships/hyperlink" Target="https://africanmarketingconfederation.org/wp-admin/post.php?post=12407&amp;action=edit" TargetMode="External"/><Relationship Id="rId1028" Type="http://schemas.openxmlformats.org/officeDocument/2006/relationships/hyperlink" Target="https://africanmarketingconfederation.org/wp-admin/post.php?post=34622&amp;action=edit" TargetMode="External"/><Relationship Id="rId1235" Type="http://schemas.openxmlformats.org/officeDocument/2006/relationships/hyperlink" Target="https://africanmarketingconfederation.org/chartered-marketer-africa" TargetMode="External"/><Relationship Id="rId1442" Type="http://schemas.openxmlformats.org/officeDocument/2006/relationships/hyperlink" Target="https://africanmarketingconfederation.org/wp-admin/post.php?post=33050&amp;action=edit" TargetMode="External"/><Relationship Id="rId1302" Type="http://schemas.openxmlformats.org/officeDocument/2006/relationships/hyperlink" Target="https://africanmarketingconfederation.org/wp-admin/post.php?post=7916&amp;action=edit" TargetMode="External"/><Relationship Id="rId39" Type="http://schemas.openxmlformats.org/officeDocument/2006/relationships/hyperlink" Target="https://africanmarketingconfederation.org/amc-conference-2024-recap" TargetMode="External"/><Relationship Id="rId188" Type="http://schemas.openxmlformats.org/officeDocument/2006/relationships/hyperlink" Target="https://africanmarketingconfederation.org/wp-admin/post.php?post=4494&amp;action=edit" TargetMode="External"/><Relationship Id="rId395" Type="http://schemas.openxmlformats.org/officeDocument/2006/relationships/hyperlink" Target="https://africanmarketingconfederation.org/amc-conference-2023/gallery" TargetMode="External"/><Relationship Id="rId255" Type="http://schemas.openxmlformats.org/officeDocument/2006/relationships/hyperlink" Target="https://africanmarketingconfederation.org/amc-marketing-conference-2024/testimony-thank-you-page" TargetMode="External"/><Relationship Id="rId462" Type="http://schemas.openxmlformats.org/officeDocument/2006/relationships/hyperlink" Target="https://africanmarketingconfederation.org/wp-admin/post.php?post=6816&amp;action=edit" TargetMode="External"/><Relationship Id="rId1092" Type="http://schemas.openxmlformats.org/officeDocument/2006/relationships/hyperlink" Target="https://africanmarketingconfederation.org/wp-admin/post.php?post=21591&amp;action=edit" TargetMode="External"/><Relationship Id="rId1397" Type="http://schemas.openxmlformats.org/officeDocument/2006/relationships/hyperlink" Target="https://africanmarketingconfederation.org/amc-sign-up-now-form-2025" TargetMode="External"/><Relationship Id="rId115" Type="http://schemas.openxmlformats.org/officeDocument/2006/relationships/hyperlink" Target="https://africanmarketingconfederation.org/conference-registrations-2024" TargetMode="External"/><Relationship Id="rId322" Type="http://schemas.openxmlformats.org/officeDocument/2006/relationships/hyperlink" Target="https://africanmarketingconfederation.org/wp-admin/post.php?post=3252&amp;action=edit" TargetMode="External"/><Relationship Id="rId767" Type="http://schemas.openxmlformats.org/officeDocument/2006/relationships/hyperlink" Target="https://africanmarketingconfederation.org/speakers" TargetMode="External"/><Relationship Id="rId974" Type="http://schemas.openxmlformats.org/officeDocument/2006/relationships/hyperlink" Target="https://africanmarketingconfederation.org/wp-admin/post.php?post=23710&amp;action=edit" TargetMode="External"/><Relationship Id="rId627" Type="http://schemas.openxmlformats.org/officeDocument/2006/relationships/hyperlink" Target="https://africanmarketingconfederation.org/about-us" TargetMode="External"/><Relationship Id="rId834" Type="http://schemas.openxmlformats.org/officeDocument/2006/relationships/hyperlink" Target="https://africanmarketingconfederation.org/wp-admin/post.php?post=33280&amp;action=edit" TargetMode="External"/><Relationship Id="rId1257" Type="http://schemas.openxmlformats.org/officeDocument/2006/relationships/hyperlink" Target="https://africanmarketingconfederation.org/education" TargetMode="External"/><Relationship Id="rId1464" Type="http://schemas.openxmlformats.org/officeDocument/2006/relationships/hyperlink" Target="https://africanmarketingconfederation.org/wp-admin/post.php?post=27352&amp;action=edit" TargetMode="External"/><Relationship Id="rId901" Type="http://schemas.openxmlformats.org/officeDocument/2006/relationships/hyperlink" Target="https://africanmarketingconfederation.org/elementor-31820" TargetMode="External"/><Relationship Id="rId1117" Type="http://schemas.openxmlformats.org/officeDocument/2006/relationships/hyperlink" Target="https://africanmarketingconfederation.org/amc-conference-2022" TargetMode="External"/><Relationship Id="rId1324" Type="http://schemas.openxmlformats.org/officeDocument/2006/relationships/hyperlink" Target="https://africanmarketingconfederation.org/wp-admin/post.php?post=4941&amp;action=edit" TargetMode="External"/><Relationship Id="rId1531" Type="http://schemas.openxmlformats.org/officeDocument/2006/relationships/hyperlink" Target="https://africanmarketingconfederation.org/thank-you-for-registering-2024-registrations-kenya" TargetMode="External"/><Relationship Id="rId30" Type="http://schemas.openxmlformats.org/officeDocument/2006/relationships/hyperlink" Target="https://africanmarketingconfederation.org/wp-admin/post.php?post=13098&amp;action=edit" TargetMode="External"/><Relationship Id="rId277" Type="http://schemas.openxmlformats.org/officeDocument/2006/relationships/hyperlink" Target="https://africanmarketingconfederation.org/certified-professional-marketer-africa" TargetMode="External"/><Relationship Id="rId484" Type="http://schemas.openxmlformats.org/officeDocument/2006/relationships/hyperlink" Target="https://africanmarketingconfederation.org/wp-admin/post.php?post=34552&amp;action=edit" TargetMode="External"/><Relationship Id="rId137" Type="http://schemas.openxmlformats.org/officeDocument/2006/relationships/hyperlink" Target="https://africanmarketingconfederation.org/news-articles" TargetMode="External"/><Relationship Id="rId344" Type="http://schemas.openxmlformats.org/officeDocument/2006/relationships/hyperlink" Target="https://africanmarketingconfederation.org/wp-admin/post.php?post=4909&amp;action=edit" TargetMode="External"/><Relationship Id="rId691" Type="http://schemas.openxmlformats.org/officeDocument/2006/relationships/hyperlink" Target="https://africanmarketingconfederation.org/wp-admin/post.php?post=26290&amp;action=edit" TargetMode="External"/><Relationship Id="rId789" Type="http://schemas.openxmlformats.org/officeDocument/2006/relationships/hyperlink" Target="https://africanmarketingconfederation.org/upcoming-events" TargetMode="External"/><Relationship Id="rId996" Type="http://schemas.openxmlformats.org/officeDocument/2006/relationships/hyperlink" Target="https://africanmarketingconfederation.org/amc-marketing-conference-2024/amc-conference-2025-ghana-sponsors" TargetMode="External"/><Relationship Id="rId551" Type="http://schemas.openxmlformats.org/officeDocument/2006/relationships/hyperlink" Target="https://africanmarketingconfederation.org/members" TargetMode="External"/><Relationship Id="rId649" Type="http://schemas.openxmlformats.org/officeDocument/2006/relationships/hyperlink" Target="https://africanmarketingconfederation.org/amc-conference-2023/download-prospectus" TargetMode="External"/><Relationship Id="rId856" Type="http://schemas.openxmlformats.org/officeDocument/2006/relationships/hyperlink" Target="https://africanmarketingconfederation.org/amc-marketing-conference-2024/amc-speakers-presentations-2024" TargetMode="External"/><Relationship Id="rId1181" Type="http://schemas.openxmlformats.org/officeDocument/2006/relationships/hyperlink" Target="https://africanmarketingconfederation.org/wp-admin/post.php?post=33131&amp;action=edit" TargetMode="External"/><Relationship Id="rId1279" Type="http://schemas.openxmlformats.org/officeDocument/2006/relationships/hyperlink" Target="https://africanmarketingconfederation.org/publications-2" TargetMode="External"/><Relationship Id="rId1486" Type="http://schemas.openxmlformats.org/officeDocument/2006/relationships/hyperlink" Target="https://africanmarketingconfederation.org/wp-admin/post.php?post=5619&amp;action=edit" TargetMode="External"/><Relationship Id="rId204" Type="http://schemas.openxmlformats.org/officeDocument/2006/relationships/hyperlink" Target="https://africanmarketingconfederation.org/wp-admin/post.php?post=13098&amp;action=edit" TargetMode="External"/><Relationship Id="rId411" Type="http://schemas.openxmlformats.org/officeDocument/2006/relationships/hyperlink" Target="https://africanmarketingconfederation.org/amc-conference-2025" TargetMode="External"/><Relationship Id="rId509" Type="http://schemas.openxmlformats.org/officeDocument/2006/relationships/hyperlink" Target="https://africanmarketingconfederation.org/contact-us" TargetMode="External"/><Relationship Id="rId1041" Type="http://schemas.openxmlformats.org/officeDocument/2006/relationships/hyperlink" Target="https://africanmarketingconfederation.org/chartered-marketer-africa-thank-you" TargetMode="External"/><Relationship Id="rId1139" Type="http://schemas.openxmlformats.org/officeDocument/2006/relationships/hyperlink" Target="https://africanmarketingconfederation.org/amc-conference-2023/partners" TargetMode="External"/><Relationship Id="rId1346" Type="http://schemas.openxmlformats.org/officeDocument/2006/relationships/hyperlink" Target="https://africanmarketingconfederation.org/wp-admin/post.php?post=22401&amp;action=edit" TargetMode="External"/><Relationship Id="rId716" Type="http://schemas.openxmlformats.org/officeDocument/2006/relationships/hyperlink" Target="https://africanmarketingconfederation.org/wp-admin/post.php?post=22679&amp;action=edit" TargetMode="External"/><Relationship Id="rId923" Type="http://schemas.openxmlformats.org/officeDocument/2006/relationships/hyperlink" Target="https://africanmarketingconfederation.org/thank-you-for-registering-2024-registrations-kenya" TargetMode="External"/><Relationship Id="rId52" Type="http://schemas.openxmlformats.org/officeDocument/2006/relationships/hyperlink" Target="https://africanmarketingconfederation.org/wp-admin/post.php?post=22778&amp;action=edit" TargetMode="External"/><Relationship Id="rId1206" Type="http://schemas.openxmlformats.org/officeDocument/2006/relationships/hyperlink" Target="https://africanmarketingconfederation.org/wp-admin/post.php?post=23021&amp;action=edit" TargetMode="External"/><Relationship Id="rId1413" Type="http://schemas.openxmlformats.org/officeDocument/2006/relationships/hyperlink" Target="https://africanmarketingconfederation.org/chartered-marketer-africa-final-submission-fee"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22.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86" Type="http://schemas.openxmlformats.org/officeDocument/2006/relationships/vmlDrawing" Target="../drawings/vmlDrawing1.vm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87" Type="http://schemas.openxmlformats.org/officeDocument/2006/relationships/comments" Target="../comments1.xm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23.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24.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thank-you"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test"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 TargetMode="External"/><Relationship Id="rId55" Type="http://schemas.openxmlformats.org/officeDocument/2006/relationships/hyperlink" Target="https://africanmarketingconfederation.org/chartered-marketer-africa"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workbookViewId="0">
      <selection activeCell="C15" sqref="C15"/>
    </sheetView>
  </sheetViews>
  <sheetFormatPr defaultRowHeight="15" x14ac:dyDescent="0.25"/>
  <cols>
    <col min="1" max="1" width="35" customWidth="1"/>
    <col min="2" max="2" width="18" customWidth="1"/>
    <col min="3" max="3" width="70" customWidth="1"/>
  </cols>
  <sheetData>
    <row r="1" spans="1:3" ht="18.75" x14ac:dyDescent="0.3">
      <c r="A1" s="1" t="s">
        <v>0</v>
      </c>
    </row>
    <row r="2" spans="1:3" x14ac:dyDescent="0.25">
      <c r="A2" s="2" t="s">
        <v>1</v>
      </c>
      <c r="B2" s="2" t="s">
        <v>2</v>
      </c>
      <c r="C2" s="2" t="s">
        <v>3</v>
      </c>
    </row>
    <row r="3" spans="1:3" x14ac:dyDescent="0.25">
      <c r="A3" t="s">
        <v>4</v>
      </c>
      <c r="B3" s="3" t="str">
        <f>HYPERLINK("#'Dashboard'!A1","Open")</f>
        <v>Open</v>
      </c>
      <c r="C3" t="s">
        <v>5</v>
      </c>
    </row>
    <row r="4" spans="1:3" x14ac:dyDescent="0.25">
      <c r="A4" t="s">
        <v>6</v>
      </c>
      <c r="B4" s="3" t="str">
        <f>HYPERLINK("#'Content Optimization Hub'!A1","Open")</f>
        <v>Open</v>
      </c>
      <c r="C4" t="s">
        <v>7</v>
      </c>
    </row>
    <row r="5" spans="1:3" x14ac:dyDescent="0.25">
      <c r="A5" t="s">
        <v>8</v>
      </c>
      <c r="B5" s="3" t="str">
        <f>HYPERLINK("#'Quick Reference Guide'!A1","Open")</f>
        <v>Open</v>
      </c>
      <c r="C5" t="s">
        <v>9</v>
      </c>
    </row>
    <row r="6" spans="1:3" x14ac:dyDescent="0.25">
      <c r="A6" t="s">
        <v>10</v>
      </c>
      <c r="B6" s="3" t="str">
        <f>HYPERLINK("#'FixPlan'!A1","Open")</f>
        <v>Open</v>
      </c>
      <c r="C6" t="s">
        <v>11</v>
      </c>
    </row>
    <row r="7" spans="1:3" x14ac:dyDescent="0.25">
      <c r="A7" t="s">
        <v>12</v>
      </c>
      <c r="B7" s="3" t="str">
        <f>HYPERLINK("#'Main'!A1","Open")</f>
        <v>Open</v>
      </c>
      <c r="C7" t="s">
        <v>13</v>
      </c>
    </row>
    <row r="8" spans="1:3" x14ac:dyDescent="0.25">
      <c r="A8" t="s">
        <v>14</v>
      </c>
      <c r="B8" s="3" t="str">
        <f>HYPERLINK("#'Technical'!A1","Open")</f>
        <v>Open</v>
      </c>
      <c r="C8" t="s">
        <v>15</v>
      </c>
    </row>
    <row r="9" spans="1:3" x14ac:dyDescent="0.25">
      <c r="A9" t="s">
        <v>16</v>
      </c>
      <c r="B9" s="3" t="str">
        <f>HYPERLINK("#'PSI Performance'!A1","Open")</f>
        <v>Open</v>
      </c>
      <c r="C9" t="s">
        <v>17</v>
      </c>
    </row>
    <row r="10" spans="1:3" x14ac:dyDescent="0.25">
      <c r="A10" t="s">
        <v>18</v>
      </c>
      <c r="B10" s="3" t="str">
        <f>HYPERLINK("#'Content'!A1","Open")</f>
        <v>Open</v>
      </c>
      <c r="C10" t="s">
        <v>19</v>
      </c>
    </row>
    <row r="11" spans="1:3" x14ac:dyDescent="0.25">
      <c r="A11" t="s">
        <v>20</v>
      </c>
      <c r="B11" s="3" t="str">
        <f>HYPERLINK("#'AEO'!A1","Open")</f>
        <v>Open</v>
      </c>
      <c r="C11" t="s">
        <v>21</v>
      </c>
    </row>
    <row r="12" spans="1:3" x14ac:dyDescent="0.25">
      <c r="A12" t="s">
        <v>22</v>
      </c>
      <c r="B12" s="3" t="str">
        <f>HYPERLINK("#'Schema &amp; Metadata'!A1","Open")</f>
        <v>Open</v>
      </c>
      <c r="C12" t="s">
        <v>23</v>
      </c>
    </row>
    <row r="13" spans="1:3" x14ac:dyDescent="0.25">
      <c r="A13" t="s">
        <v>24</v>
      </c>
      <c r="B13" s="3" t="str">
        <f>HYPERLINK("#'Links'!A1","Open")</f>
        <v>Open</v>
      </c>
      <c r="C13" t="s">
        <v>25</v>
      </c>
    </row>
    <row r="14" spans="1:3" x14ac:dyDescent="0.25">
      <c r="A14" t="s">
        <v>26</v>
      </c>
      <c r="B14" s="3" t="str">
        <f>HYPERLINK("#'Indexability'!A1","Open")</f>
        <v>Open</v>
      </c>
      <c r="C14" t="s">
        <v>27</v>
      </c>
    </row>
    <row r="15" spans="1:3" x14ac:dyDescent="0.25">
      <c r="A15" t="s">
        <v>28</v>
      </c>
      <c r="B15" s="3" t="str">
        <f>HYPERLINK("#'Redirects'!A1","Open")</f>
        <v>Open</v>
      </c>
      <c r="C15" t="s">
        <v>29</v>
      </c>
    </row>
    <row r="16" spans="1:3" x14ac:dyDescent="0.25">
      <c r="A16" t="s">
        <v>30</v>
      </c>
      <c r="B16" s="3" t="str">
        <f>HYPERLINK("#'Priority URLs'!A1","Open")</f>
        <v>Open</v>
      </c>
      <c r="C16" t="s">
        <v>31</v>
      </c>
    </row>
    <row r="17" spans="1:3" x14ac:dyDescent="0.25">
      <c r="A17" t="s">
        <v>32</v>
      </c>
      <c r="B17" s="3" t="str">
        <f>HYPERLINK("#'AIOSEO'!A1","Open")</f>
        <v>Open</v>
      </c>
      <c r="C17" t="s">
        <v>33</v>
      </c>
    </row>
    <row r="18" spans="1:3" x14ac:dyDescent="0.25">
      <c r="A18" t="s">
        <v>34</v>
      </c>
      <c r="B18" s="3" t="str">
        <f>HYPERLINK("#'Security'!A1","Open")</f>
        <v>Open</v>
      </c>
      <c r="C18" t="s">
        <v>35</v>
      </c>
    </row>
    <row r="19" spans="1:3" x14ac:dyDescent="0.25">
      <c r="A19" t="s">
        <v>36</v>
      </c>
      <c r="B19" s="3" t="str">
        <f>HYPERLINK("#'Summary'!A1","Open")</f>
        <v>Open</v>
      </c>
      <c r="C19" t="s">
        <v>37</v>
      </c>
    </row>
    <row r="20" spans="1:3" x14ac:dyDescent="0.25">
      <c r="A20" t="s">
        <v>38</v>
      </c>
      <c r="B20" s="3" t="str">
        <f>HYPERLINK("#'LinksDetail'!A1","Open")</f>
        <v>Open</v>
      </c>
      <c r="C20" t="s">
        <v>39</v>
      </c>
    </row>
    <row r="21" spans="1:3" x14ac:dyDescent="0.25">
      <c r="A21" t="s">
        <v>40</v>
      </c>
      <c r="B21" s="3" t="str">
        <f>HYPERLINK("#'Media'!A1","Open")</f>
        <v>Open</v>
      </c>
      <c r="C21" t="s">
        <v>41</v>
      </c>
    </row>
    <row r="22" spans="1:3" x14ac:dyDescent="0.25">
      <c r="A22" t="s">
        <v>42</v>
      </c>
      <c r="B22" s="3" t="str">
        <f>HYPERLINK("#'Pattern and Template Issues'!A1","Open")</f>
        <v>Open</v>
      </c>
      <c r="C22" t="s">
        <v>43</v>
      </c>
    </row>
    <row r="23" spans="1:3" x14ac:dyDescent="0.25">
      <c r="A23" t="s">
        <v>44</v>
      </c>
      <c r="B23" s="3" t="str">
        <f>HYPERLINK("#'Duplicates'!A1","Open")</f>
        <v>Open</v>
      </c>
      <c r="C23" t="s">
        <v>45</v>
      </c>
    </row>
    <row r="24" spans="1:3" x14ac:dyDescent="0.25">
      <c r="A24" t="s">
        <v>46</v>
      </c>
      <c r="B24" s="3" t="str">
        <f>HYPERLINK("#'IssueInventory'!A1","Open")</f>
        <v>Open</v>
      </c>
      <c r="C24" t="s">
        <v>47</v>
      </c>
    </row>
    <row r="25" spans="1:3" x14ac:dyDescent="0.25">
      <c r="A25" t="s">
        <v>48</v>
      </c>
      <c r="B25" s="3" t="str">
        <f>HYPERLINK("#'RunMetadata'!A1","Open")</f>
        <v>Open</v>
      </c>
      <c r="C25" t="s">
        <v>49</v>
      </c>
    </row>
    <row r="26" spans="1:3" x14ac:dyDescent="0.25">
      <c r="A26" t="s">
        <v>50</v>
      </c>
      <c r="B26" s="3" t="str">
        <f>HYPERLINK("#'DeltaFromPreviousRun'!A1","Open")</f>
        <v>Open</v>
      </c>
      <c r="C26" t="s">
        <v>51</v>
      </c>
    </row>
    <row r="27" spans="1:3" x14ac:dyDescent="0.25">
      <c r="A27" t="s">
        <v>52</v>
      </c>
      <c r="B27" s="3" t="str">
        <f>HYPERLINK("#'ResolvedIssues'!A1","Open")</f>
        <v>Open</v>
      </c>
      <c r="C27" t="s">
        <v>53</v>
      </c>
    </row>
    <row r="28" spans="1:3" x14ac:dyDescent="0.25">
      <c r="A28" t="s">
        <v>54</v>
      </c>
      <c r="B28" s="3" t="str">
        <f>HYPERLINK("#'Glossary &amp; Legend'!A1","Open")</f>
        <v>Open</v>
      </c>
      <c r="C28" t="s">
        <v>55</v>
      </c>
    </row>
    <row r="29" spans="1:3" x14ac:dyDescent="0.25">
      <c r="A29" t="s">
        <v>56</v>
      </c>
      <c r="B29" s="3" t="str">
        <f>HYPERLINK("#'CrawlGraph'!A1","Open")</f>
        <v>Open</v>
      </c>
      <c r="C29" t="s">
        <v>57</v>
      </c>
    </row>
    <row r="30" spans="1:3" x14ac:dyDescent="0.25">
      <c r="A30" t="s">
        <v>58</v>
      </c>
      <c r="B30" s="3" t="str">
        <f>HYPERLINK("#'SitemapQA'!A1","Open")</f>
        <v>Open</v>
      </c>
      <c r="C30"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9"/>
  <sheetViews>
    <sheetView showGridLines="0" tabSelected="1" workbookViewId="0">
      <pane xSplit="2" ySplit="1" topLeftCell="C2" activePane="bottomRight" state="frozen"/>
      <selection pane="topRight"/>
      <selection pane="bottomLeft"/>
      <selection pane="bottomRight" activeCell="G12" sqref="G12"/>
    </sheetView>
  </sheetViews>
  <sheetFormatPr defaultRowHeight="15" x14ac:dyDescent="0.25"/>
  <cols>
    <col min="1" max="1" width="35" customWidth="1"/>
    <col min="2" max="2" width="15" customWidth="1"/>
    <col min="3" max="3" width="5" customWidth="1"/>
    <col min="4" max="4" width="30" customWidth="1"/>
    <col min="5" max="5" width="15" customWidth="1"/>
    <col min="6" max="6" width="5" customWidth="1"/>
    <col min="7" max="11" width="15" customWidth="1"/>
  </cols>
  <sheetData>
    <row r="1" spans="1:11" ht="30" customHeight="1" x14ac:dyDescent="0.25">
      <c r="A1" s="4" t="s">
        <v>60</v>
      </c>
    </row>
    <row r="2" spans="1:11" ht="15.75" x14ac:dyDescent="0.25">
      <c r="A2" s="5" t="s">
        <v>61</v>
      </c>
    </row>
    <row r="4" spans="1:11" ht="20.100000000000001" customHeight="1" x14ac:dyDescent="0.25">
      <c r="A4" s="6" t="s">
        <v>62</v>
      </c>
      <c r="B4" s="6" t="s">
        <v>63</v>
      </c>
      <c r="D4" s="7" t="s">
        <v>64</v>
      </c>
      <c r="E4" s="7" t="s">
        <v>65</v>
      </c>
      <c r="G4" s="68" t="s">
        <v>66</v>
      </c>
      <c r="H4" s="66"/>
      <c r="I4" s="66"/>
      <c r="J4" s="66"/>
      <c r="K4" s="66"/>
    </row>
    <row r="5" spans="1:11" ht="20.100000000000001" customHeight="1" x14ac:dyDescent="0.25">
      <c r="A5" s="8" t="str">
        <f>HYPERLINK("#'Main'!A1","Total URLs")</f>
        <v>Total URLs</v>
      </c>
      <c r="B5" s="9">
        <v>85</v>
      </c>
      <c r="D5" s="10" t="s">
        <v>67</v>
      </c>
      <c r="E5" s="10">
        <v>83</v>
      </c>
      <c r="G5" s="7" t="s">
        <v>68</v>
      </c>
      <c r="H5" s="7" t="s">
        <v>69</v>
      </c>
      <c r="I5" s="7" t="s">
        <v>70</v>
      </c>
      <c r="J5" s="7" t="s">
        <v>71</v>
      </c>
      <c r="K5" s="7" t="s">
        <v>72</v>
      </c>
    </row>
    <row r="6" spans="1:11" ht="20.100000000000001" customHeight="1" x14ac:dyDescent="0.25">
      <c r="A6" s="8" t="str">
        <f>HYPERLINK("#'Summary'!A1","Overall Health Score")</f>
        <v>Overall Health Score</v>
      </c>
      <c r="B6" s="11">
        <f>IFERROR(0/100,0)</f>
        <v>0</v>
      </c>
      <c r="D6" s="12" t="s">
        <v>73</v>
      </c>
      <c r="E6" s="12">
        <v>0</v>
      </c>
      <c r="G6" s="13" t="str">
        <f>HYPERLINK("#'FixPlan'!A1","Dev")</f>
        <v>Dev</v>
      </c>
      <c r="H6" s="13">
        <v>9</v>
      </c>
      <c r="I6" s="13">
        <v>0</v>
      </c>
      <c r="J6" s="13">
        <v>4</v>
      </c>
      <c r="K6" s="13">
        <v>4</v>
      </c>
    </row>
    <row r="7" spans="1:11" ht="20.100000000000001" customHeight="1" x14ac:dyDescent="0.25">
      <c r="A7" s="8" t="str">
        <f>HYPERLINK("#'Summary'!A1","SEO Pass Rate %")</f>
        <v>SEO Pass Rate %</v>
      </c>
      <c r="B7" s="14">
        <v>0</v>
      </c>
      <c r="D7" s="15" t="s">
        <v>74</v>
      </c>
      <c r="E7" s="15">
        <v>2</v>
      </c>
      <c r="G7" s="13" t="str">
        <f>HYPERLINK("#'FixPlan'!A1","Server/Host")</f>
        <v>Server/Host</v>
      </c>
      <c r="H7" s="13">
        <v>5</v>
      </c>
      <c r="I7" s="13">
        <v>0</v>
      </c>
      <c r="J7" s="13">
        <v>2</v>
      </c>
      <c r="K7" s="13">
        <v>0</v>
      </c>
    </row>
    <row r="8" spans="1:11" ht="20.100000000000001" customHeight="1" x14ac:dyDescent="0.25">
      <c r="A8" s="8" t="str">
        <f>HYPERLINK("#'Technical'!A1","Pass URLs")</f>
        <v>Pass URLs</v>
      </c>
      <c r="B8" s="9">
        <v>85</v>
      </c>
      <c r="D8" s="15" t="s">
        <v>75</v>
      </c>
      <c r="E8" s="15">
        <v>0</v>
      </c>
      <c r="G8" s="13" t="str">
        <f>HYPERLINK("#'FixPlan'!A1","Copy Writer")</f>
        <v>Copy Writer</v>
      </c>
      <c r="H8" s="13">
        <v>20</v>
      </c>
      <c r="I8" s="13">
        <v>0</v>
      </c>
      <c r="J8" s="13">
        <v>1</v>
      </c>
      <c r="K8" s="13">
        <v>8</v>
      </c>
    </row>
    <row r="9" spans="1:11" ht="20.100000000000001" customHeight="1" x14ac:dyDescent="0.25">
      <c r="A9" s="8" t="str">
        <f>HYPERLINK("#'FixPlan'!A1","Critical URLs")</f>
        <v>Critical URLs</v>
      </c>
      <c r="B9" s="16">
        <v>0</v>
      </c>
      <c r="D9" s="12" t="s">
        <v>76</v>
      </c>
      <c r="E9" s="12">
        <v>0</v>
      </c>
    </row>
    <row r="10" spans="1:11" ht="20.100000000000001" customHeight="1" x14ac:dyDescent="0.25">
      <c r="A10" s="8" t="str">
        <f>HYPERLINK("#'Technical'!A1","Warning URLs")</f>
        <v>Warning URLs</v>
      </c>
      <c r="B10" s="16">
        <v>0</v>
      </c>
      <c r="D10" s="17"/>
      <c r="E10" s="17"/>
    </row>
    <row r="11" spans="1:11" ht="20.100000000000001" customHeight="1" x14ac:dyDescent="0.25">
      <c r="A11" s="8" t="str">
        <f>HYPERLINK("#'Technical'!A1","Error Rate % (4xx/5xx)")</f>
        <v>Error Rate % (4xx/5xx)</v>
      </c>
      <c r="B11" s="11">
        <f>IFERROR(2/85,0)</f>
        <v>2.3529411764705882E-2</v>
      </c>
      <c r="D11" s="17"/>
      <c r="E11" s="17"/>
    </row>
    <row r="12" spans="1:11" ht="20.100000000000001" customHeight="1" x14ac:dyDescent="0.25">
      <c r="A12" s="8" t="str">
        <f>HYPERLINK("#'Technical'!A1","Crawl Success Rate % (2xx)")</f>
        <v>Crawl Success Rate % (2xx)</v>
      </c>
      <c r="B12" s="18">
        <f>IFERROR(83/85,0)</f>
        <v>0.97647058823529409</v>
      </c>
      <c r="D12" s="7" t="s">
        <v>77</v>
      </c>
      <c r="E12" s="7" t="s">
        <v>65</v>
      </c>
      <c r="J12" s="19" t="s">
        <v>78</v>
      </c>
      <c r="K12" s="19" t="s">
        <v>2</v>
      </c>
    </row>
    <row r="13" spans="1:11" ht="20.100000000000001" customHeight="1" x14ac:dyDescent="0.25">
      <c r="A13" s="8" t="str">
        <f>HYPERLINK("#'Technical'!A1","Critical URL Rate %")</f>
        <v>Critical URL Rate %</v>
      </c>
      <c r="B13" s="18">
        <f>IFERROR(0/85,0)</f>
        <v>0</v>
      </c>
      <c r="D13" s="15" t="s">
        <v>71</v>
      </c>
      <c r="E13" s="15">
        <v>7</v>
      </c>
      <c r="J13" s="20" t="s">
        <v>79</v>
      </c>
      <c r="K13" s="21" t="str">
        <f>HYPERLINK("#FixPlan!A1","Open")</f>
        <v>Open</v>
      </c>
    </row>
    <row r="14" spans="1:11" ht="20.100000000000001" customHeight="1" x14ac:dyDescent="0.25">
      <c r="A14" s="8" t="str">
        <f>HYPERLINK("#'Technical'!A1","Warning URL Rate %")</f>
        <v>Warning URL Rate %</v>
      </c>
      <c r="B14" s="18">
        <f>IFERROR(0/85,0)</f>
        <v>0</v>
      </c>
      <c r="D14" s="12" t="s">
        <v>72</v>
      </c>
      <c r="E14" s="12">
        <v>12</v>
      </c>
      <c r="J14" s="20" t="s">
        <v>80</v>
      </c>
      <c r="K14" s="21" t="str">
        <f>HYPERLINK("#Main!A1","Open")</f>
        <v>Open</v>
      </c>
    </row>
    <row r="15" spans="1:11" ht="20.100000000000001" customHeight="1" x14ac:dyDescent="0.25">
      <c r="A15" s="22" t="s">
        <v>81</v>
      </c>
      <c r="B15" s="23">
        <v>0</v>
      </c>
      <c r="D15" s="12" t="s">
        <v>82</v>
      </c>
      <c r="E15" s="12">
        <v>0</v>
      </c>
      <c r="J15" s="20" t="s">
        <v>83</v>
      </c>
      <c r="K15" s="21" t="str">
        <f>HYPERLINK("#Technical!A1","Open")</f>
        <v>Open</v>
      </c>
    </row>
    <row r="16" spans="1:11" ht="20.100000000000001" customHeight="1" x14ac:dyDescent="0.25">
      <c r="A16" s="22" t="s">
        <v>84</v>
      </c>
      <c r="B16" s="24">
        <v>0</v>
      </c>
      <c r="D16" s="25" t="s">
        <v>85</v>
      </c>
      <c r="E16" s="25">
        <v>15</v>
      </c>
      <c r="J16" s="20" t="s">
        <v>26</v>
      </c>
      <c r="K16" s="21" t="str">
        <f>HYPERLINK("#Indexability!A1","Open")</f>
        <v>Open</v>
      </c>
    </row>
    <row r="17" spans="1:11" ht="20.100000000000001" customHeight="1" x14ac:dyDescent="0.25">
      <c r="A17" s="8" t="str">
        <f>HYPERLINK("#'Content Optimization Hub'!A1","Content Hub Readiness (%)")</f>
        <v>Content Hub Readiness (%)</v>
      </c>
      <c r="B17" s="18">
        <f>IFERROR(COUNTIF('Content Optimization Hub'!A:A,"Complete")/COUNTA('Content Optimization Hub'!E:E),0)</f>
        <v>0</v>
      </c>
      <c r="J17" s="20" t="s">
        <v>86</v>
      </c>
      <c r="K17" s="21" t="str">
        <f>HYPERLINK("#AEO!A1","Open")</f>
        <v>Open</v>
      </c>
    </row>
    <row r="18" spans="1:11" ht="20.100000000000001" customHeight="1" x14ac:dyDescent="0.25">
      <c r="A18" s="8" t="str">
        <f>HYPERLINK("#'Schema &amp; Metadata'!A1","URLs with Schema")</f>
        <v>URLs with Schema</v>
      </c>
      <c r="B18" s="16">
        <v>0</v>
      </c>
      <c r="J18" s="20" t="s">
        <v>87</v>
      </c>
      <c r="K18" s="21" t="str">
        <f>HYPERLINK("#AIOSEO!A1","Open")</f>
        <v>Open</v>
      </c>
    </row>
    <row r="19" spans="1:11" ht="20.100000000000001" customHeight="1" x14ac:dyDescent="0.25">
      <c r="A19" s="8" t="str">
        <f>HYPERLINK("#'Links'!A1","Broken Internal Links")</f>
        <v>Broken Internal Links</v>
      </c>
      <c r="B19" s="16">
        <v>0</v>
      </c>
    </row>
    <row r="20" spans="1:11" ht="20.100000000000001" customHeight="1" x14ac:dyDescent="0.25">
      <c r="E20" s="67" t="s">
        <v>88</v>
      </c>
      <c r="F20" s="66"/>
      <c r="J20" s="67" t="s">
        <v>89</v>
      </c>
      <c r="K20" s="66"/>
    </row>
    <row r="21" spans="1:11" ht="20.100000000000001" customHeight="1" x14ac:dyDescent="0.25">
      <c r="E21" s="7" t="s">
        <v>90</v>
      </c>
      <c r="F21" s="7" t="s">
        <v>91</v>
      </c>
      <c r="J21" s="65" t="s">
        <v>92</v>
      </c>
      <c r="K21" s="66"/>
    </row>
    <row r="22" spans="1:11" ht="20.100000000000001" customHeight="1" x14ac:dyDescent="0.25">
      <c r="E22" s="13" t="s">
        <v>93</v>
      </c>
      <c r="F22" s="26">
        <v>0.97647058823529409</v>
      </c>
      <c r="J22" s="66"/>
      <c r="K22" s="66"/>
    </row>
    <row r="23" spans="1:11" ht="20.100000000000001" customHeight="1" x14ac:dyDescent="0.25">
      <c r="E23" s="13" t="s">
        <v>94</v>
      </c>
      <c r="F23" s="26">
        <v>0</v>
      </c>
      <c r="J23" s="66"/>
      <c r="K23" s="66"/>
    </row>
    <row r="24" spans="1:11" ht="20.100000000000001" customHeight="1" x14ac:dyDescent="0.25">
      <c r="E24" s="7" t="s">
        <v>95</v>
      </c>
      <c r="J24" s="66"/>
      <c r="K24" s="66"/>
    </row>
    <row r="25" spans="1:11" ht="20.100000000000001" customHeight="1" x14ac:dyDescent="0.25">
      <c r="E25" s="65" t="s">
        <v>96</v>
      </c>
      <c r="F25" s="66"/>
    </row>
    <row r="26" spans="1:11" ht="20.100000000000001" customHeight="1" x14ac:dyDescent="0.25">
      <c r="E26" s="66"/>
      <c r="F26" s="66"/>
    </row>
    <row r="27" spans="1:11" ht="20.100000000000001" customHeight="1" x14ac:dyDescent="0.25">
      <c r="E27" s="66"/>
      <c r="F27" s="66"/>
    </row>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spans="2:3" ht="20.100000000000001" customHeight="1" x14ac:dyDescent="0.25"/>
    <row r="34" spans="2:3" ht="20.100000000000001" customHeight="1" x14ac:dyDescent="0.25"/>
    <row r="35" spans="2:3" ht="20.100000000000001" customHeight="1" x14ac:dyDescent="0.25"/>
    <row r="36" spans="2:3" ht="20.100000000000001" customHeight="1" x14ac:dyDescent="0.25"/>
    <row r="37" spans="2:3" ht="20.100000000000001" customHeight="1" x14ac:dyDescent="0.25"/>
    <row r="38" spans="2:3" ht="20.100000000000001" customHeight="1" x14ac:dyDescent="0.25"/>
    <row r="39" spans="2:3" ht="20.100000000000001" customHeight="1" x14ac:dyDescent="0.25"/>
    <row r="40" spans="2:3" ht="20.100000000000001" customHeight="1" x14ac:dyDescent="0.25"/>
    <row r="41" spans="2:3" ht="20.100000000000001" customHeight="1" x14ac:dyDescent="0.25"/>
    <row r="42" spans="2:3" ht="20.100000000000001" customHeight="1" x14ac:dyDescent="0.25"/>
    <row r="43" spans="2:3" ht="20.100000000000001" customHeight="1" x14ac:dyDescent="0.25"/>
    <row r="44" spans="2:3" ht="20.100000000000001" customHeight="1" x14ac:dyDescent="0.25">
      <c r="B44" s="7" t="s">
        <v>97</v>
      </c>
      <c r="C44" s="7" t="s">
        <v>70</v>
      </c>
    </row>
    <row r="45" spans="2:3" ht="20.100000000000001" customHeight="1" x14ac:dyDescent="0.25">
      <c r="B45" s="21" t="str">
        <f>HYPERLINK("#FixPlan!A8","Broken Internal Links")</f>
        <v>Broken Internal Links</v>
      </c>
      <c r="C45" s="20">
        <v>0</v>
      </c>
    </row>
    <row r="46" spans="2:3" ht="20.100000000000001" customHeight="1" x14ac:dyDescent="0.25">
      <c r="B46" s="21" t="str">
        <f>HYPERLINK("#FixPlan!A7","CWV LCP Above 4.0s")</f>
        <v>CWV LCP Above 4.0s</v>
      </c>
      <c r="C46" s="20">
        <v>0</v>
      </c>
    </row>
    <row r="47" spans="2:3" ht="20.100000000000001" customHeight="1" x14ac:dyDescent="0.25">
      <c r="B47" s="21" t="str">
        <f>HYPERLINK("#FixPlan!A5","Canonical Points Elsewhere")</f>
        <v>Canonical Points Elsewhere</v>
      </c>
      <c r="C47" s="20">
        <v>0</v>
      </c>
    </row>
    <row r="48" spans="2:3" ht="20.100000000000001" customHeight="1" x14ac:dyDescent="0.25">
      <c r="B48" s="21" t="str">
        <f>HYPERLINK("#FixPlan!A3","Missing Title")</f>
        <v>Missing Title</v>
      </c>
      <c r="C48" s="20">
        <v>0</v>
      </c>
    </row>
    <row r="49" spans="2:3" ht="20.100000000000001" customHeight="1" x14ac:dyDescent="0.25">
      <c r="B49" s="21" t="str">
        <f>HYPERLINK("#FixPlan!A4","Noindex Directive")</f>
        <v>Noindex Directive</v>
      </c>
      <c r="C49" s="20">
        <v>0</v>
      </c>
    </row>
    <row r="50" spans="2:3" ht="20.100000000000001" customHeight="1" x14ac:dyDescent="0.25"/>
    <row r="51" spans="2:3" ht="20.100000000000001" customHeight="1" x14ac:dyDescent="0.25"/>
    <row r="52" spans="2:3" ht="20.100000000000001" customHeight="1" x14ac:dyDescent="0.25"/>
    <row r="53" spans="2:3" ht="20.100000000000001" customHeight="1" x14ac:dyDescent="0.25"/>
    <row r="54" spans="2:3" ht="20.100000000000001" customHeight="1" x14ac:dyDescent="0.25"/>
    <row r="55" spans="2:3" ht="20.100000000000001" customHeight="1" x14ac:dyDescent="0.25"/>
    <row r="56" spans="2:3" ht="20.100000000000001" customHeight="1" x14ac:dyDescent="0.25"/>
    <row r="57" spans="2:3" ht="20.100000000000001" customHeight="1" x14ac:dyDescent="0.25"/>
    <row r="58" spans="2:3" ht="20.100000000000001" customHeight="1" x14ac:dyDescent="0.25"/>
    <row r="59" spans="2:3" ht="20.100000000000001" customHeight="1" x14ac:dyDescent="0.25"/>
  </sheetData>
  <autoFilter ref="A1:K69" xr:uid="{00000000-0009-0000-0000-000001000000}"/>
  <mergeCells count="5">
    <mergeCell ref="E25:F27"/>
    <mergeCell ref="E20:F20"/>
    <mergeCell ref="J20:K20"/>
    <mergeCell ref="J21:K24"/>
    <mergeCell ref="G4:K4"/>
  </mergeCells>
  <dataValidations count="30">
    <dataValidation type="custom" allowBlank="1" showInputMessage="1" promptTitle="Metric" prompt="Metric. Review this metric to identify risk, then use linked tabs for details and remediation." sqref="A1" xr:uid="{00000000-0002-0000-0100-000000000000}">
      <formula1>TRUE</formula1>
    </dataValidation>
    <dataValidation type="custom" allowBlank="1" showInputMessage="1" promptTitle="Value" prompt="Value. Review this metric to identify risk, then use linked tabs for details and remediation." sqref="B1" xr:uid="{00000000-0002-0000-0100-000001000000}">
      <formula1>TRUE</formula1>
    </dataValidation>
    <dataValidation type="custom" allowBlank="1" showInputMessage="1" promptTitle="KPI C5" prompt="Total URLs crawled in this run. Calculated as the number of audited URL rows." sqref="C5" xr:uid="{00000000-0002-0000-0100-000002000000}">
      <formula1>TRUE</formula1>
    </dataValidation>
    <dataValidation type="custom" allowBlank="1" showInputMessage="1" promptTitle="KPI C6" prompt="Overall Health Score. Calculated as average SEO Health Score across Technical URLs; fallback to SEO Pass Rate if score data is unavailable." sqref="C6" xr:uid="{00000000-0002-0000-0100-000003000000}">
      <formula1>TRUE</formula1>
    </dataValidation>
    <dataValidation type="custom" allowBlank="1" showInputMessage="1" promptTitle="KPI C7" prompt="SEO Pass Rate %. Calculated as Pass URLs divided by Total URLs." sqref="C7" xr:uid="{00000000-0002-0000-0100-000004000000}">
      <formula1>TRUE</formula1>
    </dataValidation>
    <dataValidation type="custom" allowBlank="1" showInputMessage="1" promptTitle="KPI C8" prompt="Pass URL count. URL is pass when it has no Critical and no Warning issues." sqref="C8" xr:uid="{00000000-0002-0000-0100-000005000000}">
      <formula1>TRUE</formula1>
    </dataValidation>
    <dataValidation type="custom" allowBlank="1" showInputMessage="1" promptTitle="KPI C9" prompt="Critical URL count from Technical severity badge." sqref="C9" xr:uid="{00000000-0002-0000-0100-000006000000}">
      <formula1>TRUE</formula1>
    </dataValidation>
    <dataValidation type="custom" allowBlank="1" showInputMessage="1" promptTitle="KPI C10" prompt="Warning URL count from Technical severity badge." sqref="C10" xr:uid="{00000000-0002-0000-0100-000007000000}">
      <formula1>TRUE</formula1>
    </dataValidation>
    <dataValidation type="custom" allowBlank="1" showInputMessage="1" promptTitle="KPI C11" prompt="HTTP Error Rate %. Calculated as (4xx URLs + 5xx URLs) / Total URLs." sqref="C11" xr:uid="{00000000-0002-0000-0100-000008000000}">
      <formula1>TRUE</formula1>
    </dataValidation>
    <dataValidation type="custom" allowBlank="1" showInputMessage="1" promptTitle="KPI C12" prompt="Crawl Success Rate %. Calculated as 2xx URLs / Total URLs." sqref="C12" xr:uid="{00000000-0002-0000-0100-000009000000}">
      <formula1>TRUE</formula1>
    </dataValidation>
    <dataValidation type="custom" allowBlank="1" showInputMessage="1" promptTitle="KPI C13" prompt="Critical URL Rate %. Calculated as Critical URLs / Total URLs." sqref="C13" xr:uid="{00000000-0002-0000-0100-00000A000000}">
      <formula1>TRUE</formula1>
    </dataValidation>
    <dataValidation type="custom" allowBlank="1" showInputMessage="1" promptTitle="KPI C14" prompt="Warning URL Rate %. Calculated as Warning URLs / Total URLs." sqref="C14" xr:uid="{00000000-0002-0000-0100-00000B000000}">
      <formula1>TRUE</formula1>
    </dataValidation>
    <dataValidation type="custom" allowBlank="1" showInputMessage="1" promptTitle="KPI C15" prompt="Projected Health Score if all current To Do items are completed in this cycle." sqref="C15" xr:uid="{00000000-0002-0000-0100-00000C000000}">
      <formula1>TRUE</formula1>
    </dataValidation>
    <dataValidation type="custom" allowBlank="1" showInputMessage="1" promptTitle="KPI C16" prompt="Projected Pass Rate if all current To Do items are completed in this cycle." sqref="C16" xr:uid="{00000000-0002-0000-0100-00000D000000}">
      <formula1>TRUE</formula1>
    </dataValidation>
    <dataValidation type="custom" allowBlank="1" showInputMessage="1" promptTitle="KPI C17" prompt="Content Hub Readiness %. Count of literal ``Complete`` in Action Required divided by URLs tracked in column E." sqref="C17" xr:uid="{00000000-0002-0000-0100-00000E000000}">
      <formula1>TRUE</formula1>
    </dataValidation>
    <dataValidation type="custom" allowBlank="1" showInputMessage="1" promptTitle="KPI C32" prompt="Most widespread issue from FixPlan by affected URL count." sqref="C32" xr:uid="{00000000-0002-0000-0100-00000F000000}">
      <formula1>TRUE</formula1>
    </dataValidation>
    <dataValidation type="custom" allowBlank="1" showInputMessage="1" promptTitle="KPI C33" prompt="Number of URLs impacted by the top blocking issue." sqref="C33" xr:uid="{00000000-0002-0000-0100-000010000000}">
      <formula1>TRUE</formula1>
    </dataValidation>
    <dataValidation type="custom" allowBlank="1" showInputMessage="1" promptTitle="KPI C34" prompt="Total URLs returning client/server errors (4xx + 5xx)." sqref="C34" xr:uid="{00000000-0002-0000-0100-000011000000}">
      <formula1>TRUE</formula1>
    </dataValidation>
    <dataValidation type="custom" allowBlank="1" showInputMessage="1" promptTitle="KPI C35" prompt="Average Time to First Byte across Technical URLs (ms)." sqref="C35" xr:uid="{00000000-0002-0000-0100-000012000000}">
      <formula1>TRUE</formula1>
    </dataValidation>
    <dataValidation type="custom" allowBlank="1" showInputMessage="1" promptTitle="KPI C45" prompt="Affected URL count for the highest-priority issue (linked to FixPlan)." sqref="C45" xr:uid="{00000000-0002-0000-0100-000013000000}">
      <formula1>TRUE</formula1>
    </dataValidation>
    <dataValidation type="custom" allowBlank="1" showInputMessage="1" promptTitle="KPI C46" prompt="Affected URL count for the next issue in the priority list." sqref="C46" xr:uid="{00000000-0002-0000-0100-000014000000}">
      <formula1>TRUE</formula1>
    </dataValidation>
    <dataValidation type="custom" allowBlank="1" showInputMessage="1" promptTitle="KPI C47" prompt="Affected URL count for the next issue in the priority list." sqref="C47" xr:uid="{00000000-0002-0000-0100-000015000000}">
      <formula1>TRUE</formula1>
    </dataValidation>
    <dataValidation type="custom" allowBlank="1" showInputMessage="1" promptTitle="KPI C48" prompt="Affected URL count for the next issue in the priority list." sqref="C48" xr:uid="{00000000-0002-0000-0100-000016000000}">
      <formula1>TRUE</formula1>
    </dataValidation>
    <dataValidation type="custom" allowBlank="1" showInputMessage="1" promptTitle="KPI C49" prompt="Affected URL count for the next issue in the priority list." sqref="C49" xr:uid="{00000000-0002-0000-0100-000017000000}">
      <formula1>TRUE</formula1>
    </dataValidation>
    <dataValidation type="custom" allowBlank="1" showInputMessage="1" promptTitle="KPI E5" prompt="Owner responsible for remediation. Click to open FixPlan." sqref="E5" xr:uid="{00000000-0002-0000-0100-000018000000}">
      <formula1>TRUE</formula1>
    </dataValidation>
    <dataValidation type="custom" allowBlank="1" showInputMessage="1" promptTitle="KPI F5" prompt="Number of issue rows assigned to this owner." sqref="F5" xr:uid="{00000000-0002-0000-0100-000019000000}">
      <formula1>TRUE</formula1>
    </dataValidation>
    <dataValidation type="custom" allowBlank="1" showInputMessage="1" promptTitle="KPI G5" prompt="Total affected URLs across this owner's assigned issues." sqref="G5" xr:uid="{00000000-0002-0000-0100-00001A000000}">
      <formula1>TRUE</formula1>
    </dataValidation>
    <dataValidation type="custom" allowBlank="1" showInputMessage="1" promptTitle="KPI H5" prompt="Count of critical issue types assigned to this owner." sqref="H5" xr:uid="{00000000-0002-0000-0100-00001B000000}">
      <formula1>TRUE</formula1>
    </dataValidation>
    <dataValidation type="custom" allowBlank="1" showInputMessage="1" promptTitle="KPI I5" prompt="Count of warning issue types assigned to this owner." sqref="I5" xr:uid="{00000000-0002-0000-0100-00001C000000}">
      <formula1>TRUE</formula1>
    </dataValidation>
    <dataValidation type="custom" allowBlank="1" showInputMessage="1" promptTitle="KPI J5" prompt="Count of info issue types assigned to this owner." sqref="J5" xr:uid="{00000000-0002-0000-0100-00001D000000}">
      <formula1>TRUE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7"/>
  <sheetViews>
    <sheetView workbookViewId="0">
      <pane xSplit="2" ySplit="1" topLeftCell="C2" activePane="bottomRight" state="frozen"/>
      <selection pane="topRight"/>
      <selection pane="bottomLeft"/>
      <selection pane="bottomRight"/>
    </sheetView>
  </sheetViews>
  <sheetFormatPr defaultRowHeight="15" x14ac:dyDescent="0.25"/>
  <cols>
    <col min="1" max="1" width="20" customWidth="1"/>
    <col min="2" max="2" width="8" customWidth="1"/>
    <col min="3" max="3" width="16" customWidth="1"/>
    <col min="4" max="4" width="60" customWidth="1"/>
    <col min="5" max="5" width="45" customWidth="1"/>
    <col min="6" max="6" width="60" customWidth="1"/>
    <col min="7" max="7" width="49" customWidth="1"/>
    <col min="8" max="9" width="60" customWidth="1"/>
    <col min="10" max="10" width="30" customWidth="1"/>
    <col min="11" max="11" width="13" customWidth="1"/>
    <col min="12" max="12" width="60" customWidth="1"/>
    <col min="13" max="13" width="36" customWidth="1"/>
    <col min="14" max="14" width="12" customWidth="1"/>
    <col min="15" max="15" width="60" customWidth="1"/>
    <col min="16" max="16" width="22" customWidth="1"/>
    <col min="17" max="17" width="24" customWidth="1"/>
    <col min="18" max="18" width="14" customWidth="1"/>
    <col min="19" max="19" width="60" customWidth="1"/>
    <col min="20" max="20" width="18" customWidth="1"/>
    <col min="21" max="21" width="19" customWidth="1"/>
    <col min="22" max="22" width="11" customWidth="1"/>
    <col min="23" max="23" width="18" customWidth="1"/>
    <col min="24" max="24" width="12" customWidth="1"/>
  </cols>
  <sheetData>
    <row r="1" spans="1:25" ht="27.95" customHeight="1" x14ac:dyDescent="0.25">
      <c r="A1" s="69" t="s">
        <v>98</v>
      </c>
      <c r="B1" s="66"/>
      <c r="C1" s="66"/>
      <c r="D1" s="66"/>
      <c r="E1" s="66"/>
      <c r="F1" s="66"/>
      <c r="G1" s="66"/>
      <c r="H1" s="66"/>
      <c r="I1" s="66"/>
      <c r="J1" s="66"/>
      <c r="K1" s="66"/>
      <c r="L1" s="66"/>
      <c r="M1" s="66"/>
      <c r="N1" s="66"/>
      <c r="O1" s="66"/>
      <c r="P1" s="66"/>
      <c r="Q1" s="66"/>
      <c r="R1" s="66"/>
      <c r="S1" s="66"/>
      <c r="T1" s="66"/>
      <c r="U1" s="66"/>
      <c r="V1" s="66"/>
      <c r="W1" s="66"/>
      <c r="X1" s="66"/>
      <c r="Y1" s="66"/>
    </row>
    <row r="2" spans="1:25" ht="30" x14ac:dyDescent="0.25">
      <c r="A2" s="27" t="s">
        <v>99</v>
      </c>
      <c r="B2" s="27" t="s">
        <v>64</v>
      </c>
      <c r="C2" s="27" t="s">
        <v>100</v>
      </c>
      <c r="D2" s="27" t="s">
        <v>101</v>
      </c>
      <c r="E2" s="27" t="s">
        <v>102</v>
      </c>
      <c r="F2" s="27" t="s">
        <v>103</v>
      </c>
      <c r="G2" s="27" t="s">
        <v>104</v>
      </c>
      <c r="H2" s="27" t="s">
        <v>105</v>
      </c>
      <c r="I2" s="27" t="s">
        <v>106</v>
      </c>
      <c r="J2" s="27" t="s">
        <v>107</v>
      </c>
      <c r="K2" s="27" t="s">
        <v>108</v>
      </c>
      <c r="L2" s="27" t="s">
        <v>109</v>
      </c>
      <c r="M2" s="27" t="s">
        <v>110</v>
      </c>
      <c r="N2" s="27" t="s">
        <v>111</v>
      </c>
      <c r="O2" s="27" t="s">
        <v>112</v>
      </c>
      <c r="P2" s="27" t="s">
        <v>113</v>
      </c>
      <c r="Q2" s="27" t="s">
        <v>114</v>
      </c>
      <c r="R2" s="27" t="s">
        <v>115</v>
      </c>
      <c r="S2" s="27" t="s">
        <v>116</v>
      </c>
      <c r="T2" s="27" t="s">
        <v>117</v>
      </c>
      <c r="U2" s="27" t="s">
        <v>118</v>
      </c>
      <c r="V2" s="27" t="s">
        <v>119</v>
      </c>
      <c r="W2" s="27" t="s">
        <v>120</v>
      </c>
      <c r="X2" s="27" t="s">
        <v>121</v>
      </c>
      <c r="Y2" s="27" t="s">
        <v>122</v>
      </c>
    </row>
    <row r="3" spans="1:25" ht="30" customHeight="1" x14ac:dyDescent="0.25">
      <c r="A3" s="28" t="s">
        <v>123</v>
      </c>
      <c r="B3" s="29" t="s">
        <v>124</v>
      </c>
      <c r="C3" s="28" t="s">
        <v>125</v>
      </c>
      <c r="D3" s="28" t="s">
        <v>126</v>
      </c>
      <c r="E3" s="30" t="s">
        <v>127</v>
      </c>
      <c r="F3" s="28" t="s">
        <v>128</v>
      </c>
      <c r="G3" s="28"/>
      <c r="H3" s="28" t="s">
        <v>129</v>
      </c>
      <c r="I3" s="28" t="s">
        <v>130</v>
      </c>
      <c r="J3" s="28"/>
      <c r="K3" s="28"/>
      <c r="L3" s="28" t="s">
        <v>131</v>
      </c>
      <c r="M3" s="28"/>
      <c r="N3" s="28"/>
      <c r="O3" s="28" t="s">
        <v>132</v>
      </c>
      <c r="P3" s="28"/>
      <c r="Q3" s="28"/>
      <c r="R3" s="28"/>
      <c r="S3" s="31" t="s">
        <v>133</v>
      </c>
      <c r="T3" s="28" t="e" vm="1">
        <f t="shared" ref="T3:T17" ca="1" si="0">IF(LEN(S3)&gt;0, _xlfn.IMAGE(S3), "")</f>
        <v>#VALUE!</v>
      </c>
      <c r="U3" s="28"/>
      <c r="V3" s="29">
        <v>18.75</v>
      </c>
      <c r="W3" s="29">
        <v>0</v>
      </c>
      <c r="X3" s="32">
        <v>75</v>
      </c>
      <c r="Y3" t="str">
        <f>IFERROR(HYPERLINK("#Main!A"&amp;MATCH(E2,Main!A:A,0),"Open"),HYPERLINK("#Main!A1","Open"))</f>
        <v>Open</v>
      </c>
    </row>
    <row r="4" spans="1:25" ht="30" customHeight="1" x14ac:dyDescent="0.25">
      <c r="A4" s="28" t="s">
        <v>123</v>
      </c>
      <c r="B4" s="29" t="s">
        <v>124</v>
      </c>
      <c r="C4" s="28" t="s">
        <v>125</v>
      </c>
      <c r="D4" s="28" t="s">
        <v>134</v>
      </c>
      <c r="E4" s="33" t="s">
        <v>135</v>
      </c>
      <c r="F4" s="28" t="s">
        <v>136</v>
      </c>
      <c r="G4" s="28" t="s">
        <v>137</v>
      </c>
      <c r="H4" s="28" t="s">
        <v>138</v>
      </c>
      <c r="I4" s="28" t="s">
        <v>139</v>
      </c>
      <c r="J4" s="28"/>
      <c r="K4" s="28"/>
      <c r="L4" s="28" t="s">
        <v>140</v>
      </c>
      <c r="M4" s="28"/>
      <c r="N4" s="28"/>
      <c r="O4" s="28" t="s">
        <v>141</v>
      </c>
      <c r="P4" s="28"/>
      <c r="Q4" s="28"/>
      <c r="R4" s="28"/>
      <c r="S4" s="31" t="s">
        <v>133</v>
      </c>
      <c r="T4" s="28" t="e" vm="1">
        <f t="shared" ca="1" si="0"/>
        <v>#VALUE!</v>
      </c>
      <c r="U4" s="28"/>
      <c r="V4" s="29">
        <v>18.75</v>
      </c>
      <c r="W4" s="29">
        <v>0</v>
      </c>
      <c r="X4" s="32">
        <v>75</v>
      </c>
      <c r="Y4" s="34" t="str">
        <f>IFERROR(HYPERLINK("#Main!A"&amp;MATCH(E3,Main!A:A,0),"Open"),HYPERLINK("#Main!A1","Open"))</f>
        <v>Open</v>
      </c>
    </row>
    <row r="5" spans="1:25" ht="30" customHeight="1" x14ac:dyDescent="0.25">
      <c r="A5" s="28" t="s">
        <v>142</v>
      </c>
      <c r="B5" s="29" t="s">
        <v>124</v>
      </c>
      <c r="C5" s="28" t="s">
        <v>125</v>
      </c>
      <c r="D5" s="28" t="s">
        <v>143</v>
      </c>
      <c r="E5" s="30" t="s">
        <v>144</v>
      </c>
      <c r="F5" s="28" t="s">
        <v>145</v>
      </c>
      <c r="G5" s="28" t="s">
        <v>146</v>
      </c>
      <c r="H5" s="28" t="s">
        <v>147</v>
      </c>
      <c r="I5" s="28" t="s">
        <v>148</v>
      </c>
      <c r="J5" s="28"/>
      <c r="K5" s="28"/>
      <c r="L5" s="28" t="s">
        <v>149</v>
      </c>
      <c r="M5" s="28"/>
      <c r="N5" s="28"/>
      <c r="O5" s="28" t="s">
        <v>150</v>
      </c>
      <c r="P5" s="28"/>
      <c r="Q5" s="28"/>
      <c r="R5" s="28"/>
      <c r="S5" s="31" t="s">
        <v>133</v>
      </c>
      <c r="T5" s="28" t="e" vm="1">
        <f t="shared" ca="1" si="0"/>
        <v>#VALUE!</v>
      </c>
      <c r="U5" s="28"/>
      <c r="V5" s="29">
        <v>25</v>
      </c>
      <c r="W5" s="29">
        <v>0</v>
      </c>
      <c r="X5" s="35">
        <v>100</v>
      </c>
      <c r="Y5" t="str">
        <f>IFERROR(HYPERLINK("#Main!A"&amp;MATCH(E4,Main!A:A,0),"Open"),HYPERLINK("#Main!A1","Open"))</f>
        <v>Open</v>
      </c>
    </row>
    <row r="6" spans="1:25" ht="30" customHeight="1" x14ac:dyDescent="0.25">
      <c r="A6" s="28" t="s">
        <v>142</v>
      </c>
      <c r="B6" s="29" t="s">
        <v>124</v>
      </c>
      <c r="C6" s="28" t="s">
        <v>125</v>
      </c>
      <c r="D6" s="28" t="s">
        <v>151</v>
      </c>
      <c r="E6" s="33" t="s">
        <v>152</v>
      </c>
      <c r="F6" s="28" t="s">
        <v>153</v>
      </c>
      <c r="G6" s="28" t="s">
        <v>154</v>
      </c>
      <c r="H6" s="28" t="s">
        <v>155</v>
      </c>
      <c r="I6" s="28" t="s">
        <v>156</v>
      </c>
      <c r="J6" s="28"/>
      <c r="K6" s="28"/>
      <c r="L6" s="28" t="s">
        <v>157</v>
      </c>
      <c r="M6" s="28"/>
      <c r="N6" s="28"/>
      <c r="O6" s="28" t="s">
        <v>158</v>
      </c>
      <c r="P6" s="28"/>
      <c r="Q6" s="28"/>
      <c r="R6" s="28"/>
      <c r="S6" s="31" t="s">
        <v>159</v>
      </c>
      <c r="T6" s="28" t="e" vm="1">
        <f t="shared" ca="1" si="0"/>
        <v>#VALUE!</v>
      </c>
      <c r="U6" s="28"/>
      <c r="V6" s="29">
        <v>25</v>
      </c>
      <c r="W6" s="29">
        <v>0</v>
      </c>
      <c r="X6" s="35">
        <v>100</v>
      </c>
      <c r="Y6" s="34" t="str">
        <f>IFERROR(HYPERLINK("#Main!A"&amp;MATCH(E5,Main!A:A,0),"Open"),HYPERLINK("#Main!A1","Open"))</f>
        <v>Open</v>
      </c>
    </row>
    <row r="7" spans="1:25" ht="30" customHeight="1" x14ac:dyDescent="0.25">
      <c r="A7" s="28" t="s">
        <v>123</v>
      </c>
      <c r="B7" s="29" t="s">
        <v>124</v>
      </c>
      <c r="C7" s="28" t="s">
        <v>125</v>
      </c>
      <c r="D7" s="28" t="s">
        <v>160</v>
      </c>
      <c r="E7" s="30" t="s">
        <v>161</v>
      </c>
      <c r="F7" s="28" t="s">
        <v>162</v>
      </c>
      <c r="G7" s="28" t="s">
        <v>163</v>
      </c>
      <c r="H7" s="28" t="s">
        <v>164</v>
      </c>
      <c r="I7" s="28" t="s">
        <v>165</v>
      </c>
      <c r="J7" s="28"/>
      <c r="K7" s="28"/>
      <c r="L7" s="28" t="s">
        <v>166</v>
      </c>
      <c r="M7" s="28"/>
      <c r="N7" s="28"/>
      <c r="O7" s="28" t="s">
        <v>167</v>
      </c>
      <c r="P7" s="28"/>
      <c r="Q7" s="28"/>
      <c r="R7" s="28"/>
      <c r="S7" s="31" t="s">
        <v>133</v>
      </c>
      <c r="T7" s="28" t="e" vm="1">
        <f t="shared" ca="1" si="0"/>
        <v>#VALUE!</v>
      </c>
      <c r="U7" s="28"/>
      <c r="V7" s="29">
        <v>11.25</v>
      </c>
      <c r="W7" s="29">
        <v>0</v>
      </c>
      <c r="X7" s="29">
        <v>45</v>
      </c>
      <c r="Y7" t="str">
        <f>IFERROR(HYPERLINK("#Main!A"&amp;MATCH(E6,Main!A:A,0),"Open"),HYPERLINK("#Main!A1","Open"))</f>
        <v>Open</v>
      </c>
    </row>
    <row r="8" spans="1:25" ht="30" customHeight="1" x14ac:dyDescent="0.25">
      <c r="A8" s="28" t="s">
        <v>123</v>
      </c>
      <c r="B8" s="29" t="s">
        <v>124</v>
      </c>
      <c r="C8" s="28" t="s">
        <v>125</v>
      </c>
      <c r="D8" s="28" t="s">
        <v>168</v>
      </c>
      <c r="E8" s="33" t="s">
        <v>169</v>
      </c>
      <c r="F8" s="28" t="s">
        <v>170</v>
      </c>
      <c r="G8" s="28" t="s">
        <v>171</v>
      </c>
      <c r="H8" s="28" t="s">
        <v>172</v>
      </c>
      <c r="I8" s="28" t="s">
        <v>173</v>
      </c>
      <c r="J8" s="28"/>
      <c r="K8" s="28"/>
      <c r="L8" s="28" t="s">
        <v>174</v>
      </c>
      <c r="M8" s="28"/>
      <c r="N8" s="28"/>
      <c r="O8" s="28" t="s">
        <v>175</v>
      </c>
      <c r="P8" s="28"/>
      <c r="Q8" s="28"/>
      <c r="R8" s="28"/>
      <c r="S8" s="31" t="s">
        <v>133</v>
      </c>
      <c r="T8" s="28" t="e" vm="1">
        <f t="shared" ca="1" si="0"/>
        <v>#VALUE!</v>
      </c>
      <c r="U8" s="28"/>
      <c r="V8" s="29">
        <v>11.25</v>
      </c>
      <c r="W8" s="29">
        <v>0</v>
      </c>
      <c r="X8" s="29">
        <v>45</v>
      </c>
      <c r="Y8" s="34" t="str">
        <f>IFERROR(HYPERLINK("#Main!A"&amp;MATCH(E7,Main!A:A,0),"Open"),HYPERLINK("#Main!A1","Open"))</f>
        <v>Open</v>
      </c>
    </row>
    <row r="9" spans="1:25" ht="30" customHeight="1" x14ac:dyDescent="0.25">
      <c r="A9" s="28" t="s">
        <v>123</v>
      </c>
      <c r="B9" s="29" t="s">
        <v>124</v>
      </c>
      <c r="C9" s="28" t="s">
        <v>125</v>
      </c>
      <c r="D9" s="28" t="s">
        <v>176</v>
      </c>
      <c r="E9" s="30" t="s">
        <v>177</v>
      </c>
      <c r="F9" s="28" t="s">
        <v>178</v>
      </c>
      <c r="G9" s="28" t="s">
        <v>179</v>
      </c>
      <c r="H9" s="28" t="s">
        <v>180</v>
      </c>
      <c r="I9" s="28" t="s">
        <v>181</v>
      </c>
      <c r="J9" s="28"/>
      <c r="K9" s="28"/>
      <c r="L9" s="28" t="s">
        <v>182</v>
      </c>
      <c r="M9" s="28"/>
      <c r="N9" s="28"/>
      <c r="O9" s="28" t="s">
        <v>183</v>
      </c>
      <c r="P9" s="28"/>
      <c r="Q9" s="28"/>
      <c r="R9" s="28"/>
      <c r="S9" s="31" t="s">
        <v>133</v>
      </c>
      <c r="T9" s="28" t="e" vm="1">
        <f t="shared" ca="1" si="0"/>
        <v>#VALUE!</v>
      </c>
      <c r="U9" s="28"/>
      <c r="V9" s="29">
        <v>17.5</v>
      </c>
      <c r="W9" s="29">
        <v>0</v>
      </c>
      <c r="X9" s="32">
        <v>70</v>
      </c>
      <c r="Y9" t="str">
        <f>IFERROR(HYPERLINK("#Main!A"&amp;MATCH(E8,Main!A:A,0),"Open"),HYPERLINK("#Main!A1","Open"))</f>
        <v>Open</v>
      </c>
    </row>
    <row r="10" spans="1:25" ht="30" customHeight="1" x14ac:dyDescent="0.25">
      <c r="A10" s="28" t="s">
        <v>142</v>
      </c>
      <c r="B10" s="29" t="s">
        <v>124</v>
      </c>
      <c r="C10" s="28" t="s">
        <v>125</v>
      </c>
      <c r="D10" s="28" t="s">
        <v>184</v>
      </c>
      <c r="E10" s="33" t="s">
        <v>185</v>
      </c>
      <c r="F10" s="28" t="s">
        <v>186</v>
      </c>
      <c r="G10" s="28" t="s">
        <v>187</v>
      </c>
      <c r="H10" s="28" t="s">
        <v>188</v>
      </c>
      <c r="I10" s="28" t="s">
        <v>189</v>
      </c>
      <c r="J10" s="28"/>
      <c r="K10" s="28"/>
      <c r="L10" s="28" t="s">
        <v>190</v>
      </c>
      <c r="M10" s="28"/>
      <c r="N10" s="28"/>
      <c r="O10" s="28" t="s">
        <v>191</v>
      </c>
      <c r="P10" s="28"/>
      <c r="Q10" s="28"/>
      <c r="R10" s="28"/>
      <c r="S10" s="31" t="s">
        <v>159</v>
      </c>
      <c r="T10" s="28" t="e" vm="1">
        <f t="shared" ca="1" si="0"/>
        <v>#VALUE!</v>
      </c>
      <c r="U10" s="28"/>
      <c r="V10" s="29">
        <v>25</v>
      </c>
      <c r="W10" s="29">
        <v>0</v>
      </c>
      <c r="X10" s="35">
        <v>100</v>
      </c>
      <c r="Y10" s="34" t="str">
        <f>IFERROR(HYPERLINK("#Main!A"&amp;MATCH(E9,Main!A:A,0),"Open"),HYPERLINK("#Main!A1","Open"))</f>
        <v>Open</v>
      </c>
    </row>
    <row r="11" spans="1:25" ht="30" customHeight="1" x14ac:dyDescent="0.25">
      <c r="A11" s="28" t="s">
        <v>142</v>
      </c>
      <c r="B11" s="29" t="s">
        <v>124</v>
      </c>
      <c r="C11" s="28" t="s">
        <v>125</v>
      </c>
      <c r="D11" s="28" t="s">
        <v>192</v>
      </c>
      <c r="E11" s="30" t="s">
        <v>193</v>
      </c>
      <c r="F11" s="28" t="s">
        <v>194</v>
      </c>
      <c r="G11" s="28" t="s">
        <v>195</v>
      </c>
      <c r="H11" s="28" t="s">
        <v>196</v>
      </c>
      <c r="I11" s="28" t="s">
        <v>197</v>
      </c>
      <c r="J11" s="28"/>
      <c r="K11" s="28"/>
      <c r="L11" s="28" t="s">
        <v>198</v>
      </c>
      <c r="M11" s="28"/>
      <c r="N11" s="28"/>
      <c r="O11" s="28" t="s">
        <v>199</v>
      </c>
      <c r="P11" s="28"/>
      <c r="Q11" s="28"/>
      <c r="R11" s="28"/>
      <c r="S11" s="31" t="s">
        <v>159</v>
      </c>
      <c r="T11" s="28" t="e" vm="1">
        <f t="shared" ca="1" si="0"/>
        <v>#VALUE!</v>
      </c>
      <c r="U11" s="28"/>
      <c r="V11" s="29">
        <v>25</v>
      </c>
      <c r="W11" s="29">
        <v>0</v>
      </c>
      <c r="X11" s="35">
        <v>100</v>
      </c>
      <c r="Y11" t="str">
        <f>IFERROR(HYPERLINK("#Main!A"&amp;MATCH(E10,Main!A:A,0),"Open"),HYPERLINK("#Main!A1","Open"))</f>
        <v>Open</v>
      </c>
    </row>
    <row r="12" spans="1:25" ht="30" customHeight="1" x14ac:dyDescent="0.25">
      <c r="A12" s="28" t="s">
        <v>123</v>
      </c>
      <c r="B12" s="29" t="s">
        <v>124</v>
      </c>
      <c r="C12" s="28" t="s">
        <v>125</v>
      </c>
      <c r="D12" s="28" t="s">
        <v>200</v>
      </c>
      <c r="E12" s="33" t="s">
        <v>201</v>
      </c>
      <c r="F12" s="28" t="s">
        <v>202</v>
      </c>
      <c r="G12" s="28" t="s">
        <v>203</v>
      </c>
      <c r="H12" s="28" t="s">
        <v>204</v>
      </c>
      <c r="I12" s="28" t="s">
        <v>205</v>
      </c>
      <c r="J12" s="28"/>
      <c r="K12" s="28"/>
      <c r="L12" s="28" t="s">
        <v>206</v>
      </c>
      <c r="M12" s="28"/>
      <c r="N12" s="28"/>
      <c r="O12" s="28"/>
      <c r="P12" s="28"/>
      <c r="Q12" s="28"/>
      <c r="R12" s="28"/>
      <c r="S12" s="31" t="s">
        <v>159</v>
      </c>
      <c r="T12" s="28" t="e" vm="1">
        <f t="shared" ca="1" si="0"/>
        <v>#VALUE!</v>
      </c>
      <c r="U12" s="28"/>
      <c r="V12" s="29">
        <v>6.25</v>
      </c>
      <c r="W12" s="29">
        <v>0</v>
      </c>
      <c r="X12" s="29">
        <v>25</v>
      </c>
      <c r="Y12" s="34" t="str">
        <f>IFERROR(HYPERLINK("#Main!A"&amp;MATCH(E11,Main!A:A,0),"Open"),HYPERLINK("#Main!A1","Open"))</f>
        <v>Open</v>
      </c>
    </row>
    <row r="13" spans="1:25" ht="30" customHeight="1" x14ac:dyDescent="0.25">
      <c r="A13" s="28" t="s">
        <v>123</v>
      </c>
      <c r="B13" s="29" t="s">
        <v>124</v>
      </c>
      <c r="C13" s="28" t="s">
        <v>125</v>
      </c>
      <c r="D13" s="28" t="s">
        <v>207</v>
      </c>
      <c r="E13" s="30" t="s">
        <v>208</v>
      </c>
      <c r="F13" s="28" t="s">
        <v>209</v>
      </c>
      <c r="G13" s="28" t="s">
        <v>210</v>
      </c>
      <c r="H13" s="28" t="s">
        <v>211</v>
      </c>
      <c r="I13" s="28" t="s">
        <v>212</v>
      </c>
      <c r="J13" s="28"/>
      <c r="K13" s="28"/>
      <c r="L13" s="28" t="s">
        <v>213</v>
      </c>
      <c r="M13" s="28"/>
      <c r="N13" s="28"/>
      <c r="O13" s="28" t="s">
        <v>214</v>
      </c>
      <c r="P13" s="28"/>
      <c r="Q13" s="28"/>
      <c r="R13" s="28"/>
      <c r="S13" s="31" t="s">
        <v>159</v>
      </c>
      <c r="T13" s="28" t="e" vm="1">
        <f t="shared" ca="1" si="0"/>
        <v>#VALUE!</v>
      </c>
      <c r="U13" s="28"/>
      <c r="V13" s="29">
        <v>18.75</v>
      </c>
      <c r="W13" s="29">
        <v>0</v>
      </c>
      <c r="X13" s="32">
        <v>75</v>
      </c>
      <c r="Y13" t="str">
        <f>IFERROR(HYPERLINK("#Main!A"&amp;MATCH(E12,Main!A:A,0),"Open"),HYPERLINK("#Main!A1","Open"))</f>
        <v>Open</v>
      </c>
    </row>
    <row r="14" spans="1:25" ht="30" customHeight="1" x14ac:dyDescent="0.25">
      <c r="A14" s="28" t="s">
        <v>123</v>
      </c>
      <c r="B14" s="29" t="s">
        <v>124</v>
      </c>
      <c r="C14" s="28" t="s">
        <v>125</v>
      </c>
      <c r="D14" s="28" t="s">
        <v>215</v>
      </c>
      <c r="E14" s="33" t="s">
        <v>216</v>
      </c>
      <c r="F14" s="28" t="s">
        <v>217</v>
      </c>
      <c r="G14" s="28" t="s">
        <v>218</v>
      </c>
      <c r="H14" s="28" t="s">
        <v>219</v>
      </c>
      <c r="I14" s="28" t="s">
        <v>220</v>
      </c>
      <c r="J14" s="28"/>
      <c r="K14" s="28"/>
      <c r="L14" s="28" t="s">
        <v>221</v>
      </c>
      <c r="M14" s="28"/>
      <c r="N14" s="28"/>
      <c r="O14" s="28" t="s">
        <v>222</v>
      </c>
      <c r="P14" s="28"/>
      <c r="Q14" s="28"/>
      <c r="R14" s="28"/>
      <c r="S14" s="31" t="s">
        <v>159</v>
      </c>
      <c r="T14" s="28" t="e" vm="1">
        <f t="shared" ca="1" si="0"/>
        <v>#VALUE!</v>
      </c>
      <c r="U14" s="28"/>
      <c r="V14" s="29">
        <v>11.25</v>
      </c>
      <c r="W14" s="29">
        <v>0</v>
      </c>
      <c r="X14" s="29">
        <v>45</v>
      </c>
      <c r="Y14" s="34" t="str">
        <f>IFERROR(HYPERLINK("#Main!A"&amp;MATCH(E13,Main!A:A,0),"Open"),HYPERLINK("#Main!A1","Open"))</f>
        <v>Open</v>
      </c>
    </row>
    <row r="15" spans="1:25" ht="30" customHeight="1" x14ac:dyDescent="0.25">
      <c r="A15" s="28" t="s">
        <v>123</v>
      </c>
      <c r="B15" s="29" t="s">
        <v>124</v>
      </c>
      <c r="C15" s="28" t="s">
        <v>125</v>
      </c>
      <c r="D15" s="28" t="s">
        <v>223</v>
      </c>
      <c r="E15" s="30" t="s">
        <v>224</v>
      </c>
      <c r="F15" s="28" t="s">
        <v>225</v>
      </c>
      <c r="G15" s="28" t="s">
        <v>226</v>
      </c>
      <c r="H15" s="28" t="s">
        <v>227</v>
      </c>
      <c r="I15" s="28" t="s">
        <v>228</v>
      </c>
      <c r="J15" s="28"/>
      <c r="K15" s="28"/>
      <c r="L15" s="28" t="s">
        <v>229</v>
      </c>
      <c r="M15" s="28"/>
      <c r="N15" s="28"/>
      <c r="O15" s="28" t="s">
        <v>230</v>
      </c>
      <c r="P15" s="28"/>
      <c r="Q15" s="28"/>
      <c r="R15" s="28"/>
      <c r="S15" s="31" t="s">
        <v>231</v>
      </c>
      <c r="T15" s="28" t="e" vm="1">
        <f t="shared" ca="1" si="0"/>
        <v>#VALUE!</v>
      </c>
      <c r="U15" s="28"/>
      <c r="V15" s="29">
        <v>18.75</v>
      </c>
      <c r="W15" s="29">
        <v>0</v>
      </c>
      <c r="X15" s="32">
        <v>75</v>
      </c>
      <c r="Y15" t="str">
        <f>IFERROR(HYPERLINK("#Main!A"&amp;MATCH(E14,Main!A:A,0),"Open"),HYPERLINK("#Main!A1","Open"))</f>
        <v>Open</v>
      </c>
    </row>
    <row r="16" spans="1:25" ht="30" customHeight="1" x14ac:dyDescent="0.25">
      <c r="A16" s="28" t="s">
        <v>123</v>
      </c>
      <c r="B16" s="29" t="s">
        <v>124</v>
      </c>
      <c r="C16" s="28" t="s">
        <v>125</v>
      </c>
      <c r="D16" s="28" t="s">
        <v>232</v>
      </c>
      <c r="E16" s="33" t="s">
        <v>233</v>
      </c>
      <c r="F16" s="28" t="s">
        <v>234</v>
      </c>
      <c r="G16" s="28" t="s">
        <v>235</v>
      </c>
      <c r="H16" s="28" t="s">
        <v>236</v>
      </c>
      <c r="I16" s="28" t="s">
        <v>237</v>
      </c>
      <c r="J16" s="28"/>
      <c r="K16" s="28"/>
      <c r="L16" s="28" t="s">
        <v>238</v>
      </c>
      <c r="M16" s="28"/>
      <c r="N16" s="28"/>
      <c r="O16" s="28" t="s">
        <v>239</v>
      </c>
      <c r="P16" s="28"/>
      <c r="Q16" s="28"/>
      <c r="R16" s="28"/>
      <c r="S16" s="31" t="s">
        <v>159</v>
      </c>
      <c r="T16" s="28" t="e" vm="1">
        <f t="shared" ca="1" si="0"/>
        <v>#VALUE!</v>
      </c>
      <c r="U16" s="28"/>
      <c r="V16" s="29">
        <v>18.75</v>
      </c>
      <c r="W16" s="29">
        <v>0</v>
      </c>
      <c r="X16" s="32">
        <v>75</v>
      </c>
      <c r="Y16" s="34" t="str">
        <f>IFERROR(HYPERLINK("#Main!A"&amp;MATCH(E15,Main!A:A,0),"Open"),HYPERLINK("#Main!A1","Open"))</f>
        <v>Open</v>
      </c>
    </row>
    <row r="17" spans="1:25" ht="31.5" x14ac:dyDescent="0.25">
      <c r="A17" s="28" t="s">
        <v>123</v>
      </c>
      <c r="B17" s="29" t="s">
        <v>124</v>
      </c>
      <c r="C17" s="28" t="s">
        <v>125</v>
      </c>
      <c r="D17" s="28" t="s">
        <v>240</v>
      </c>
      <c r="E17" s="30" t="s">
        <v>241</v>
      </c>
      <c r="F17" s="28" t="s">
        <v>242</v>
      </c>
      <c r="G17" s="28" t="s">
        <v>243</v>
      </c>
      <c r="H17" s="28" t="s">
        <v>244</v>
      </c>
      <c r="I17" s="28" t="s">
        <v>245</v>
      </c>
      <c r="J17" s="28"/>
      <c r="K17" s="28"/>
      <c r="L17" s="28" t="s">
        <v>246</v>
      </c>
      <c r="M17" s="28"/>
      <c r="N17" s="28"/>
      <c r="O17" s="28" t="s">
        <v>247</v>
      </c>
      <c r="P17" s="28"/>
      <c r="Q17" s="28"/>
      <c r="R17" s="28"/>
      <c r="S17" s="31" t="s">
        <v>159</v>
      </c>
      <c r="T17" s="28" t="e" vm="1">
        <f t="shared" ca="1" si="0"/>
        <v>#VALUE!</v>
      </c>
      <c r="U17" s="28"/>
      <c r="V17" s="29">
        <v>18.75</v>
      </c>
      <c r="W17" s="29">
        <v>0</v>
      </c>
      <c r="X17" s="32">
        <v>75</v>
      </c>
      <c r="Y17" t="str">
        <f>IFERROR(HYPERLINK("#Main!A"&amp;MATCH(E16,Main!A:A,0),"Open"),HYPERLINK("#Main!A1","Open"))</f>
        <v>Open</v>
      </c>
    </row>
  </sheetData>
  <autoFilter ref="A2:Y17" xr:uid="{00000000-0009-0000-0000-000002000000}"/>
  <mergeCells count="1">
    <mergeCell ref="A1:Y1"/>
  </mergeCells>
  <conditionalFormatting sqref="A3:A17">
    <cfRule type="cellIs" dxfId="72" priority="7" operator="equal">
      <formula>"Needs Copy"</formula>
    </cfRule>
    <cfRule type="cellIs" dxfId="71" priority="8" operator="equal">
      <formula>"Needs Optimization"</formula>
    </cfRule>
    <cfRule type="cellIs" dxfId="70" priority="9" operator="equal">
      <formula>"Complete"</formula>
    </cfRule>
    <cfRule type="cellIs" dxfId="69" priority="10" operator="equal">
      <formula>"Ready to Publish"</formula>
    </cfRule>
  </conditionalFormatting>
  <conditionalFormatting sqref="B2:B16">
    <cfRule type="expression" dxfId="68" priority="1" stopIfTrue="1">
      <formula>LOWER(B2)="done"</formula>
    </cfRule>
    <cfRule type="expression" dxfId="67" priority="2" stopIfTrue="1">
      <formula>OR(LOWER(B2)="to do",LOWER(B2)="in progress",LOWER(B2)="in review")</formula>
    </cfRule>
  </conditionalFormatting>
  <conditionalFormatting sqref="B3:B17">
    <cfRule type="expression" dxfId="66" priority="3" stopIfTrue="1">
      <formula>LOWER(B3)="completed"</formula>
    </cfRule>
    <cfRule type="expression" dxfId="65" priority="4" stopIfTrue="1">
      <formula>LOWER(B3)="in progress"</formula>
    </cfRule>
    <cfRule type="expression" dxfId="64" priority="5" stopIfTrue="1">
      <formula>LOWER(B3)="review"</formula>
    </cfRule>
    <cfRule type="expression" dxfId="63" priority="6" stopIfTrue="1">
      <formula>LOWER(B3)="to do"</formula>
    </cfRule>
  </conditionalFormatting>
  <dataValidations count="2">
    <dataValidation type="list" allowBlank="1" sqref="B3:B17" xr:uid="{00000000-0002-0000-0200-000000000000}">
      <formula1>"To Do,In Progress,Review,Completed"</formula1>
    </dataValidation>
    <dataValidation type="custom" allowBlank="1" showInputMessage="1" promptTitle="CONTENT HUB INSTRUCTIONS: 1. Dra" prompt="Link quality and crawl-path metric. Fix: repair broken links and improve internal linking relevance." sqref="A1" xr:uid="{00000000-0002-0000-0200-000001000000}">
      <formula1>TRUE</formula1>
    </dataValidation>
  </dataValidations>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 ref="E12" r:id="rId11" xr:uid="{00000000-0004-0000-0200-00000A000000}"/>
    <hyperlink ref="E13" r:id="rId12" xr:uid="{00000000-0004-0000-0200-00000B000000}"/>
    <hyperlink ref="E14" r:id="rId13" xr:uid="{00000000-0004-0000-0200-00000C000000}"/>
    <hyperlink ref="E15" r:id="rId14" xr:uid="{00000000-0004-0000-0200-00000D000000}"/>
    <hyperlink ref="E16" r:id="rId15" xr:uid="{00000000-0004-0000-0200-00000E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21" customWidth="1"/>
    <col min="3" max="4" width="60" customWidth="1"/>
  </cols>
  <sheetData>
    <row r="1" spans="1:5" ht="45" x14ac:dyDescent="0.25">
      <c r="A1" s="27" t="s">
        <v>1</v>
      </c>
      <c r="B1" s="27" t="s">
        <v>248</v>
      </c>
      <c r="C1" s="27" t="s">
        <v>249</v>
      </c>
      <c r="D1" s="27" t="s">
        <v>250</v>
      </c>
      <c r="E1" s="36" t="s">
        <v>251</v>
      </c>
    </row>
    <row r="2" spans="1:5" x14ac:dyDescent="0.25">
      <c r="A2" s="35" t="s">
        <v>252</v>
      </c>
      <c r="B2" s="28"/>
      <c r="C2" s="28"/>
      <c r="D2" s="28"/>
      <c r="E2" s="34"/>
    </row>
    <row r="3" spans="1:5" x14ac:dyDescent="0.25">
      <c r="A3" s="35"/>
      <c r="B3" s="37" t="s">
        <v>253</v>
      </c>
      <c r="C3" s="37" t="s">
        <v>254</v>
      </c>
      <c r="D3" s="37" t="s">
        <v>255</v>
      </c>
    </row>
    <row r="4" spans="1:5" x14ac:dyDescent="0.25">
      <c r="A4" s="35"/>
      <c r="B4" s="28" t="s">
        <v>256</v>
      </c>
      <c r="C4" s="28" t="s">
        <v>257</v>
      </c>
      <c r="D4" s="28" t="s">
        <v>258</v>
      </c>
      <c r="E4" s="34"/>
    </row>
    <row r="5" spans="1:5" x14ac:dyDescent="0.25">
      <c r="A5" s="35"/>
      <c r="B5" s="37" t="s">
        <v>104</v>
      </c>
      <c r="C5" s="37" t="s">
        <v>259</v>
      </c>
      <c r="D5" s="37" t="s">
        <v>260</v>
      </c>
    </row>
    <row r="6" spans="1:5" x14ac:dyDescent="0.25">
      <c r="A6" s="35"/>
      <c r="B6" s="28"/>
      <c r="C6" s="28"/>
      <c r="D6" s="28"/>
      <c r="E6" s="34"/>
    </row>
    <row r="7" spans="1:5" x14ac:dyDescent="0.25">
      <c r="A7" s="35" t="s">
        <v>261</v>
      </c>
      <c r="B7" s="37"/>
      <c r="C7" s="37"/>
      <c r="D7" s="37"/>
    </row>
    <row r="8" spans="1:5" x14ac:dyDescent="0.25">
      <c r="A8" s="35"/>
      <c r="B8" s="28" t="s">
        <v>262</v>
      </c>
      <c r="C8" s="28" t="s">
        <v>263</v>
      </c>
      <c r="D8" s="28" t="s">
        <v>264</v>
      </c>
      <c r="E8" s="34"/>
    </row>
    <row r="9" spans="1:5" x14ac:dyDescent="0.25">
      <c r="A9" s="35"/>
      <c r="B9" s="37" t="s">
        <v>265</v>
      </c>
      <c r="C9" s="37" t="s">
        <v>266</v>
      </c>
      <c r="D9" s="37" t="s">
        <v>267</v>
      </c>
    </row>
    <row r="10" spans="1:5" x14ac:dyDescent="0.25">
      <c r="A10" s="35"/>
      <c r="B10" s="28" t="s">
        <v>268</v>
      </c>
      <c r="C10" s="28" t="s">
        <v>269</v>
      </c>
      <c r="D10" s="28" t="s">
        <v>270</v>
      </c>
      <c r="E10" s="34"/>
    </row>
    <row r="11" spans="1:5" x14ac:dyDescent="0.25">
      <c r="A11" s="35"/>
      <c r="B11" s="37" t="s">
        <v>271</v>
      </c>
      <c r="C11" s="37" t="s">
        <v>272</v>
      </c>
      <c r="D11" s="37" t="s">
        <v>273</v>
      </c>
    </row>
    <row r="12" spans="1:5" x14ac:dyDescent="0.25">
      <c r="A12" s="35"/>
      <c r="B12" s="28"/>
      <c r="C12" s="28"/>
      <c r="D12" s="28"/>
      <c r="E12" s="34"/>
    </row>
    <row r="13" spans="1:5" x14ac:dyDescent="0.25">
      <c r="A13" s="35" t="s">
        <v>274</v>
      </c>
      <c r="B13" s="37"/>
      <c r="C13" s="37"/>
      <c r="D13" s="37"/>
    </row>
    <row r="14" spans="1:5" x14ac:dyDescent="0.25">
      <c r="A14" s="35"/>
      <c r="B14" s="28" t="s">
        <v>275</v>
      </c>
      <c r="C14" s="28" t="s">
        <v>276</v>
      </c>
      <c r="D14" s="28" t="s">
        <v>277</v>
      </c>
      <c r="E14" s="34"/>
    </row>
    <row r="15" spans="1:5" x14ac:dyDescent="0.25">
      <c r="A15" s="35"/>
      <c r="B15" s="37" t="s">
        <v>278</v>
      </c>
      <c r="C15" s="37" t="s">
        <v>279</v>
      </c>
      <c r="D15" s="37" t="s">
        <v>280</v>
      </c>
    </row>
    <row r="16" spans="1:5" x14ac:dyDescent="0.25">
      <c r="A16" s="35"/>
      <c r="B16" s="28" t="s">
        <v>281</v>
      </c>
      <c r="C16" s="28" t="s">
        <v>282</v>
      </c>
      <c r="D16" s="28" t="s">
        <v>283</v>
      </c>
      <c r="E16" s="34"/>
    </row>
    <row r="17" spans="1:5" x14ac:dyDescent="0.25">
      <c r="A17" s="35"/>
      <c r="B17" s="37"/>
      <c r="C17" s="37"/>
      <c r="D17" s="37"/>
    </row>
    <row r="18" spans="1:5" x14ac:dyDescent="0.25">
      <c r="A18" s="35" t="s">
        <v>284</v>
      </c>
      <c r="B18" s="28"/>
      <c r="C18" s="28"/>
      <c r="D18" s="28"/>
      <c r="E18" s="34"/>
    </row>
    <row r="19" spans="1:5" x14ac:dyDescent="0.25">
      <c r="A19" s="35"/>
      <c r="B19" s="37" t="s">
        <v>285</v>
      </c>
      <c r="C19" s="37" t="s">
        <v>286</v>
      </c>
      <c r="D19" s="37" t="s">
        <v>287</v>
      </c>
    </row>
    <row r="20" spans="1:5" x14ac:dyDescent="0.25">
      <c r="A20" s="35"/>
      <c r="B20" s="28" t="s">
        <v>118</v>
      </c>
      <c r="C20" s="28" t="s">
        <v>288</v>
      </c>
      <c r="D20" s="28" t="s">
        <v>289</v>
      </c>
      <c r="E20" s="34"/>
    </row>
  </sheetData>
  <autoFilter ref="A1:E20" xr:uid="{00000000-0009-0000-0000-000003000000}"/>
  <dataValidations count="5">
    <dataValidation type="custom" allowBlank="1" showInputMessage="1" promptTitle="Section" prompt="Summary grouping/navigation field. Use with hyperlinks to jump into detailed tabs." sqref="A1" xr:uid="{00000000-0002-0000-0300-000000000000}">
      <formula1>TRUE</formula1>
    </dataValidation>
    <dataValidation type="custom" allowBlank="1" showInputMessage="1" promptTitle="Item" prompt="Item. Review this metric to identify risk, then use linked tabs for details and remediation." sqref="B1" xr:uid="{00000000-0002-0000-0300-000001000000}">
      <formula1>TRUE</formula1>
    </dataValidation>
    <dataValidation type="custom" allowBlank="1" showInputMessage="1" promptTitle="Guideline" prompt="Guideline. Review this metric to identify risk, then use linked tabs for details and remediation." sqref="C1" xr:uid="{00000000-0002-0000-0300-000002000000}">
      <formula1>TRUE</formula1>
    </dataValidation>
    <dataValidation type="custom" allowBlank="1" showInputMessage="1" promptTitle="Why It Matters" prompt="Why It Matters. Review this metric to identify risk, then use linked tabs for details and remediation." sqref="D1" xr:uid="{00000000-0002-0000-0300-000003000000}">
      <formula1>TRUE</formula1>
    </dataValidation>
    <dataValidation type="custom" allowBlank="1" showInputMessage="1" promptTitle="BACK TO DASHBOARD" prompt="BACK TO DASHBOARD. Review this metric to identify risk, then use linked tabs for details and remediation." sqref="E1" xr:uid="{00000000-0002-0000-0300-000004000000}">
      <formula1>TRUE</formula1>
    </dataValidation>
  </dataValidations>
  <hyperlinks>
    <hyperlink ref="E1" location="Dashboard!A1" display="BACK TO DASHBOARD"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15" customWidth="1"/>
    <col min="6" max="6" width="22" customWidth="1"/>
    <col min="7" max="7" width="17" customWidth="1"/>
    <col min="8" max="8" width="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 min="25" max="25" width="11" customWidth="1"/>
    <col min="26" max="26" width="26" customWidth="1"/>
    <col min="27" max="27" width="12" customWidth="1"/>
    <col min="28" max="28" width="11" customWidth="1"/>
    <col min="29" max="29" width="60" customWidth="1"/>
  </cols>
  <sheetData>
    <row r="1" spans="1:32" ht="60" x14ac:dyDescent="0.25">
      <c r="A1" s="27" t="s">
        <v>290</v>
      </c>
      <c r="B1" s="27" t="s">
        <v>77</v>
      </c>
      <c r="C1" s="27" t="s">
        <v>291</v>
      </c>
      <c r="D1" s="27" t="s">
        <v>292</v>
      </c>
      <c r="E1" s="27" t="s">
        <v>70</v>
      </c>
      <c r="F1" s="27" t="s">
        <v>293</v>
      </c>
      <c r="G1" s="27" t="s">
        <v>294</v>
      </c>
      <c r="H1" s="27" t="s">
        <v>102</v>
      </c>
      <c r="I1" s="27" t="s">
        <v>295</v>
      </c>
      <c r="J1" s="27" t="s">
        <v>296</v>
      </c>
      <c r="K1" s="27" t="s">
        <v>68</v>
      </c>
      <c r="L1" s="27" t="s">
        <v>297</v>
      </c>
      <c r="M1" s="27" t="s">
        <v>298</v>
      </c>
      <c r="N1" s="27" t="s">
        <v>299</v>
      </c>
      <c r="O1" s="27" t="s">
        <v>300</v>
      </c>
      <c r="P1" s="27" t="s">
        <v>301</v>
      </c>
      <c r="Q1" s="27" t="s">
        <v>64</v>
      </c>
      <c r="R1" s="27" t="s">
        <v>302</v>
      </c>
      <c r="S1" s="27" t="s">
        <v>303</v>
      </c>
      <c r="T1" s="27" t="s">
        <v>304</v>
      </c>
      <c r="U1" s="27" t="s">
        <v>305</v>
      </c>
      <c r="V1" s="27" t="s">
        <v>306</v>
      </c>
      <c r="W1" s="27" t="s">
        <v>307</v>
      </c>
      <c r="X1" s="27" t="s">
        <v>308</v>
      </c>
      <c r="Y1" s="27" t="s">
        <v>309</v>
      </c>
      <c r="Z1" s="27" t="s">
        <v>310</v>
      </c>
      <c r="AA1" s="27" t="s">
        <v>311</v>
      </c>
      <c r="AB1" s="27" t="s">
        <v>312</v>
      </c>
      <c r="AC1" s="27" t="s">
        <v>313</v>
      </c>
      <c r="AD1" s="27" t="s">
        <v>122</v>
      </c>
      <c r="AE1" s="27" t="s">
        <v>314</v>
      </c>
      <c r="AF1" s="36" t="s">
        <v>251</v>
      </c>
    </row>
    <row r="2" spans="1:32" x14ac:dyDescent="0.25">
      <c r="A2" s="28" t="s">
        <v>315</v>
      </c>
      <c r="B2" s="29" t="s">
        <v>71</v>
      </c>
      <c r="C2" s="38">
        <v>105</v>
      </c>
      <c r="D2" s="39">
        <v>0</v>
      </c>
      <c r="E2" s="31"/>
      <c r="F2" s="28" t="s">
        <v>14</v>
      </c>
      <c r="G2" s="28" t="s">
        <v>316</v>
      </c>
      <c r="H2" s="31"/>
      <c r="I2" s="28" t="s">
        <v>317</v>
      </c>
      <c r="J2" s="28" t="s">
        <v>318</v>
      </c>
      <c r="K2" s="28" t="s">
        <v>319</v>
      </c>
      <c r="L2" s="28" t="s">
        <v>319</v>
      </c>
      <c r="M2" s="28" t="s">
        <v>320</v>
      </c>
      <c r="N2" s="28">
        <v>10</v>
      </c>
      <c r="O2" s="40">
        <v>5</v>
      </c>
      <c r="P2" s="29" t="s">
        <v>321</v>
      </c>
      <c r="Q2" s="29" t="s">
        <v>124</v>
      </c>
      <c r="R2" s="28"/>
      <c r="S2" s="41"/>
      <c r="T2" s="28" t="s">
        <v>322</v>
      </c>
      <c r="U2" s="28" t="s">
        <v>323</v>
      </c>
      <c r="V2" s="28" t="s">
        <v>324</v>
      </c>
      <c r="W2" s="28"/>
      <c r="X2" s="28" t="s">
        <v>325</v>
      </c>
      <c r="Y2" s="28" t="s">
        <v>14</v>
      </c>
      <c r="Z2" s="28" t="s">
        <v>85</v>
      </c>
      <c r="AA2" s="28">
        <v>10</v>
      </c>
      <c r="AB2" s="28">
        <v>0</v>
      </c>
      <c r="AC2" s="28" t="s">
        <v>326</v>
      </c>
      <c r="AD2" s="34" t="str">
        <f>IFERROR(HYPERLINK("#Main!A"&amp;MATCH(H2,Main!A:A,0),"Open"),HYPERLINK("#Main!A1","Open"))</f>
        <v>Open</v>
      </c>
      <c r="AE2" s="34" t="str">
        <f>IFERROR(INDEX('Content Optimization Hub'!A:A,MATCH(H2,'Content Optimization Hub'!C:C,0)),"Not in Hub")</f>
        <v>Not in Hub</v>
      </c>
      <c r="AF2" s="34"/>
    </row>
    <row r="3" spans="1:32" x14ac:dyDescent="0.25">
      <c r="A3" s="37" t="s">
        <v>327</v>
      </c>
      <c r="B3" s="29" t="s">
        <v>71</v>
      </c>
      <c r="C3" s="38">
        <v>105</v>
      </c>
      <c r="D3" s="42">
        <v>0</v>
      </c>
      <c r="E3" s="43"/>
      <c r="F3" s="37" t="s">
        <v>14</v>
      </c>
      <c r="G3" s="37" t="s">
        <v>316</v>
      </c>
      <c r="H3" s="43"/>
      <c r="I3" s="37" t="s">
        <v>328</v>
      </c>
      <c r="J3" s="37" t="s">
        <v>329</v>
      </c>
      <c r="K3" s="37" t="s">
        <v>330</v>
      </c>
      <c r="L3" s="37" t="s">
        <v>330</v>
      </c>
      <c r="M3" s="37" t="s">
        <v>320</v>
      </c>
      <c r="N3" s="37">
        <v>10</v>
      </c>
      <c r="O3" s="40">
        <v>5</v>
      </c>
      <c r="P3" s="29" t="s">
        <v>321</v>
      </c>
      <c r="Q3" s="29" t="s">
        <v>124</v>
      </c>
      <c r="R3" s="37"/>
      <c r="S3" s="44"/>
      <c r="T3" s="37" t="s">
        <v>322</v>
      </c>
      <c r="U3" s="37" t="s">
        <v>323</v>
      </c>
      <c r="V3" s="37" t="s">
        <v>324</v>
      </c>
      <c r="W3" s="37"/>
      <c r="X3" s="37" t="s">
        <v>325</v>
      </c>
      <c r="Y3" s="37" t="s">
        <v>18</v>
      </c>
      <c r="Z3" s="37" t="s">
        <v>85</v>
      </c>
      <c r="AA3" s="37">
        <v>10</v>
      </c>
      <c r="AB3" s="37">
        <v>0</v>
      </c>
      <c r="AC3" s="37" t="s">
        <v>331</v>
      </c>
      <c r="AD3" t="str">
        <f>IFERROR(HYPERLINK("#Main!A"&amp;MATCH(H3,Main!A:A,0),"Open"),HYPERLINK("#Main!A1","Open"))</f>
        <v>Open</v>
      </c>
      <c r="AE3" t="str">
        <f>IFERROR(INDEX('Content Optimization Hub'!A:A,MATCH(H3,'Content Optimization Hub'!C:C,0)),"Not in Hub")</f>
        <v>Not in Hub</v>
      </c>
    </row>
    <row r="4" spans="1:32" x14ac:dyDescent="0.25">
      <c r="A4" s="28" t="s">
        <v>332</v>
      </c>
      <c r="B4" s="29" t="s">
        <v>71</v>
      </c>
      <c r="C4" s="38">
        <v>105</v>
      </c>
      <c r="D4" s="39">
        <v>0</v>
      </c>
      <c r="E4" s="31"/>
      <c r="F4" s="28" t="s">
        <v>26</v>
      </c>
      <c r="G4" s="28" t="s">
        <v>316</v>
      </c>
      <c r="H4" s="31"/>
      <c r="I4" s="28" t="s">
        <v>333</v>
      </c>
      <c r="J4" s="28" t="s">
        <v>334</v>
      </c>
      <c r="K4" s="28" t="s">
        <v>335</v>
      </c>
      <c r="L4" s="28" t="s">
        <v>335</v>
      </c>
      <c r="M4" s="28" t="s">
        <v>320</v>
      </c>
      <c r="N4" s="28">
        <v>10</v>
      </c>
      <c r="O4" s="40">
        <v>5</v>
      </c>
      <c r="P4" s="29" t="s">
        <v>321</v>
      </c>
      <c r="Q4" s="29" t="s">
        <v>124</v>
      </c>
      <c r="R4" s="28"/>
      <c r="S4" s="41"/>
      <c r="T4" s="28" t="s">
        <v>322</v>
      </c>
      <c r="U4" s="28" t="s">
        <v>323</v>
      </c>
      <c r="V4" s="28" t="s">
        <v>324</v>
      </c>
      <c r="W4" s="28"/>
      <c r="X4" s="28" t="s">
        <v>325</v>
      </c>
      <c r="Y4" s="28" t="s">
        <v>14</v>
      </c>
      <c r="Z4" s="28" t="s">
        <v>85</v>
      </c>
      <c r="AA4" s="28">
        <v>10</v>
      </c>
      <c r="AB4" s="28">
        <v>0</v>
      </c>
      <c r="AC4" s="28" t="s">
        <v>336</v>
      </c>
      <c r="AD4" s="34" t="str">
        <f>IFERROR(HYPERLINK("#Main!A"&amp;MATCH(H4,Main!A:A,0),"Open"),HYPERLINK("#Main!A1","Open"))</f>
        <v>Open</v>
      </c>
      <c r="AE4" s="34" t="str">
        <f>IFERROR(INDEX('Content Optimization Hub'!A:A,MATCH(H4,'Content Optimization Hub'!C:C,0)),"Not in Hub")</f>
        <v>Not in Hub</v>
      </c>
      <c r="AF4" s="34"/>
    </row>
    <row r="5" spans="1:32" x14ac:dyDescent="0.25">
      <c r="A5" s="37" t="s">
        <v>337</v>
      </c>
      <c r="B5" s="29" t="s">
        <v>71</v>
      </c>
      <c r="C5" s="38">
        <v>105</v>
      </c>
      <c r="D5" s="42">
        <v>0</v>
      </c>
      <c r="E5" s="43"/>
      <c r="F5" s="37" t="s">
        <v>26</v>
      </c>
      <c r="G5" s="37" t="s">
        <v>338</v>
      </c>
      <c r="H5" s="43"/>
      <c r="I5" s="37" t="s">
        <v>339</v>
      </c>
      <c r="J5" s="37" t="s">
        <v>340</v>
      </c>
      <c r="K5" s="37" t="s">
        <v>335</v>
      </c>
      <c r="L5" s="37" t="s">
        <v>335</v>
      </c>
      <c r="M5" s="37" t="s">
        <v>320</v>
      </c>
      <c r="N5" s="37">
        <v>10</v>
      </c>
      <c r="O5" s="40">
        <v>5</v>
      </c>
      <c r="P5" s="29" t="s">
        <v>321</v>
      </c>
      <c r="Q5" s="29" t="s">
        <v>124</v>
      </c>
      <c r="R5" s="37"/>
      <c r="S5" s="44"/>
      <c r="T5" s="37" t="s">
        <v>322</v>
      </c>
      <c r="U5" s="37" t="s">
        <v>323</v>
      </c>
      <c r="V5" s="37" t="s">
        <v>324</v>
      </c>
      <c r="W5" s="37"/>
      <c r="X5" s="37" t="s">
        <v>325</v>
      </c>
      <c r="Y5" s="37" t="s">
        <v>14</v>
      </c>
      <c r="Z5" s="37" t="s">
        <v>85</v>
      </c>
      <c r="AA5" s="37">
        <v>10</v>
      </c>
      <c r="AB5" s="37">
        <v>0</v>
      </c>
      <c r="AC5" s="37" t="s">
        <v>341</v>
      </c>
      <c r="AD5" t="str">
        <f>IFERROR(HYPERLINK("#Main!A"&amp;MATCH(H5,Main!A:A,0),"Open"),HYPERLINK("#Main!A1","Open"))</f>
        <v>Open</v>
      </c>
      <c r="AE5" t="str">
        <f>IFERROR(INDEX('Content Optimization Hub'!A:A,MATCH(H5,'Content Optimization Hub'!C:C,0)),"Not in Hub")</f>
        <v>Not in Hub</v>
      </c>
    </row>
    <row r="6" spans="1:32" x14ac:dyDescent="0.25">
      <c r="A6" s="28" t="s">
        <v>342</v>
      </c>
      <c r="B6" s="29" t="s">
        <v>71</v>
      </c>
      <c r="C6" s="38">
        <v>105</v>
      </c>
      <c r="D6" s="39">
        <v>0</v>
      </c>
      <c r="E6" s="31"/>
      <c r="F6" s="28" t="s">
        <v>14</v>
      </c>
      <c r="G6" s="28" t="s">
        <v>338</v>
      </c>
      <c r="H6" s="31"/>
      <c r="I6" s="28" t="s">
        <v>343</v>
      </c>
      <c r="J6" s="28" t="s">
        <v>344</v>
      </c>
      <c r="K6" s="28" t="s">
        <v>319</v>
      </c>
      <c r="L6" s="28" t="s">
        <v>319</v>
      </c>
      <c r="M6" s="28" t="s">
        <v>320</v>
      </c>
      <c r="N6" s="28">
        <v>10</v>
      </c>
      <c r="O6" s="40">
        <v>5</v>
      </c>
      <c r="P6" s="29" t="s">
        <v>321</v>
      </c>
      <c r="Q6" s="29" t="s">
        <v>124</v>
      </c>
      <c r="R6" s="28"/>
      <c r="S6" s="41"/>
      <c r="T6" s="28" t="s">
        <v>322</v>
      </c>
      <c r="U6" s="28" t="s">
        <v>323</v>
      </c>
      <c r="V6" s="28" t="s">
        <v>324</v>
      </c>
      <c r="W6" s="28"/>
      <c r="X6" s="28" t="s">
        <v>325</v>
      </c>
      <c r="Y6" s="28" t="s">
        <v>18</v>
      </c>
      <c r="Z6" s="28" t="s">
        <v>85</v>
      </c>
      <c r="AA6" s="28">
        <v>10</v>
      </c>
      <c r="AB6" s="28">
        <v>0</v>
      </c>
      <c r="AC6" s="28" t="s">
        <v>345</v>
      </c>
      <c r="AD6" s="34" t="str">
        <f>IFERROR(HYPERLINK("#Main!A"&amp;MATCH(H6,Main!A:A,0),"Open"),HYPERLINK("#Main!A1","Open"))</f>
        <v>Open</v>
      </c>
      <c r="AE6" s="34" t="str">
        <f>IFERROR(INDEX('Content Optimization Hub'!A:A,MATCH(H6,'Content Optimization Hub'!C:C,0)),"Not in Hub")</f>
        <v>Not in Hub</v>
      </c>
      <c r="AF6" s="34"/>
    </row>
    <row r="7" spans="1:32" x14ac:dyDescent="0.25">
      <c r="A7" s="37" t="s">
        <v>346</v>
      </c>
      <c r="B7" s="29" t="s">
        <v>71</v>
      </c>
      <c r="C7" s="38">
        <v>105</v>
      </c>
      <c r="D7" s="42">
        <v>0</v>
      </c>
      <c r="E7" s="43"/>
      <c r="F7" s="37" t="s">
        <v>14</v>
      </c>
      <c r="G7" s="37" t="s">
        <v>338</v>
      </c>
      <c r="H7" s="43"/>
      <c r="I7" s="37" t="s">
        <v>343</v>
      </c>
      <c r="J7" s="37" t="s">
        <v>344</v>
      </c>
      <c r="K7" s="37" t="s">
        <v>335</v>
      </c>
      <c r="L7" s="37" t="s">
        <v>335</v>
      </c>
      <c r="M7" s="37" t="s">
        <v>320</v>
      </c>
      <c r="N7" s="37">
        <v>10</v>
      </c>
      <c r="O7" s="40">
        <v>5</v>
      </c>
      <c r="P7" s="29" t="s">
        <v>321</v>
      </c>
      <c r="Q7" s="29" t="s">
        <v>124</v>
      </c>
      <c r="R7" s="37"/>
      <c r="S7" s="44"/>
      <c r="T7" s="37" t="s">
        <v>322</v>
      </c>
      <c r="U7" s="37" t="s">
        <v>323</v>
      </c>
      <c r="V7" s="37" t="s">
        <v>324</v>
      </c>
      <c r="W7" s="37"/>
      <c r="X7" s="37" t="s">
        <v>325</v>
      </c>
      <c r="Y7" s="37" t="s">
        <v>18</v>
      </c>
      <c r="Z7" s="37" t="s">
        <v>85</v>
      </c>
      <c r="AA7" s="37">
        <v>10</v>
      </c>
      <c r="AB7" s="37">
        <v>0</v>
      </c>
      <c r="AC7" s="37" t="s">
        <v>347</v>
      </c>
      <c r="AD7" t="str">
        <f>IFERROR(HYPERLINK("#Main!A"&amp;MATCH(H7,Main!A:A,0),"Open"),HYPERLINK("#Main!A1","Open"))</f>
        <v>Open</v>
      </c>
      <c r="AE7" t="str">
        <f>IFERROR(INDEX('Content Optimization Hub'!A:A,MATCH(H7,'Content Optimization Hub'!C:C,0)),"Not in Hub")</f>
        <v>Not in Hub</v>
      </c>
    </row>
    <row r="8" spans="1:32" x14ac:dyDescent="0.25">
      <c r="A8" s="28" t="s">
        <v>348</v>
      </c>
      <c r="B8" s="29" t="s">
        <v>71</v>
      </c>
      <c r="C8" s="38">
        <v>105</v>
      </c>
      <c r="D8" s="39">
        <v>0</v>
      </c>
      <c r="E8" s="31"/>
      <c r="F8" s="28" t="s">
        <v>24</v>
      </c>
      <c r="G8" s="28" t="s">
        <v>316</v>
      </c>
      <c r="H8" s="31"/>
      <c r="I8" s="28" t="s">
        <v>349</v>
      </c>
      <c r="J8" s="28" t="s">
        <v>350</v>
      </c>
      <c r="K8" s="28" t="s">
        <v>335</v>
      </c>
      <c r="L8" s="28" t="s">
        <v>335</v>
      </c>
      <c r="M8" s="28" t="s">
        <v>320</v>
      </c>
      <c r="N8" s="28">
        <v>10</v>
      </c>
      <c r="O8" s="40">
        <v>5</v>
      </c>
      <c r="P8" s="29" t="s">
        <v>321</v>
      </c>
      <c r="Q8" s="29" t="s">
        <v>124</v>
      </c>
      <c r="R8" s="28"/>
      <c r="S8" s="41"/>
      <c r="T8" s="28" t="s">
        <v>322</v>
      </c>
      <c r="U8" s="28" t="s">
        <v>323</v>
      </c>
      <c r="V8" s="28" t="s">
        <v>324</v>
      </c>
      <c r="W8" s="28"/>
      <c r="X8" s="28" t="s">
        <v>325</v>
      </c>
      <c r="Y8" s="28" t="s">
        <v>18</v>
      </c>
      <c r="Z8" s="28" t="s">
        <v>85</v>
      </c>
      <c r="AA8" s="28">
        <v>10</v>
      </c>
      <c r="AB8" s="28">
        <v>0</v>
      </c>
      <c r="AC8" s="28" t="s">
        <v>351</v>
      </c>
      <c r="AD8" s="34" t="str">
        <f>IFERROR(HYPERLINK("#Main!A"&amp;MATCH(H8,Main!A:A,0),"Open"),HYPERLINK("#Main!A1","Open"))</f>
        <v>Open</v>
      </c>
      <c r="AE8" s="34" t="str">
        <f>IFERROR(INDEX('Content Optimization Hub'!A:A,MATCH(H8,'Content Optimization Hub'!C:C,0)),"Not in Hub")</f>
        <v>Not in Hub</v>
      </c>
      <c r="AF8" s="34"/>
    </row>
    <row r="9" spans="1:32" x14ac:dyDescent="0.25">
      <c r="A9" s="37" t="s">
        <v>352</v>
      </c>
      <c r="B9" s="32" t="s">
        <v>72</v>
      </c>
      <c r="C9" s="40">
        <v>67</v>
      </c>
      <c r="D9" s="42">
        <v>0</v>
      </c>
      <c r="E9" s="43"/>
      <c r="F9" s="37" t="s">
        <v>14</v>
      </c>
      <c r="G9" s="37" t="s">
        <v>338</v>
      </c>
      <c r="H9" s="43"/>
      <c r="I9" s="37" t="s">
        <v>343</v>
      </c>
      <c r="J9" s="37" t="s">
        <v>344</v>
      </c>
      <c r="K9" s="37" t="s">
        <v>335</v>
      </c>
      <c r="L9" s="37" t="s">
        <v>335</v>
      </c>
      <c r="M9" s="37" t="s">
        <v>353</v>
      </c>
      <c r="N9" s="37">
        <v>4</v>
      </c>
      <c r="O9" s="45">
        <v>2</v>
      </c>
      <c r="P9" s="46" t="s">
        <v>354</v>
      </c>
      <c r="Q9" s="29" t="s">
        <v>124</v>
      </c>
      <c r="R9" s="37"/>
      <c r="S9" s="44"/>
      <c r="T9" s="37" t="s">
        <v>355</v>
      </c>
      <c r="U9" s="37" t="s">
        <v>323</v>
      </c>
      <c r="V9" s="37" t="s">
        <v>324</v>
      </c>
      <c r="W9" s="37"/>
      <c r="X9" s="37" t="s">
        <v>325</v>
      </c>
      <c r="Y9" s="37" t="s">
        <v>14</v>
      </c>
      <c r="Z9" s="37" t="s">
        <v>85</v>
      </c>
      <c r="AA9" s="37">
        <v>4</v>
      </c>
      <c r="AB9" s="37">
        <v>0</v>
      </c>
      <c r="AC9" s="37" t="s">
        <v>356</v>
      </c>
      <c r="AD9" t="str">
        <f>IFERROR(HYPERLINK("#Main!A"&amp;MATCH(H9,Main!A:A,0),"Open"),HYPERLINK("#Main!A1","Open"))</f>
        <v>Open</v>
      </c>
      <c r="AE9" t="str">
        <f>IFERROR(INDEX('Content Optimization Hub'!A:A,MATCH(H9,'Content Optimization Hub'!C:C,0)),"Not in Hub")</f>
        <v>Not in Hub</v>
      </c>
    </row>
    <row r="10" spans="1:32" x14ac:dyDescent="0.25">
      <c r="A10" s="28" t="s">
        <v>357</v>
      </c>
      <c r="B10" s="32" t="s">
        <v>72</v>
      </c>
      <c r="C10" s="40">
        <v>67</v>
      </c>
      <c r="D10" s="39">
        <v>0</v>
      </c>
      <c r="E10" s="31"/>
      <c r="F10" s="28" t="s">
        <v>14</v>
      </c>
      <c r="G10" s="28" t="s">
        <v>316</v>
      </c>
      <c r="H10" s="31"/>
      <c r="I10" s="28" t="s">
        <v>358</v>
      </c>
      <c r="J10" s="28" t="s">
        <v>359</v>
      </c>
      <c r="K10" s="28" t="s">
        <v>330</v>
      </c>
      <c r="L10" s="28" t="s">
        <v>330</v>
      </c>
      <c r="M10" s="28" t="s">
        <v>353</v>
      </c>
      <c r="N10" s="28">
        <v>4</v>
      </c>
      <c r="O10" s="45">
        <v>2</v>
      </c>
      <c r="P10" s="46" t="s">
        <v>354</v>
      </c>
      <c r="Q10" s="29" t="s">
        <v>124</v>
      </c>
      <c r="R10" s="28"/>
      <c r="S10" s="41"/>
      <c r="T10" s="28" t="s">
        <v>355</v>
      </c>
      <c r="U10" s="28" t="s">
        <v>323</v>
      </c>
      <c r="V10" s="28" t="s">
        <v>324</v>
      </c>
      <c r="W10" s="28"/>
      <c r="X10" s="28" t="s">
        <v>325</v>
      </c>
      <c r="Y10" s="28" t="s">
        <v>18</v>
      </c>
      <c r="Z10" s="28" t="s">
        <v>85</v>
      </c>
      <c r="AA10" s="28">
        <v>4</v>
      </c>
      <c r="AB10" s="28">
        <v>0</v>
      </c>
      <c r="AC10" s="28" t="s">
        <v>360</v>
      </c>
      <c r="AD10" s="34" t="str">
        <f>IFERROR(HYPERLINK("#Main!A"&amp;MATCH(H10,Main!A:A,0),"Open"),HYPERLINK("#Main!A1","Open"))</f>
        <v>Open</v>
      </c>
      <c r="AE10" s="34" t="str">
        <f>IFERROR(INDEX('Content Optimization Hub'!A:A,MATCH(H10,'Content Optimization Hub'!C:C,0)),"Not in Hub")</f>
        <v>Not in Hub</v>
      </c>
      <c r="AF10" s="34"/>
    </row>
    <row r="11" spans="1:32" x14ac:dyDescent="0.25">
      <c r="A11" s="37" t="s">
        <v>361</v>
      </c>
      <c r="B11" s="32" t="s">
        <v>72</v>
      </c>
      <c r="C11" s="40">
        <v>67</v>
      </c>
      <c r="D11" s="42">
        <v>0</v>
      </c>
      <c r="E11" s="43"/>
      <c r="F11" s="37" t="s">
        <v>14</v>
      </c>
      <c r="G11" s="37" t="s">
        <v>316</v>
      </c>
      <c r="H11" s="43"/>
      <c r="I11" s="37" t="s">
        <v>343</v>
      </c>
      <c r="J11" s="37" t="s">
        <v>344</v>
      </c>
      <c r="K11" s="37" t="s">
        <v>330</v>
      </c>
      <c r="L11" s="37" t="s">
        <v>330</v>
      </c>
      <c r="M11" s="37" t="s">
        <v>353</v>
      </c>
      <c r="N11" s="37">
        <v>4</v>
      </c>
      <c r="O11" s="45">
        <v>2</v>
      </c>
      <c r="P11" s="46" t="s">
        <v>354</v>
      </c>
      <c r="Q11" s="29" t="s">
        <v>124</v>
      </c>
      <c r="R11" s="37"/>
      <c r="S11" s="44"/>
      <c r="T11" s="37" t="s">
        <v>355</v>
      </c>
      <c r="U11" s="37" t="s">
        <v>323</v>
      </c>
      <c r="V11" s="37" t="s">
        <v>324</v>
      </c>
      <c r="W11" s="37"/>
      <c r="X11" s="37" t="s">
        <v>325</v>
      </c>
      <c r="Y11" s="37" t="s">
        <v>18</v>
      </c>
      <c r="Z11" s="37" t="s">
        <v>85</v>
      </c>
      <c r="AA11" s="37">
        <v>4</v>
      </c>
      <c r="AB11" s="37">
        <v>0</v>
      </c>
      <c r="AC11" s="37" t="s">
        <v>362</v>
      </c>
      <c r="AD11" t="str">
        <f>IFERROR(HYPERLINK("#Main!A"&amp;MATCH(H11,Main!A:A,0),"Open"),HYPERLINK("#Main!A1","Open"))</f>
        <v>Open</v>
      </c>
      <c r="AE11" t="str">
        <f>IFERROR(INDEX('Content Optimization Hub'!A:A,MATCH(H11,'Content Optimization Hub'!C:C,0)),"Not in Hub")</f>
        <v>Not in Hub</v>
      </c>
    </row>
    <row r="12" spans="1:32" x14ac:dyDescent="0.25">
      <c r="A12" s="28" t="s">
        <v>363</v>
      </c>
      <c r="B12" s="32" t="s">
        <v>72</v>
      </c>
      <c r="C12" s="40">
        <v>67</v>
      </c>
      <c r="D12" s="39">
        <v>0</v>
      </c>
      <c r="E12" s="31"/>
      <c r="F12" s="28" t="s">
        <v>14</v>
      </c>
      <c r="G12" s="28" t="s">
        <v>316</v>
      </c>
      <c r="H12" s="31"/>
      <c r="I12" s="28" t="s">
        <v>343</v>
      </c>
      <c r="J12" s="28" t="s">
        <v>344</v>
      </c>
      <c r="K12" s="28" t="s">
        <v>330</v>
      </c>
      <c r="L12" s="28" t="s">
        <v>330</v>
      </c>
      <c r="M12" s="28" t="s">
        <v>353</v>
      </c>
      <c r="N12" s="28">
        <v>4</v>
      </c>
      <c r="O12" s="45">
        <v>2</v>
      </c>
      <c r="P12" s="46" t="s">
        <v>354</v>
      </c>
      <c r="Q12" s="29" t="s">
        <v>124</v>
      </c>
      <c r="R12" s="28"/>
      <c r="S12" s="41"/>
      <c r="T12" s="28" t="s">
        <v>355</v>
      </c>
      <c r="U12" s="28" t="s">
        <v>323</v>
      </c>
      <c r="V12" s="28" t="s">
        <v>324</v>
      </c>
      <c r="W12" s="28"/>
      <c r="X12" s="28" t="s">
        <v>325</v>
      </c>
      <c r="Y12" s="28" t="s">
        <v>18</v>
      </c>
      <c r="Z12" s="28" t="s">
        <v>85</v>
      </c>
      <c r="AA12" s="28">
        <v>4</v>
      </c>
      <c r="AB12" s="28">
        <v>0</v>
      </c>
      <c r="AC12" s="28" t="s">
        <v>364</v>
      </c>
      <c r="AD12" s="34" t="str">
        <f>IFERROR(HYPERLINK("#Main!A"&amp;MATCH(H12,Main!A:A,0),"Open"),HYPERLINK("#Main!A1","Open"))</f>
        <v>Open</v>
      </c>
      <c r="AE12" s="34" t="str">
        <f>IFERROR(INDEX('Content Optimization Hub'!A:A,MATCH(H12,'Content Optimization Hub'!C:C,0)),"Not in Hub")</f>
        <v>Not in Hub</v>
      </c>
      <c r="AF12" s="34"/>
    </row>
    <row r="13" spans="1:32" x14ac:dyDescent="0.25">
      <c r="A13" s="37" t="s">
        <v>365</v>
      </c>
      <c r="B13" s="32" t="s">
        <v>72</v>
      </c>
      <c r="C13" s="40">
        <v>67</v>
      </c>
      <c r="D13" s="42">
        <v>0</v>
      </c>
      <c r="E13" s="43"/>
      <c r="F13" s="37" t="s">
        <v>14</v>
      </c>
      <c r="G13" s="37" t="s">
        <v>338</v>
      </c>
      <c r="H13" s="43"/>
      <c r="I13" s="37" t="s">
        <v>343</v>
      </c>
      <c r="J13" s="37" t="s">
        <v>344</v>
      </c>
      <c r="K13" s="37" t="s">
        <v>330</v>
      </c>
      <c r="L13" s="37" t="s">
        <v>330</v>
      </c>
      <c r="M13" s="37" t="s">
        <v>353</v>
      </c>
      <c r="N13" s="37">
        <v>4</v>
      </c>
      <c r="O13" s="45">
        <v>2</v>
      </c>
      <c r="P13" s="46" t="s">
        <v>354</v>
      </c>
      <c r="Q13" s="29" t="s">
        <v>124</v>
      </c>
      <c r="R13" s="37"/>
      <c r="S13" s="44"/>
      <c r="T13" s="37" t="s">
        <v>355</v>
      </c>
      <c r="U13" s="37" t="s">
        <v>323</v>
      </c>
      <c r="V13" s="37" t="s">
        <v>324</v>
      </c>
      <c r="W13" s="37"/>
      <c r="X13" s="37" t="s">
        <v>325</v>
      </c>
      <c r="Y13" s="37" t="s">
        <v>18</v>
      </c>
      <c r="Z13" s="37" t="s">
        <v>85</v>
      </c>
      <c r="AA13" s="37">
        <v>4</v>
      </c>
      <c r="AB13" s="37">
        <v>0</v>
      </c>
      <c r="AC13" s="37" t="s">
        <v>366</v>
      </c>
      <c r="AD13" t="str">
        <f>IFERROR(HYPERLINK("#Main!A"&amp;MATCH(H13,Main!A:A,0),"Open"),HYPERLINK("#Main!A1","Open"))</f>
        <v>Open</v>
      </c>
      <c r="AE13" t="str">
        <f>IFERROR(INDEX('Content Optimization Hub'!A:A,MATCH(H13,'Content Optimization Hub'!C:C,0)),"Not in Hub")</f>
        <v>Not in Hub</v>
      </c>
    </row>
    <row r="14" spans="1:32" x14ac:dyDescent="0.25">
      <c r="A14" s="28" t="s">
        <v>367</v>
      </c>
      <c r="B14" s="32" t="s">
        <v>72</v>
      </c>
      <c r="C14" s="40">
        <v>67</v>
      </c>
      <c r="D14" s="39">
        <v>0</v>
      </c>
      <c r="E14" s="31"/>
      <c r="F14" s="28" t="s">
        <v>20</v>
      </c>
      <c r="G14" s="28" t="s">
        <v>338</v>
      </c>
      <c r="H14" s="31"/>
      <c r="I14" s="28" t="s">
        <v>368</v>
      </c>
      <c r="J14" s="28" t="s">
        <v>369</v>
      </c>
      <c r="K14" s="28" t="s">
        <v>335</v>
      </c>
      <c r="L14" s="28" t="s">
        <v>335</v>
      </c>
      <c r="M14" s="28" t="s">
        <v>353</v>
      </c>
      <c r="N14" s="28">
        <v>4</v>
      </c>
      <c r="O14" s="45">
        <v>2</v>
      </c>
      <c r="P14" s="46" t="s">
        <v>354</v>
      </c>
      <c r="Q14" s="29" t="s">
        <v>124</v>
      </c>
      <c r="R14" s="28"/>
      <c r="S14" s="41"/>
      <c r="T14" s="28" t="s">
        <v>355</v>
      </c>
      <c r="U14" s="28" t="s">
        <v>323</v>
      </c>
      <c r="V14" s="28" t="s">
        <v>324</v>
      </c>
      <c r="W14" s="28"/>
      <c r="X14" s="28" t="s">
        <v>20</v>
      </c>
      <c r="Y14" s="28" t="s">
        <v>18</v>
      </c>
      <c r="Z14" s="28" t="s">
        <v>85</v>
      </c>
      <c r="AA14" s="28">
        <v>4</v>
      </c>
      <c r="AB14" s="28">
        <v>0</v>
      </c>
      <c r="AC14" s="28" t="s">
        <v>370</v>
      </c>
      <c r="AD14" s="34" t="str">
        <f>IFERROR(HYPERLINK("#Main!A"&amp;MATCH(H14,Main!A:A,0),"Open"),HYPERLINK("#Main!A1","Open"))</f>
        <v>Open</v>
      </c>
      <c r="AE14" s="34" t="str">
        <f>IFERROR(INDEX('Content Optimization Hub'!A:A,MATCH(H14,'Content Optimization Hub'!C:C,0)),"Not in Hub")</f>
        <v>Not in Hub</v>
      </c>
      <c r="AF14" s="34"/>
    </row>
    <row r="15" spans="1:32" x14ac:dyDescent="0.25">
      <c r="A15" s="37" t="s">
        <v>371</v>
      </c>
      <c r="B15" s="32" t="s">
        <v>72</v>
      </c>
      <c r="C15" s="40">
        <v>67</v>
      </c>
      <c r="D15" s="42">
        <v>0</v>
      </c>
      <c r="E15" s="43"/>
      <c r="F15" s="37" t="s">
        <v>14</v>
      </c>
      <c r="G15" s="37" t="s">
        <v>316</v>
      </c>
      <c r="H15" s="43"/>
      <c r="I15" s="37" t="s">
        <v>343</v>
      </c>
      <c r="J15" s="37" t="s">
        <v>344</v>
      </c>
      <c r="K15" s="37" t="s">
        <v>330</v>
      </c>
      <c r="L15" s="37" t="s">
        <v>330</v>
      </c>
      <c r="M15" s="37" t="s">
        <v>353</v>
      </c>
      <c r="N15" s="37">
        <v>4</v>
      </c>
      <c r="O15" s="45">
        <v>2</v>
      </c>
      <c r="P15" s="46" t="s">
        <v>354</v>
      </c>
      <c r="Q15" s="29" t="s">
        <v>124</v>
      </c>
      <c r="R15" s="37"/>
      <c r="S15" s="44"/>
      <c r="T15" s="37" t="s">
        <v>355</v>
      </c>
      <c r="U15" s="37" t="s">
        <v>323</v>
      </c>
      <c r="V15" s="37" t="s">
        <v>324</v>
      </c>
      <c r="W15" s="37"/>
      <c r="X15" s="37" t="s">
        <v>325</v>
      </c>
      <c r="Y15" s="37" t="s">
        <v>18</v>
      </c>
      <c r="Z15" s="37" t="s">
        <v>85</v>
      </c>
      <c r="AA15" s="37">
        <v>4</v>
      </c>
      <c r="AB15" s="37">
        <v>0</v>
      </c>
      <c r="AC15" s="37" t="s">
        <v>372</v>
      </c>
      <c r="AD15" t="str">
        <f>IFERROR(HYPERLINK("#Main!A"&amp;MATCH(H15,Main!A:A,0),"Open"),HYPERLINK("#Main!A1","Open"))</f>
        <v>Open</v>
      </c>
      <c r="AE15" t="str">
        <f>IFERROR(INDEX('Content Optimization Hub'!A:A,MATCH(H15,'Content Optimization Hub'!C:C,0)),"Not in Hub")</f>
        <v>Not in Hub</v>
      </c>
    </row>
    <row r="16" spans="1:32" x14ac:dyDescent="0.25">
      <c r="A16" s="28" t="s">
        <v>373</v>
      </c>
      <c r="B16" s="32" t="s">
        <v>72</v>
      </c>
      <c r="C16" s="40">
        <v>67</v>
      </c>
      <c r="D16" s="39">
        <v>0</v>
      </c>
      <c r="E16" s="31"/>
      <c r="F16" s="28" t="s">
        <v>14</v>
      </c>
      <c r="G16" s="28" t="s">
        <v>316</v>
      </c>
      <c r="H16" s="31"/>
      <c r="I16" s="28" t="s">
        <v>343</v>
      </c>
      <c r="J16" s="28" t="s">
        <v>344</v>
      </c>
      <c r="K16" s="28" t="s">
        <v>330</v>
      </c>
      <c r="L16" s="28" t="s">
        <v>330</v>
      </c>
      <c r="M16" s="28" t="s">
        <v>353</v>
      </c>
      <c r="N16" s="28">
        <v>4</v>
      </c>
      <c r="O16" s="45">
        <v>2</v>
      </c>
      <c r="P16" s="46" t="s">
        <v>354</v>
      </c>
      <c r="Q16" s="29" t="s">
        <v>124</v>
      </c>
      <c r="R16" s="28"/>
      <c r="S16" s="41"/>
      <c r="T16" s="28" t="s">
        <v>355</v>
      </c>
      <c r="U16" s="28" t="s">
        <v>323</v>
      </c>
      <c r="V16" s="28" t="s">
        <v>324</v>
      </c>
      <c r="W16" s="28"/>
      <c r="X16" s="28" t="s">
        <v>325</v>
      </c>
      <c r="Y16" s="28" t="s">
        <v>18</v>
      </c>
      <c r="Z16" s="28" t="s">
        <v>85</v>
      </c>
      <c r="AA16" s="28">
        <v>4</v>
      </c>
      <c r="AB16" s="28">
        <v>0</v>
      </c>
      <c r="AC16" s="28" t="s">
        <v>374</v>
      </c>
      <c r="AD16" s="34" t="str">
        <f>IFERROR(HYPERLINK("#Main!A"&amp;MATCH(H16,Main!A:A,0),"Open"),HYPERLINK("#Main!A1","Open"))</f>
        <v>Open</v>
      </c>
      <c r="AE16" s="34" t="str">
        <f>IFERROR(INDEX('Content Optimization Hub'!A:A,MATCH(H16,'Content Optimization Hub'!C:C,0)),"Not in Hub")</f>
        <v>Not in Hub</v>
      </c>
      <c r="AF16" s="34"/>
    </row>
    <row r="17" spans="1:32" x14ac:dyDescent="0.25">
      <c r="A17" s="37" t="s">
        <v>375</v>
      </c>
      <c r="B17" s="32" t="s">
        <v>72</v>
      </c>
      <c r="C17" s="40">
        <v>67</v>
      </c>
      <c r="D17" s="42">
        <v>0</v>
      </c>
      <c r="E17" s="43"/>
      <c r="F17" s="37" t="s">
        <v>14</v>
      </c>
      <c r="G17" s="37" t="s">
        <v>316</v>
      </c>
      <c r="H17" s="43"/>
      <c r="I17" s="37" t="s">
        <v>376</v>
      </c>
      <c r="J17" s="37" t="s">
        <v>377</v>
      </c>
      <c r="K17" s="37" t="s">
        <v>335</v>
      </c>
      <c r="L17" s="37" t="s">
        <v>335</v>
      </c>
      <c r="M17" s="37" t="s">
        <v>353</v>
      </c>
      <c r="N17" s="37">
        <v>4</v>
      </c>
      <c r="O17" s="45">
        <v>2</v>
      </c>
      <c r="P17" s="46" t="s">
        <v>354</v>
      </c>
      <c r="Q17" s="29" t="s">
        <v>124</v>
      </c>
      <c r="R17" s="37"/>
      <c r="S17" s="44"/>
      <c r="T17" s="37" t="s">
        <v>355</v>
      </c>
      <c r="U17" s="37" t="s">
        <v>323</v>
      </c>
      <c r="V17" s="37" t="s">
        <v>324</v>
      </c>
      <c r="W17" s="37"/>
      <c r="X17" s="37" t="s">
        <v>325</v>
      </c>
      <c r="Y17" s="37" t="s">
        <v>18</v>
      </c>
      <c r="Z17" s="37" t="s">
        <v>85</v>
      </c>
      <c r="AA17" s="37">
        <v>4</v>
      </c>
      <c r="AB17" s="37">
        <v>0</v>
      </c>
      <c r="AC17" s="37" t="s">
        <v>378</v>
      </c>
      <c r="AD17" t="str">
        <f>IFERROR(HYPERLINK("#Main!A"&amp;MATCH(H17,Main!A:A,0),"Open"),HYPERLINK("#Main!A1","Open"))</f>
        <v>Open</v>
      </c>
      <c r="AE17" t="str">
        <f>IFERROR(INDEX('Content Optimization Hub'!A:A,MATCH(H17,'Content Optimization Hub'!C:C,0)),"Not in Hub")</f>
        <v>Not in Hub</v>
      </c>
    </row>
    <row r="18" spans="1:32" x14ac:dyDescent="0.25">
      <c r="A18" s="28" t="s">
        <v>379</v>
      </c>
      <c r="B18" s="32" t="s">
        <v>72</v>
      </c>
      <c r="C18" s="40">
        <v>67</v>
      </c>
      <c r="D18" s="39">
        <v>0</v>
      </c>
      <c r="E18" s="31"/>
      <c r="F18" s="28" t="s">
        <v>26</v>
      </c>
      <c r="G18" s="28" t="s">
        <v>338</v>
      </c>
      <c r="H18" s="31"/>
      <c r="I18" s="28" t="s">
        <v>343</v>
      </c>
      <c r="J18" s="28" t="s">
        <v>344</v>
      </c>
      <c r="K18" s="28" t="s">
        <v>335</v>
      </c>
      <c r="L18" s="28" t="s">
        <v>335</v>
      </c>
      <c r="M18" s="28" t="s">
        <v>353</v>
      </c>
      <c r="N18" s="28">
        <v>4</v>
      </c>
      <c r="O18" s="45">
        <v>2</v>
      </c>
      <c r="P18" s="46" t="s">
        <v>354</v>
      </c>
      <c r="Q18" s="29" t="s">
        <v>124</v>
      </c>
      <c r="R18" s="28"/>
      <c r="S18" s="41"/>
      <c r="T18" s="28" t="s">
        <v>355</v>
      </c>
      <c r="U18" s="28" t="s">
        <v>323</v>
      </c>
      <c r="V18" s="28" t="s">
        <v>324</v>
      </c>
      <c r="W18" s="28"/>
      <c r="X18" s="28" t="s">
        <v>325</v>
      </c>
      <c r="Y18" s="28" t="s">
        <v>14</v>
      </c>
      <c r="Z18" s="28" t="s">
        <v>85</v>
      </c>
      <c r="AA18" s="28">
        <v>4</v>
      </c>
      <c r="AB18" s="28">
        <v>0</v>
      </c>
      <c r="AC18" s="28" t="s">
        <v>380</v>
      </c>
      <c r="AD18" s="34" t="str">
        <f>IFERROR(HYPERLINK("#Main!A"&amp;MATCH(H18,Main!A:A,0),"Open"),HYPERLINK("#Main!A1","Open"))</f>
        <v>Open</v>
      </c>
      <c r="AE18" s="34" t="str">
        <f>IFERROR(INDEX('Content Optimization Hub'!A:A,MATCH(H18,'Content Optimization Hub'!C:C,0)),"Not in Hub")</f>
        <v>Not in Hub</v>
      </c>
      <c r="AF18" s="34"/>
    </row>
    <row r="19" spans="1:32" x14ac:dyDescent="0.25">
      <c r="A19" s="37" t="s">
        <v>381</v>
      </c>
      <c r="B19" s="32" t="s">
        <v>72</v>
      </c>
      <c r="C19" s="40">
        <v>67</v>
      </c>
      <c r="D19" s="42">
        <v>0</v>
      </c>
      <c r="E19" s="43"/>
      <c r="F19" s="37" t="s">
        <v>14</v>
      </c>
      <c r="G19" s="37" t="s">
        <v>316</v>
      </c>
      <c r="H19" s="43"/>
      <c r="I19" s="37" t="s">
        <v>343</v>
      </c>
      <c r="J19" s="37" t="s">
        <v>344</v>
      </c>
      <c r="K19" s="37" t="s">
        <v>330</v>
      </c>
      <c r="L19" s="37" t="s">
        <v>330</v>
      </c>
      <c r="M19" s="37" t="s">
        <v>353</v>
      </c>
      <c r="N19" s="37">
        <v>4</v>
      </c>
      <c r="O19" s="45">
        <v>2</v>
      </c>
      <c r="P19" s="46" t="s">
        <v>354</v>
      </c>
      <c r="Q19" s="29" t="s">
        <v>124</v>
      </c>
      <c r="R19" s="37"/>
      <c r="S19" s="44"/>
      <c r="T19" s="37" t="s">
        <v>355</v>
      </c>
      <c r="U19" s="37" t="s">
        <v>323</v>
      </c>
      <c r="V19" s="37" t="s">
        <v>324</v>
      </c>
      <c r="W19" s="37"/>
      <c r="X19" s="37" t="s">
        <v>325</v>
      </c>
      <c r="Y19" s="37" t="s">
        <v>18</v>
      </c>
      <c r="Z19" s="37" t="s">
        <v>85</v>
      </c>
      <c r="AA19" s="37">
        <v>4</v>
      </c>
      <c r="AB19" s="37">
        <v>0</v>
      </c>
      <c r="AC19" s="37" t="s">
        <v>382</v>
      </c>
      <c r="AD19" t="str">
        <f>IFERROR(HYPERLINK("#Main!A"&amp;MATCH(H19,Main!A:A,0),"Open"),HYPERLINK("#Main!A1","Open"))</f>
        <v>Open</v>
      </c>
      <c r="AE19" t="str">
        <f>IFERROR(INDEX('Content Optimization Hub'!A:A,MATCH(H19,'Content Optimization Hub'!C:C,0)),"Not in Hub")</f>
        <v>Not in Hub</v>
      </c>
    </row>
    <row r="20" spans="1:32" x14ac:dyDescent="0.25">
      <c r="A20" s="28" t="s">
        <v>383</v>
      </c>
      <c r="B20" s="32" t="s">
        <v>72</v>
      </c>
      <c r="C20" s="40">
        <v>67</v>
      </c>
      <c r="D20" s="39">
        <v>0</v>
      </c>
      <c r="E20" s="31"/>
      <c r="F20" s="28" t="s">
        <v>20</v>
      </c>
      <c r="G20" s="28" t="s">
        <v>316</v>
      </c>
      <c r="H20" s="31"/>
      <c r="I20" s="28" t="s">
        <v>384</v>
      </c>
      <c r="J20" s="28" t="s">
        <v>385</v>
      </c>
      <c r="K20" s="28" t="s">
        <v>330</v>
      </c>
      <c r="L20" s="28" t="s">
        <v>330</v>
      </c>
      <c r="M20" s="28" t="s">
        <v>353</v>
      </c>
      <c r="N20" s="28">
        <v>4</v>
      </c>
      <c r="O20" s="45">
        <v>2</v>
      </c>
      <c r="P20" s="46" t="s">
        <v>354</v>
      </c>
      <c r="Q20" s="29" t="s">
        <v>124</v>
      </c>
      <c r="R20" s="28"/>
      <c r="S20" s="41"/>
      <c r="T20" s="28" t="s">
        <v>355</v>
      </c>
      <c r="U20" s="28" t="s">
        <v>323</v>
      </c>
      <c r="V20" s="28" t="s">
        <v>324</v>
      </c>
      <c r="W20" s="28"/>
      <c r="X20" s="28" t="s">
        <v>20</v>
      </c>
      <c r="Y20" s="28" t="s">
        <v>18</v>
      </c>
      <c r="Z20" s="28" t="s">
        <v>85</v>
      </c>
      <c r="AA20" s="28">
        <v>4</v>
      </c>
      <c r="AB20" s="28">
        <v>0</v>
      </c>
      <c r="AC20" s="28" t="s">
        <v>386</v>
      </c>
      <c r="AD20" s="34" t="str">
        <f>IFERROR(HYPERLINK("#Main!A"&amp;MATCH(H20,Main!A:A,0),"Open"),HYPERLINK("#Main!A1","Open"))</f>
        <v>Open</v>
      </c>
      <c r="AE20" s="34" t="str">
        <f>IFERROR(INDEX('Content Optimization Hub'!A:A,MATCH(H20,'Content Optimization Hub'!C:C,0)),"Not in Hub")</f>
        <v>Not in Hub</v>
      </c>
      <c r="AF20" s="34"/>
    </row>
    <row r="21" spans="1:32" x14ac:dyDescent="0.25">
      <c r="A21" s="35" t="s">
        <v>387</v>
      </c>
      <c r="B21" s="47" t="s">
        <v>388</v>
      </c>
      <c r="C21" s="48">
        <v>37</v>
      </c>
      <c r="D21" s="42">
        <v>0</v>
      </c>
      <c r="E21" s="43"/>
      <c r="F21" s="37" t="s">
        <v>14</v>
      </c>
      <c r="G21" s="37" t="s">
        <v>316</v>
      </c>
      <c r="H21" s="43"/>
      <c r="I21" s="37" t="s">
        <v>343</v>
      </c>
      <c r="J21" s="37" t="s">
        <v>344</v>
      </c>
      <c r="K21" s="37" t="s">
        <v>335</v>
      </c>
      <c r="L21" s="37" t="s">
        <v>335</v>
      </c>
      <c r="M21" s="37" t="s">
        <v>353</v>
      </c>
      <c r="N21" s="37">
        <v>4</v>
      </c>
      <c r="O21" s="45">
        <v>2</v>
      </c>
      <c r="P21" s="47" t="s">
        <v>389</v>
      </c>
      <c r="Q21" s="37" t="s">
        <v>390</v>
      </c>
      <c r="R21" s="37"/>
      <c r="S21" s="44"/>
      <c r="T21" s="37" t="s">
        <v>391</v>
      </c>
      <c r="U21" s="37" t="s">
        <v>392</v>
      </c>
      <c r="V21" s="37" t="s">
        <v>324</v>
      </c>
      <c r="W21" s="37"/>
      <c r="X21" s="37" t="s">
        <v>325</v>
      </c>
      <c r="Y21" s="37" t="s">
        <v>18</v>
      </c>
      <c r="Z21" s="37" t="s">
        <v>85</v>
      </c>
      <c r="AA21" s="37">
        <v>4</v>
      </c>
      <c r="AB21" s="37">
        <v>0</v>
      </c>
      <c r="AC21" s="37" t="s">
        <v>393</v>
      </c>
      <c r="AD21" t="str">
        <f>IFERROR(HYPERLINK("#Main!A"&amp;MATCH(H21,Main!A:A,0),"Open"),HYPERLINK("#Main!A1","Open"))</f>
        <v>Open</v>
      </c>
      <c r="AE21" t="str">
        <f>IFERROR(INDEX('Content Optimization Hub'!A:A,MATCH(H21,'Content Optimization Hub'!C:C,0)),"Not in Hub")</f>
        <v>Not in Hub</v>
      </c>
    </row>
    <row r="22" spans="1:32" x14ac:dyDescent="0.25">
      <c r="A22" s="35" t="s">
        <v>394</v>
      </c>
      <c r="B22" s="47" t="s">
        <v>388</v>
      </c>
      <c r="C22" s="48">
        <v>37</v>
      </c>
      <c r="D22" s="39">
        <v>0</v>
      </c>
      <c r="E22" s="31"/>
      <c r="F22" s="28" t="s">
        <v>24</v>
      </c>
      <c r="G22" s="28" t="s">
        <v>316</v>
      </c>
      <c r="H22" s="31"/>
      <c r="I22" s="28" t="s">
        <v>343</v>
      </c>
      <c r="J22" s="28" t="s">
        <v>344</v>
      </c>
      <c r="K22" s="28" t="s">
        <v>330</v>
      </c>
      <c r="L22" s="28" t="s">
        <v>330</v>
      </c>
      <c r="M22" s="28" t="s">
        <v>353</v>
      </c>
      <c r="N22" s="28">
        <v>4</v>
      </c>
      <c r="O22" s="45">
        <v>2</v>
      </c>
      <c r="P22" s="47" t="s">
        <v>389</v>
      </c>
      <c r="Q22" s="28" t="s">
        <v>390</v>
      </c>
      <c r="R22" s="28"/>
      <c r="S22" s="41"/>
      <c r="T22" s="28" t="s">
        <v>391</v>
      </c>
      <c r="U22" s="28" t="s">
        <v>392</v>
      </c>
      <c r="V22" s="28" t="s">
        <v>324</v>
      </c>
      <c r="W22" s="28"/>
      <c r="X22" s="28" t="s">
        <v>325</v>
      </c>
      <c r="Y22" s="28" t="s">
        <v>18</v>
      </c>
      <c r="Z22" s="28" t="s">
        <v>85</v>
      </c>
      <c r="AA22" s="28">
        <v>4</v>
      </c>
      <c r="AB22" s="28">
        <v>0</v>
      </c>
      <c r="AC22" s="28" t="s">
        <v>395</v>
      </c>
      <c r="AD22" s="34" t="str">
        <f>IFERROR(HYPERLINK("#Main!A"&amp;MATCH(H22,Main!A:A,0),"Open"),HYPERLINK("#Main!A1","Open"))</f>
        <v>Open</v>
      </c>
      <c r="AE22" s="34" t="str">
        <f>IFERROR(INDEX('Content Optimization Hub'!A:A,MATCH(H22,'Content Optimization Hub'!C:C,0)),"Not in Hub")</f>
        <v>Not in Hub</v>
      </c>
      <c r="AF22" s="34"/>
    </row>
    <row r="23" spans="1:32" x14ac:dyDescent="0.25">
      <c r="A23" s="35" t="s">
        <v>396</v>
      </c>
      <c r="B23" s="47" t="s">
        <v>388</v>
      </c>
      <c r="C23" s="48">
        <v>37</v>
      </c>
      <c r="D23" s="42">
        <v>0</v>
      </c>
      <c r="E23" s="43"/>
      <c r="F23" s="37" t="s">
        <v>14</v>
      </c>
      <c r="G23" s="37" t="s">
        <v>316</v>
      </c>
      <c r="H23" s="43"/>
      <c r="I23" s="37" t="s">
        <v>343</v>
      </c>
      <c r="J23" s="37" t="s">
        <v>344</v>
      </c>
      <c r="K23" s="37" t="s">
        <v>330</v>
      </c>
      <c r="L23" s="37" t="s">
        <v>330</v>
      </c>
      <c r="M23" s="37" t="s">
        <v>353</v>
      </c>
      <c r="N23" s="37">
        <v>4</v>
      </c>
      <c r="O23" s="45">
        <v>2</v>
      </c>
      <c r="P23" s="47" t="s">
        <v>389</v>
      </c>
      <c r="Q23" s="37" t="s">
        <v>390</v>
      </c>
      <c r="R23" s="37"/>
      <c r="S23" s="44"/>
      <c r="T23" s="37" t="s">
        <v>391</v>
      </c>
      <c r="U23" s="37" t="s">
        <v>392</v>
      </c>
      <c r="V23" s="37" t="s">
        <v>324</v>
      </c>
      <c r="W23" s="37"/>
      <c r="X23" s="37" t="s">
        <v>325</v>
      </c>
      <c r="Y23" s="37" t="s">
        <v>18</v>
      </c>
      <c r="Z23" s="37" t="s">
        <v>85</v>
      </c>
      <c r="AA23" s="37">
        <v>4</v>
      </c>
      <c r="AB23" s="37">
        <v>0</v>
      </c>
      <c r="AC23" s="37" t="s">
        <v>397</v>
      </c>
      <c r="AD23" t="str">
        <f>IFERROR(HYPERLINK("#Main!A"&amp;MATCH(H23,Main!A:A,0),"Open"),HYPERLINK("#Main!A1","Open"))</f>
        <v>Open</v>
      </c>
      <c r="AE23" t="str">
        <f>IFERROR(INDEX('Content Optimization Hub'!A:A,MATCH(H23,'Content Optimization Hub'!C:C,0)),"Not in Hub")</f>
        <v>Not in Hub</v>
      </c>
    </row>
    <row r="24" spans="1:32" x14ac:dyDescent="0.25">
      <c r="A24" s="35" t="s">
        <v>398</v>
      </c>
      <c r="B24" s="47" t="s">
        <v>388</v>
      </c>
      <c r="C24" s="48">
        <v>37</v>
      </c>
      <c r="D24" s="39">
        <v>0</v>
      </c>
      <c r="E24" s="31"/>
      <c r="F24" s="28" t="s">
        <v>14</v>
      </c>
      <c r="G24" s="28" t="s">
        <v>338</v>
      </c>
      <c r="H24" s="31"/>
      <c r="I24" s="28" t="s">
        <v>343</v>
      </c>
      <c r="J24" s="28" t="s">
        <v>344</v>
      </c>
      <c r="K24" s="28" t="s">
        <v>319</v>
      </c>
      <c r="L24" s="28" t="s">
        <v>319</v>
      </c>
      <c r="M24" s="28" t="s">
        <v>353</v>
      </c>
      <c r="N24" s="28">
        <v>4</v>
      </c>
      <c r="O24" s="45">
        <v>2</v>
      </c>
      <c r="P24" s="47" t="s">
        <v>389</v>
      </c>
      <c r="Q24" s="28" t="s">
        <v>390</v>
      </c>
      <c r="R24" s="28"/>
      <c r="S24" s="41"/>
      <c r="T24" s="28" t="s">
        <v>391</v>
      </c>
      <c r="U24" s="28" t="s">
        <v>392</v>
      </c>
      <c r="V24" s="28" t="s">
        <v>324</v>
      </c>
      <c r="W24" s="28"/>
      <c r="X24" s="28" t="s">
        <v>325</v>
      </c>
      <c r="Y24" s="28" t="s">
        <v>18</v>
      </c>
      <c r="Z24" s="28" t="s">
        <v>85</v>
      </c>
      <c r="AA24" s="28">
        <v>4</v>
      </c>
      <c r="AB24" s="28">
        <v>0</v>
      </c>
      <c r="AC24" s="28" t="s">
        <v>399</v>
      </c>
      <c r="AD24" s="34" t="str">
        <f>IFERROR(HYPERLINK("#Main!A"&amp;MATCH(H24,Main!A:A,0),"Open"),HYPERLINK("#Main!A1","Open"))</f>
        <v>Open</v>
      </c>
      <c r="AE24" s="34" t="str">
        <f>IFERROR(INDEX('Content Optimization Hub'!A:A,MATCH(H24,'Content Optimization Hub'!C:C,0)),"Not in Hub")</f>
        <v>Not in Hub</v>
      </c>
      <c r="AF24" s="34"/>
    </row>
    <row r="25" spans="1:32" x14ac:dyDescent="0.25">
      <c r="A25" s="35" t="s">
        <v>400</v>
      </c>
      <c r="B25" s="47" t="s">
        <v>388</v>
      </c>
      <c r="C25" s="48">
        <v>37</v>
      </c>
      <c r="D25" s="42">
        <v>0</v>
      </c>
      <c r="E25" s="43"/>
      <c r="F25" s="37" t="s">
        <v>14</v>
      </c>
      <c r="G25" s="37" t="s">
        <v>338</v>
      </c>
      <c r="H25" s="43"/>
      <c r="I25" s="37" t="s">
        <v>343</v>
      </c>
      <c r="J25" s="37" t="s">
        <v>344</v>
      </c>
      <c r="K25" s="37" t="s">
        <v>319</v>
      </c>
      <c r="L25" s="37" t="s">
        <v>319</v>
      </c>
      <c r="M25" s="37" t="s">
        <v>353</v>
      </c>
      <c r="N25" s="37">
        <v>4</v>
      </c>
      <c r="O25" s="45">
        <v>2</v>
      </c>
      <c r="P25" s="47" t="s">
        <v>389</v>
      </c>
      <c r="Q25" s="37" t="s">
        <v>390</v>
      </c>
      <c r="R25" s="37"/>
      <c r="S25" s="44"/>
      <c r="T25" s="37" t="s">
        <v>391</v>
      </c>
      <c r="U25" s="37" t="s">
        <v>392</v>
      </c>
      <c r="V25" s="37" t="s">
        <v>324</v>
      </c>
      <c r="W25" s="37"/>
      <c r="X25" s="37" t="s">
        <v>325</v>
      </c>
      <c r="Y25" s="37" t="s">
        <v>18</v>
      </c>
      <c r="Z25" s="37" t="s">
        <v>85</v>
      </c>
      <c r="AA25" s="37">
        <v>4</v>
      </c>
      <c r="AB25" s="37">
        <v>0</v>
      </c>
      <c r="AC25" s="37" t="s">
        <v>401</v>
      </c>
      <c r="AD25" t="str">
        <f>IFERROR(HYPERLINK("#Main!A"&amp;MATCH(H25,Main!A:A,0),"Open"),HYPERLINK("#Main!A1","Open"))</f>
        <v>Open</v>
      </c>
      <c r="AE25" t="str">
        <f>IFERROR(INDEX('Content Optimization Hub'!A:A,MATCH(H25,'Content Optimization Hub'!C:C,0)),"Not in Hub")</f>
        <v>Not in Hub</v>
      </c>
    </row>
    <row r="26" spans="1:32" x14ac:dyDescent="0.25">
      <c r="A26" s="35" t="s">
        <v>402</v>
      </c>
      <c r="B26" s="47" t="s">
        <v>388</v>
      </c>
      <c r="C26" s="48">
        <v>37</v>
      </c>
      <c r="D26" s="39">
        <v>0</v>
      </c>
      <c r="E26" s="31"/>
      <c r="F26" s="28" t="s">
        <v>14</v>
      </c>
      <c r="G26" s="28" t="s">
        <v>338</v>
      </c>
      <c r="H26" s="31"/>
      <c r="I26" s="28" t="s">
        <v>343</v>
      </c>
      <c r="J26" s="28" t="s">
        <v>344</v>
      </c>
      <c r="K26" s="28" t="s">
        <v>319</v>
      </c>
      <c r="L26" s="28" t="s">
        <v>319</v>
      </c>
      <c r="M26" s="28" t="s">
        <v>353</v>
      </c>
      <c r="N26" s="28">
        <v>4</v>
      </c>
      <c r="O26" s="45">
        <v>2</v>
      </c>
      <c r="P26" s="47" t="s">
        <v>389</v>
      </c>
      <c r="Q26" s="28" t="s">
        <v>390</v>
      </c>
      <c r="R26" s="28"/>
      <c r="S26" s="41"/>
      <c r="T26" s="28" t="s">
        <v>391</v>
      </c>
      <c r="U26" s="28" t="s">
        <v>392</v>
      </c>
      <c r="V26" s="28" t="s">
        <v>324</v>
      </c>
      <c r="W26" s="28"/>
      <c r="X26" s="28" t="s">
        <v>325</v>
      </c>
      <c r="Y26" s="28" t="s">
        <v>18</v>
      </c>
      <c r="Z26" s="28" t="s">
        <v>85</v>
      </c>
      <c r="AA26" s="28">
        <v>4</v>
      </c>
      <c r="AB26" s="28">
        <v>0</v>
      </c>
      <c r="AC26" s="28" t="s">
        <v>403</v>
      </c>
      <c r="AD26" s="34" t="str">
        <f>IFERROR(HYPERLINK("#Main!A"&amp;MATCH(H26,Main!A:A,0),"Open"),HYPERLINK("#Main!A1","Open"))</f>
        <v>Open</v>
      </c>
      <c r="AE26" s="34" t="str">
        <f>IFERROR(INDEX('Content Optimization Hub'!A:A,MATCH(H26,'Content Optimization Hub'!C:C,0)),"Not in Hub")</f>
        <v>Not in Hub</v>
      </c>
      <c r="AF26" s="34"/>
    </row>
    <row r="27" spans="1:32" x14ac:dyDescent="0.25">
      <c r="A27" s="35" t="s">
        <v>404</v>
      </c>
      <c r="B27" s="47" t="s">
        <v>388</v>
      </c>
      <c r="C27" s="48">
        <v>37</v>
      </c>
      <c r="D27" s="42">
        <v>0</v>
      </c>
      <c r="E27" s="43"/>
      <c r="F27" s="37" t="s">
        <v>14</v>
      </c>
      <c r="G27" s="37" t="s">
        <v>316</v>
      </c>
      <c r="H27" s="43"/>
      <c r="I27" s="37" t="s">
        <v>405</v>
      </c>
      <c r="J27" s="37" t="s">
        <v>406</v>
      </c>
      <c r="K27" s="37" t="s">
        <v>330</v>
      </c>
      <c r="L27" s="37" t="s">
        <v>330</v>
      </c>
      <c r="M27" s="37" t="s">
        <v>353</v>
      </c>
      <c r="N27" s="37">
        <v>4</v>
      </c>
      <c r="O27" s="45">
        <v>2</v>
      </c>
      <c r="P27" s="47" t="s">
        <v>389</v>
      </c>
      <c r="Q27" s="37" t="s">
        <v>390</v>
      </c>
      <c r="R27" s="37"/>
      <c r="S27" s="44"/>
      <c r="T27" s="37" t="s">
        <v>391</v>
      </c>
      <c r="U27" s="37" t="s">
        <v>392</v>
      </c>
      <c r="V27" s="37" t="s">
        <v>324</v>
      </c>
      <c r="W27" s="37"/>
      <c r="X27" s="37" t="s">
        <v>325</v>
      </c>
      <c r="Y27" s="37" t="s">
        <v>18</v>
      </c>
      <c r="Z27" s="37" t="s">
        <v>85</v>
      </c>
      <c r="AA27" s="37">
        <v>4</v>
      </c>
      <c r="AB27" s="37">
        <v>0</v>
      </c>
      <c r="AC27" s="37" t="s">
        <v>407</v>
      </c>
      <c r="AD27" t="str">
        <f>IFERROR(HYPERLINK("#Main!A"&amp;MATCH(H27,Main!A:A,0),"Open"),HYPERLINK("#Main!A1","Open"))</f>
        <v>Open</v>
      </c>
      <c r="AE27" t="str">
        <f>IFERROR(INDEX('Content Optimization Hub'!A:A,MATCH(H27,'Content Optimization Hub'!C:C,0)),"Not in Hub")</f>
        <v>Not in Hub</v>
      </c>
    </row>
    <row r="28" spans="1:32" x14ac:dyDescent="0.25">
      <c r="A28" s="35" t="s">
        <v>408</v>
      </c>
      <c r="B28" s="47" t="s">
        <v>388</v>
      </c>
      <c r="C28" s="48">
        <v>37</v>
      </c>
      <c r="D28" s="39">
        <v>0</v>
      </c>
      <c r="E28" s="31"/>
      <c r="F28" s="28" t="s">
        <v>20</v>
      </c>
      <c r="G28" s="28" t="s">
        <v>316</v>
      </c>
      <c r="H28" s="31"/>
      <c r="I28" s="28" t="s">
        <v>409</v>
      </c>
      <c r="J28" s="28" t="s">
        <v>410</v>
      </c>
      <c r="K28" s="28" t="s">
        <v>330</v>
      </c>
      <c r="L28" s="28" t="s">
        <v>330</v>
      </c>
      <c r="M28" s="28" t="s">
        <v>353</v>
      </c>
      <c r="N28" s="28">
        <v>4</v>
      </c>
      <c r="O28" s="45">
        <v>2</v>
      </c>
      <c r="P28" s="47" t="s">
        <v>389</v>
      </c>
      <c r="Q28" s="28" t="s">
        <v>390</v>
      </c>
      <c r="R28" s="28"/>
      <c r="S28" s="41"/>
      <c r="T28" s="28" t="s">
        <v>391</v>
      </c>
      <c r="U28" s="28" t="s">
        <v>392</v>
      </c>
      <c r="V28" s="28" t="s">
        <v>324</v>
      </c>
      <c r="W28" s="28"/>
      <c r="X28" s="28" t="s">
        <v>20</v>
      </c>
      <c r="Y28" s="28" t="s">
        <v>18</v>
      </c>
      <c r="Z28" s="28" t="s">
        <v>85</v>
      </c>
      <c r="AA28" s="28">
        <v>4</v>
      </c>
      <c r="AB28" s="28">
        <v>0</v>
      </c>
      <c r="AC28" s="28" t="s">
        <v>411</v>
      </c>
      <c r="AD28" s="34" t="str">
        <f>IFERROR(HYPERLINK("#Main!A"&amp;MATCH(H28,Main!A:A,0),"Open"),HYPERLINK("#Main!A1","Open"))</f>
        <v>Open</v>
      </c>
      <c r="AE28" s="34" t="str">
        <f>IFERROR(INDEX('Content Optimization Hub'!A:A,MATCH(H28,'Content Optimization Hub'!C:C,0)),"Not in Hub")</f>
        <v>Not in Hub</v>
      </c>
      <c r="AF28" s="34"/>
    </row>
    <row r="29" spans="1:32" x14ac:dyDescent="0.25">
      <c r="A29" s="35" t="s">
        <v>412</v>
      </c>
      <c r="B29" s="47" t="s">
        <v>388</v>
      </c>
      <c r="C29" s="48">
        <v>37</v>
      </c>
      <c r="D29" s="42">
        <v>0</v>
      </c>
      <c r="E29" s="43"/>
      <c r="F29" s="37" t="s">
        <v>20</v>
      </c>
      <c r="G29" s="37" t="s">
        <v>316</v>
      </c>
      <c r="H29" s="43"/>
      <c r="I29" s="37" t="s">
        <v>413</v>
      </c>
      <c r="J29" s="37" t="s">
        <v>414</v>
      </c>
      <c r="K29" s="37" t="s">
        <v>330</v>
      </c>
      <c r="L29" s="37" t="s">
        <v>330</v>
      </c>
      <c r="M29" s="37" t="s">
        <v>353</v>
      </c>
      <c r="N29" s="37">
        <v>4</v>
      </c>
      <c r="O29" s="45">
        <v>2</v>
      </c>
      <c r="P29" s="47" t="s">
        <v>389</v>
      </c>
      <c r="Q29" s="37" t="s">
        <v>390</v>
      </c>
      <c r="R29" s="37"/>
      <c r="S29" s="44"/>
      <c r="T29" s="37" t="s">
        <v>391</v>
      </c>
      <c r="U29" s="37" t="s">
        <v>392</v>
      </c>
      <c r="V29" s="37" t="s">
        <v>324</v>
      </c>
      <c r="W29" s="37"/>
      <c r="X29" s="37" t="s">
        <v>20</v>
      </c>
      <c r="Y29" s="37" t="s">
        <v>18</v>
      </c>
      <c r="Z29" s="37" t="s">
        <v>85</v>
      </c>
      <c r="AA29" s="37">
        <v>4</v>
      </c>
      <c r="AB29" s="37">
        <v>0</v>
      </c>
      <c r="AC29" s="37" t="s">
        <v>415</v>
      </c>
      <c r="AD29" t="str">
        <f>IFERROR(HYPERLINK("#Main!A"&amp;MATCH(H29,Main!A:A,0),"Open"),HYPERLINK("#Main!A1","Open"))</f>
        <v>Open</v>
      </c>
      <c r="AE29" t="str">
        <f>IFERROR(INDEX('Content Optimization Hub'!A:A,MATCH(H29,'Content Optimization Hub'!C:C,0)),"Not in Hub")</f>
        <v>Not in Hub</v>
      </c>
    </row>
    <row r="30" spans="1:32" x14ac:dyDescent="0.25">
      <c r="A30" s="35" t="s">
        <v>416</v>
      </c>
      <c r="B30" s="47" t="s">
        <v>388</v>
      </c>
      <c r="C30" s="48">
        <v>37</v>
      </c>
      <c r="D30" s="39">
        <v>0</v>
      </c>
      <c r="E30" s="31"/>
      <c r="F30" s="28" t="s">
        <v>20</v>
      </c>
      <c r="G30" s="28" t="s">
        <v>316</v>
      </c>
      <c r="H30" s="31"/>
      <c r="I30" s="28" t="s">
        <v>417</v>
      </c>
      <c r="J30" s="28" t="s">
        <v>418</v>
      </c>
      <c r="K30" s="28" t="s">
        <v>330</v>
      </c>
      <c r="L30" s="28" t="s">
        <v>330</v>
      </c>
      <c r="M30" s="28" t="s">
        <v>353</v>
      </c>
      <c r="N30" s="28">
        <v>4</v>
      </c>
      <c r="O30" s="45">
        <v>2</v>
      </c>
      <c r="P30" s="47" t="s">
        <v>389</v>
      </c>
      <c r="Q30" s="28" t="s">
        <v>390</v>
      </c>
      <c r="R30" s="28"/>
      <c r="S30" s="41"/>
      <c r="T30" s="28" t="s">
        <v>391</v>
      </c>
      <c r="U30" s="28" t="s">
        <v>392</v>
      </c>
      <c r="V30" s="28" t="s">
        <v>324</v>
      </c>
      <c r="W30" s="28"/>
      <c r="X30" s="28" t="s">
        <v>20</v>
      </c>
      <c r="Y30" s="28" t="s">
        <v>18</v>
      </c>
      <c r="Z30" s="28" t="s">
        <v>85</v>
      </c>
      <c r="AA30" s="28">
        <v>4</v>
      </c>
      <c r="AB30" s="28">
        <v>0</v>
      </c>
      <c r="AC30" s="28" t="s">
        <v>419</v>
      </c>
      <c r="AD30" s="34" t="str">
        <f>IFERROR(HYPERLINK("#Main!A"&amp;MATCH(H30,Main!A:A,0),"Open"),HYPERLINK("#Main!A1","Open"))</f>
        <v>Open</v>
      </c>
      <c r="AE30" s="34" t="str">
        <f>IFERROR(INDEX('Content Optimization Hub'!A:A,MATCH(H30,'Content Optimization Hub'!C:C,0)),"Not in Hub")</f>
        <v>Not in Hub</v>
      </c>
      <c r="AF30" s="34"/>
    </row>
    <row r="31" spans="1:32" x14ac:dyDescent="0.25">
      <c r="A31" s="35" t="s">
        <v>420</v>
      </c>
      <c r="B31" s="47" t="s">
        <v>388</v>
      </c>
      <c r="C31" s="48">
        <v>37</v>
      </c>
      <c r="D31" s="42">
        <v>0</v>
      </c>
      <c r="E31" s="43"/>
      <c r="F31" s="37" t="s">
        <v>14</v>
      </c>
      <c r="G31" s="37" t="s">
        <v>316</v>
      </c>
      <c r="H31" s="43"/>
      <c r="I31" s="37" t="s">
        <v>343</v>
      </c>
      <c r="J31" s="37" t="s">
        <v>344</v>
      </c>
      <c r="K31" s="37" t="s">
        <v>330</v>
      </c>
      <c r="L31" s="37" t="s">
        <v>330</v>
      </c>
      <c r="M31" s="37" t="s">
        <v>353</v>
      </c>
      <c r="N31" s="37">
        <v>4</v>
      </c>
      <c r="O31" s="45">
        <v>2</v>
      </c>
      <c r="P31" s="47" t="s">
        <v>389</v>
      </c>
      <c r="Q31" s="37" t="s">
        <v>390</v>
      </c>
      <c r="R31" s="37"/>
      <c r="S31" s="44"/>
      <c r="T31" s="37" t="s">
        <v>391</v>
      </c>
      <c r="U31" s="37" t="s">
        <v>392</v>
      </c>
      <c r="V31" s="37" t="s">
        <v>324</v>
      </c>
      <c r="W31" s="37"/>
      <c r="X31" s="37" t="s">
        <v>325</v>
      </c>
      <c r="Y31" s="37" t="s">
        <v>18</v>
      </c>
      <c r="Z31" s="37" t="s">
        <v>85</v>
      </c>
      <c r="AA31" s="37">
        <v>4</v>
      </c>
      <c r="AB31" s="37">
        <v>0</v>
      </c>
      <c r="AC31" s="37" t="s">
        <v>421</v>
      </c>
      <c r="AD31" t="str">
        <f>IFERROR(HYPERLINK("#Main!A"&amp;MATCH(H31,Main!A:A,0),"Open"),HYPERLINK("#Main!A1","Open"))</f>
        <v>Open</v>
      </c>
      <c r="AE31" t="str">
        <f>IFERROR(INDEX('Content Optimization Hub'!A:A,MATCH(H31,'Content Optimization Hub'!C:C,0)),"Not in Hub")</f>
        <v>Not in Hub</v>
      </c>
    </row>
    <row r="32" spans="1:32" x14ac:dyDescent="0.25">
      <c r="A32" s="35" t="s">
        <v>422</v>
      </c>
      <c r="B32" s="47" t="s">
        <v>388</v>
      </c>
      <c r="C32" s="48">
        <v>37</v>
      </c>
      <c r="D32" s="39">
        <v>0</v>
      </c>
      <c r="E32" s="31"/>
      <c r="F32" s="28" t="s">
        <v>14</v>
      </c>
      <c r="G32" s="28" t="s">
        <v>316</v>
      </c>
      <c r="H32" s="31"/>
      <c r="I32" s="28" t="s">
        <v>343</v>
      </c>
      <c r="J32" s="28" t="s">
        <v>344</v>
      </c>
      <c r="K32" s="28" t="s">
        <v>330</v>
      </c>
      <c r="L32" s="28" t="s">
        <v>330</v>
      </c>
      <c r="M32" s="28" t="s">
        <v>353</v>
      </c>
      <c r="N32" s="28">
        <v>4</v>
      </c>
      <c r="O32" s="45">
        <v>2</v>
      </c>
      <c r="P32" s="47" t="s">
        <v>389</v>
      </c>
      <c r="Q32" s="28" t="s">
        <v>390</v>
      </c>
      <c r="R32" s="28"/>
      <c r="S32" s="41"/>
      <c r="T32" s="28" t="s">
        <v>391</v>
      </c>
      <c r="U32" s="28" t="s">
        <v>392</v>
      </c>
      <c r="V32" s="28" t="s">
        <v>324</v>
      </c>
      <c r="W32" s="28"/>
      <c r="X32" s="28" t="s">
        <v>325</v>
      </c>
      <c r="Y32" s="28" t="s">
        <v>18</v>
      </c>
      <c r="Z32" s="28" t="s">
        <v>85</v>
      </c>
      <c r="AA32" s="28">
        <v>4</v>
      </c>
      <c r="AB32" s="28">
        <v>0</v>
      </c>
      <c r="AC32" s="28" t="s">
        <v>423</v>
      </c>
      <c r="AD32" s="34" t="str">
        <f>IFERROR(HYPERLINK("#Main!A"&amp;MATCH(H32,Main!A:A,0),"Open"),HYPERLINK("#Main!A1","Open"))</f>
        <v>Open</v>
      </c>
      <c r="AE32" s="34" t="str">
        <f>IFERROR(INDEX('Content Optimization Hub'!A:A,MATCH(H32,'Content Optimization Hub'!C:C,0)),"Not in Hub")</f>
        <v>Not in Hub</v>
      </c>
      <c r="AF32" s="34"/>
    </row>
    <row r="33" spans="1:32" x14ac:dyDescent="0.25">
      <c r="A33" s="35" t="s">
        <v>424</v>
      </c>
      <c r="B33" s="47" t="s">
        <v>388</v>
      </c>
      <c r="C33" s="48">
        <v>37</v>
      </c>
      <c r="D33" s="42">
        <v>0</v>
      </c>
      <c r="E33" s="43"/>
      <c r="F33" s="37" t="s">
        <v>14</v>
      </c>
      <c r="G33" s="37" t="s">
        <v>316</v>
      </c>
      <c r="H33" s="43"/>
      <c r="I33" s="37" t="s">
        <v>343</v>
      </c>
      <c r="J33" s="37" t="s">
        <v>344</v>
      </c>
      <c r="K33" s="37" t="s">
        <v>330</v>
      </c>
      <c r="L33" s="37" t="s">
        <v>330</v>
      </c>
      <c r="M33" s="37" t="s">
        <v>353</v>
      </c>
      <c r="N33" s="37">
        <v>4</v>
      </c>
      <c r="O33" s="45">
        <v>2</v>
      </c>
      <c r="P33" s="47" t="s">
        <v>389</v>
      </c>
      <c r="Q33" s="37" t="s">
        <v>390</v>
      </c>
      <c r="R33" s="37"/>
      <c r="S33" s="44"/>
      <c r="T33" s="37" t="s">
        <v>391</v>
      </c>
      <c r="U33" s="37" t="s">
        <v>392</v>
      </c>
      <c r="V33" s="37" t="s">
        <v>324</v>
      </c>
      <c r="W33" s="37"/>
      <c r="X33" s="37" t="s">
        <v>325</v>
      </c>
      <c r="Y33" s="37" t="s">
        <v>18</v>
      </c>
      <c r="Z33" s="37" t="s">
        <v>85</v>
      </c>
      <c r="AA33" s="37">
        <v>4</v>
      </c>
      <c r="AB33" s="37">
        <v>0</v>
      </c>
      <c r="AC33" s="37" t="s">
        <v>425</v>
      </c>
      <c r="AD33" t="str">
        <f>IFERROR(HYPERLINK("#Main!A"&amp;MATCH(H33,Main!A:A,0),"Open"),HYPERLINK("#Main!A1","Open"))</f>
        <v>Open</v>
      </c>
      <c r="AE33" t="str">
        <f>IFERROR(INDEX('Content Optimization Hub'!A:A,MATCH(H33,'Content Optimization Hub'!C:C,0)),"Not in Hub")</f>
        <v>Not in Hub</v>
      </c>
    </row>
    <row r="34" spans="1:32" x14ac:dyDescent="0.25">
      <c r="A34" s="35" t="s">
        <v>426</v>
      </c>
      <c r="B34" s="47" t="s">
        <v>388</v>
      </c>
      <c r="C34" s="48">
        <v>37</v>
      </c>
      <c r="D34" s="39">
        <v>0</v>
      </c>
      <c r="E34" s="31"/>
      <c r="F34" s="28" t="s">
        <v>14</v>
      </c>
      <c r="G34" s="28" t="s">
        <v>316</v>
      </c>
      <c r="H34" s="31"/>
      <c r="I34" s="28" t="s">
        <v>343</v>
      </c>
      <c r="J34" s="28" t="s">
        <v>344</v>
      </c>
      <c r="K34" s="28" t="s">
        <v>330</v>
      </c>
      <c r="L34" s="28" t="s">
        <v>330</v>
      </c>
      <c r="M34" s="28" t="s">
        <v>353</v>
      </c>
      <c r="N34" s="28">
        <v>4</v>
      </c>
      <c r="O34" s="45">
        <v>2</v>
      </c>
      <c r="P34" s="47" t="s">
        <v>389</v>
      </c>
      <c r="Q34" s="28" t="s">
        <v>390</v>
      </c>
      <c r="R34" s="28"/>
      <c r="S34" s="41"/>
      <c r="T34" s="28" t="s">
        <v>391</v>
      </c>
      <c r="U34" s="28" t="s">
        <v>392</v>
      </c>
      <c r="V34" s="28" t="s">
        <v>324</v>
      </c>
      <c r="W34" s="28"/>
      <c r="X34" s="28" t="s">
        <v>325</v>
      </c>
      <c r="Y34" s="28" t="s">
        <v>18</v>
      </c>
      <c r="Z34" s="28" t="s">
        <v>85</v>
      </c>
      <c r="AA34" s="28">
        <v>4</v>
      </c>
      <c r="AB34" s="28">
        <v>0</v>
      </c>
      <c r="AC34" s="28" t="s">
        <v>427</v>
      </c>
      <c r="AD34" s="34" t="str">
        <f>IFERROR(HYPERLINK("#Main!A"&amp;MATCH(H34,Main!A:A,0),"Open"),HYPERLINK("#Main!A1","Open"))</f>
        <v>Open</v>
      </c>
      <c r="AE34" s="34" t="str">
        <f>IFERROR(INDEX('Content Optimization Hub'!A:A,MATCH(H34,'Content Optimization Hub'!C:C,0)),"Not in Hub")</f>
        <v>Not in Hub</v>
      </c>
      <c r="AF34" s="34"/>
    </row>
    <row r="35" spans="1:32" x14ac:dyDescent="0.25">
      <c r="A35" s="35" t="s">
        <v>428</v>
      </c>
      <c r="B35" s="47" t="s">
        <v>388</v>
      </c>
      <c r="C35" s="48">
        <v>37</v>
      </c>
      <c r="D35" s="42">
        <v>0</v>
      </c>
      <c r="E35" s="43"/>
      <c r="F35" s="37" t="s">
        <v>14</v>
      </c>
      <c r="G35" s="37" t="s">
        <v>316</v>
      </c>
      <c r="H35" s="43"/>
      <c r="I35" s="37" t="s">
        <v>343</v>
      </c>
      <c r="J35" s="37" t="s">
        <v>344</v>
      </c>
      <c r="K35" s="37" t="s">
        <v>330</v>
      </c>
      <c r="L35" s="37" t="s">
        <v>330</v>
      </c>
      <c r="M35" s="37" t="s">
        <v>353</v>
      </c>
      <c r="N35" s="37">
        <v>4</v>
      </c>
      <c r="O35" s="45">
        <v>2</v>
      </c>
      <c r="P35" s="47" t="s">
        <v>389</v>
      </c>
      <c r="Q35" s="37" t="s">
        <v>390</v>
      </c>
      <c r="R35" s="37"/>
      <c r="S35" s="44"/>
      <c r="T35" s="37" t="s">
        <v>391</v>
      </c>
      <c r="U35" s="37" t="s">
        <v>392</v>
      </c>
      <c r="V35" s="37" t="s">
        <v>324</v>
      </c>
      <c r="W35" s="37"/>
      <c r="X35" s="37" t="s">
        <v>325</v>
      </c>
      <c r="Y35" s="37" t="s">
        <v>18</v>
      </c>
      <c r="Z35" s="37" t="s">
        <v>85</v>
      </c>
      <c r="AA35" s="37">
        <v>4</v>
      </c>
      <c r="AB35" s="37">
        <v>0</v>
      </c>
      <c r="AC35" s="37" t="s">
        <v>429</v>
      </c>
      <c r="AD35" t="str">
        <f>IFERROR(HYPERLINK("#Main!A"&amp;MATCH(H35,Main!A:A,0),"Open"),HYPERLINK("#Main!A1","Open"))</f>
        <v>Open</v>
      </c>
      <c r="AE35" t="str">
        <f>IFERROR(INDEX('Content Optimization Hub'!A:A,MATCH(H35,'Content Optimization Hub'!C:C,0)),"Not in Hub")</f>
        <v>Not in Hub</v>
      </c>
    </row>
  </sheetData>
  <autoFilter ref="A1:AF35" xr:uid="{00000000-0009-0000-0000-000004000000}"/>
  <conditionalFormatting sqref="C2:C35">
    <cfRule type="cellIs" dxfId="62" priority="1" operator="greaterThanOrEqual">
      <formula>85</formula>
    </cfRule>
    <cfRule type="cellIs" dxfId="61" priority="2" operator="between">
      <formula>65</formula>
      <formula>84</formula>
    </cfRule>
  </conditionalFormatting>
  <conditionalFormatting sqref="Q2:Q35">
    <cfRule type="expression" dxfId="60" priority="5" stopIfTrue="1">
      <formula>LOWER(Q2)="done"</formula>
    </cfRule>
    <cfRule type="expression" dxfId="59" priority="6" stopIfTrue="1">
      <formula>OR(LOWER(Q2)="to do",LOWER(Q2)="in progress",LOWER(Q2)="in review")</formula>
    </cfRule>
  </conditionalFormatting>
  <conditionalFormatting sqref="U2:U35">
    <cfRule type="expression" dxfId="58" priority="3" stopIfTrue="1">
      <formula>LOWER(U2)="yes"</formula>
    </cfRule>
    <cfRule type="expression" dxfId="57" priority="4" stopIfTrue="1">
      <formula>LOWER(U2)="no"</formula>
    </cfRule>
  </conditionalFormatting>
  <dataValidations count="35">
    <dataValidation type="list" allowBlank="1" showErrorMessage="1" errorTitle="Invalid Status" error="Select a value from the dropdown list." sqref="Q2:Q35" xr:uid="{00000000-0002-0000-0400-000000000000}">
      <formula1>"Open,In Progress,In Review,Done"</formula1>
    </dataValidation>
    <dataValidation type="custom" allowBlank="1" showInputMessage="1" promptTitle="Issue Type" prompt="Issue Type. Review this metric to identify risk, then use linked tabs for details and remediation." sqref="A1" xr:uid="{00000000-0002-0000-0400-000001000000}">
      <formula1>TRUE</formula1>
    </dataValidation>
    <dataValidation type="custom" allowBlank="1" showInputMessage="1" promptTitle="Severity" prompt="Issue impact level. Fix: Resolve Critical first, then Warning, then improvement opportunities." sqref="B1" xr:uid="{00000000-0002-0000-0400-000002000000}">
      <formula1>TRUE</formula1>
    </dataValidation>
    <dataValidation type="custom" allowBlank="1" showInputMessage="1" promptTitle="Priority Score" prompt="Execution priority score combining impact and effort. Fix: Start from highest scores." sqref="C1" xr:uid="{00000000-0002-0000-0400-000003000000}">
      <formula1>TRUE</formula1>
    </dataValidation>
    <dataValidation type="custom" allowBlank="1" showInputMessage="1" promptTitle="Affected Count" prompt="How many URLs are impacted by this issue. Larger counts usually indicate template-level or systemic problems." sqref="D1" xr:uid="{00000000-0002-0000-0400-000004000000}">
      <formula1>TRUE</formula1>
    </dataValidation>
    <dataValidation type="custom" allowBlank="1" showInputMessage="1" promptTitle="Affected URLs" prompt="Affected URLs. Use this URL to inspect the page directly or jump to related tabs." sqref="E1" xr:uid="{00000000-0002-0000-0400-000005000000}">
      <formula1>TRUE</formula1>
    </dataValidation>
    <dataValidation type="custom" allowBlank="1" showInputMessage="1" promptTitle="Detail Reference Tab" prompt="Summary grouping/navigation field. Use with hyperlinks to jump into detailed tabs." sqref="F1" xr:uid="{00000000-0002-0000-0400-000006000000}">
      <formula1>TRUE</formula1>
    </dataValidation>
    <dataValidation type="custom" allowBlank="1" showInputMessage="1" promptTitle="Resolution Type" prompt="Resolution Type. Review this metric to identify risk, then use linked tabs for details and remediation." sqref="G1" xr:uid="{00000000-0002-0000-0400-000007000000}">
      <formula1>TRUE</formula1>
    </dataValidation>
    <dataValidation type="custom" allowBlank="1" showInputMessage="1" promptTitle="URL" prompt="URL. Use this URL to inspect the page directly or jump to related tabs." sqref="H1" xr:uid="{00000000-0002-0000-0400-000008000000}">
      <formula1>TRUE</formula1>
    </dataValidation>
    <dataValidation type="custom" allowBlank="1" showInputMessage="1" promptTitle="Recommended Fix" prompt="Recommended Fix. Review this metric to identify risk, then use linked tabs for details and remediation." sqref="I1" xr:uid="{00000000-0002-0000-0400-000009000000}">
      <formula1>TRUE</formula1>
    </dataValidation>
    <dataValidation type="custom" allowBlank="1" showInputMessage="1" promptTitle="Likely Root Cause" prompt="Likely Root Cause. Review this metric to identify risk, then use linked tabs for details and remediation." sqref="J1" xr:uid="{00000000-0002-0000-0400-00000A000000}">
      <formula1>TRUE</formula1>
    </dataValidation>
    <dataValidation type="custom" allowBlank="1" showInputMessage="1" promptTitle="Owner" prompt="Workflow management field for planning and tracking remediation progress." sqref="K1" xr:uid="{00000000-0002-0000-0400-00000B000000}">
      <formula1>TRUE</formula1>
    </dataValidation>
    <dataValidation type="custom" allowBlank="1" showInputMessage="1" promptTitle="Agency Owner" prompt="Workflow management field for planning and tracking remediation progress." sqref="L1" xr:uid="{00000000-0002-0000-0400-00000C000000}">
      <formula1>TRUE</formula1>
    </dataValidation>
    <dataValidation type="custom" allowBlank="1" showInputMessage="1" promptTitle="Effort" prompt="Effort. Review this metric to identify risk, then use linked tabs for details and remediation." sqref="M1" xr:uid="{00000000-0002-0000-0400-00000D000000}">
      <formula1>TRUE</formula1>
    </dataValidation>
    <dataValidation type="custom" allowBlank="1" showInputMessage="1" promptTitle="Est. Hours" prompt="Est. Hours. Review this metric to identify risk, then use linked tabs for details and remediation." sqref="N1" xr:uid="{00000000-0002-0000-0400-00000E000000}">
      <formula1>TRUE</formula1>
    </dataValidation>
    <dataValidation type="custom" allowBlank="1" showInputMessage="1" promptTitle="Est. Sprint Points" prompt="Workflow management field for planning and tracking remediation progress." sqref="O1" xr:uid="{00000000-0002-0000-0400-00000F000000}">
      <formula1>TRUE</formula1>
    </dataValidation>
    <dataValidation type="custom" allowBlank="1" showInputMessage="1" promptTitle="Aging/Priority" prompt="Aging/Priority. Review this metric to identify risk, then use linked tabs for details and remediation." sqref="P1" xr:uid="{00000000-0002-0000-0400-000010000000}">
      <formula1>TRUE</formula1>
    </dataValidation>
    <dataValidation type="custom" allowBlank="1" showInputMessage="1" promptTitle="Status" prompt="Workflow management field for planning and tracking remediation progress." sqref="Q1" xr:uid="{00000000-0002-0000-0400-000011000000}">
      <formula1>TRUE</formula1>
    </dataValidation>
    <dataValidation type="custom" allowBlank="1" showInputMessage="1" promptTitle="Verified By" prompt="Verified By. Review this metric to identify risk, then use linked tabs for details and remediation." sqref="R1" xr:uid="{00000000-0002-0000-0400-000012000000}">
      <formula1>TRUE</formula1>
    </dataValidation>
    <dataValidation type="custom" allowBlank="1" showInputMessage="1" promptTitle="Date Resolved" prompt="Date Resolved. Review this metric to identify risk, then use linked tabs for details and remediation." sqref="S1" xr:uid="{00000000-0002-0000-0400-000013000000}">
      <formula1>TRUE</formula1>
    </dataValidation>
    <dataValidation type="custom" allowBlank="1" showInputMessage="1" promptTitle="Revenue Risk" prompt="Revenue Risk. Review this metric to identify risk, then use linked tabs for details and remediation." sqref="T1" xr:uid="{00000000-0002-0000-0400-000014000000}">
      <formula1>TRUE</formula1>
    </dataValidation>
    <dataValidation type="custom" allowBlank="1" showInputMessage="1" promptTitle="Action Needed" prompt="Action Needed. Review this metric to identify risk, then use linked tabs for details and remediation." sqref="U1" xr:uid="{00000000-0002-0000-0400-000015000000}">
      <formula1>TRUE</formula1>
    </dataValidation>
    <dataValidation type="custom" allowBlank="1" showInputMessage="1" promptTitle="Jump to Details" prompt="Jump to Details. Review this metric to identify risk, then use linked tabs for details and remediation." sqref="V1" xr:uid="{00000000-0002-0000-0400-000016000000}">
      <formula1>TRUE</formula1>
    </dataValidation>
    <dataValidation type="custom" allowBlank="1" showInputMessage="1" promptTitle="Sprint" prompt="Workflow management field for planning and tracking remediation progress." sqref="W1" xr:uid="{00000000-0002-0000-0400-000017000000}">
      <formula1>TRUE</formula1>
    </dataValidation>
    <dataValidation type="custom" allowBlank="1" showInputMessage="1" promptTitle="Category" prompt="Category. Review this metric to identify risk, then use linked tabs for details and remediation." sqref="X1" xr:uid="{00000000-0002-0000-0400-000018000000}">
      <formula1>TRUE</formula1>
    </dataValidation>
    <dataValidation type="custom" allowBlank="1" showInputMessage="1" promptTitle="Fix Type" prompt="Fix Type. Review this metric to identify risk, then use linked tabs for details and remediation." sqref="Y1" xr:uid="{00000000-0002-0000-0400-000019000000}">
      <formula1>TRUE</formula1>
    </dataValidation>
    <dataValidation type="custom" allowBlank="1" showInputMessage="1" promptTitle="Estimated Traffic Impact" prompt="Estimated Traffic Impact. Review this metric to identify risk, then use linked tabs for details and remediation." sqref="Z1" xr:uid="{00000000-0002-0000-0400-00001A000000}">
      <formula1>TRUE</formula1>
    </dataValidation>
    <dataValidation type="custom" allowBlank="1" showInputMessage="1" promptTitle="Fix Effort" prompt="Fix Effort. Review this metric to identify risk, then use linked tabs for details and remediation." sqref="AA1" xr:uid="{00000000-0002-0000-0400-00001B000000}">
      <formula1>TRUE</formula1>
    </dataValidation>
    <dataValidation type="custom" allowBlank="1" showInputMessage="1" promptTitle="ROI Score" prompt="ROI Score. Review this metric to identify risk, then use linked tabs for details and remediation." sqref="AB1" xr:uid="{00000000-0002-0000-0400-00001C000000}">
      <formula1>TRUE</formula1>
    </dataValidation>
    <dataValidation type="custom" allowBlank="1" showInputMessage="1" promptTitle="Exact Action" prompt="Exact Action. Review this metric to identify risk, then use linked tabs for details and remediation." sqref="AC1" xr:uid="{00000000-0002-0000-0400-00001D000000}">
      <formula1>TRUE</formula1>
    </dataValidation>
    <dataValidation type="custom" allowBlank="1" showInputMessage="1" promptTitle="Open in Main" prompt="Navigation helper. Click to jump directly to the related record in another tab." sqref="AD1" xr:uid="{00000000-0002-0000-0400-00001E000000}">
      <formula1>TRUE</formula1>
    </dataValidation>
    <dataValidation type="custom" allowBlank="1" showInputMessage="1" promptTitle="Hub Status (Content Hub)" prompt="Hub Status (Content Hub). Review this metric to identify risk, then use linked tabs for details and remediation." sqref="AE1" xr:uid="{00000000-0002-0000-0400-00001F000000}">
      <formula1>TRUE</formula1>
    </dataValidation>
    <dataValidation type="custom" allowBlank="1" showInputMessage="1" promptTitle="BACK TO DASHBOARD" prompt="BACK TO DASHBOARD. Review this metric to identify risk, then use linked tabs for details and remediation." sqref="AF1" xr:uid="{00000000-0002-0000-0400-000020000000}">
      <formula1>TRUE</formula1>
    </dataValidation>
    <dataValidation type="custom" allowBlank="1" showInputMessage="1" promptTitle="Priority Score" prompt="Issue priority score for execution order. Fix: Start with the highest values to reduce risk fastest." sqref="C1" xr:uid="{00000000-0002-0000-0400-000021000000}">
      <formula1>TRUE</formula1>
    </dataValidation>
    <dataValidation type="custom" allowBlank="1" showInputMessage="1" promptTitle="Severity" prompt="Impact level of the issue. Fix: Resolve Critical first, then Warning, then Observation opportunities." sqref="B1" xr:uid="{00000000-0002-0000-0400-000022000000}">
      <formula1>TRUE</formula1>
    </dataValidation>
  </dataValidations>
  <hyperlinks>
    <hyperlink ref="AF1" location="Dashboard!A1" display="BACK TO DASHBOARD"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86"/>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8" hidden="1" customWidth="1" outlineLevel="1"/>
    <col min="12" max="12" width="19" hidden="1" customWidth="1" outlineLevel="1"/>
    <col min="13" max="13" width="14" hidden="1" customWidth="1" outlineLevel="1"/>
    <col min="14" max="14" width="18" hidden="1" customWidth="1" outlineLevel="1"/>
    <col min="15" max="15" width="60" hidden="1" customWidth="1" outlineLevel="1"/>
    <col min="16" max="16" width="19" hidden="1" customWidth="1"/>
    <col min="17" max="17" width="12" hidden="1" customWidth="1" outlineLevel="1"/>
    <col min="18" max="18" width="11" hidden="1" customWidth="1" outlineLevel="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3" hidden="1" customWidth="1" outlineLevel="1"/>
    <col min="30" max="30" width="9" hidden="1" customWidth="1" outlineLevel="1"/>
    <col min="31" max="31" width="14" hidden="1" customWidth="1" outlineLevel="1"/>
    <col min="32" max="32" width="26" hidden="1" customWidth="1" outlineLevel="1"/>
    <col min="33" max="33" width="19" hidden="1" customWidth="1" outlineLevel="1"/>
    <col min="34" max="34" width="18" hidden="1" customWidth="1" outlineLevel="1"/>
    <col min="35" max="35" width="16" hidden="1" customWidth="1" outlineLevel="1"/>
    <col min="36" max="36" width="12" hidden="1" customWidth="1" outlineLevel="1"/>
    <col min="37" max="37" width="17" hidden="1" customWidth="1" outlineLevel="1"/>
    <col min="38" max="38" width="12" hidden="1" customWidth="1" outlineLevel="1"/>
    <col min="39" max="39" width="17" hidden="1" customWidth="1" outlineLevel="1"/>
    <col min="40" max="40" width="9" hidden="1" customWidth="1" outlineLevel="1"/>
    <col min="41" max="41" width="18" hidden="1" customWidth="1" outlineLevel="1"/>
    <col min="42" max="42" width="13" hidden="1" customWidth="1" outlineLevel="1"/>
    <col min="43" max="43" width="14" hidden="1" customWidth="1" outlineLevel="1"/>
    <col min="44" max="45" width="19" hidden="1" customWidth="1" outlineLevel="1"/>
    <col min="46" max="46" width="17" hidden="1" customWidth="1" outlineLevel="1"/>
    <col min="47" max="48" width="18" hidden="1" customWidth="1" outlineLevel="1"/>
    <col min="49" max="49" width="12" hidden="1" customWidth="1" outlineLevel="1"/>
    <col min="50" max="50" width="11" hidden="1" customWidth="1" outlineLevel="1"/>
  </cols>
  <sheetData>
    <row r="1" spans="1:52" ht="45" x14ac:dyDescent="0.25">
      <c r="A1" s="27" t="s">
        <v>430</v>
      </c>
      <c r="B1" s="27" t="s">
        <v>102</v>
      </c>
      <c r="C1" s="27" t="s">
        <v>431</v>
      </c>
      <c r="D1" s="27" t="s">
        <v>26</v>
      </c>
      <c r="E1" s="27" t="s">
        <v>432</v>
      </c>
      <c r="F1" s="27" t="s">
        <v>433</v>
      </c>
      <c r="G1" s="27" t="s">
        <v>256</v>
      </c>
      <c r="H1" s="27" t="s">
        <v>434</v>
      </c>
      <c r="I1" s="27" t="s">
        <v>435</v>
      </c>
      <c r="J1" s="27" t="s">
        <v>436</v>
      </c>
      <c r="K1" s="27" t="s">
        <v>437</v>
      </c>
      <c r="L1" s="27" t="s">
        <v>438</v>
      </c>
      <c r="M1" s="27" t="s">
        <v>439</v>
      </c>
      <c r="N1" s="27" t="s">
        <v>440</v>
      </c>
      <c r="O1" s="27" t="s">
        <v>441</v>
      </c>
      <c r="P1" s="27" t="s">
        <v>442</v>
      </c>
      <c r="Q1" s="27" t="s">
        <v>443</v>
      </c>
      <c r="R1" s="27" t="s">
        <v>444</v>
      </c>
      <c r="S1" s="27" t="s">
        <v>445</v>
      </c>
      <c r="T1" s="27" t="s">
        <v>446</v>
      </c>
      <c r="U1" s="27" t="s">
        <v>447</v>
      </c>
      <c r="V1" s="27" t="s">
        <v>448</v>
      </c>
      <c r="W1" s="27" t="s">
        <v>449</v>
      </c>
      <c r="X1" s="27" t="s">
        <v>450</v>
      </c>
      <c r="Y1" s="27" t="s">
        <v>451</v>
      </c>
      <c r="Z1" s="27" t="s">
        <v>452</v>
      </c>
      <c r="AA1" s="27" t="s">
        <v>453</v>
      </c>
      <c r="AB1" s="27" t="s">
        <v>454</v>
      </c>
      <c r="AC1" s="27" t="s">
        <v>455</v>
      </c>
      <c r="AD1" s="27" t="s">
        <v>456</v>
      </c>
      <c r="AE1" s="27" t="s">
        <v>457</v>
      </c>
      <c r="AF1" s="27" t="s">
        <v>458</v>
      </c>
      <c r="AG1" s="27" t="s">
        <v>459</v>
      </c>
      <c r="AH1" s="27" t="s">
        <v>460</v>
      </c>
      <c r="AI1" s="27" t="s">
        <v>461</v>
      </c>
      <c r="AJ1" s="27" t="s">
        <v>462</v>
      </c>
      <c r="AK1" s="27" t="s">
        <v>463</v>
      </c>
      <c r="AL1" s="27" t="s">
        <v>464</v>
      </c>
      <c r="AM1" s="27" t="s">
        <v>465</v>
      </c>
      <c r="AN1" s="27" t="s">
        <v>466</v>
      </c>
      <c r="AO1" s="27" t="s">
        <v>467</v>
      </c>
      <c r="AP1" s="27" t="s">
        <v>468</v>
      </c>
      <c r="AQ1" s="27" t="s">
        <v>469</v>
      </c>
      <c r="AR1" s="27" t="s">
        <v>470</v>
      </c>
      <c r="AS1" s="27" t="s">
        <v>471</v>
      </c>
      <c r="AT1" s="27" t="s">
        <v>472</v>
      </c>
      <c r="AU1" s="27" t="s">
        <v>473</v>
      </c>
      <c r="AV1" s="27" t="s">
        <v>120</v>
      </c>
      <c r="AW1" s="27" t="s">
        <v>121</v>
      </c>
      <c r="AX1" s="27" t="s">
        <v>119</v>
      </c>
      <c r="AY1" s="27" t="s">
        <v>474</v>
      </c>
      <c r="AZ1" s="36" t="s">
        <v>251</v>
      </c>
    </row>
    <row r="2" spans="1:52" ht="30" customHeight="1" x14ac:dyDescent="0.25">
      <c r="A2" s="28" t="s">
        <v>475</v>
      </c>
      <c r="B2" s="33" t="s">
        <v>476</v>
      </c>
      <c r="C2" s="29">
        <v>404</v>
      </c>
      <c r="D2" s="28" t="s">
        <v>477</v>
      </c>
      <c r="E2" s="28">
        <v>4.056</v>
      </c>
      <c r="F2" s="28"/>
      <c r="G2" s="28"/>
      <c r="H2" s="28">
        <v>0</v>
      </c>
      <c r="I2" s="49"/>
      <c r="J2" s="28" t="s">
        <v>478</v>
      </c>
      <c r="K2" s="28" t="s">
        <v>479</v>
      </c>
      <c r="L2" s="28" t="s">
        <v>480</v>
      </c>
      <c r="M2" s="28">
        <v>0</v>
      </c>
      <c r="N2" s="28">
        <v>0</v>
      </c>
      <c r="O2" s="28"/>
      <c r="P2" s="28" t="b">
        <v>0</v>
      </c>
      <c r="Q2" s="28"/>
      <c r="R2" s="28">
        <v>0</v>
      </c>
      <c r="S2" s="28"/>
      <c r="T2" s="28">
        <v>0</v>
      </c>
      <c r="U2" s="28"/>
      <c r="V2" s="28">
        <v>0</v>
      </c>
      <c r="W2" s="28"/>
      <c r="X2" s="28">
        <v>0</v>
      </c>
      <c r="Y2" s="28"/>
      <c r="Z2" s="28">
        <v>0</v>
      </c>
      <c r="AA2" s="28"/>
      <c r="AB2" s="28">
        <v>0</v>
      </c>
      <c r="AC2" s="28">
        <v>0</v>
      </c>
      <c r="AD2" s="28"/>
      <c r="AE2" s="28" t="s">
        <v>481</v>
      </c>
      <c r="AF2" s="28">
        <v>0</v>
      </c>
      <c r="AG2" s="28">
        <v>0</v>
      </c>
      <c r="AH2" s="28">
        <v>0</v>
      </c>
      <c r="AI2" s="28">
        <v>0</v>
      </c>
      <c r="AJ2" s="28">
        <v>0</v>
      </c>
      <c r="AK2" s="28">
        <v>0</v>
      </c>
      <c r="AL2" s="28">
        <v>0</v>
      </c>
      <c r="AM2" s="28">
        <v>0</v>
      </c>
      <c r="AN2" s="28">
        <v>0</v>
      </c>
      <c r="AO2" s="28">
        <v>0</v>
      </c>
      <c r="AP2" s="28"/>
      <c r="AQ2" s="28" t="b">
        <v>1</v>
      </c>
      <c r="AR2" s="28">
        <v>1.861E-3</v>
      </c>
      <c r="AS2" s="28" t="b">
        <v>1</v>
      </c>
      <c r="AT2" s="28" t="b">
        <v>1</v>
      </c>
      <c r="AU2" s="28" t="s">
        <v>482</v>
      </c>
      <c r="AV2" s="29">
        <v>0</v>
      </c>
      <c r="AW2" s="29">
        <v>55</v>
      </c>
      <c r="AX2" s="29">
        <v>13.75</v>
      </c>
      <c r="AY2" s="34" t="str">
        <f>IFERROR(HYPERLINK("#Technical!A"&amp;MATCH(B2,Technical!A:A,0),"Open Technical"),HYPERLINK("#Technical!A1","Open Technical"))</f>
        <v>Open Technical</v>
      </c>
      <c r="AZ2" s="34"/>
    </row>
    <row r="3" spans="1:52" ht="30" customHeight="1" x14ac:dyDescent="0.25">
      <c r="A3" s="37" t="s">
        <v>475</v>
      </c>
      <c r="B3" s="30" t="s">
        <v>483</v>
      </c>
      <c r="C3" s="29">
        <v>404</v>
      </c>
      <c r="D3" s="37" t="s">
        <v>477</v>
      </c>
      <c r="E3" s="37">
        <v>4.0650000000000004</v>
      </c>
      <c r="F3" s="37"/>
      <c r="G3" s="37"/>
      <c r="H3" s="37">
        <v>0</v>
      </c>
      <c r="I3" s="50"/>
      <c r="J3" s="37" t="s">
        <v>478</v>
      </c>
      <c r="K3" s="37" t="s">
        <v>479</v>
      </c>
      <c r="L3" s="37" t="s">
        <v>480</v>
      </c>
      <c r="M3" s="37">
        <v>0</v>
      </c>
      <c r="N3" s="37">
        <v>0</v>
      </c>
      <c r="O3" s="37"/>
      <c r="P3" s="37" t="b">
        <v>0</v>
      </c>
      <c r="Q3" s="37"/>
      <c r="R3" s="37">
        <v>0</v>
      </c>
      <c r="S3" s="37"/>
      <c r="T3" s="37">
        <v>0</v>
      </c>
      <c r="U3" s="37"/>
      <c r="V3" s="37">
        <v>0</v>
      </c>
      <c r="W3" s="37"/>
      <c r="X3" s="37">
        <v>0</v>
      </c>
      <c r="Y3" s="37"/>
      <c r="Z3" s="37">
        <v>0</v>
      </c>
      <c r="AA3" s="37"/>
      <c r="AB3" s="37">
        <v>0</v>
      </c>
      <c r="AC3" s="37">
        <v>0</v>
      </c>
      <c r="AD3" s="37"/>
      <c r="AE3" s="37" t="s">
        <v>481</v>
      </c>
      <c r="AF3" s="37">
        <v>0</v>
      </c>
      <c r="AG3" s="37">
        <v>0</v>
      </c>
      <c r="AH3" s="37">
        <v>0</v>
      </c>
      <c r="AI3" s="37">
        <v>0</v>
      </c>
      <c r="AJ3" s="37">
        <v>0</v>
      </c>
      <c r="AK3" s="37">
        <v>0</v>
      </c>
      <c r="AL3" s="37">
        <v>0</v>
      </c>
      <c r="AM3" s="37">
        <v>0</v>
      </c>
      <c r="AN3" s="37">
        <v>0</v>
      </c>
      <c r="AO3" s="37">
        <v>0</v>
      </c>
      <c r="AP3" s="37"/>
      <c r="AQ3" s="37" t="b">
        <v>1</v>
      </c>
      <c r="AR3" s="37">
        <v>1.861E-3</v>
      </c>
      <c r="AS3" s="37" t="b">
        <v>1</v>
      </c>
      <c r="AT3" s="37" t="b">
        <v>1</v>
      </c>
      <c r="AU3" s="37" t="s">
        <v>482</v>
      </c>
      <c r="AV3" s="29">
        <v>0</v>
      </c>
      <c r="AW3" s="29">
        <v>55</v>
      </c>
      <c r="AX3" s="29">
        <v>13.75</v>
      </c>
      <c r="AY3" t="str">
        <f>IFERROR(HYPERLINK("#Technical!A"&amp;MATCH(B3,Technical!A:A,0),"Open Technical"),HYPERLINK("#Technical!A1","Open Technical"))</f>
        <v>Open Technical</v>
      </c>
    </row>
    <row r="4" spans="1:52" ht="31.5" x14ac:dyDescent="0.25">
      <c r="A4" s="28" t="s">
        <v>475</v>
      </c>
      <c r="B4" s="33" t="s">
        <v>127</v>
      </c>
      <c r="C4" s="35">
        <v>200</v>
      </c>
      <c r="D4" s="28" t="s">
        <v>477</v>
      </c>
      <c r="E4" s="28">
        <v>6.9000000000000006E-2</v>
      </c>
      <c r="F4" s="28" t="s">
        <v>130</v>
      </c>
      <c r="G4" s="28" t="s">
        <v>131</v>
      </c>
      <c r="H4" s="28">
        <v>35</v>
      </c>
      <c r="I4" s="49"/>
      <c r="J4" s="28" t="s">
        <v>478</v>
      </c>
      <c r="K4" s="28" t="s">
        <v>479</v>
      </c>
      <c r="L4" s="28" t="s">
        <v>484</v>
      </c>
      <c r="M4" s="28">
        <v>66</v>
      </c>
      <c r="N4" s="28">
        <v>152</v>
      </c>
      <c r="O4" s="28" t="s">
        <v>133</v>
      </c>
      <c r="P4" s="28" t="b">
        <v>0</v>
      </c>
      <c r="Q4" s="28"/>
      <c r="R4" s="28">
        <v>0</v>
      </c>
      <c r="S4" s="28"/>
      <c r="T4" s="28">
        <v>0</v>
      </c>
      <c r="U4" s="28"/>
      <c r="V4" s="28">
        <v>0</v>
      </c>
      <c r="W4" s="28"/>
      <c r="X4" s="28">
        <v>0</v>
      </c>
      <c r="Y4" s="28"/>
      <c r="Z4" s="28">
        <v>0</v>
      </c>
      <c r="AA4" s="28"/>
      <c r="AB4" s="28">
        <v>0</v>
      </c>
      <c r="AC4" s="28">
        <v>0</v>
      </c>
      <c r="AD4" s="28">
        <v>0</v>
      </c>
      <c r="AE4" s="28" t="s">
        <v>481</v>
      </c>
      <c r="AF4" s="28">
        <v>100</v>
      </c>
      <c r="AG4" s="28">
        <v>51</v>
      </c>
      <c r="AH4" s="28">
        <v>0</v>
      </c>
      <c r="AI4" s="28">
        <v>0</v>
      </c>
      <c r="AJ4" s="28">
        <v>0</v>
      </c>
      <c r="AK4" s="28">
        <v>0</v>
      </c>
      <c r="AL4" s="28">
        <v>0</v>
      </c>
      <c r="AM4" s="28">
        <v>0</v>
      </c>
      <c r="AN4" s="28">
        <v>0</v>
      </c>
      <c r="AO4" s="28">
        <v>0</v>
      </c>
      <c r="AP4" s="28">
        <v>0</v>
      </c>
      <c r="AQ4" s="28" t="b">
        <v>0</v>
      </c>
      <c r="AR4" s="28">
        <v>6.1538000000000002E-2</v>
      </c>
      <c r="AS4" s="28" t="b">
        <v>1</v>
      </c>
      <c r="AT4" s="28" t="b">
        <v>1</v>
      </c>
      <c r="AU4" s="28" t="s">
        <v>482</v>
      </c>
      <c r="AV4" s="29">
        <v>0</v>
      </c>
      <c r="AW4" s="32">
        <v>75</v>
      </c>
      <c r="AX4" s="29">
        <v>18.75</v>
      </c>
      <c r="AY4" s="34" t="str">
        <f>IFERROR(HYPERLINK("#Technical!A"&amp;MATCH(B4,Technical!A:A,0),"Open Technical"),HYPERLINK("#Technical!A1","Open Technical"))</f>
        <v>Open Technical</v>
      </c>
      <c r="AZ4" s="34"/>
    </row>
    <row r="5" spans="1:52" ht="30" customHeight="1" x14ac:dyDescent="0.25">
      <c r="A5" s="37" t="s">
        <v>475</v>
      </c>
      <c r="B5" s="30" t="s">
        <v>135</v>
      </c>
      <c r="C5" s="35">
        <v>200</v>
      </c>
      <c r="D5" s="37" t="s">
        <v>477</v>
      </c>
      <c r="E5" s="37">
        <v>7.9000000000000001E-2</v>
      </c>
      <c r="F5" s="37" t="s">
        <v>139</v>
      </c>
      <c r="G5" s="37" t="s">
        <v>140</v>
      </c>
      <c r="H5" s="37">
        <v>235</v>
      </c>
      <c r="I5" s="50"/>
      <c r="J5" s="37" t="s">
        <v>478</v>
      </c>
      <c r="K5" s="37" t="s">
        <v>479</v>
      </c>
      <c r="L5" s="37" t="s">
        <v>484</v>
      </c>
      <c r="M5" s="37">
        <v>107</v>
      </c>
      <c r="N5" s="37">
        <v>405</v>
      </c>
      <c r="O5" s="37" t="s">
        <v>133</v>
      </c>
      <c r="P5" s="37" t="b">
        <v>0</v>
      </c>
      <c r="Q5" s="37"/>
      <c r="R5" s="37">
        <v>0</v>
      </c>
      <c r="S5" s="37"/>
      <c r="T5" s="37">
        <v>0</v>
      </c>
      <c r="U5" s="37"/>
      <c r="V5" s="37">
        <v>0</v>
      </c>
      <c r="W5" s="37"/>
      <c r="X5" s="37">
        <v>0</v>
      </c>
      <c r="Y5" s="37"/>
      <c r="Z5" s="37">
        <v>0</v>
      </c>
      <c r="AA5" s="37"/>
      <c r="AB5" s="37">
        <v>0</v>
      </c>
      <c r="AC5" s="37">
        <v>6.3280000000000003</v>
      </c>
      <c r="AD5" s="37">
        <v>2E-3</v>
      </c>
      <c r="AE5" s="37" t="s">
        <v>481</v>
      </c>
      <c r="AF5" s="37">
        <v>70</v>
      </c>
      <c r="AG5" s="37">
        <v>64</v>
      </c>
      <c r="AH5" s="37">
        <v>37</v>
      </c>
      <c r="AI5" s="37">
        <v>6.3280000000000003</v>
      </c>
      <c r="AJ5" s="37">
        <v>2E-3</v>
      </c>
      <c r="AK5" s="37">
        <v>0.20699999999999999</v>
      </c>
      <c r="AL5" s="37">
        <v>0</v>
      </c>
      <c r="AM5" s="37">
        <v>0</v>
      </c>
      <c r="AN5" s="37">
        <v>0</v>
      </c>
      <c r="AO5" s="37">
        <v>0</v>
      </c>
      <c r="AP5" s="37">
        <v>1</v>
      </c>
      <c r="AQ5" s="37" t="b">
        <v>0</v>
      </c>
      <c r="AR5" s="37">
        <v>5.8172000000000001E-2</v>
      </c>
      <c r="AS5" s="37" t="b">
        <v>1</v>
      </c>
      <c r="AT5" s="37" t="b">
        <v>1</v>
      </c>
      <c r="AU5" s="37" t="s">
        <v>482</v>
      </c>
      <c r="AV5" s="29">
        <v>0</v>
      </c>
      <c r="AW5" s="32">
        <v>75</v>
      </c>
      <c r="AX5" s="29">
        <v>18.75</v>
      </c>
      <c r="AY5" t="str">
        <f>IFERROR(HYPERLINK("#Technical!A"&amp;MATCH(B5,Technical!A:A,0),"Open Technical"),HYPERLINK("#Technical!A1","Open Technical"))</f>
        <v>Open Technical</v>
      </c>
    </row>
    <row r="6" spans="1:52" ht="30" customHeight="1" x14ac:dyDescent="0.25">
      <c r="A6" s="28" t="s">
        <v>475</v>
      </c>
      <c r="B6" s="33" t="s">
        <v>144</v>
      </c>
      <c r="C6" s="35">
        <v>200</v>
      </c>
      <c r="D6" s="28" t="s">
        <v>477</v>
      </c>
      <c r="E6" s="28">
        <v>5.2999999999999999E-2</v>
      </c>
      <c r="F6" s="28" t="s">
        <v>148</v>
      </c>
      <c r="G6" s="28" t="s">
        <v>149</v>
      </c>
      <c r="H6" s="28">
        <v>355</v>
      </c>
      <c r="I6" s="49"/>
      <c r="J6" s="28" t="s">
        <v>478</v>
      </c>
      <c r="K6" s="28" t="s">
        <v>479</v>
      </c>
      <c r="L6" s="28" t="s">
        <v>484</v>
      </c>
      <c r="M6" s="28">
        <v>81</v>
      </c>
      <c r="N6" s="28">
        <v>423</v>
      </c>
      <c r="O6" s="28" t="s">
        <v>133</v>
      </c>
      <c r="P6" s="28" t="b">
        <v>0</v>
      </c>
      <c r="Q6" s="28"/>
      <c r="R6" s="28">
        <v>0</v>
      </c>
      <c r="S6" s="28"/>
      <c r="T6" s="28">
        <v>0</v>
      </c>
      <c r="U6" s="28"/>
      <c r="V6" s="28">
        <v>0</v>
      </c>
      <c r="W6" s="28"/>
      <c r="X6" s="28">
        <v>0</v>
      </c>
      <c r="Y6" s="28"/>
      <c r="Z6" s="28">
        <v>0</v>
      </c>
      <c r="AA6" s="28"/>
      <c r="AB6" s="28">
        <v>0</v>
      </c>
      <c r="AC6" s="28">
        <v>29.553000000000001</v>
      </c>
      <c r="AD6" s="28">
        <v>0.115</v>
      </c>
      <c r="AE6" s="28" t="s">
        <v>481</v>
      </c>
      <c r="AF6" s="28">
        <v>60</v>
      </c>
      <c r="AG6" s="28">
        <v>43</v>
      </c>
      <c r="AH6" s="28">
        <v>32</v>
      </c>
      <c r="AI6" s="28">
        <v>29.553000000000001</v>
      </c>
      <c r="AJ6" s="28">
        <v>0.115</v>
      </c>
      <c r="AK6" s="28">
        <v>6.0000000000000001E-3</v>
      </c>
      <c r="AL6" s="28">
        <v>0</v>
      </c>
      <c r="AM6" s="28">
        <v>0</v>
      </c>
      <c r="AN6" s="28">
        <v>0</v>
      </c>
      <c r="AO6" s="28">
        <v>0</v>
      </c>
      <c r="AP6" s="28">
        <v>1</v>
      </c>
      <c r="AQ6" s="28" t="b">
        <v>0</v>
      </c>
      <c r="AR6" s="28">
        <v>5.8172000000000001E-2</v>
      </c>
      <c r="AS6" s="28" t="b">
        <v>1</v>
      </c>
      <c r="AT6" s="28" t="b">
        <v>1</v>
      </c>
      <c r="AU6" s="28" t="s">
        <v>482</v>
      </c>
      <c r="AV6" s="29">
        <v>0</v>
      </c>
      <c r="AW6" s="35">
        <v>100</v>
      </c>
      <c r="AX6" s="29">
        <v>25</v>
      </c>
      <c r="AY6" s="34" t="str">
        <f>IFERROR(HYPERLINK("#Technical!A"&amp;MATCH(B6,Technical!A:A,0),"Open Technical"),HYPERLINK("#Technical!A1","Open Technical"))</f>
        <v>Open Technical</v>
      </c>
      <c r="AZ6" s="34"/>
    </row>
    <row r="7" spans="1:52" ht="30" customHeight="1" x14ac:dyDescent="0.25">
      <c r="A7" s="37" t="s">
        <v>475</v>
      </c>
      <c r="B7" s="30" t="s">
        <v>152</v>
      </c>
      <c r="C7" s="35">
        <v>200</v>
      </c>
      <c r="D7" s="37" t="s">
        <v>477</v>
      </c>
      <c r="E7" s="37">
        <v>3.5000000000000003E-2</v>
      </c>
      <c r="F7" s="37" t="s">
        <v>156</v>
      </c>
      <c r="G7" s="37" t="s">
        <v>157</v>
      </c>
      <c r="H7" s="37">
        <v>1668</v>
      </c>
      <c r="I7" s="50"/>
      <c r="J7" s="37" t="s">
        <v>478</v>
      </c>
      <c r="K7" s="37" t="s">
        <v>479</v>
      </c>
      <c r="L7" s="37" t="s">
        <v>484</v>
      </c>
      <c r="M7" s="37">
        <v>49</v>
      </c>
      <c r="N7" s="37">
        <v>406</v>
      </c>
      <c r="O7" s="37" t="s">
        <v>159</v>
      </c>
      <c r="P7" s="37" t="b">
        <v>0</v>
      </c>
      <c r="Q7" s="37"/>
      <c r="R7" s="37">
        <v>0</v>
      </c>
      <c r="S7" s="37"/>
      <c r="T7" s="37">
        <v>0</v>
      </c>
      <c r="U7" s="37"/>
      <c r="V7" s="37">
        <v>0</v>
      </c>
      <c r="W7" s="37"/>
      <c r="X7" s="37">
        <v>0</v>
      </c>
      <c r="Y7" s="37"/>
      <c r="Z7" s="37">
        <v>0</v>
      </c>
      <c r="AA7" s="37"/>
      <c r="AB7" s="37">
        <v>0</v>
      </c>
      <c r="AC7" s="37">
        <v>17.635999999999999</v>
      </c>
      <c r="AD7" s="37">
        <v>1.2E-2</v>
      </c>
      <c r="AE7" s="37" t="s">
        <v>481</v>
      </c>
      <c r="AF7" s="37">
        <v>100</v>
      </c>
      <c r="AG7" s="37">
        <v>0</v>
      </c>
      <c r="AH7" s="37">
        <v>33</v>
      </c>
      <c r="AI7" s="37">
        <v>17.635999999999999</v>
      </c>
      <c r="AJ7" s="37">
        <v>1.2E-2</v>
      </c>
      <c r="AK7" s="37">
        <v>7.0000000000000001E-3</v>
      </c>
      <c r="AL7" s="37">
        <v>0</v>
      </c>
      <c r="AM7" s="37">
        <v>0</v>
      </c>
      <c r="AN7" s="37">
        <v>0</v>
      </c>
      <c r="AO7" s="37">
        <v>0</v>
      </c>
      <c r="AP7" s="37"/>
      <c r="AQ7" s="37" t="b">
        <v>1</v>
      </c>
      <c r="AR7" s="37">
        <v>1.861E-3</v>
      </c>
      <c r="AS7" s="37" t="b">
        <v>1</v>
      </c>
      <c r="AT7" s="37" t="b">
        <v>1</v>
      </c>
      <c r="AU7" s="37" t="s">
        <v>482</v>
      </c>
      <c r="AV7" s="29">
        <v>0</v>
      </c>
      <c r="AW7" s="35">
        <v>100</v>
      </c>
      <c r="AX7" s="29">
        <v>25</v>
      </c>
      <c r="AY7" t="str">
        <f>IFERROR(HYPERLINK("#Technical!A"&amp;MATCH(B7,Technical!A:A,0),"Open Technical"),HYPERLINK("#Technical!A1","Open Technical"))</f>
        <v>Open Technical</v>
      </c>
    </row>
    <row r="8" spans="1:52" ht="30" customHeight="1" x14ac:dyDescent="0.25">
      <c r="A8" s="28" t="s">
        <v>475</v>
      </c>
      <c r="B8" s="33" t="s">
        <v>161</v>
      </c>
      <c r="C8" s="35">
        <v>200</v>
      </c>
      <c r="D8" s="28" t="s">
        <v>477</v>
      </c>
      <c r="E8" s="28">
        <v>8.4000000000000005E-2</v>
      </c>
      <c r="F8" s="28" t="s">
        <v>165</v>
      </c>
      <c r="G8" s="28" t="s">
        <v>166</v>
      </c>
      <c r="H8" s="28">
        <v>32</v>
      </c>
      <c r="I8" s="49"/>
      <c r="J8" s="28" t="s">
        <v>478</v>
      </c>
      <c r="K8" s="28" t="s">
        <v>479</v>
      </c>
      <c r="L8" s="28" t="s">
        <v>484</v>
      </c>
      <c r="M8" s="28">
        <v>53</v>
      </c>
      <c r="N8" s="28">
        <v>387</v>
      </c>
      <c r="O8" s="28" t="s">
        <v>133</v>
      </c>
      <c r="P8" s="28" t="b">
        <v>0</v>
      </c>
      <c r="Q8" s="28"/>
      <c r="R8" s="28">
        <v>0</v>
      </c>
      <c r="S8" s="28"/>
      <c r="T8" s="28">
        <v>0</v>
      </c>
      <c r="U8" s="28"/>
      <c r="V8" s="28">
        <v>0</v>
      </c>
      <c r="W8" s="28"/>
      <c r="X8" s="28">
        <v>0</v>
      </c>
      <c r="Y8" s="28"/>
      <c r="Z8" s="28">
        <v>0</v>
      </c>
      <c r="AA8" s="28"/>
      <c r="AB8" s="28">
        <v>0</v>
      </c>
      <c r="AC8" s="28">
        <v>7.2409999999999997</v>
      </c>
      <c r="AD8" s="28">
        <v>8.9999999999999993E-3</v>
      </c>
      <c r="AE8" s="28" t="s">
        <v>481</v>
      </c>
      <c r="AF8" s="28">
        <v>100</v>
      </c>
      <c r="AG8" s="28">
        <v>58</v>
      </c>
      <c r="AH8" s="28">
        <v>39</v>
      </c>
      <c r="AI8" s="28">
        <v>7.2409999999999997</v>
      </c>
      <c r="AJ8" s="28">
        <v>8.9999999999999993E-3</v>
      </c>
      <c r="AK8" s="28">
        <v>0.16700000000000001</v>
      </c>
      <c r="AL8" s="28">
        <v>0</v>
      </c>
      <c r="AM8" s="28">
        <v>0</v>
      </c>
      <c r="AN8" s="28">
        <v>0</v>
      </c>
      <c r="AO8" s="28">
        <v>0</v>
      </c>
      <c r="AP8" s="28">
        <v>2</v>
      </c>
      <c r="AQ8" s="28" t="b">
        <v>0</v>
      </c>
      <c r="AR8" s="28">
        <v>4.921E-3</v>
      </c>
      <c r="AS8" s="28" t="b">
        <v>1</v>
      </c>
      <c r="AT8" s="28" t="b">
        <v>1</v>
      </c>
      <c r="AU8" s="28" t="s">
        <v>482</v>
      </c>
      <c r="AV8" s="29">
        <v>0</v>
      </c>
      <c r="AW8" s="29">
        <v>45</v>
      </c>
      <c r="AX8" s="29">
        <v>11.25</v>
      </c>
      <c r="AY8" s="34" t="str">
        <f>IFERROR(HYPERLINK("#Technical!A"&amp;MATCH(B8,Technical!A:A,0),"Open Technical"),HYPERLINK("#Technical!A1","Open Technical"))</f>
        <v>Open Technical</v>
      </c>
      <c r="AZ8" s="34"/>
    </row>
    <row r="9" spans="1:52" ht="30" customHeight="1" x14ac:dyDescent="0.25">
      <c r="A9" s="37" t="s">
        <v>475</v>
      </c>
      <c r="B9" s="30" t="s">
        <v>169</v>
      </c>
      <c r="C9" s="35">
        <v>200</v>
      </c>
      <c r="D9" s="37" t="s">
        <v>477</v>
      </c>
      <c r="E9" s="37">
        <v>5.6000000000000001E-2</v>
      </c>
      <c r="F9" s="37" t="s">
        <v>173</v>
      </c>
      <c r="G9" s="37" t="s">
        <v>174</v>
      </c>
      <c r="H9" s="37">
        <v>120</v>
      </c>
      <c r="I9" s="50"/>
      <c r="J9" s="37" t="s">
        <v>478</v>
      </c>
      <c r="K9" s="37" t="s">
        <v>479</v>
      </c>
      <c r="L9" s="37" t="s">
        <v>484</v>
      </c>
      <c r="M9" s="37">
        <v>66</v>
      </c>
      <c r="N9" s="37">
        <v>335</v>
      </c>
      <c r="O9" s="37" t="s">
        <v>133</v>
      </c>
      <c r="P9" s="37" t="b">
        <v>0</v>
      </c>
      <c r="Q9" s="37"/>
      <c r="R9" s="37">
        <v>0</v>
      </c>
      <c r="S9" s="37"/>
      <c r="T9" s="37">
        <v>0</v>
      </c>
      <c r="U9" s="37"/>
      <c r="V9" s="37">
        <v>0</v>
      </c>
      <c r="W9" s="37"/>
      <c r="X9" s="37">
        <v>0</v>
      </c>
      <c r="Y9" s="37"/>
      <c r="Z9" s="37">
        <v>0</v>
      </c>
      <c r="AA9" s="37"/>
      <c r="AB9" s="37">
        <v>0</v>
      </c>
      <c r="AC9" s="37">
        <v>13.146000000000001</v>
      </c>
      <c r="AD9" s="37">
        <v>1.2E-2</v>
      </c>
      <c r="AE9" s="37" t="s">
        <v>481</v>
      </c>
      <c r="AF9" s="37">
        <v>30</v>
      </c>
      <c r="AG9" s="37">
        <v>42</v>
      </c>
      <c r="AH9" s="37">
        <v>33</v>
      </c>
      <c r="AI9" s="37">
        <v>13.146000000000001</v>
      </c>
      <c r="AJ9" s="37">
        <v>1.2E-2</v>
      </c>
      <c r="AK9" s="37">
        <v>0.20100000000000001</v>
      </c>
      <c r="AL9" s="37">
        <v>0</v>
      </c>
      <c r="AM9" s="37">
        <v>0</v>
      </c>
      <c r="AN9" s="37">
        <v>0</v>
      </c>
      <c r="AO9" s="37">
        <v>0</v>
      </c>
      <c r="AP9" s="37"/>
      <c r="AQ9" s="37" t="b">
        <v>1</v>
      </c>
      <c r="AR9" s="37">
        <v>1.861E-3</v>
      </c>
      <c r="AS9" s="37" t="b">
        <v>1</v>
      </c>
      <c r="AT9" s="37" t="b">
        <v>1</v>
      </c>
      <c r="AU9" s="37" t="s">
        <v>482</v>
      </c>
      <c r="AV9" s="29">
        <v>0</v>
      </c>
      <c r="AW9" s="29">
        <v>45</v>
      </c>
      <c r="AX9" s="29">
        <v>11.25</v>
      </c>
      <c r="AY9" t="str">
        <f>IFERROR(HYPERLINK("#Technical!A"&amp;MATCH(B9,Technical!A:A,0),"Open Technical"),HYPERLINK("#Technical!A1","Open Technical"))</f>
        <v>Open Technical</v>
      </c>
    </row>
    <row r="10" spans="1:52" ht="30" customHeight="1" x14ac:dyDescent="0.25">
      <c r="A10" s="28" t="s">
        <v>475</v>
      </c>
      <c r="B10" s="33" t="s">
        <v>177</v>
      </c>
      <c r="C10" s="35">
        <v>200</v>
      </c>
      <c r="D10" s="28" t="s">
        <v>477</v>
      </c>
      <c r="E10" s="28">
        <v>3.5999999999999997E-2</v>
      </c>
      <c r="F10" s="28" t="s">
        <v>181</v>
      </c>
      <c r="G10" s="28" t="s">
        <v>182</v>
      </c>
      <c r="H10" s="28">
        <v>367</v>
      </c>
      <c r="I10" s="49"/>
      <c r="J10" s="28" t="s">
        <v>478</v>
      </c>
      <c r="K10" s="28" t="s">
        <v>479</v>
      </c>
      <c r="L10" s="28" t="s">
        <v>484</v>
      </c>
      <c r="M10" s="28">
        <v>65</v>
      </c>
      <c r="N10" s="28">
        <v>337</v>
      </c>
      <c r="O10" s="28" t="s">
        <v>133</v>
      </c>
      <c r="P10" s="28" t="b">
        <v>0</v>
      </c>
      <c r="Q10" s="28"/>
      <c r="R10" s="28">
        <v>0</v>
      </c>
      <c r="S10" s="28"/>
      <c r="T10" s="28">
        <v>0</v>
      </c>
      <c r="U10" s="28"/>
      <c r="V10" s="28">
        <v>0</v>
      </c>
      <c r="W10" s="28"/>
      <c r="X10" s="28">
        <v>0</v>
      </c>
      <c r="Y10" s="28"/>
      <c r="Z10" s="28">
        <v>0</v>
      </c>
      <c r="AA10" s="28"/>
      <c r="AB10" s="28">
        <v>0</v>
      </c>
      <c r="AC10" s="28">
        <v>13.589</v>
      </c>
      <c r="AD10" s="28">
        <v>1.2E-2</v>
      </c>
      <c r="AE10" s="28" t="s">
        <v>481</v>
      </c>
      <c r="AF10" s="28">
        <v>100</v>
      </c>
      <c r="AG10" s="28">
        <v>43</v>
      </c>
      <c r="AH10" s="28">
        <v>48</v>
      </c>
      <c r="AI10" s="28">
        <v>13.589</v>
      </c>
      <c r="AJ10" s="28">
        <v>1.2E-2</v>
      </c>
      <c r="AK10" s="28">
        <v>0.17399999999999999</v>
      </c>
      <c r="AL10" s="28">
        <v>0</v>
      </c>
      <c r="AM10" s="28">
        <v>0</v>
      </c>
      <c r="AN10" s="28">
        <v>0</v>
      </c>
      <c r="AO10" s="28">
        <v>0</v>
      </c>
      <c r="AP10" s="28"/>
      <c r="AQ10" s="28" t="b">
        <v>1</v>
      </c>
      <c r="AR10" s="28">
        <v>1.861E-3</v>
      </c>
      <c r="AS10" s="28" t="b">
        <v>1</v>
      </c>
      <c r="AT10" s="28" t="b">
        <v>1</v>
      </c>
      <c r="AU10" s="28" t="s">
        <v>482</v>
      </c>
      <c r="AV10" s="29">
        <v>0</v>
      </c>
      <c r="AW10" s="32">
        <v>70</v>
      </c>
      <c r="AX10" s="29">
        <v>17.5</v>
      </c>
      <c r="AY10" s="34" t="str">
        <f>IFERROR(HYPERLINK("#Technical!A"&amp;MATCH(B10,Technical!A:A,0),"Open Technical"),HYPERLINK("#Technical!A1","Open Technical"))</f>
        <v>Open Technical</v>
      </c>
      <c r="AZ10" s="34"/>
    </row>
    <row r="11" spans="1:52" ht="30" customHeight="1" x14ac:dyDescent="0.25">
      <c r="A11" s="37" t="s">
        <v>475</v>
      </c>
      <c r="B11" s="30" t="s">
        <v>185</v>
      </c>
      <c r="C11" s="35">
        <v>200</v>
      </c>
      <c r="D11" s="37" t="s">
        <v>477</v>
      </c>
      <c r="E11" s="37">
        <v>5.3999999999999999E-2</v>
      </c>
      <c r="F11" s="37" t="s">
        <v>189</v>
      </c>
      <c r="G11" s="37" t="s">
        <v>190</v>
      </c>
      <c r="H11" s="37">
        <v>415</v>
      </c>
      <c r="I11" s="50"/>
      <c r="J11" s="37" t="s">
        <v>478</v>
      </c>
      <c r="K11" s="37" t="s">
        <v>479</v>
      </c>
      <c r="L11" s="37" t="s">
        <v>484</v>
      </c>
      <c r="M11" s="37">
        <v>53</v>
      </c>
      <c r="N11" s="37">
        <v>398</v>
      </c>
      <c r="O11" s="37" t="s">
        <v>159</v>
      </c>
      <c r="P11" s="37" t="b">
        <v>0</v>
      </c>
      <c r="Q11" s="37"/>
      <c r="R11" s="37">
        <v>0</v>
      </c>
      <c r="S11" s="37"/>
      <c r="T11" s="37">
        <v>0</v>
      </c>
      <c r="U11" s="37"/>
      <c r="V11" s="37">
        <v>0</v>
      </c>
      <c r="W11" s="37"/>
      <c r="X11" s="37">
        <v>0</v>
      </c>
      <c r="Y11" s="37"/>
      <c r="Z11" s="37">
        <v>0</v>
      </c>
      <c r="AA11" s="37"/>
      <c r="AB11" s="37">
        <v>0</v>
      </c>
      <c r="AC11" s="37">
        <v>15.727</v>
      </c>
      <c r="AD11" s="37">
        <v>0</v>
      </c>
      <c r="AE11" s="37" t="s">
        <v>481</v>
      </c>
      <c r="AF11" s="37">
        <v>80</v>
      </c>
      <c r="AG11" s="37">
        <v>57</v>
      </c>
      <c r="AH11" s="37">
        <v>39</v>
      </c>
      <c r="AI11" s="37">
        <v>15.727</v>
      </c>
      <c r="AJ11" s="37">
        <v>0</v>
      </c>
      <c r="AK11" s="37">
        <v>7.0000000000000001E-3</v>
      </c>
      <c r="AL11" s="37">
        <v>0</v>
      </c>
      <c r="AM11" s="37">
        <v>0</v>
      </c>
      <c r="AN11" s="37">
        <v>0</v>
      </c>
      <c r="AO11" s="37">
        <v>0</v>
      </c>
      <c r="AP11" s="37">
        <v>2</v>
      </c>
      <c r="AQ11" s="37" t="b">
        <v>0</v>
      </c>
      <c r="AR11" s="37">
        <v>8.2869999999999992E-3</v>
      </c>
      <c r="AS11" s="37" t="b">
        <v>1</v>
      </c>
      <c r="AT11" s="37" t="b">
        <v>1</v>
      </c>
      <c r="AU11" s="37" t="s">
        <v>482</v>
      </c>
      <c r="AV11" s="29">
        <v>0</v>
      </c>
      <c r="AW11" s="35">
        <v>100</v>
      </c>
      <c r="AX11" s="29">
        <v>25</v>
      </c>
      <c r="AY11" t="str">
        <f>IFERROR(HYPERLINK("#Technical!A"&amp;MATCH(B11,Technical!A:A,0),"Open Technical"),HYPERLINK("#Technical!A1","Open Technical"))</f>
        <v>Open Technical</v>
      </c>
    </row>
    <row r="12" spans="1:52" ht="30" customHeight="1" x14ac:dyDescent="0.25">
      <c r="A12" s="28" t="s">
        <v>475</v>
      </c>
      <c r="B12" s="33" t="s">
        <v>193</v>
      </c>
      <c r="C12" s="35">
        <v>200</v>
      </c>
      <c r="D12" s="28" t="s">
        <v>477</v>
      </c>
      <c r="E12" s="28">
        <v>5.1999999999999998E-2</v>
      </c>
      <c r="F12" s="28" t="s">
        <v>197</v>
      </c>
      <c r="G12" s="28" t="s">
        <v>198</v>
      </c>
      <c r="H12" s="28">
        <v>326</v>
      </c>
      <c r="I12" s="49"/>
      <c r="J12" s="28" t="s">
        <v>478</v>
      </c>
      <c r="K12" s="28" t="s">
        <v>479</v>
      </c>
      <c r="L12" s="28" t="s">
        <v>484</v>
      </c>
      <c r="M12" s="28">
        <v>44</v>
      </c>
      <c r="N12" s="28">
        <v>432</v>
      </c>
      <c r="O12" s="28" t="s">
        <v>159</v>
      </c>
      <c r="P12" s="28" t="b">
        <v>0</v>
      </c>
      <c r="Q12" s="28"/>
      <c r="R12" s="28">
        <v>0</v>
      </c>
      <c r="S12" s="28"/>
      <c r="T12" s="28">
        <v>0</v>
      </c>
      <c r="U12" s="28"/>
      <c r="V12" s="28">
        <v>0</v>
      </c>
      <c r="W12" s="28"/>
      <c r="X12" s="28">
        <v>0</v>
      </c>
      <c r="Y12" s="28"/>
      <c r="Z12" s="28">
        <v>0</v>
      </c>
      <c r="AA12" s="28"/>
      <c r="AB12" s="28">
        <v>0</v>
      </c>
      <c r="AC12" s="28">
        <v>16.596</v>
      </c>
      <c r="AD12" s="28">
        <v>0</v>
      </c>
      <c r="AE12" s="28" t="s">
        <v>481</v>
      </c>
      <c r="AF12" s="28">
        <v>40</v>
      </c>
      <c r="AG12" s="28">
        <v>48</v>
      </c>
      <c r="AH12" s="28">
        <v>49</v>
      </c>
      <c r="AI12" s="28">
        <v>16.596</v>
      </c>
      <c r="AJ12" s="28">
        <v>0</v>
      </c>
      <c r="AK12" s="28">
        <v>0.17199999999999999</v>
      </c>
      <c r="AL12" s="28">
        <v>0</v>
      </c>
      <c r="AM12" s="28">
        <v>0</v>
      </c>
      <c r="AN12" s="28">
        <v>0</v>
      </c>
      <c r="AO12" s="28">
        <v>0</v>
      </c>
      <c r="AP12" s="28">
        <v>4</v>
      </c>
      <c r="AQ12" s="28" t="b">
        <v>0</v>
      </c>
      <c r="AR12" s="28">
        <v>5.2269999999999999E-3</v>
      </c>
      <c r="AS12" s="28" t="b">
        <v>1</v>
      </c>
      <c r="AT12" s="28" t="b">
        <v>1</v>
      </c>
      <c r="AU12" s="28" t="s">
        <v>482</v>
      </c>
      <c r="AV12" s="29">
        <v>0</v>
      </c>
      <c r="AW12" s="35">
        <v>100</v>
      </c>
      <c r="AX12" s="29">
        <v>25</v>
      </c>
      <c r="AY12" s="34" t="str">
        <f>IFERROR(HYPERLINK("#Technical!A"&amp;MATCH(B12,Technical!A:A,0),"Open Technical"),HYPERLINK("#Technical!A1","Open Technical"))</f>
        <v>Open Technical</v>
      </c>
      <c r="AZ12" s="34"/>
    </row>
    <row r="13" spans="1:52" ht="30" customHeight="1" x14ac:dyDescent="0.25">
      <c r="A13" s="37" t="s">
        <v>475</v>
      </c>
      <c r="B13" s="30" t="s">
        <v>201</v>
      </c>
      <c r="C13" s="35">
        <v>200</v>
      </c>
      <c r="D13" s="37" t="s">
        <v>477</v>
      </c>
      <c r="E13" s="37">
        <v>7.2999999999999995E-2</v>
      </c>
      <c r="F13" s="37" t="s">
        <v>205</v>
      </c>
      <c r="G13" s="37"/>
      <c r="H13" s="37">
        <v>31</v>
      </c>
      <c r="I13" s="50"/>
      <c r="J13" s="37" t="s">
        <v>478</v>
      </c>
      <c r="K13" s="37" t="s">
        <v>479</v>
      </c>
      <c r="L13" s="37" t="s">
        <v>484</v>
      </c>
      <c r="M13" s="37">
        <v>55</v>
      </c>
      <c r="N13" s="37">
        <v>0</v>
      </c>
      <c r="O13" s="37" t="s">
        <v>159</v>
      </c>
      <c r="P13" s="37" t="b">
        <v>0</v>
      </c>
      <c r="Q13" s="37"/>
      <c r="R13" s="37">
        <v>0</v>
      </c>
      <c r="S13" s="37"/>
      <c r="T13" s="37">
        <v>0</v>
      </c>
      <c r="U13" s="37"/>
      <c r="V13" s="37">
        <v>0</v>
      </c>
      <c r="W13" s="37"/>
      <c r="X13" s="37">
        <v>0</v>
      </c>
      <c r="Y13" s="37"/>
      <c r="Z13" s="37">
        <v>0</v>
      </c>
      <c r="AA13" s="37"/>
      <c r="AB13" s="37">
        <v>0</v>
      </c>
      <c r="AC13" s="37">
        <v>0</v>
      </c>
      <c r="AD13" s="37">
        <v>0</v>
      </c>
      <c r="AE13" s="37" t="s">
        <v>481</v>
      </c>
      <c r="AF13" s="37">
        <v>30</v>
      </c>
      <c r="AG13" s="37">
        <v>54</v>
      </c>
      <c r="AH13" s="37">
        <v>0</v>
      </c>
      <c r="AI13" s="37">
        <v>0</v>
      </c>
      <c r="AJ13" s="37">
        <v>0</v>
      </c>
      <c r="AK13" s="37">
        <v>0</v>
      </c>
      <c r="AL13" s="37">
        <v>0</v>
      </c>
      <c r="AM13" s="37">
        <v>0</v>
      </c>
      <c r="AN13" s="37">
        <v>0</v>
      </c>
      <c r="AO13" s="37">
        <v>0</v>
      </c>
      <c r="AP13" s="37"/>
      <c r="AQ13" s="37" t="b">
        <v>1</v>
      </c>
      <c r="AR13" s="37">
        <v>1.861E-3</v>
      </c>
      <c r="AS13" s="37" t="b">
        <v>1</v>
      </c>
      <c r="AT13" s="37" t="b">
        <v>1</v>
      </c>
      <c r="AU13" s="37" t="s">
        <v>482</v>
      </c>
      <c r="AV13" s="29">
        <v>0</v>
      </c>
      <c r="AW13" s="29">
        <v>25</v>
      </c>
      <c r="AX13" s="29">
        <v>6.25</v>
      </c>
      <c r="AY13" t="str">
        <f>IFERROR(HYPERLINK("#Technical!A"&amp;MATCH(B13,Technical!A:A,0),"Open Technical"),HYPERLINK("#Technical!A1","Open Technical"))</f>
        <v>Open Technical</v>
      </c>
    </row>
    <row r="14" spans="1:52" ht="30" customHeight="1" x14ac:dyDescent="0.25">
      <c r="A14" s="28" t="s">
        <v>475</v>
      </c>
      <c r="B14" s="33" t="s">
        <v>208</v>
      </c>
      <c r="C14" s="35">
        <v>200</v>
      </c>
      <c r="D14" s="28" t="s">
        <v>477</v>
      </c>
      <c r="E14" s="28">
        <v>0.11799999999999999</v>
      </c>
      <c r="F14" s="28" t="s">
        <v>212</v>
      </c>
      <c r="G14" s="28" t="s">
        <v>213</v>
      </c>
      <c r="H14" s="28">
        <v>195</v>
      </c>
      <c r="I14" s="49"/>
      <c r="J14" s="28" t="s">
        <v>478</v>
      </c>
      <c r="K14" s="28" t="s">
        <v>479</v>
      </c>
      <c r="L14" s="28" t="s">
        <v>484</v>
      </c>
      <c r="M14" s="28">
        <v>42</v>
      </c>
      <c r="N14" s="28">
        <v>316</v>
      </c>
      <c r="O14" s="28" t="s">
        <v>159</v>
      </c>
      <c r="P14" s="28" t="b">
        <v>0</v>
      </c>
      <c r="Q14" s="28"/>
      <c r="R14" s="28">
        <v>0</v>
      </c>
      <c r="S14" s="28"/>
      <c r="T14" s="28">
        <v>0</v>
      </c>
      <c r="U14" s="28"/>
      <c r="V14" s="28">
        <v>0</v>
      </c>
      <c r="W14" s="28"/>
      <c r="X14" s="28">
        <v>0</v>
      </c>
      <c r="Y14" s="28"/>
      <c r="Z14" s="28">
        <v>0</v>
      </c>
      <c r="AA14" s="28"/>
      <c r="AB14" s="28">
        <v>0</v>
      </c>
      <c r="AC14" s="28">
        <v>11.249000000000001</v>
      </c>
      <c r="AD14" s="28">
        <v>7.0000000000000001E-3</v>
      </c>
      <c r="AE14" s="28" t="s">
        <v>481</v>
      </c>
      <c r="AF14" s="28">
        <v>30</v>
      </c>
      <c r="AG14" s="28">
        <v>40</v>
      </c>
      <c r="AH14" s="28">
        <v>27</v>
      </c>
      <c r="AI14" s="28">
        <v>11.249000000000001</v>
      </c>
      <c r="AJ14" s="28">
        <v>7.0000000000000001E-3</v>
      </c>
      <c r="AK14" s="28">
        <v>0.17</v>
      </c>
      <c r="AL14" s="28">
        <v>0</v>
      </c>
      <c r="AM14" s="28">
        <v>0</v>
      </c>
      <c r="AN14" s="28">
        <v>0</v>
      </c>
      <c r="AO14" s="28">
        <v>0</v>
      </c>
      <c r="AP14" s="28"/>
      <c r="AQ14" s="28" t="b">
        <v>1</v>
      </c>
      <c r="AR14" s="28">
        <v>1.861E-3</v>
      </c>
      <c r="AS14" s="28" t="b">
        <v>1</v>
      </c>
      <c r="AT14" s="28" t="b">
        <v>1</v>
      </c>
      <c r="AU14" s="28" t="s">
        <v>482</v>
      </c>
      <c r="AV14" s="29">
        <v>0</v>
      </c>
      <c r="AW14" s="32">
        <v>75</v>
      </c>
      <c r="AX14" s="29">
        <v>18.75</v>
      </c>
      <c r="AY14" s="34" t="str">
        <f>IFERROR(HYPERLINK("#Technical!A"&amp;MATCH(B14,Technical!A:A,0),"Open Technical"),HYPERLINK("#Technical!A1","Open Technical"))</f>
        <v>Open Technical</v>
      </c>
      <c r="AZ14" s="34"/>
    </row>
    <row r="15" spans="1:52" ht="30" customHeight="1" x14ac:dyDescent="0.25">
      <c r="A15" s="37" t="s">
        <v>475</v>
      </c>
      <c r="B15" s="30" t="s">
        <v>216</v>
      </c>
      <c r="C15" s="35">
        <v>200</v>
      </c>
      <c r="D15" s="37" t="s">
        <v>477</v>
      </c>
      <c r="E15" s="37">
        <v>7.8E-2</v>
      </c>
      <c r="F15" s="37" t="s">
        <v>220</v>
      </c>
      <c r="G15" s="37" t="s">
        <v>221</v>
      </c>
      <c r="H15" s="37">
        <v>97</v>
      </c>
      <c r="I15" s="50"/>
      <c r="J15" s="37" t="s">
        <v>478</v>
      </c>
      <c r="K15" s="37" t="s">
        <v>479</v>
      </c>
      <c r="L15" s="37" t="s">
        <v>484</v>
      </c>
      <c r="M15" s="37">
        <v>54</v>
      </c>
      <c r="N15" s="37">
        <v>379</v>
      </c>
      <c r="O15" s="37" t="s">
        <v>159</v>
      </c>
      <c r="P15" s="37" t="b">
        <v>0</v>
      </c>
      <c r="Q15" s="37"/>
      <c r="R15" s="37">
        <v>0</v>
      </c>
      <c r="S15" s="37"/>
      <c r="T15" s="37">
        <v>0</v>
      </c>
      <c r="U15" s="37"/>
      <c r="V15" s="37">
        <v>0</v>
      </c>
      <c r="W15" s="37"/>
      <c r="X15" s="37">
        <v>0</v>
      </c>
      <c r="Y15" s="37"/>
      <c r="Z15" s="37">
        <v>0</v>
      </c>
      <c r="AA15" s="37"/>
      <c r="AB15" s="37">
        <v>0</v>
      </c>
      <c r="AC15" s="37">
        <v>5.242</v>
      </c>
      <c r="AD15" s="37">
        <v>0</v>
      </c>
      <c r="AE15" s="37" t="s">
        <v>481</v>
      </c>
      <c r="AF15" s="37">
        <v>30</v>
      </c>
      <c r="AG15" s="37">
        <v>60</v>
      </c>
      <c r="AH15" s="37">
        <v>40</v>
      </c>
      <c r="AI15" s="37">
        <v>5.242</v>
      </c>
      <c r="AJ15" s="37">
        <v>0</v>
      </c>
      <c r="AK15" s="37">
        <v>5.0000000000000001E-3</v>
      </c>
      <c r="AL15" s="37">
        <v>0</v>
      </c>
      <c r="AM15" s="37">
        <v>0</v>
      </c>
      <c r="AN15" s="37">
        <v>0</v>
      </c>
      <c r="AO15" s="37">
        <v>0</v>
      </c>
      <c r="AP15" s="37"/>
      <c r="AQ15" s="37" t="b">
        <v>1</v>
      </c>
      <c r="AR15" s="37">
        <v>1.861E-3</v>
      </c>
      <c r="AS15" s="37" t="b">
        <v>1</v>
      </c>
      <c r="AT15" s="37" t="b">
        <v>1</v>
      </c>
      <c r="AU15" s="37" t="s">
        <v>482</v>
      </c>
      <c r="AV15" s="29">
        <v>0</v>
      </c>
      <c r="AW15" s="29">
        <v>45</v>
      </c>
      <c r="AX15" s="29">
        <v>11.25</v>
      </c>
      <c r="AY15" t="str">
        <f>IFERROR(HYPERLINK("#Technical!A"&amp;MATCH(B15,Technical!A:A,0),"Open Technical"),HYPERLINK("#Technical!A1","Open Technical"))</f>
        <v>Open Technical</v>
      </c>
    </row>
    <row r="16" spans="1:52" ht="30" customHeight="1" x14ac:dyDescent="0.25">
      <c r="A16" s="28" t="s">
        <v>475</v>
      </c>
      <c r="B16" s="33" t="s">
        <v>224</v>
      </c>
      <c r="C16" s="35">
        <v>200</v>
      </c>
      <c r="D16" s="28" t="s">
        <v>477</v>
      </c>
      <c r="E16" s="28">
        <v>8.5999999999999993E-2</v>
      </c>
      <c r="F16" s="28" t="s">
        <v>228</v>
      </c>
      <c r="G16" s="28" t="s">
        <v>229</v>
      </c>
      <c r="H16" s="28">
        <v>111</v>
      </c>
      <c r="I16" s="49"/>
      <c r="J16" s="28" t="s">
        <v>478</v>
      </c>
      <c r="K16" s="28" t="s">
        <v>479</v>
      </c>
      <c r="L16" s="28" t="s">
        <v>484</v>
      </c>
      <c r="M16" s="28">
        <v>53</v>
      </c>
      <c r="N16" s="28">
        <v>340</v>
      </c>
      <c r="O16" s="28" t="s">
        <v>231</v>
      </c>
      <c r="P16" s="28" t="b">
        <v>0</v>
      </c>
      <c r="Q16" s="28"/>
      <c r="R16" s="28">
        <v>0</v>
      </c>
      <c r="S16" s="28"/>
      <c r="T16" s="28">
        <v>0</v>
      </c>
      <c r="U16" s="28"/>
      <c r="V16" s="28">
        <v>0</v>
      </c>
      <c r="W16" s="28"/>
      <c r="X16" s="28">
        <v>0</v>
      </c>
      <c r="Y16" s="28"/>
      <c r="Z16" s="28">
        <v>0</v>
      </c>
      <c r="AA16" s="28"/>
      <c r="AB16" s="28">
        <v>0</v>
      </c>
      <c r="AC16" s="28">
        <v>13.336</v>
      </c>
      <c r="AD16" s="28">
        <v>1E-3</v>
      </c>
      <c r="AE16" s="28" t="s">
        <v>481</v>
      </c>
      <c r="AF16" s="28">
        <v>30</v>
      </c>
      <c r="AG16" s="28">
        <v>46</v>
      </c>
      <c r="AH16" s="28">
        <v>32</v>
      </c>
      <c r="AI16" s="28">
        <v>13.336</v>
      </c>
      <c r="AJ16" s="28">
        <v>1E-3</v>
      </c>
      <c r="AK16" s="28">
        <v>0.17</v>
      </c>
      <c r="AL16" s="28">
        <v>0</v>
      </c>
      <c r="AM16" s="28">
        <v>0</v>
      </c>
      <c r="AN16" s="28">
        <v>0</v>
      </c>
      <c r="AO16" s="28">
        <v>0</v>
      </c>
      <c r="AP16" s="28"/>
      <c r="AQ16" s="28" t="b">
        <v>1</v>
      </c>
      <c r="AR16" s="28">
        <v>1.861E-3</v>
      </c>
      <c r="AS16" s="28" t="b">
        <v>1</v>
      </c>
      <c r="AT16" s="28" t="b">
        <v>1</v>
      </c>
      <c r="AU16" s="28" t="s">
        <v>482</v>
      </c>
      <c r="AV16" s="29">
        <v>0</v>
      </c>
      <c r="AW16" s="32">
        <v>75</v>
      </c>
      <c r="AX16" s="29">
        <v>18.75</v>
      </c>
      <c r="AY16" s="34" t="str">
        <f>IFERROR(HYPERLINK("#Technical!A"&amp;MATCH(B16,Technical!A:A,0),"Open Technical"),HYPERLINK("#Technical!A1","Open Technical"))</f>
        <v>Open Technical</v>
      </c>
      <c r="AZ16" s="34"/>
    </row>
    <row r="17" spans="1:52" ht="30" customHeight="1" x14ac:dyDescent="0.25">
      <c r="A17" s="37" t="s">
        <v>475</v>
      </c>
      <c r="B17" s="30" t="s">
        <v>233</v>
      </c>
      <c r="C17" s="35">
        <v>200</v>
      </c>
      <c r="D17" s="37" t="s">
        <v>477</v>
      </c>
      <c r="E17" s="37">
        <v>5.7000000000000002E-2</v>
      </c>
      <c r="F17" s="37" t="s">
        <v>237</v>
      </c>
      <c r="G17" s="37" t="s">
        <v>238</v>
      </c>
      <c r="H17" s="37">
        <v>46</v>
      </c>
      <c r="I17" s="50"/>
      <c r="J17" s="37" t="s">
        <v>478</v>
      </c>
      <c r="K17" s="37" t="s">
        <v>479</v>
      </c>
      <c r="L17" s="37" t="s">
        <v>484</v>
      </c>
      <c r="M17" s="37">
        <v>41</v>
      </c>
      <c r="N17" s="37">
        <v>88</v>
      </c>
      <c r="O17" s="37" t="s">
        <v>159</v>
      </c>
      <c r="P17" s="37" t="b">
        <v>0</v>
      </c>
      <c r="Q17" s="37"/>
      <c r="R17" s="37">
        <v>0</v>
      </c>
      <c r="S17" s="37"/>
      <c r="T17" s="37">
        <v>0</v>
      </c>
      <c r="U17" s="37"/>
      <c r="V17" s="37">
        <v>0</v>
      </c>
      <c r="W17" s="37"/>
      <c r="X17" s="37">
        <v>0</v>
      </c>
      <c r="Y17" s="37"/>
      <c r="Z17" s="37">
        <v>0</v>
      </c>
      <c r="AA17" s="37"/>
      <c r="AB17" s="37">
        <v>0</v>
      </c>
      <c r="AC17" s="37">
        <v>0</v>
      </c>
      <c r="AD17" s="37">
        <v>0</v>
      </c>
      <c r="AE17" s="37" t="s">
        <v>481</v>
      </c>
      <c r="AF17" s="37">
        <v>30</v>
      </c>
      <c r="AG17" s="37">
        <v>15</v>
      </c>
      <c r="AH17" s="37">
        <v>0</v>
      </c>
      <c r="AI17" s="37">
        <v>0</v>
      </c>
      <c r="AJ17" s="37">
        <v>0</v>
      </c>
      <c r="AK17" s="37">
        <v>0</v>
      </c>
      <c r="AL17" s="37">
        <v>0</v>
      </c>
      <c r="AM17" s="37">
        <v>0</v>
      </c>
      <c r="AN17" s="37">
        <v>0</v>
      </c>
      <c r="AO17" s="37">
        <v>0</v>
      </c>
      <c r="AP17" s="37">
        <v>3</v>
      </c>
      <c r="AQ17" s="37" t="b">
        <v>0</v>
      </c>
      <c r="AR17" s="37">
        <v>5.8669999999999998E-3</v>
      </c>
      <c r="AS17" s="37" t="b">
        <v>1</v>
      </c>
      <c r="AT17" s="37" t="b">
        <v>1</v>
      </c>
      <c r="AU17" s="37" t="s">
        <v>482</v>
      </c>
      <c r="AV17" s="29">
        <v>0</v>
      </c>
      <c r="AW17" s="32">
        <v>75</v>
      </c>
      <c r="AX17" s="29">
        <v>18.75</v>
      </c>
      <c r="AY17" t="str">
        <f>IFERROR(HYPERLINK("#Technical!A"&amp;MATCH(B17,Technical!A:A,0),"Open Technical"),HYPERLINK("#Technical!A1","Open Technical"))</f>
        <v>Open Technical</v>
      </c>
    </row>
    <row r="18" spans="1:52" ht="30" customHeight="1" x14ac:dyDescent="0.25">
      <c r="A18" s="28" t="s">
        <v>475</v>
      </c>
      <c r="B18" s="33" t="s">
        <v>241</v>
      </c>
      <c r="C18" s="35">
        <v>200</v>
      </c>
      <c r="D18" s="28" t="s">
        <v>477</v>
      </c>
      <c r="E18" s="28">
        <v>7.0000000000000007E-2</v>
      </c>
      <c r="F18" s="28" t="s">
        <v>245</v>
      </c>
      <c r="G18" s="28" t="s">
        <v>246</v>
      </c>
      <c r="H18" s="28">
        <v>36</v>
      </c>
      <c r="I18" s="49"/>
      <c r="J18" s="28" t="s">
        <v>478</v>
      </c>
      <c r="K18" s="28" t="s">
        <v>479</v>
      </c>
      <c r="L18" s="28" t="s">
        <v>484</v>
      </c>
      <c r="M18" s="28">
        <v>42</v>
      </c>
      <c r="N18" s="28">
        <v>37</v>
      </c>
      <c r="O18" s="28" t="s">
        <v>159</v>
      </c>
      <c r="P18" s="28" t="b">
        <v>0</v>
      </c>
      <c r="Q18" s="28"/>
      <c r="R18" s="28">
        <v>0</v>
      </c>
      <c r="S18" s="28"/>
      <c r="T18" s="28">
        <v>0</v>
      </c>
      <c r="U18" s="28"/>
      <c r="V18" s="28">
        <v>0</v>
      </c>
      <c r="W18" s="28"/>
      <c r="X18" s="28">
        <v>0</v>
      </c>
      <c r="Y18" s="28"/>
      <c r="Z18" s="28">
        <v>0</v>
      </c>
      <c r="AA18" s="28"/>
      <c r="AB18" s="28">
        <v>0</v>
      </c>
      <c r="AC18" s="28">
        <v>12.036</v>
      </c>
      <c r="AD18" s="28">
        <v>0</v>
      </c>
      <c r="AE18" s="28" t="s">
        <v>481</v>
      </c>
      <c r="AF18" s="28">
        <v>30</v>
      </c>
      <c r="AG18" s="28">
        <v>46</v>
      </c>
      <c r="AH18" s="28">
        <v>42</v>
      </c>
      <c r="AI18" s="28">
        <v>12.036</v>
      </c>
      <c r="AJ18" s="28">
        <v>0</v>
      </c>
      <c r="AK18" s="28">
        <v>0.17100000000000001</v>
      </c>
      <c r="AL18" s="28">
        <v>0</v>
      </c>
      <c r="AM18" s="28">
        <v>0</v>
      </c>
      <c r="AN18" s="28">
        <v>0</v>
      </c>
      <c r="AO18" s="28">
        <v>0</v>
      </c>
      <c r="AP18" s="28">
        <v>4</v>
      </c>
      <c r="AQ18" s="28" t="b">
        <v>0</v>
      </c>
      <c r="AR18" s="28">
        <v>5.2269999999999999E-3</v>
      </c>
      <c r="AS18" s="28" t="b">
        <v>1</v>
      </c>
      <c r="AT18" s="28" t="b">
        <v>1</v>
      </c>
      <c r="AU18" s="28" t="s">
        <v>482</v>
      </c>
      <c r="AV18" s="29">
        <v>0</v>
      </c>
      <c r="AW18" s="32">
        <v>75</v>
      </c>
      <c r="AX18" s="29">
        <v>18.75</v>
      </c>
      <c r="AY18" s="34" t="str">
        <f>IFERROR(HYPERLINK("#Technical!A"&amp;MATCH(B18,Technical!A:A,0),"Open Technical"),HYPERLINK("#Technical!A1","Open Technical"))</f>
        <v>Open Technical</v>
      </c>
      <c r="AZ18" s="34"/>
    </row>
    <row r="19" spans="1:52" ht="30" customHeight="1" x14ac:dyDescent="0.25">
      <c r="A19" s="37" t="s">
        <v>475</v>
      </c>
      <c r="B19" s="30" t="s">
        <v>485</v>
      </c>
      <c r="C19" s="35">
        <v>200</v>
      </c>
      <c r="D19" s="37" t="s">
        <v>477</v>
      </c>
      <c r="E19" s="37">
        <v>4.2000000000000003E-2</v>
      </c>
      <c r="F19" s="37" t="s">
        <v>486</v>
      </c>
      <c r="G19" s="37" t="s">
        <v>487</v>
      </c>
      <c r="H19" s="37">
        <v>694</v>
      </c>
      <c r="I19" s="50"/>
      <c r="J19" s="37" t="s">
        <v>478</v>
      </c>
      <c r="K19" s="37" t="s">
        <v>479</v>
      </c>
      <c r="L19" s="37" t="s">
        <v>484</v>
      </c>
      <c r="M19" s="37">
        <v>43</v>
      </c>
      <c r="N19" s="37">
        <v>362</v>
      </c>
      <c r="O19" s="37" t="s">
        <v>159</v>
      </c>
      <c r="P19" s="37" t="b">
        <v>0</v>
      </c>
      <c r="Q19" s="37"/>
      <c r="R19" s="37">
        <v>0</v>
      </c>
      <c r="S19" s="37"/>
      <c r="T19" s="37">
        <v>0</v>
      </c>
      <c r="U19" s="37"/>
      <c r="V19" s="37">
        <v>0</v>
      </c>
      <c r="W19" s="37"/>
      <c r="X19" s="37">
        <v>0</v>
      </c>
      <c r="Y19" s="37"/>
      <c r="Z19" s="37">
        <v>0</v>
      </c>
      <c r="AA19" s="37"/>
      <c r="AB19" s="37">
        <v>0</v>
      </c>
      <c r="AC19" s="37">
        <v>9.7149999999999999</v>
      </c>
      <c r="AD19" s="37">
        <v>0</v>
      </c>
      <c r="AE19" s="37" t="s">
        <v>481</v>
      </c>
      <c r="AF19" s="37">
        <v>90</v>
      </c>
      <c r="AG19" s="37">
        <v>61</v>
      </c>
      <c r="AH19" s="37">
        <v>25</v>
      </c>
      <c r="AI19" s="37">
        <v>9.7149999999999999</v>
      </c>
      <c r="AJ19" s="37">
        <v>0</v>
      </c>
      <c r="AK19" s="37">
        <v>0.17299999999999999</v>
      </c>
      <c r="AL19" s="37">
        <v>0</v>
      </c>
      <c r="AM19" s="37">
        <v>0</v>
      </c>
      <c r="AN19" s="37">
        <v>0</v>
      </c>
      <c r="AO19" s="37">
        <v>0</v>
      </c>
      <c r="AP19" s="37">
        <v>3</v>
      </c>
      <c r="AQ19" s="37" t="b">
        <v>0</v>
      </c>
      <c r="AR19" s="37">
        <v>5.9800000000000001E-3</v>
      </c>
      <c r="AS19" s="37" t="b">
        <v>1</v>
      </c>
      <c r="AT19" s="37" t="b">
        <v>1</v>
      </c>
      <c r="AU19" s="37" t="s">
        <v>482</v>
      </c>
      <c r="AV19" s="29">
        <v>0</v>
      </c>
      <c r="AW19" s="35">
        <v>100</v>
      </c>
      <c r="AX19" s="29">
        <v>25</v>
      </c>
      <c r="AY19" t="str">
        <f>IFERROR(HYPERLINK("#Technical!A"&amp;MATCH(B19,Technical!A:A,0),"Open Technical"),HYPERLINK("#Technical!A1","Open Technical"))</f>
        <v>Open Technical</v>
      </c>
    </row>
    <row r="20" spans="1:52" ht="30" customHeight="1" x14ac:dyDescent="0.25">
      <c r="A20" s="28" t="s">
        <v>475</v>
      </c>
      <c r="B20" s="33" t="s">
        <v>488</v>
      </c>
      <c r="C20" s="35">
        <v>200</v>
      </c>
      <c r="D20" s="28" t="s">
        <v>477</v>
      </c>
      <c r="E20" s="28">
        <v>5.6000000000000001E-2</v>
      </c>
      <c r="F20" s="28" t="s">
        <v>489</v>
      </c>
      <c r="G20" s="28" t="s">
        <v>490</v>
      </c>
      <c r="H20" s="28">
        <v>193</v>
      </c>
      <c r="I20" s="49"/>
      <c r="J20" s="28" t="s">
        <v>478</v>
      </c>
      <c r="K20" s="28" t="s">
        <v>479</v>
      </c>
      <c r="L20" s="28" t="s">
        <v>484</v>
      </c>
      <c r="M20" s="28">
        <v>42</v>
      </c>
      <c r="N20" s="28">
        <v>354</v>
      </c>
      <c r="O20" s="28" t="s">
        <v>159</v>
      </c>
      <c r="P20" s="28" t="b">
        <v>0</v>
      </c>
      <c r="Q20" s="28"/>
      <c r="R20" s="28">
        <v>0</v>
      </c>
      <c r="S20" s="28"/>
      <c r="T20" s="28">
        <v>0</v>
      </c>
      <c r="U20" s="28"/>
      <c r="V20" s="28">
        <v>0</v>
      </c>
      <c r="W20" s="28"/>
      <c r="X20" s="28">
        <v>0</v>
      </c>
      <c r="Y20" s="28"/>
      <c r="Z20" s="28">
        <v>0</v>
      </c>
      <c r="AA20" s="28"/>
      <c r="AB20" s="28">
        <v>0</v>
      </c>
      <c r="AC20" s="28">
        <v>15.101000000000001</v>
      </c>
      <c r="AD20" s="28">
        <v>0</v>
      </c>
      <c r="AE20" s="28" t="s">
        <v>481</v>
      </c>
      <c r="AF20" s="28">
        <v>100</v>
      </c>
      <c r="AG20" s="28">
        <v>41</v>
      </c>
      <c r="AH20" s="28">
        <v>41</v>
      </c>
      <c r="AI20" s="28">
        <v>15.101000000000001</v>
      </c>
      <c r="AJ20" s="28">
        <v>0</v>
      </c>
      <c r="AK20" s="28">
        <v>0.17299999999999999</v>
      </c>
      <c r="AL20" s="28">
        <v>0</v>
      </c>
      <c r="AM20" s="28">
        <v>0</v>
      </c>
      <c r="AN20" s="28">
        <v>0</v>
      </c>
      <c r="AO20" s="28">
        <v>0</v>
      </c>
      <c r="AP20" s="28">
        <v>3</v>
      </c>
      <c r="AQ20" s="28" t="b">
        <v>0</v>
      </c>
      <c r="AR20" s="28">
        <v>5.8669999999999998E-3</v>
      </c>
      <c r="AS20" s="28" t="b">
        <v>1</v>
      </c>
      <c r="AT20" s="28" t="b">
        <v>1</v>
      </c>
      <c r="AU20" s="28" t="s">
        <v>482</v>
      </c>
      <c r="AV20" s="29">
        <v>0</v>
      </c>
      <c r="AW20" s="32">
        <v>75</v>
      </c>
      <c r="AX20" s="29">
        <v>18.75</v>
      </c>
      <c r="AY20" s="34" t="str">
        <f>IFERROR(HYPERLINK("#Technical!A"&amp;MATCH(B20,Technical!A:A,0),"Open Technical"),HYPERLINK("#Technical!A1","Open Technical"))</f>
        <v>Open Technical</v>
      </c>
      <c r="AZ20" s="34"/>
    </row>
    <row r="21" spans="1:52" ht="30" customHeight="1" x14ac:dyDescent="0.25">
      <c r="A21" s="37" t="s">
        <v>475</v>
      </c>
      <c r="B21" s="30" t="s">
        <v>491</v>
      </c>
      <c r="C21" s="35">
        <v>200</v>
      </c>
      <c r="D21" s="37" t="s">
        <v>477</v>
      </c>
      <c r="E21" s="37">
        <v>0.28799999999999998</v>
      </c>
      <c r="F21" s="37" t="s">
        <v>492</v>
      </c>
      <c r="G21" s="37" t="s">
        <v>493</v>
      </c>
      <c r="H21" s="37">
        <v>1418</v>
      </c>
      <c r="I21" s="50"/>
      <c r="J21" s="37" t="s">
        <v>478</v>
      </c>
      <c r="K21" s="37" t="s">
        <v>479</v>
      </c>
      <c r="L21" s="37" t="s">
        <v>484</v>
      </c>
      <c r="M21" s="37">
        <v>59</v>
      </c>
      <c r="N21" s="37">
        <v>377</v>
      </c>
      <c r="O21" s="37" t="s">
        <v>159</v>
      </c>
      <c r="P21" s="37" t="b">
        <v>0</v>
      </c>
      <c r="Q21" s="37"/>
      <c r="R21" s="37">
        <v>0</v>
      </c>
      <c r="S21" s="37"/>
      <c r="T21" s="37">
        <v>0</v>
      </c>
      <c r="U21" s="37"/>
      <c r="V21" s="37">
        <v>0</v>
      </c>
      <c r="W21" s="37"/>
      <c r="X21" s="37">
        <v>0</v>
      </c>
      <c r="Y21" s="37"/>
      <c r="Z21" s="37">
        <v>0</v>
      </c>
      <c r="AA21" s="37"/>
      <c r="AB21" s="37">
        <v>0</v>
      </c>
      <c r="AC21" s="37">
        <v>12.696</v>
      </c>
      <c r="AD21" s="37">
        <v>0</v>
      </c>
      <c r="AE21" s="37" t="s">
        <v>481</v>
      </c>
      <c r="AF21" s="37">
        <v>100</v>
      </c>
      <c r="AG21" s="37">
        <v>34</v>
      </c>
      <c r="AH21" s="37">
        <v>36</v>
      </c>
      <c r="AI21" s="37">
        <v>12.696</v>
      </c>
      <c r="AJ21" s="37">
        <v>0</v>
      </c>
      <c r="AK21" s="37">
        <v>0.17</v>
      </c>
      <c r="AL21" s="37">
        <v>0</v>
      </c>
      <c r="AM21" s="37">
        <v>0</v>
      </c>
      <c r="AN21" s="37">
        <v>0</v>
      </c>
      <c r="AO21" s="37">
        <v>0</v>
      </c>
      <c r="AP21" s="37">
        <v>2</v>
      </c>
      <c r="AQ21" s="37" t="b">
        <v>0</v>
      </c>
      <c r="AR21" s="37">
        <v>4.921E-3</v>
      </c>
      <c r="AS21" s="37" t="b">
        <v>1</v>
      </c>
      <c r="AT21" s="37" t="b">
        <v>1</v>
      </c>
      <c r="AU21" s="37" t="s">
        <v>482</v>
      </c>
      <c r="AV21" s="29">
        <v>0</v>
      </c>
      <c r="AW21" s="35">
        <v>100</v>
      </c>
      <c r="AX21" s="29">
        <v>25</v>
      </c>
      <c r="AY21" t="str">
        <f>IFERROR(HYPERLINK("#Technical!A"&amp;MATCH(B21,Technical!A:A,0),"Open Technical"),HYPERLINK("#Technical!A1","Open Technical"))</f>
        <v>Open Technical</v>
      </c>
    </row>
    <row r="22" spans="1:52" ht="30" customHeight="1" x14ac:dyDescent="0.25">
      <c r="A22" s="28" t="s">
        <v>475</v>
      </c>
      <c r="B22" s="33" t="s">
        <v>494</v>
      </c>
      <c r="C22" s="35">
        <v>200</v>
      </c>
      <c r="D22" s="28" t="s">
        <v>477</v>
      </c>
      <c r="E22" s="28">
        <v>6.9000000000000006E-2</v>
      </c>
      <c r="F22" s="28" t="s">
        <v>495</v>
      </c>
      <c r="G22" s="28" t="s">
        <v>496</v>
      </c>
      <c r="H22" s="28">
        <v>126</v>
      </c>
      <c r="I22" s="49"/>
      <c r="J22" s="28" t="s">
        <v>478</v>
      </c>
      <c r="K22" s="28" t="s">
        <v>479</v>
      </c>
      <c r="L22" s="28" t="s">
        <v>484</v>
      </c>
      <c r="M22" s="28">
        <v>51</v>
      </c>
      <c r="N22" s="28">
        <v>339</v>
      </c>
      <c r="O22" s="28" t="s">
        <v>159</v>
      </c>
      <c r="P22" s="28" t="b">
        <v>0</v>
      </c>
      <c r="Q22" s="28"/>
      <c r="R22" s="28">
        <v>0</v>
      </c>
      <c r="S22" s="28"/>
      <c r="T22" s="28">
        <v>0</v>
      </c>
      <c r="U22" s="28"/>
      <c r="V22" s="28">
        <v>0</v>
      </c>
      <c r="W22" s="28"/>
      <c r="X22" s="28">
        <v>0</v>
      </c>
      <c r="Y22" s="28"/>
      <c r="Z22" s="28">
        <v>0</v>
      </c>
      <c r="AA22" s="28"/>
      <c r="AB22" s="28">
        <v>0</v>
      </c>
      <c r="AC22" s="28">
        <v>34.636000000000003</v>
      </c>
      <c r="AD22" s="28">
        <v>0.10299999999999999</v>
      </c>
      <c r="AE22" s="28" t="s">
        <v>481</v>
      </c>
      <c r="AF22" s="28">
        <v>40</v>
      </c>
      <c r="AG22" s="28">
        <v>37</v>
      </c>
      <c r="AH22" s="28">
        <v>35</v>
      </c>
      <c r="AI22" s="28">
        <v>34.636000000000003</v>
      </c>
      <c r="AJ22" s="28">
        <v>0.10299999999999999</v>
      </c>
      <c r="AK22" s="28">
        <v>0.17299999999999999</v>
      </c>
      <c r="AL22" s="28">
        <v>0</v>
      </c>
      <c r="AM22" s="28">
        <v>0</v>
      </c>
      <c r="AN22" s="28">
        <v>0</v>
      </c>
      <c r="AO22" s="28">
        <v>0</v>
      </c>
      <c r="AP22" s="28"/>
      <c r="AQ22" s="28" t="b">
        <v>1</v>
      </c>
      <c r="AR22" s="28">
        <v>1.861E-3</v>
      </c>
      <c r="AS22" s="28" t="b">
        <v>1</v>
      </c>
      <c r="AT22" s="28" t="b">
        <v>1</v>
      </c>
      <c r="AU22" s="28" t="s">
        <v>482</v>
      </c>
      <c r="AV22" s="29">
        <v>0</v>
      </c>
      <c r="AW22" s="32">
        <v>75</v>
      </c>
      <c r="AX22" s="29">
        <v>18.75</v>
      </c>
      <c r="AY22" s="34" t="str">
        <f>IFERROR(HYPERLINK("#Technical!A"&amp;MATCH(B22,Technical!A:A,0),"Open Technical"),HYPERLINK("#Technical!A1","Open Technical"))</f>
        <v>Open Technical</v>
      </c>
      <c r="AZ22" s="34"/>
    </row>
    <row r="23" spans="1:52" ht="30" customHeight="1" x14ac:dyDescent="0.25">
      <c r="A23" s="37" t="s">
        <v>475</v>
      </c>
      <c r="B23" s="30" t="s">
        <v>497</v>
      </c>
      <c r="C23" s="35">
        <v>200</v>
      </c>
      <c r="D23" s="37" t="s">
        <v>477</v>
      </c>
      <c r="E23" s="37">
        <v>8.4000000000000005E-2</v>
      </c>
      <c r="F23" s="37" t="s">
        <v>498</v>
      </c>
      <c r="G23" s="37" t="s">
        <v>499</v>
      </c>
      <c r="H23" s="37">
        <v>1177</v>
      </c>
      <c r="I23" s="50"/>
      <c r="J23" s="37" t="s">
        <v>478</v>
      </c>
      <c r="K23" s="37" t="s">
        <v>479</v>
      </c>
      <c r="L23" s="37" t="s">
        <v>484</v>
      </c>
      <c r="M23" s="37">
        <v>19</v>
      </c>
      <c r="N23" s="37">
        <v>146</v>
      </c>
      <c r="O23" s="37" t="s">
        <v>159</v>
      </c>
      <c r="P23" s="37" t="b">
        <v>0</v>
      </c>
      <c r="Q23" s="37"/>
      <c r="R23" s="37">
        <v>0</v>
      </c>
      <c r="S23" s="37"/>
      <c r="T23" s="37">
        <v>0</v>
      </c>
      <c r="U23" s="37"/>
      <c r="V23" s="37">
        <v>0</v>
      </c>
      <c r="W23" s="37"/>
      <c r="X23" s="37">
        <v>0</v>
      </c>
      <c r="Y23" s="37"/>
      <c r="Z23" s="37">
        <v>0</v>
      </c>
      <c r="AA23" s="37"/>
      <c r="AB23" s="37">
        <v>0</v>
      </c>
      <c r="AC23" s="37">
        <v>27.324999999999999</v>
      </c>
      <c r="AD23" s="37">
        <v>2E-3</v>
      </c>
      <c r="AE23" s="37" t="s">
        <v>481</v>
      </c>
      <c r="AF23" s="37">
        <v>100</v>
      </c>
      <c r="AG23" s="37">
        <v>34</v>
      </c>
      <c r="AH23" s="37">
        <v>33</v>
      </c>
      <c r="AI23" s="37">
        <v>27.324999999999999</v>
      </c>
      <c r="AJ23" s="37">
        <v>2E-3</v>
      </c>
      <c r="AK23" s="37">
        <v>0.23</v>
      </c>
      <c r="AL23" s="37">
        <v>0</v>
      </c>
      <c r="AM23" s="37">
        <v>0</v>
      </c>
      <c r="AN23" s="37">
        <v>0</v>
      </c>
      <c r="AO23" s="37">
        <v>0</v>
      </c>
      <c r="AP23" s="37">
        <v>1</v>
      </c>
      <c r="AQ23" s="37" t="b">
        <v>0</v>
      </c>
      <c r="AR23" s="37">
        <v>1.1846000000000001E-2</v>
      </c>
      <c r="AS23" s="37" t="b">
        <v>1</v>
      </c>
      <c r="AT23" s="37" t="b">
        <v>1</v>
      </c>
      <c r="AU23" s="37" t="s">
        <v>482</v>
      </c>
      <c r="AV23" s="29">
        <v>0</v>
      </c>
      <c r="AW23" s="35">
        <v>100</v>
      </c>
      <c r="AX23" s="29">
        <v>25</v>
      </c>
      <c r="AY23" t="str">
        <f>IFERROR(HYPERLINK("#Technical!A"&amp;MATCH(B23,Technical!A:A,0),"Open Technical"),HYPERLINK("#Technical!A1","Open Technical"))</f>
        <v>Open Technical</v>
      </c>
    </row>
    <row r="24" spans="1:52" ht="30" customHeight="1" x14ac:dyDescent="0.25">
      <c r="A24" s="28" t="s">
        <v>475</v>
      </c>
      <c r="B24" s="33" t="s">
        <v>500</v>
      </c>
      <c r="C24" s="35">
        <v>200</v>
      </c>
      <c r="D24" s="28" t="s">
        <v>477</v>
      </c>
      <c r="E24" s="28">
        <v>6.2E-2</v>
      </c>
      <c r="F24" s="28" t="s">
        <v>501</v>
      </c>
      <c r="G24" s="28" t="s">
        <v>502</v>
      </c>
      <c r="H24" s="28">
        <v>1869</v>
      </c>
      <c r="I24" s="49"/>
      <c r="J24" s="28" t="s">
        <v>478</v>
      </c>
      <c r="K24" s="28" t="s">
        <v>479</v>
      </c>
      <c r="L24" s="28" t="s">
        <v>484</v>
      </c>
      <c r="M24" s="28">
        <v>64</v>
      </c>
      <c r="N24" s="28">
        <v>437</v>
      </c>
      <c r="O24" s="28" t="s">
        <v>159</v>
      </c>
      <c r="P24" s="28" t="b">
        <v>0</v>
      </c>
      <c r="Q24" s="28"/>
      <c r="R24" s="28">
        <v>0</v>
      </c>
      <c r="S24" s="28"/>
      <c r="T24" s="28">
        <v>0</v>
      </c>
      <c r="U24" s="28"/>
      <c r="V24" s="28">
        <v>0</v>
      </c>
      <c r="W24" s="28"/>
      <c r="X24" s="28">
        <v>0</v>
      </c>
      <c r="Y24" s="28"/>
      <c r="Z24" s="28">
        <v>0</v>
      </c>
      <c r="AA24" s="28"/>
      <c r="AB24" s="28">
        <v>0</v>
      </c>
      <c r="AC24" s="28">
        <v>21.213999999999999</v>
      </c>
      <c r="AD24" s="28">
        <v>0</v>
      </c>
      <c r="AE24" s="28" t="s">
        <v>481</v>
      </c>
      <c r="AF24" s="28">
        <v>90</v>
      </c>
      <c r="AG24" s="28">
        <v>70</v>
      </c>
      <c r="AH24" s="28">
        <v>37</v>
      </c>
      <c r="AI24" s="28">
        <v>21.213999999999999</v>
      </c>
      <c r="AJ24" s="28">
        <v>0</v>
      </c>
      <c r="AK24" s="28">
        <v>0.219</v>
      </c>
      <c r="AL24" s="28">
        <v>0</v>
      </c>
      <c r="AM24" s="28">
        <v>0</v>
      </c>
      <c r="AN24" s="28">
        <v>0</v>
      </c>
      <c r="AO24" s="28">
        <v>0</v>
      </c>
      <c r="AP24" s="28">
        <v>2</v>
      </c>
      <c r="AQ24" s="28" t="b">
        <v>0</v>
      </c>
      <c r="AR24" s="28">
        <v>7.9950000000000004E-3</v>
      </c>
      <c r="AS24" s="28" t="b">
        <v>1</v>
      </c>
      <c r="AT24" s="28" t="b">
        <v>1</v>
      </c>
      <c r="AU24" s="28" t="s">
        <v>482</v>
      </c>
      <c r="AV24" s="29">
        <v>0</v>
      </c>
      <c r="AW24" s="35">
        <v>100</v>
      </c>
      <c r="AX24" s="29">
        <v>25</v>
      </c>
      <c r="AY24" s="34" t="str">
        <f>IFERROR(HYPERLINK("#Technical!A"&amp;MATCH(B24,Technical!A:A,0),"Open Technical"),HYPERLINK("#Technical!A1","Open Technical"))</f>
        <v>Open Technical</v>
      </c>
      <c r="AZ24" s="34"/>
    </row>
    <row r="25" spans="1:52" ht="30" customHeight="1" x14ac:dyDescent="0.25">
      <c r="A25" s="37" t="s">
        <v>475</v>
      </c>
      <c r="B25" s="30" t="s">
        <v>503</v>
      </c>
      <c r="C25" s="35">
        <v>200</v>
      </c>
      <c r="D25" s="37" t="s">
        <v>477</v>
      </c>
      <c r="E25" s="37">
        <v>7.0999999999999994E-2</v>
      </c>
      <c r="F25" s="37" t="s">
        <v>504</v>
      </c>
      <c r="G25" s="37" t="s">
        <v>505</v>
      </c>
      <c r="H25" s="37">
        <v>1141</v>
      </c>
      <c r="I25" s="50"/>
      <c r="J25" s="37" t="s">
        <v>478</v>
      </c>
      <c r="K25" s="37" t="s">
        <v>479</v>
      </c>
      <c r="L25" s="37" t="s">
        <v>484</v>
      </c>
      <c r="M25" s="37">
        <v>53</v>
      </c>
      <c r="N25" s="37">
        <v>357</v>
      </c>
      <c r="O25" s="37" t="s">
        <v>159</v>
      </c>
      <c r="P25" s="37" t="b">
        <v>0</v>
      </c>
      <c r="Q25" s="37"/>
      <c r="R25" s="37">
        <v>0</v>
      </c>
      <c r="S25" s="37"/>
      <c r="T25" s="37">
        <v>0</v>
      </c>
      <c r="U25" s="37"/>
      <c r="V25" s="37">
        <v>0</v>
      </c>
      <c r="W25" s="37"/>
      <c r="X25" s="37">
        <v>0</v>
      </c>
      <c r="Y25" s="37"/>
      <c r="Z25" s="37">
        <v>0</v>
      </c>
      <c r="AA25" s="37"/>
      <c r="AB25" s="37">
        <v>0</v>
      </c>
      <c r="AC25" s="37">
        <v>0</v>
      </c>
      <c r="AD25" s="37">
        <v>0</v>
      </c>
      <c r="AE25" s="37" t="s">
        <v>481</v>
      </c>
      <c r="AF25" s="37">
        <v>100</v>
      </c>
      <c r="AG25" s="37">
        <v>34</v>
      </c>
      <c r="AH25" s="37">
        <v>0</v>
      </c>
      <c r="AI25" s="37">
        <v>0</v>
      </c>
      <c r="AJ25" s="37">
        <v>0</v>
      </c>
      <c r="AK25" s="37">
        <v>0</v>
      </c>
      <c r="AL25" s="37">
        <v>0</v>
      </c>
      <c r="AM25" s="37">
        <v>0</v>
      </c>
      <c r="AN25" s="37">
        <v>0</v>
      </c>
      <c r="AO25" s="37">
        <v>0</v>
      </c>
      <c r="AP25" s="37">
        <v>1</v>
      </c>
      <c r="AQ25" s="37" t="b">
        <v>0</v>
      </c>
      <c r="AR25" s="37">
        <v>5.8172000000000001E-2</v>
      </c>
      <c r="AS25" s="37" t="b">
        <v>1</v>
      </c>
      <c r="AT25" s="37" t="b">
        <v>1</v>
      </c>
      <c r="AU25" s="37" t="s">
        <v>482</v>
      </c>
      <c r="AV25" s="29">
        <v>0</v>
      </c>
      <c r="AW25" s="35">
        <v>100</v>
      </c>
      <c r="AX25" s="29">
        <v>25</v>
      </c>
      <c r="AY25" t="str">
        <f>IFERROR(HYPERLINK("#Technical!A"&amp;MATCH(B25,Technical!A:A,0),"Open Technical"),HYPERLINK("#Technical!A1","Open Technical"))</f>
        <v>Open Technical</v>
      </c>
    </row>
    <row r="26" spans="1:52" ht="30" customHeight="1" x14ac:dyDescent="0.25">
      <c r="A26" s="28" t="s">
        <v>475</v>
      </c>
      <c r="B26" s="33" t="s">
        <v>506</v>
      </c>
      <c r="C26" s="35">
        <v>200</v>
      </c>
      <c r="D26" s="28" t="s">
        <v>477</v>
      </c>
      <c r="E26" s="28">
        <v>0.06</v>
      </c>
      <c r="F26" s="28" t="s">
        <v>507</v>
      </c>
      <c r="G26" s="28" t="s">
        <v>508</v>
      </c>
      <c r="H26" s="28">
        <v>209</v>
      </c>
      <c r="I26" s="49"/>
      <c r="J26" s="28" t="s">
        <v>478</v>
      </c>
      <c r="K26" s="28" t="s">
        <v>479</v>
      </c>
      <c r="L26" s="28" t="s">
        <v>484</v>
      </c>
      <c r="M26" s="28">
        <v>82</v>
      </c>
      <c r="N26" s="28">
        <v>353</v>
      </c>
      <c r="O26" s="28" t="s">
        <v>159</v>
      </c>
      <c r="P26" s="28" t="b">
        <v>0</v>
      </c>
      <c r="Q26" s="28"/>
      <c r="R26" s="28">
        <v>0</v>
      </c>
      <c r="S26" s="28"/>
      <c r="T26" s="28">
        <v>0</v>
      </c>
      <c r="U26" s="28"/>
      <c r="V26" s="28">
        <v>0</v>
      </c>
      <c r="W26" s="28"/>
      <c r="X26" s="28">
        <v>0</v>
      </c>
      <c r="Y26" s="28"/>
      <c r="Z26" s="28">
        <v>0</v>
      </c>
      <c r="AA26" s="28"/>
      <c r="AB26" s="28">
        <v>0</v>
      </c>
      <c r="AC26" s="28">
        <v>19.992000000000001</v>
      </c>
      <c r="AD26" s="28">
        <v>8.9999999999999993E-3</v>
      </c>
      <c r="AE26" s="28" t="s">
        <v>481</v>
      </c>
      <c r="AF26" s="28">
        <v>30</v>
      </c>
      <c r="AG26" s="28">
        <v>39</v>
      </c>
      <c r="AH26" s="28">
        <v>36</v>
      </c>
      <c r="AI26" s="28">
        <v>19.992000000000001</v>
      </c>
      <c r="AJ26" s="28">
        <v>8.9999999999999993E-3</v>
      </c>
      <c r="AK26" s="28">
        <v>0.20499999999999999</v>
      </c>
      <c r="AL26" s="28">
        <v>0</v>
      </c>
      <c r="AM26" s="28">
        <v>0</v>
      </c>
      <c r="AN26" s="28">
        <v>0</v>
      </c>
      <c r="AO26" s="28">
        <v>0</v>
      </c>
      <c r="AP26" s="28"/>
      <c r="AQ26" s="28" t="b">
        <v>1</v>
      </c>
      <c r="AR26" s="28">
        <v>1.861E-3</v>
      </c>
      <c r="AS26" s="28" t="b">
        <v>1</v>
      </c>
      <c r="AT26" s="28" t="b">
        <v>1</v>
      </c>
      <c r="AU26" s="28" t="s">
        <v>482</v>
      </c>
      <c r="AV26" s="29">
        <v>0</v>
      </c>
      <c r="AW26" s="32">
        <v>75</v>
      </c>
      <c r="AX26" s="29">
        <v>18.75</v>
      </c>
      <c r="AY26" s="34" t="str">
        <f>IFERROR(HYPERLINK("#Technical!A"&amp;MATCH(B26,Technical!A:A,0),"Open Technical"),HYPERLINK("#Technical!A1","Open Technical"))</f>
        <v>Open Technical</v>
      </c>
      <c r="AZ26" s="34"/>
    </row>
    <row r="27" spans="1:52" ht="30" customHeight="1" x14ac:dyDescent="0.25">
      <c r="A27" s="37" t="s">
        <v>475</v>
      </c>
      <c r="B27" s="30" t="s">
        <v>509</v>
      </c>
      <c r="C27" s="35">
        <v>200</v>
      </c>
      <c r="D27" s="37" t="s">
        <v>477</v>
      </c>
      <c r="E27" s="37">
        <v>6.7000000000000004E-2</v>
      </c>
      <c r="F27" s="37" t="s">
        <v>510</v>
      </c>
      <c r="G27" s="37" t="s">
        <v>511</v>
      </c>
      <c r="H27" s="37">
        <v>192</v>
      </c>
      <c r="I27" s="50"/>
      <c r="J27" s="37" t="s">
        <v>478</v>
      </c>
      <c r="K27" s="37" t="s">
        <v>479</v>
      </c>
      <c r="L27" s="37" t="s">
        <v>484</v>
      </c>
      <c r="M27" s="37">
        <v>70</v>
      </c>
      <c r="N27" s="37">
        <v>411</v>
      </c>
      <c r="O27" s="37" t="s">
        <v>159</v>
      </c>
      <c r="P27" s="37" t="b">
        <v>0</v>
      </c>
      <c r="Q27" s="37"/>
      <c r="R27" s="37">
        <v>0</v>
      </c>
      <c r="S27" s="37"/>
      <c r="T27" s="37">
        <v>0</v>
      </c>
      <c r="U27" s="37"/>
      <c r="V27" s="37">
        <v>0</v>
      </c>
      <c r="W27" s="37"/>
      <c r="X27" s="37">
        <v>0</v>
      </c>
      <c r="Y27" s="37"/>
      <c r="Z27" s="37">
        <v>0</v>
      </c>
      <c r="AA27" s="37"/>
      <c r="AB27" s="37">
        <v>0</v>
      </c>
      <c r="AC27" s="37">
        <v>14.993</v>
      </c>
      <c r="AD27" s="37">
        <v>4.0000000000000001E-3</v>
      </c>
      <c r="AE27" s="37" t="s">
        <v>481</v>
      </c>
      <c r="AF27" s="37">
        <v>40</v>
      </c>
      <c r="AG27" s="37">
        <v>50</v>
      </c>
      <c r="AH27" s="37">
        <v>43</v>
      </c>
      <c r="AI27" s="37">
        <v>14.993</v>
      </c>
      <c r="AJ27" s="37">
        <v>4.0000000000000001E-3</v>
      </c>
      <c r="AK27" s="37">
        <v>0.16900000000000001</v>
      </c>
      <c r="AL27" s="37">
        <v>0</v>
      </c>
      <c r="AM27" s="37">
        <v>0</v>
      </c>
      <c r="AN27" s="37">
        <v>0</v>
      </c>
      <c r="AO27" s="37">
        <v>0</v>
      </c>
      <c r="AP27" s="37"/>
      <c r="AQ27" s="37" t="b">
        <v>1</v>
      </c>
      <c r="AR27" s="37">
        <v>1.861E-3</v>
      </c>
      <c r="AS27" s="37" t="b">
        <v>1</v>
      </c>
      <c r="AT27" s="37" t="b">
        <v>1</v>
      </c>
      <c r="AU27" s="37" t="s">
        <v>482</v>
      </c>
      <c r="AV27" s="29">
        <v>0</v>
      </c>
      <c r="AW27" s="32">
        <v>75</v>
      </c>
      <c r="AX27" s="29">
        <v>18.75</v>
      </c>
      <c r="AY27" t="str">
        <f>IFERROR(HYPERLINK("#Technical!A"&amp;MATCH(B27,Technical!A:A,0),"Open Technical"),HYPERLINK("#Technical!A1","Open Technical"))</f>
        <v>Open Technical</v>
      </c>
    </row>
    <row r="28" spans="1:52" ht="30" customHeight="1" x14ac:dyDescent="0.25">
      <c r="A28" s="28" t="s">
        <v>475</v>
      </c>
      <c r="B28" s="33" t="s">
        <v>512</v>
      </c>
      <c r="C28" s="35">
        <v>200</v>
      </c>
      <c r="D28" s="28" t="s">
        <v>477</v>
      </c>
      <c r="E28" s="28">
        <v>7.3999999999999996E-2</v>
      </c>
      <c r="F28" s="28" t="s">
        <v>513</v>
      </c>
      <c r="G28" s="28" t="s">
        <v>514</v>
      </c>
      <c r="H28" s="28">
        <v>2108</v>
      </c>
      <c r="I28" s="49"/>
      <c r="J28" s="28" t="s">
        <v>478</v>
      </c>
      <c r="K28" s="28" t="s">
        <v>479</v>
      </c>
      <c r="L28" s="28" t="s">
        <v>484</v>
      </c>
      <c r="M28" s="28">
        <v>51</v>
      </c>
      <c r="N28" s="28">
        <v>347</v>
      </c>
      <c r="O28" s="28" t="s">
        <v>133</v>
      </c>
      <c r="P28" s="28" t="b">
        <v>0</v>
      </c>
      <c r="Q28" s="28"/>
      <c r="R28" s="28">
        <v>0</v>
      </c>
      <c r="S28" s="28"/>
      <c r="T28" s="28">
        <v>0</v>
      </c>
      <c r="U28" s="28"/>
      <c r="V28" s="28">
        <v>0</v>
      </c>
      <c r="W28" s="28"/>
      <c r="X28" s="28">
        <v>0</v>
      </c>
      <c r="Y28" s="28"/>
      <c r="Z28" s="28">
        <v>0</v>
      </c>
      <c r="AA28" s="28"/>
      <c r="AB28" s="28">
        <v>0</v>
      </c>
      <c r="AC28" s="28">
        <v>8.5329999999999995</v>
      </c>
      <c r="AD28" s="28">
        <v>6.4000000000000001E-2</v>
      </c>
      <c r="AE28" s="28" t="s">
        <v>481</v>
      </c>
      <c r="AF28" s="28">
        <v>30</v>
      </c>
      <c r="AG28" s="28">
        <v>54</v>
      </c>
      <c r="AH28" s="28">
        <v>33</v>
      </c>
      <c r="AI28" s="28">
        <v>8.5329999999999995</v>
      </c>
      <c r="AJ28" s="28">
        <v>6.4000000000000001E-2</v>
      </c>
      <c r="AK28" s="28">
        <v>0.17699999999999999</v>
      </c>
      <c r="AL28" s="28">
        <v>0</v>
      </c>
      <c r="AM28" s="28">
        <v>0</v>
      </c>
      <c r="AN28" s="28">
        <v>0</v>
      </c>
      <c r="AO28" s="28">
        <v>0</v>
      </c>
      <c r="AP28" s="28"/>
      <c r="AQ28" s="28" t="b">
        <v>1</v>
      </c>
      <c r="AR28" s="28">
        <v>1.861E-3</v>
      </c>
      <c r="AS28" s="28" t="b">
        <v>1</v>
      </c>
      <c r="AT28" s="28" t="b">
        <v>1</v>
      </c>
      <c r="AU28" s="28" t="s">
        <v>482</v>
      </c>
      <c r="AV28" s="29">
        <v>0</v>
      </c>
      <c r="AW28" s="32">
        <v>70</v>
      </c>
      <c r="AX28" s="29">
        <v>17.5</v>
      </c>
      <c r="AY28" s="34" t="str">
        <f>IFERROR(HYPERLINK("#Technical!A"&amp;MATCH(B28,Technical!A:A,0),"Open Technical"),HYPERLINK("#Technical!A1","Open Technical"))</f>
        <v>Open Technical</v>
      </c>
      <c r="AZ28" s="34"/>
    </row>
    <row r="29" spans="1:52" ht="30" customHeight="1" x14ac:dyDescent="0.25">
      <c r="A29" s="37" t="s">
        <v>475</v>
      </c>
      <c r="B29" s="30" t="s">
        <v>515</v>
      </c>
      <c r="C29" s="35">
        <v>200</v>
      </c>
      <c r="D29" s="37" t="s">
        <v>477</v>
      </c>
      <c r="E29" s="37">
        <v>5.5E-2</v>
      </c>
      <c r="F29" s="37" t="s">
        <v>516</v>
      </c>
      <c r="G29" s="37" t="s">
        <v>517</v>
      </c>
      <c r="H29" s="37">
        <v>334</v>
      </c>
      <c r="I29" s="50"/>
      <c r="J29" s="37" t="s">
        <v>478</v>
      </c>
      <c r="K29" s="37" t="s">
        <v>479</v>
      </c>
      <c r="L29" s="37" t="s">
        <v>484</v>
      </c>
      <c r="M29" s="37">
        <v>60</v>
      </c>
      <c r="N29" s="37">
        <v>379</v>
      </c>
      <c r="O29" s="37" t="s">
        <v>159</v>
      </c>
      <c r="P29" s="37" t="b">
        <v>0</v>
      </c>
      <c r="Q29" s="37"/>
      <c r="R29" s="37">
        <v>0</v>
      </c>
      <c r="S29" s="37"/>
      <c r="T29" s="37">
        <v>0</v>
      </c>
      <c r="U29" s="37"/>
      <c r="V29" s="37">
        <v>0</v>
      </c>
      <c r="W29" s="37"/>
      <c r="X29" s="37">
        <v>0</v>
      </c>
      <c r="Y29" s="37"/>
      <c r="Z29" s="37">
        <v>0</v>
      </c>
      <c r="AA29" s="37"/>
      <c r="AB29" s="37">
        <v>0</v>
      </c>
      <c r="AC29" s="37">
        <v>13.090999999999999</v>
      </c>
      <c r="AD29" s="37">
        <v>0</v>
      </c>
      <c r="AE29" s="37" t="s">
        <v>481</v>
      </c>
      <c r="AF29" s="37">
        <v>60</v>
      </c>
      <c r="AG29" s="37">
        <v>58</v>
      </c>
      <c r="AH29" s="37">
        <v>36</v>
      </c>
      <c r="AI29" s="37">
        <v>13.090999999999999</v>
      </c>
      <c r="AJ29" s="37">
        <v>0</v>
      </c>
      <c r="AK29" s="37">
        <v>0.20100000000000001</v>
      </c>
      <c r="AL29" s="37">
        <v>0</v>
      </c>
      <c r="AM29" s="37">
        <v>0</v>
      </c>
      <c r="AN29" s="37">
        <v>0</v>
      </c>
      <c r="AO29" s="37">
        <v>0</v>
      </c>
      <c r="AP29" s="37"/>
      <c r="AQ29" s="37" t="b">
        <v>1</v>
      </c>
      <c r="AR29" s="37">
        <v>1.861E-3</v>
      </c>
      <c r="AS29" s="37" t="b">
        <v>1</v>
      </c>
      <c r="AT29" s="37" t="b">
        <v>1</v>
      </c>
      <c r="AU29" s="37" t="s">
        <v>482</v>
      </c>
      <c r="AV29" s="29">
        <v>0</v>
      </c>
      <c r="AW29" s="35">
        <v>100</v>
      </c>
      <c r="AX29" s="29">
        <v>25</v>
      </c>
      <c r="AY29" t="str">
        <f>IFERROR(HYPERLINK("#Technical!A"&amp;MATCH(B29,Technical!A:A,0),"Open Technical"),HYPERLINK("#Technical!A1","Open Technical"))</f>
        <v>Open Technical</v>
      </c>
    </row>
    <row r="30" spans="1:52" ht="30" customHeight="1" x14ac:dyDescent="0.25">
      <c r="A30" s="28" t="s">
        <v>475</v>
      </c>
      <c r="B30" s="33" t="s">
        <v>518</v>
      </c>
      <c r="C30" s="35">
        <v>200</v>
      </c>
      <c r="D30" s="28" t="s">
        <v>477</v>
      </c>
      <c r="E30" s="28">
        <v>5.2999999999999999E-2</v>
      </c>
      <c r="F30" s="28" t="s">
        <v>519</v>
      </c>
      <c r="G30" s="28" t="s">
        <v>520</v>
      </c>
      <c r="H30" s="28">
        <v>1369</v>
      </c>
      <c r="I30" s="49"/>
      <c r="J30" s="28" t="s">
        <v>478</v>
      </c>
      <c r="K30" s="28" t="s">
        <v>479</v>
      </c>
      <c r="L30" s="28" t="s">
        <v>484</v>
      </c>
      <c r="M30" s="28">
        <v>51</v>
      </c>
      <c r="N30" s="28">
        <v>380</v>
      </c>
      <c r="O30" s="28" t="s">
        <v>159</v>
      </c>
      <c r="P30" s="28" t="b">
        <v>0</v>
      </c>
      <c r="Q30" s="28"/>
      <c r="R30" s="28">
        <v>0</v>
      </c>
      <c r="S30" s="28"/>
      <c r="T30" s="28">
        <v>0</v>
      </c>
      <c r="U30" s="28"/>
      <c r="V30" s="28">
        <v>0</v>
      </c>
      <c r="W30" s="28"/>
      <c r="X30" s="28">
        <v>0</v>
      </c>
      <c r="Y30" s="28"/>
      <c r="Z30" s="28">
        <v>0</v>
      </c>
      <c r="AA30" s="28"/>
      <c r="AB30" s="28">
        <v>0</v>
      </c>
      <c r="AC30" s="28">
        <v>0</v>
      </c>
      <c r="AD30" s="28">
        <v>0</v>
      </c>
      <c r="AE30" s="28" t="s">
        <v>481</v>
      </c>
      <c r="AF30" s="28">
        <v>100</v>
      </c>
      <c r="AG30" s="28">
        <v>30</v>
      </c>
      <c r="AH30" s="28">
        <v>0</v>
      </c>
      <c r="AI30" s="28">
        <v>0</v>
      </c>
      <c r="AJ30" s="28">
        <v>0</v>
      </c>
      <c r="AK30" s="28">
        <v>0</v>
      </c>
      <c r="AL30" s="28">
        <v>0</v>
      </c>
      <c r="AM30" s="28">
        <v>0</v>
      </c>
      <c r="AN30" s="28">
        <v>0</v>
      </c>
      <c r="AO30" s="28">
        <v>0</v>
      </c>
      <c r="AP30" s="28"/>
      <c r="AQ30" s="28" t="b">
        <v>1</v>
      </c>
      <c r="AR30" s="28">
        <v>1.861E-3</v>
      </c>
      <c r="AS30" s="28" t="b">
        <v>1</v>
      </c>
      <c r="AT30" s="28" t="b">
        <v>1</v>
      </c>
      <c r="AU30" s="28" t="s">
        <v>482</v>
      </c>
      <c r="AV30" s="29">
        <v>0</v>
      </c>
      <c r="AW30" s="35">
        <v>100</v>
      </c>
      <c r="AX30" s="29">
        <v>25</v>
      </c>
      <c r="AY30" s="34" t="str">
        <f>IFERROR(HYPERLINK("#Technical!A"&amp;MATCH(B30,Technical!A:A,0),"Open Technical"),HYPERLINK("#Technical!A1","Open Technical"))</f>
        <v>Open Technical</v>
      </c>
      <c r="AZ30" s="34"/>
    </row>
    <row r="31" spans="1:52" ht="30" customHeight="1" x14ac:dyDescent="0.25">
      <c r="A31" s="37" t="s">
        <v>475</v>
      </c>
      <c r="B31" s="30" t="s">
        <v>521</v>
      </c>
      <c r="C31" s="35">
        <v>200</v>
      </c>
      <c r="D31" s="37" t="s">
        <v>477</v>
      </c>
      <c r="E31" s="37">
        <v>0.27</v>
      </c>
      <c r="F31" s="37" t="s">
        <v>522</v>
      </c>
      <c r="G31" s="37" t="s">
        <v>523</v>
      </c>
      <c r="H31" s="37">
        <v>52</v>
      </c>
      <c r="I31" s="50"/>
      <c r="J31" s="37" t="s">
        <v>478</v>
      </c>
      <c r="K31" s="37" t="s">
        <v>479</v>
      </c>
      <c r="L31" s="37" t="s">
        <v>484</v>
      </c>
      <c r="M31" s="37">
        <v>52</v>
      </c>
      <c r="N31" s="37">
        <v>274</v>
      </c>
      <c r="O31" s="37" t="s">
        <v>159</v>
      </c>
      <c r="P31" s="37" t="b">
        <v>0</v>
      </c>
      <c r="Q31" s="37"/>
      <c r="R31" s="37">
        <v>0</v>
      </c>
      <c r="S31" s="37"/>
      <c r="T31" s="37">
        <v>0</v>
      </c>
      <c r="U31" s="37"/>
      <c r="V31" s="37">
        <v>0</v>
      </c>
      <c r="W31" s="37"/>
      <c r="X31" s="37">
        <v>0</v>
      </c>
      <c r="Y31" s="37"/>
      <c r="Z31" s="37">
        <v>0</v>
      </c>
      <c r="AA31" s="37"/>
      <c r="AB31" s="37">
        <v>0</v>
      </c>
      <c r="AC31" s="37">
        <v>12.282999999999999</v>
      </c>
      <c r="AD31" s="37">
        <v>0.02</v>
      </c>
      <c r="AE31" s="37" t="s">
        <v>481</v>
      </c>
      <c r="AF31" s="37">
        <v>40</v>
      </c>
      <c r="AG31" s="37">
        <v>68</v>
      </c>
      <c r="AH31" s="37">
        <v>29</v>
      </c>
      <c r="AI31" s="37">
        <v>12.282999999999999</v>
      </c>
      <c r="AJ31" s="37">
        <v>0.02</v>
      </c>
      <c r="AK31" s="37">
        <v>0.20300000000000001</v>
      </c>
      <c r="AL31" s="37">
        <v>0</v>
      </c>
      <c r="AM31" s="37">
        <v>0</v>
      </c>
      <c r="AN31" s="37">
        <v>0</v>
      </c>
      <c r="AO31" s="37">
        <v>0</v>
      </c>
      <c r="AP31" s="37"/>
      <c r="AQ31" s="37" t="b">
        <v>1</v>
      </c>
      <c r="AR31" s="37">
        <v>1.861E-3</v>
      </c>
      <c r="AS31" s="37" t="b">
        <v>1</v>
      </c>
      <c r="AT31" s="37" t="b">
        <v>1</v>
      </c>
      <c r="AU31" s="37" t="s">
        <v>482</v>
      </c>
      <c r="AV31" s="29">
        <v>0</v>
      </c>
      <c r="AW31" s="29">
        <v>45</v>
      </c>
      <c r="AX31" s="29">
        <v>11.25</v>
      </c>
      <c r="AY31" t="str">
        <f>IFERROR(HYPERLINK("#Technical!A"&amp;MATCH(B31,Technical!A:A,0),"Open Technical"),HYPERLINK("#Technical!A1","Open Technical"))</f>
        <v>Open Technical</v>
      </c>
    </row>
    <row r="32" spans="1:52" ht="30" customHeight="1" x14ac:dyDescent="0.25">
      <c r="A32" s="28" t="s">
        <v>475</v>
      </c>
      <c r="B32" s="33" t="s">
        <v>524</v>
      </c>
      <c r="C32" s="35">
        <v>200</v>
      </c>
      <c r="D32" s="28" t="s">
        <v>477</v>
      </c>
      <c r="E32" s="28">
        <v>4.5999999999999999E-2</v>
      </c>
      <c r="F32" s="28" t="s">
        <v>525</v>
      </c>
      <c r="G32" s="28" t="s">
        <v>526</v>
      </c>
      <c r="H32" s="28">
        <v>205</v>
      </c>
      <c r="I32" s="49"/>
      <c r="J32" s="28" t="s">
        <v>478</v>
      </c>
      <c r="K32" s="28" t="s">
        <v>479</v>
      </c>
      <c r="L32" s="28" t="s">
        <v>484</v>
      </c>
      <c r="M32" s="28">
        <v>72</v>
      </c>
      <c r="N32" s="28">
        <v>347</v>
      </c>
      <c r="O32" s="28" t="s">
        <v>159</v>
      </c>
      <c r="P32" s="28" t="b">
        <v>0</v>
      </c>
      <c r="Q32" s="28"/>
      <c r="R32" s="28">
        <v>0</v>
      </c>
      <c r="S32" s="28"/>
      <c r="T32" s="28">
        <v>0</v>
      </c>
      <c r="U32" s="28"/>
      <c r="V32" s="28">
        <v>0</v>
      </c>
      <c r="W32" s="28"/>
      <c r="X32" s="28">
        <v>0</v>
      </c>
      <c r="Y32" s="28"/>
      <c r="Z32" s="28">
        <v>0</v>
      </c>
      <c r="AA32" s="28"/>
      <c r="AB32" s="28">
        <v>0</v>
      </c>
      <c r="AC32" s="28">
        <v>22.667000000000002</v>
      </c>
      <c r="AD32" s="28">
        <v>4.2000000000000003E-2</v>
      </c>
      <c r="AE32" s="28" t="s">
        <v>481</v>
      </c>
      <c r="AF32" s="28">
        <v>40</v>
      </c>
      <c r="AG32" s="28">
        <v>34</v>
      </c>
      <c r="AH32" s="28">
        <v>36</v>
      </c>
      <c r="AI32" s="28">
        <v>22.667000000000002</v>
      </c>
      <c r="AJ32" s="28">
        <v>4.2000000000000003E-2</v>
      </c>
      <c r="AK32" s="28">
        <v>0.17199999999999999</v>
      </c>
      <c r="AL32" s="28">
        <v>0</v>
      </c>
      <c r="AM32" s="28">
        <v>0</v>
      </c>
      <c r="AN32" s="28">
        <v>0</v>
      </c>
      <c r="AO32" s="28">
        <v>0</v>
      </c>
      <c r="AP32" s="28"/>
      <c r="AQ32" s="28" t="b">
        <v>1</v>
      </c>
      <c r="AR32" s="28">
        <v>1.861E-3</v>
      </c>
      <c r="AS32" s="28" t="b">
        <v>1</v>
      </c>
      <c r="AT32" s="28" t="b">
        <v>1</v>
      </c>
      <c r="AU32" s="28" t="s">
        <v>482</v>
      </c>
      <c r="AV32" s="29">
        <v>0</v>
      </c>
      <c r="AW32" s="32">
        <v>75</v>
      </c>
      <c r="AX32" s="29">
        <v>18.75</v>
      </c>
      <c r="AY32" s="34" t="str">
        <f>IFERROR(HYPERLINK("#Technical!A"&amp;MATCH(B32,Technical!A:A,0),"Open Technical"),HYPERLINK("#Technical!A1","Open Technical"))</f>
        <v>Open Technical</v>
      </c>
      <c r="AZ32" s="34"/>
    </row>
    <row r="33" spans="1:52" ht="30" customHeight="1" x14ac:dyDescent="0.25">
      <c r="A33" s="37" t="s">
        <v>475</v>
      </c>
      <c r="B33" s="30" t="s">
        <v>527</v>
      </c>
      <c r="C33" s="35">
        <v>200</v>
      </c>
      <c r="D33" s="37" t="s">
        <v>477</v>
      </c>
      <c r="E33" s="37">
        <v>1.5029999999999999</v>
      </c>
      <c r="F33" s="37" t="s">
        <v>519</v>
      </c>
      <c r="G33" s="37" t="s">
        <v>520</v>
      </c>
      <c r="H33" s="37">
        <v>1365</v>
      </c>
      <c r="I33" s="50"/>
      <c r="J33" s="37" t="s">
        <v>478</v>
      </c>
      <c r="K33" s="37" t="s">
        <v>479</v>
      </c>
      <c r="L33" s="37" t="s">
        <v>484</v>
      </c>
      <c r="M33" s="37">
        <v>51</v>
      </c>
      <c r="N33" s="37">
        <v>380</v>
      </c>
      <c r="O33" s="37" t="s">
        <v>159</v>
      </c>
      <c r="P33" s="37" t="b">
        <v>0</v>
      </c>
      <c r="Q33" s="37"/>
      <c r="R33" s="37">
        <v>0</v>
      </c>
      <c r="S33" s="37"/>
      <c r="T33" s="37">
        <v>0</v>
      </c>
      <c r="U33" s="37"/>
      <c r="V33" s="37">
        <v>0</v>
      </c>
      <c r="W33" s="37"/>
      <c r="X33" s="37">
        <v>0</v>
      </c>
      <c r="Y33" s="37"/>
      <c r="Z33" s="37">
        <v>0</v>
      </c>
      <c r="AA33" s="37"/>
      <c r="AB33" s="37">
        <v>0</v>
      </c>
      <c r="AC33" s="37">
        <v>0</v>
      </c>
      <c r="AD33" s="37">
        <v>0</v>
      </c>
      <c r="AE33" s="37" t="s">
        <v>481</v>
      </c>
      <c r="AF33" s="37">
        <v>100</v>
      </c>
      <c r="AG33" s="37">
        <v>30</v>
      </c>
      <c r="AH33" s="37">
        <v>0</v>
      </c>
      <c r="AI33" s="37">
        <v>0</v>
      </c>
      <c r="AJ33" s="37">
        <v>0</v>
      </c>
      <c r="AK33" s="37">
        <v>0</v>
      </c>
      <c r="AL33" s="37">
        <v>0</v>
      </c>
      <c r="AM33" s="37">
        <v>0</v>
      </c>
      <c r="AN33" s="37">
        <v>0</v>
      </c>
      <c r="AO33" s="37">
        <v>0</v>
      </c>
      <c r="AP33" s="37"/>
      <c r="AQ33" s="37" t="b">
        <v>1</v>
      </c>
      <c r="AR33" s="37">
        <v>1.861E-3</v>
      </c>
      <c r="AS33" s="37" t="b">
        <v>1</v>
      </c>
      <c r="AT33" s="37" t="b">
        <v>1</v>
      </c>
      <c r="AU33" s="37" t="s">
        <v>482</v>
      </c>
      <c r="AV33" s="29">
        <v>0</v>
      </c>
      <c r="AW33" s="35">
        <v>100</v>
      </c>
      <c r="AX33" s="29">
        <v>25</v>
      </c>
      <c r="AY33" t="str">
        <f>IFERROR(HYPERLINK("#Technical!A"&amp;MATCH(B33,Technical!A:A,0),"Open Technical"),HYPERLINK("#Technical!A1","Open Technical"))</f>
        <v>Open Technical</v>
      </c>
    </row>
    <row r="34" spans="1:52" ht="45" customHeight="1" x14ac:dyDescent="0.25">
      <c r="A34" s="28" t="s">
        <v>475</v>
      </c>
      <c r="B34" s="33" t="s">
        <v>528</v>
      </c>
      <c r="C34" s="35">
        <v>200</v>
      </c>
      <c r="D34" s="28" t="s">
        <v>477</v>
      </c>
      <c r="E34" s="28">
        <v>4.8000000000000001E-2</v>
      </c>
      <c r="F34" s="28" t="s">
        <v>529</v>
      </c>
      <c r="G34" s="28" t="s">
        <v>530</v>
      </c>
      <c r="H34" s="28">
        <v>82</v>
      </c>
      <c r="I34" s="49"/>
      <c r="J34" s="28" t="s">
        <v>478</v>
      </c>
      <c r="K34" s="28" t="s">
        <v>479</v>
      </c>
      <c r="L34" s="28" t="s">
        <v>484</v>
      </c>
      <c r="M34" s="28">
        <v>68</v>
      </c>
      <c r="N34" s="28">
        <v>346</v>
      </c>
      <c r="O34" s="28" t="s">
        <v>159</v>
      </c>
      <c r="P34" s="28" t="b">
        <v>0</v>
      </c>
      <c r="Q34" s="28"/>
      <c r="R34" s="28">
        <v>0</v>
      </c>
      <c r="S34" s="28"/>
      <c r="T34" s="28">
        <v>0</v>
      </c>
      <c r="U34" s="28"/>
      <c r="V34" s="28">
        <v>0</v>
      </c>
      <c r="W34" s="28"/>
      <c r="X34" s="28">
        <v>0</v>
      </c>
      <c r="Y34" s="28"/>
      <c r="Z34" s="28">
        <v>0</v>
      </c>
      <c r="AA34" s="28"/>
      <c r="AB34" s="28">
        <v>0</v>
      </c>
      <c r="AC34" s="28">
        <v>19.97</v>
      </c>
      <c r="AD34" s="28">
        <v>3.0000000000000001E-3</v>
      </c>
      <c r="AE34" s="28" t="s">
        <v>481</v>
      </c>
      <c r="AF34" s="28">
        <v>40</v>
      </c>
      <c r="AG34" s="28">
        <v>48</v>
      </c>
      <c r="AH34" s="28">
        <v>49</v>
      </c>
      <c r="AI34" s="28">
        <v>19.97</v>
      </c>
      <c r="AJ34" s="28">
        <v>3.0000000000000001E-3</v>
      </c>
      <c r="AK34" s="28">
        <v>0.17</v>
      </c>
      <c r="AL34" s="28">
        <v>0</v>
      </c>
      <c r="AM34" s="28">
        <v>0</v>
      </c>
      <c r="AN34" s="28">
        <v>0</v>
      </c>
      <c r="AO34" s="28">
        <v>0</v>
      </c>
      <c r="AP34" s="28"/>
      <c r="AQ34" s="28" t="b">
        <v>1</v>
      </c>
      <c r="AR34" s="28">
        <v>1.861E-3</v>
      </c>
      <c r="AS34" s="28" t="b">
        <v>1</v>
      </c>
      <c r="AT34" s="28" t="b">
        <v>1</v>
      </c>
      <c r="AU34" s="28" t="s">
        <v>482</v>
      </c>
      <c r="AV34" s="29">
        <v>0</v>
      </c>
      <c r="AW34" s="32">
        <v>75</v>
      </c>
      <c r="AX34" s="29">
        <v>18.75</v>
      </c>
      <c r="AY34" s="34" t="str">
        <f>IFERROR(HYPERLINK("#Technical!A"&amp;MATCH(B34,Technical!A:A,0),"Open Technical"),HYPERLINK("#Technical!A1","Open Technical"))</f>
        <v>Open Technical</v>
      </c>
      <c r="AZ34" s="34"/>
    </row>
    <row r="35" spans="1:52" ht="30" customHeight="1" x14ac:dyDescent="0.25">
      <c r="A35" s="37" t="s">
        <v>475</v>
      </c>
      <c r="B35" s="30" t="s">
        <v>531</v>
      </c>
      <c r="C35" s="35">
        <v>200</v>
      </c>
      <c r="D35" s="37" t="s">
        <v>477</v>
      </c>
      <c r="E35" s="37">
        <v>7.5999999999999998E-2</v>
      </c>
      <c r="F35" s="37" t="s">
        <v>532</v>
      </c>
      <c r="G35" s="37" t="s">
        <v>533</v>
      </c>
      <c r="H35" s="37">
        <v>580</v>
      </c>
      <c r="I35" s="50"/>
      <c r="J35" s="37" t="s">
        <v>478</v>
      </c>
      <c r="K35" s="37" t="s">
        <v>479</v>
      </c>
      <c r="L35" s="37" t="s">
        <v>484</v>
      </c>
      <c r="M35" s="37">
        <v>55</v>
      </c>
      <c r="N35" s="37">
        <v>702</v>
      </c>
      <c r="O35" s="37" t="s">
        <v>159</v>
      </c>
      <c r="P35" s="37" t="b">
        <v>0</v>
      </c>
      <c r="Q35" s="37"/>
      <c r="R35" s="37">
        <v>0</v>
      </c>
      <c r="S35" s="37"/>
      <c r="T35" s="37">
        <v>0</v>
      </c>
      <c r="U35" s="37"/>
      <c r="V35" s="37">
        <v>0</v>
      </c>
      <c r="W35" s="37"/>
      <c r="X35" s="37">
        <v>0</v>
      </c>
      <c r="Y35" s="37"/>
      <c r="Z35" s="37">
        <v>0</v>
      </c>
      <c r="AA35" s="37"/>
      <c r="AB35" s="37">
        <v>0</v>
      </c>
      <c r="AC35" s="37">
        <v>25.164000000000001</v>
      </c>
      <c r="AD35" s="37">
        <v>1E-3</v>
      </c>
      <c r="AE35" s="37" t="s">
        <v>481</v>
      </c>
      <c r="AF35" s="37">
        <v>100</v>
      </c>
      <c r="AG35" s="37">
        <v>40</v>
      </c>
      <c r="AH35" s="37">
        <v>27</v>
      </c>
      <c r="AI35" s="37">
        <v>25.164000000000001</v>
      </c>
      <c r="AJ35" s="37">
        <v>1E-3</v>
      </c>
      <c r="AK35" s="37">
        <v>0.17699999999999999</v>
      </c>
      <c r="AL35" s="37">
        <v>0</v>
      </c>
      <c r="AM35" s="37">
        <v>0</v>
      </c>
      <c r="AN35" s="37">
        <v>0</v>
      </c>
      <c r="AO35" s="37">
        <v>0</v>
      </c>
      <c r="AP35" s="37"/>
      <c r="AQ35" s="37" t="b">
        <v>1</v>
      </c>
      <c r="AR35" s="37">
        <v>1.861E-3</v>
      </c>
      <c r="AS35" s="37" t="b">
        <v>1</v>
      </c>
      <c r="AT35" s="37" t="b">
        <v>1</v>
      </c>
      <c r="AU35" s="37" t="s">
        <v>482</v>
      </c>
      <c r="AV35" s="29">
        <v>0</v>
      </c>
      <c r="AW35" s="35">
        <v>100</v>
      </c>
      <c r="AX35" s="29">
        <v>25</v>
      </c>
      <c r="AY35" t="str">
        <f>IFERROR(HYPERLINK("#Technical!A"&amp;MATCH(B35,Technical!A:A,0),"Open Technical"),HYPERLINK("#Technical!A1","Open Technical"))</f>
        <v>Open Technical</v>
      </c>
    </row>
    <row r="36" spans="1:52" ht="30" customHeight="1" x14ac:dyDescent="0.25">
      <c r="A36" s="28" t="s">
        <v>475</v>
      </c>
      <c r="B36" s="33" t="s">
        <v>534</v>
      </c>
      <c r="C36" s="35">
        <v>200</v>
      </c>
      <c r="D36" s="28" t="s">
        <v>477</v>
      </c>
      <c r="E36" s="28">
        <v>0.11799999999999999</v>
      </c>
      <c r="F36" s="28" t="s">
        <v>535</v>
      </c>
      <c r="G36" s="28" t="s">
        <v>536</v>
      </c>
      <c r="H36" s="28">
        <v>629</v>
      </c>
      <c r="I36" s="49"/>
      <c r="J36" s="28" t="s">
        <v>478</v>
      </c>
      <c r="K36" s="28" t="s">
        <v>479</v>
      </c>
      <c r="L36" s="28" t="s">
        <v>484</v>
      </c>
      <c r="M36" s="28">
        <v>54</v>
      </c>
      <c r="N36" s="28">
        <v>576</v>
      </c>
      <c r="O36" s="28" t="s">
        <v>159</v>
      </c>
      <c r="P36" s="28" t="b">
        <v>0</v>
      </c>
      <c r="Q36" s="28"/>
      <c r="R36" s="28">
        <v>0</v>
      </c>
      <c r="S36" s="28"/>
      <c r="T36" s="28">
        <v>0</v>
      </c>
      <c r="U36" s="28"/>
      <c r="V36" s="28">
        <v>0</v>
      </c>
      <c r="W36" s="28"/>
      <c r="X36" s="28">
        <v>0</v>
      </c>
      <c r="Y36" s="28"/>
      <c r="Z36" s="28">
        <v>0</v>
      </c>
      <c r="AA36" s="28"/>
      <c r="AB36" s="28">
        <v>0</v>
      </c>
      <c r="AC36" s="28">
        <v>18.577999999999999</v>
      </c>
      <c r="AD36" s="28">
        <v>7.0000000000000001E-3</v>
      </c>
      <c r="AE36" s="28" t="s">
        <v>481</v>
      </c>
      <c r="AF36" s="28">
        <v>100</v>
      </c>
      <c r="AG36" s="28">
        <v>27</v>
      </c>
      <c r="AH36" s="28">
        <v>35</v>
      </c>
      <c r="AI36" s="28">
        <v>18.577999999999999</v>
      </c>
      <c r="AJ36" s="28">
        <v>7.0000000000000001E-3</v>
      </c>
      <c r="AK36" s="28">
        <v>0.17299999999999999</v>
      </c>
      <c r="AL36" s="28">
        <v>0</v>
      </c>
      <c r="AM36" s="28">
        <v>0</v>
      </c>
      <c r="AN36" s="28">
        <v>0</v>
      </c>
      <c r="AO36" s="28">
        <v>0</v>
      </c>
      <c r="AP36" s="28"/>
      <c r="AQ36" s="28" t="b">
        <v>1</v>
      </c>
      <c r="AR36" s="28">
        <v>1.861E-3</v>
      </c>
      <c r="AS36" s="28" t="b">
        <v>1</v>
      </c>
      <c r="AT36" s="28" t="b">
        <v>1</v>
      </c>
      <c r="AU36" s="28" t="s">
        <v>482</v>
      </c>
      <c r="AV36" s="29">
        <v>0</v>
      </c>
      <c r="AW36" s="35">
        <v>100</v>
      </c>
      <c r="AX36" s="29">
        <v>25</v>
      </c>
      <c r="AY36" s="34" t="str">
        <f>IFERROR(HYPERLINK("#Technical!A"&amp;MATCH(B36,Technical!A:A,0),"Open Technical"),HYPERLINK("#Technical!A1","Open Technical"))</f>
        <v>Open Technical</v>
      </c>
      <c r="AZ36" s="34"/>
    </row>
    <row r="37" spans="1:52" ht="30" customHeight="1" x14ac:dyDescent="0.25">
      <c r="A37" s="37" t="s">
        <v>475</v>
      </c>
      <c r="B37" s="30" t="s">
        <v>537</v>
      </c>
      <c r="C37" s="35">
        <v>200</v>
      </c>
      <c r="D37" s="37" t="s">
        <v>477</v>
      </c>
      <c r="E37" s="37">
        <v>6.3E-2</v>
      </c>
      <c r="F37" s="37" t="s">
        <v>538</v>
      </c>
      <c r="G37" s="37" t="s">
        <v>539</v>
      </c>
      <c r="H37" s="37">
        <v>61</v>
      </c>
      <c r="I37" s="50"/>
      <c r="J37" s="37" t="s">
        <v>478</v>
      </c>
      <c r="K37" s="37" t="s">
        <v>479</v>
      </c>
      <c r="L37" s="37" t="s">
        <v>484</v>
      </c>
      <c r="M37" s="37">
        <v>26</v>
      </c>
      <c r="N37" s="37">
        <v>151</v>
      </c>
      <c r="O37" s="37" t="s">
        <v>159</v>
      </c>
      <c r="P37" s="37" t="b">
        <v>0</v>
      </c>
      <c r="Q37" s="37"/>
      <c r="R37" s="37">
        <v>0</v>
      </c>
      <c r="S37" s="37"/>
      <c r="T37" s="37">
        <v>0</v>
      </c>
      <c r="U37" s="37"/>
      <c r="V37" s="37">
        <v>0</v>
      </c>
      <c r="W37" s="37"/>
      <c r="X37" s="37">
        <v>0</v>
      </c>
      <c r="Y37" s="37"/>
      <c r="Z37" s="37">
        <v>0</v>
      </c>
      <c r="AA37" s="37"/>
      <c r="AB37" s="37">
        <v>0</v>
      </c>
      <c r="AC37" s="37">
        <v>12.06</v>
      </c>
      <c r="AD37" s="37">
        <v>3.0000000000000001E-3</v>
      </c>
      <c r="AE37" s="37" t="s">
        <v>481</v>
      </c>
      <c r="AF37" s="37">
        <v>40</v>
      </c>
      <c r="AG37" s="37">
        <v>45</v>
      </c>
      <c r="AH37" s="37">
        <v>29</v>
      </c>
      <c r="AI37" s="37">
        <v>12.06</v>
      </c>
      <c r="AJ37" s="37">
        <v>3.0000000000000001E-3</v>
      </c>
      <c r="AK37" s="37">
        <v>0.17499999999999999</v>
      </c>
      <c r="AL37" s="37">
        <v>0</v>
      </c>
      <c r="AM37" s="37">
        <v>0</v>
      </c>
      <c r="AN37" s="37">
        <v>0</v>
      </c>
      <c r="AO37" s="37">
        <v>0</v>
      </c>
      <c r="AP37" s="37">
        <v>2</v>
      </c>
      <c r="AQ37" s="37" t="b">
        <v>0</v>
      </c>
      <c r="AR37" s="37">
        <v>8.3590000000000001E-3</v>
      </c>
      <c r="AS37" s="37" t="b">
        <v>1</v>
      </c>
      <c r="AT37" s="37" t="b">
        <v>1</v>
      </c>
      <c r="AU37" s="37" t="s">
        <v>482</v>
      </c>
      <c r="AV37" s="29">
        <v>0</v>
      </c>
      <c r="AW37" s="32">
        <v>75</v>
      </c>
      <c r="AX37" s="29">
        <v>18.75</v>
      </c>
      <c r="AY37" t="str">
        <f>IFERROR(HYPERLINK("#Technical!A"&amp;MATCH(B37,Technical!A:A,0),"Open Technical"),HYPERLINK("#Technical!A1","Open Technical"))</f>
        <v>Open Technical</v>
      </c>
    </row>
    <row r="38" spans="1:52" ht="45" customHeight="1" x14ac:dyDescent="0.25">
      <c r="A38" s="28" t="s">
        <v>475</v>
      </c>
      <c r="B38" s="33" t="s">
        <v>540</v>
      </c>
      <c r="C38" s="35">
        <v>200</v>
      </c>
      <c r="D38" s="28" t="s">
        <v>477</v>
      </c>
      <c r="E38" s="28">
        <v>6.3E-2</v>
      </c>
      <c r="F38" s="28" t="s">
        <v>541</v>
      </c>
      <c r="G38" s="28" t="s">
        <v>542</v>
      </c>
      <c r="H38" s="28">
        <v>62</v>
      </c>
      <c r="I38" s="49"/>
      <c r="J38" s="28" t="s">
        <v>478</v>
      </c>
      <c r="K38" s="28" t="s">
        <v>479</v>
      </c>
      <c r="L38" s="28" t="s">
        <v>484</v>
      </c>
      <c r="M38" s="28">
        <v>65</v>
      </c>
      <c r="N38" s="28">
        <v>278</v>
      </c>
      <c r="O38" s="28" t="s">
        <v>159</v>
      </c>
      <c r="P38" s="28" t="b">
        <v>0</v>
      </c>
      <c r="Q38" s="28"/>
      <c r="R38" s="28">
        <v>0</v>
      </c>
      <c r="S38" s="28"/>
      <c r="T38" s="28">
        <v>0</v>
      </c>
      <c r="U38" s="28"/>
      <c r="V38" s="28">
        <v>0</v>
      </c>
      <c r="W38" s="28"/>
      <c r="X38" s="28">
        <v>0</v>
      </c>
      <c r="Y38" s="28"/>
      <c r="Z38" s="28">
        <v>0</v>
      </c>
      <c r="AA38" s="28"/>
      <c r="AB38" s="28">
        <v>0</v>
      </c>
      <c r="AC38" s="28">
        <v>123.768</v>
      </c>
      <c r="AD38" s="28">
        <v>3.0000000000000001E-3</v>
      </c>
      <c r="AE38" s="28" t="s">
        <v>481</v>
      </c>
      <c r="AF38" s="28">
        <v>40</v>
      </c>
      <c r="AG38" s="28">
        <v>32</v>
      </c>
      <c r="AH38" s="28">
        <v>28</v>
      </c>
      <c r="AI38" s="28">
        <v>123.768</v>
      </c>
      <c r="AJ38" s="28">
        <v>3.0000000000000001E-3</v>
      </c>
      <c r="AK38" s="28">
        <v>0.17599999999999999</v>
      </c>
      <c r="AL38" s="28">
        <v>0</v>
      </c>
      <c r="AM38" s="28">
        <v>0</v>
      </c>
      <c r="AN38" s="28">
        <v>0</v>
      </c>
      <c r="AO38" s="28">
        <v>0</v>
      </c>
      <c r="AP38" s="28"/>
      <c r="AQ38" s="28" t="b">
        <v>1</v>
      </c>
      <c r="AR38" s="28">
        <v>1.861E-3</v>
      </c>
      <c r="AS38" s="28" t="b">
        <v>1</v>
      </c>
      <c r="AT38" s="28" t="b">
        <v>1</v>
      </c>
      <c r="AU38" s="28" t="s">
        <v>482</v>
      </c>
      <c r="AV38" s="29">
        <v>0</v>
      </c>
      <c r="AW38" s="32">
        <v>75</v>
      </c>
      <c r="AX38" s="29">
        <v>18.75</v>
      </c>
      <c r="AY38" s="34" t="str">
        <f>IFERROR(HYPERLINK("#Technical!A"&amp;MATCH(B38,Technical!A:A,0),"Open Technical"),HYPERLINK("#Technical!A1","Open Technical"))</f>
        <v>Open Technical</v>
      </c>
      <c r="AZ38" s="34"/>
    </row>
    <row r="39" spans="1:52" ht="30" customHeight="1" x14ac:dyDescent="0.25">
      <c r="A39" s="37" t="s">
        <v>475</v>
      </c>
      <c r="B39" s="30" t="s">
        <v>543</v>
      </c>
      <c r="C39" s="35">
        <v>200</v>
      </c>
      <c r="D39" s="37" t="s">
        <v>477</v>
      </c>
      <c r="E39" s="37">
        <v>6.6000000000000003E-2</v>
      </c>
      <c r="F39" s="37" t="s">
        <v>544</v>
      </c>
      <c r="G39" s="37" t="s">
        <v>545</v>
      </c>
      <c r="H39" s="37">
        <v>1223</v>
      </c>
      <c r="I39" s="50"/>
      <c r="J39" s="37" t="s">
        <v>478</v>
      </c>
      <c r="K39" s="37" t="s">
        <v>479</v>
      </c>
      <c r="L39" s="37" t="s">
        <v>484</v>
      </c>
      <c r="M39" s="37">
        <v>45</v>
      </c>
      <c r="N39" s="37">
        <v>372</v>
      </c>
      <c r="O39" s="37" t="s">
        <v>159</v>
      </c>
      <c r="P39" s="37" t="b">
        <v>0</v>
      </c>
      <c r="Q39" s="37"/>
      <c r="R39" s="37">
        <v>0</v>
      </c>
      <c r="S39" s="37"/>
      <c r="T39" s="37">
        <v>0</v>
      </c>
      <c r="U39" s="37"/>
      <c r="V39" s="37">
        <v>0</v>
      </c>
      <c r="W39" s="37"/>
      <c r="X39" s="37">
        <v>0</v>
      </c>
      <c r="Y39" s="37"/>
      <c r="Z39" s="37">
        <v>0</v>
      </c>
      <c r="AA39" s="37"/>
      <c r="AB39" s="37">
        <v>0</v>
      </c>
      <c r="AC39" s="37">
        <v>24.268999999999998</v>
      </c>
      <c r="AD39" s="37">
        <v>1E-3</v>
      </c>
      <c r="AE39" s="37" t="s">
        <v>481</v>
      </c>
      <c r="AF39" s="37">
        <v>40</v>
      </c>
      <c r="AG39" s="37">
        <v>17</v>
      </c>
      <c r="AH39" s="37">
        <v>46</v>
      </c>
      <c r="AI39" s="37">
        <v>24.268999999999998</v>
      </c>
      <c r="AJ39" s="37">
        <v>1E-3</v>
      </c>
      <c r="AK39" s="37">
        <v>0.17699999999999999</v>
      </c>
      <c r="AL39" s="37">
        <v>0</v>
      </c>
      <c r="AM39" s="37">
        <v>0</v>
      </c>
      <c r="AN39" s="37">
        <v>0</v>
      </c>
      <c r="AO39" s="37">
        <v>0</v>
      </c>
      <c r="AP39" s="37">
        <v>2</v>
      </c>
      <c r="AQ39" s="37" t="b">
        <v>0</v>
      </c>
      <c r="AR39" s="37">
        <v>8.3590000000000001E-3</v>
      </c>
      <c r="AS39" s="37" t="b">
        <v>1</v>
      </c>
      <c r="AT39" s="37" t="b">
        <v>1</v>
      </c>
      <c r="AU39" s="37" t="s">
        <v>482</v>
      </c>
      <c r="AV39" s="29">
        <v>0</v>
      </c>
      <c r="AW39" s="35">
        <v>100</v>
      </c>
      <c r="AX39" s="29">
        <v>25</v>
      </c>
      <c r="AY39" t="str">
        <f>IFERROR(HYPERLINK("#Technical!A"&amp;MATCH(B39,Technical!A:A,0),"Open Technical"),HYPERLINK("#Technical!A1","Open Technical"))</f>
        <v>Open Technical</v>
      </c>
    </row>
    <row r="40" spans="1:52" ht="30" customHeight="1" x14ac:dyDescent="0.25">
      <c r="A40" s="28" t="s">
        <v>475</v>
      </c>
      <c r="B40" s="33" t="s">
        <v>546</v>
      </c>
      <c r="C40" s="35">
        <v>200</v>
      </c>
      <c r="D40" s="28" t="s">
        <v>477</v>
      </c>
      <c r="E40" s="28">
        <v>7.8E-2</v>
      </c>
      <c r="F40" s="28" t="s">
        <v>547</v>
      </c>
      <c r="G40" s="28" t="s">
        <v>548</v>
      </c>
      <c r="H40" s="28">
        <v>1318</v>
      </c>
      <c r="I40" s="49"/>
      <c r="J40" s="28" t="s">
        <v>478</v>
      </c>
      <c r="K40" s="28" t="s">
        <v>479</v>
      </c>
      <c r="L40" s="28" t="s">
        <v>484</v>
      </c>
      <c r="M40" s="28">
        <v>48</v>
      </c>
      <c r="N40" s="28">
        <v>384</v>
      </c>
      <c r="O40" s="28" t="s">
        <v>159</v>
      </c>
      <c r="P40" s="28" t="b">
        <v>0</v>
      </c>
      <c r="Q40" s="28"/>
      <c r="R40" s="28">
        <v>0</v>
      </c>
      <c r="S40" s="28"/>
      <c r="T40" s="28">
        <v>0</v>
      </c>
      <c r="U40" s="28"/>
      <c r="V40" s="28">
        <v>0</v>
      </c>
      <c r="W40" s="28"/>
      <c r="X40" s="28">
        <v>0</v>
      </c>
      <c r="Y40" s="28"/>
      <c r="Z40" s="28">
        <v>0</v>
      </c>
      <c r="AA40" s="28"/>
      <c r="AB40" s="28">
        <v>0</v>
      </c>
      <c r="AC40" s="28">
        <v>20.7</v>
      </c>
      <c r="AD40" s="28">
        <v>0</v>
      </c>
      <c r="AE40" s="28" t="s">
        <v>481</v>
      </c>
      <c r="AF40" s="28">
        <v>100</v>
      </c>
      <c r="AG40" s="28">
        <v>34</v>
      </c>
      <c r="AH40" s="28">
        <v>29</v>
      </c>
      <c r="AI40" s="28">
        <v>20.7</v>
      </c>
      <c r="AJ40" s="28">
        <v>0</v>
      </c>
      <c r="AK40" s="28">
        <v>0.17100000000000001</v>
      </c>
      <c r="AL40" s="28">
        <v>0</v>
      </c>
      <c r="AM40" s="28">
        <v>0</v>
      </c>
      <c r="AN40" s="28">
        <v>0</v>
      </c>
      <c r="AO40" s="28">
        <v>0</v>
      </c>
      <c r="AP40" s="28"/>
      <c r="AQ40" s="28" t="b">
        <v>1</v>
      </c>
      <c r="AR40" s="28">
        <v>1.861E-3</v>
      </c>
      <c r="AS40" s="28" t="b">
        <v>1</v>
      </c>
      <c r="AT40" s="28" t="b">
        <v>1</v>
      </c>
      <c r="AU40" s="28" t="s">
        <v>482</v>
      </c>
      <c r="AV40" s="29">
        <v>0</v>
      </c>
      <c r="AW40" s="35">
        <v>100</v>
      </c>
      <c r="AX40" s="29">
        <v>25</v>
      </c>
      <c r="AY40" s="34" t="str">
        <f>IFERROR(HYPERLINK("#Technical!A"&amp;MATCH(B40,Technical!A:A,0),"Open Technical"),HYPERLINK("#Technical!A1","Open Technical"))</f>
        <v>Open Technical</v>
      </c>
      <c r="AZ40" s="34"/>
    </row>
    <row r="41" spans="1:52" ht="30" customHeight="1" x14ac:dyDescent="0.25">
      <c r="A41" s="37" t="s">
        <v>475</v>
      </c>
      <c r="B41" s="30" t="s">
        <v>549</v>
      </c>
      <c r="C41" s="35">
        <v>200</v>
      </c>
      <c r="D41" s="37" t="s">
        <v>477</v>
      </c>
      <c r="E41" s="37">
        <v>8.8999999999999996E-2</v>
      </c>
      <c r="F41" s="37" t="s">
        <v>550</v>
      </c>
      <c r="G41" s="37" t="s">
        <v>551</v>
      </c>
      <c r="H41" s="37">
        <v>62</v>
      </c>
      <c r="I41" s="50"/>
      <c r="J41" s="37" t="s">
        <v>478</v>
      </c>
      <c r="K41" s="37" t="s">
        <v>479</v>
      </c>
      <c r="L41" s="37" t="s">
        <v>484</v>
      </c>
      <c r="M41" s="37">
        <v>58</v>
      </c>
      <c r="N41" s="37">
        <v>225</v>
      </c>
      <c r="O41" s="37" t="s">
        <v>159</v>
      </c>
      <c r="P41" s="37" t="b">
        <v>0</v>
      </c>
      <c r="Q41" s="37"/>
      <c r="R41" s="37">
        <v>0</v>
      </c>
      <c r="S41" s="37"/>
      <c r="T41" s="37">
        <v>0</v>
      </c>
      <c r="U41" s="37"/>
      <c r="V41" s="37">
        <v>0</v>
      </c>
      <c r="W41" s="37"/>
      <c r="X41" s="37">
        <v>0</v>
      </c>
      <c r="Y41" s="37"/>
      <c r="Z41" s="37">
        <v>0</v>
      </c>
      <c r="AA41" s="37"/>
      <c r="AB41" s="37">
        <v>0</v>
      </c>
      <c r="AC41" s="37">
        <v>16.286999999999999</v>
      </c>
      <c r="AD41" s="37">
        <v>0</v>
      </c>
      <c r="AE41" s="37" t="s">
        <v>481</v>
      </c>
      <c r="AF41" s="37">
        <v>40</v>
      </c>
      <c r="AG41" s="37">
        <v>30</v>
      </c>
      <c r="AH41" s="37">
        <v>39</v>
      </c>
      <c r="AI41" s="37">
        <v>16.286999999999999</v>
      </c>
      <c r="AJ41" s="37">
        <v>0</v>
      </c>
      <c r="AK41" s="37">
        <v>0.34499999999999997</v>
      </c>
      <c r="AL41" s="37">
        <v>0</v>
      </c>
      <c r="AM41" s="37">
        <v>0</v>
      </c>
      <c r="AN41" s="37">
        <v>0</v>
      </c>
      <c r="AO41" s="37">
        <v>0</v>
      </c>
      <c r="AP41" s="37"/>
      <c r="AQ41" s="37" t="b">
        <v>1</v>
      </c>
      <c r="AR41" s="37">
        <v>1.861E-3</v>
      </c>
      <c r="AS41" s="37" t="b">
        <v>1</v>
      </c>
      <c r="AT41" s="37" t="b">
        <v>1</v>
      </c>
      <c r="AU41" s="37" t="s">
        <v>482</v>
      </c>
      <c r="AV41" s="29">
        <v>0</v>
      </c>
      <c r="AW41" s="32">
        <v>75</v>
      </c>
      <c r="AX41" s="29">
        <v>18.75</v>
      </c>
      <c r="AY41" t="str">
        <f>IFERROR(HYPERLINK("#Technical!A"&amp;MATCH(B41,Technical!A:A,0),"Open Technical"),HYPERLINK("#Technical!A1","Open Technical"))</f>
        <v>Open Technical</v>
      </c>
    </row>
    <row r="42" spans="1:52" ht="30" customHeight="1" x14ac:dyDescent="0.25">
      <c r="A42" s="28" t="s">
        <v>475</v>
      </c>
      <c r="B42" s="33" t="s">
        <v>552</v>
      </c>
      <c r="C42" s="35">
        <v>200</v>
      </c>
      <c r="D42" s="28" t="s">
        <v>477</v>
      </c>
      <c r="E42" s="28">
        <v>7.1999999999999995E-2</v>
      </c>
      <c r="F42" s="28" t="s">
        <v>553</v>
      </c>
      <c r="G42" s="28" t="s">
        <v>554</v>
      </c>
      <c r="H42" s="28">
        <v>230</v>
      </c>
      <c r="I42" s="49"/>
      <c r="J42" s="28" t="s">
        <v>478</v>
      </c>
      <c r="K42" s="28" t="s">
        <v>479</v>
      </c>
      <c r="L42" s="28" t="s">
        <v>484</v>
      </c>
      <c r="M42" s="28">
        <v>49</v>
      </c>
      <c r="N42" s="28">
        <v>357</v>
      </c>
      <c r="O42" s="28" t="s">
        <v>133</v>
      </c>
      <c r="P42" s="28" t="b">
        <v>0</v>
      </c>
      <c r="Q42" s="28"/>
      <c r="R42" s="28">
        <v>0</v>
      </c>
      <c r="S42" s="28"/>
      <c r="T42" s="28">
        <v>0</v>
      </c>
      <c r="U42" s="28"/>
      <c r="V42" s="28">
        <v>0</v>
      </c>
      <c r="W42" s="28"/>
      <c r="X42" s="28">
        <v>0</v>
      </c>
      <c r="Y42" s="28"/>
      <c r="Z42" s="28">
        <v>0</v>
      </c>
      <c r="AA42" s="28"/>
      <c r="AB42" s="28">
        <v>0</v>
      </c>
      <c r="AC42" s="28">
        <v>10.269</v>
      </c>
      <c r="AD42" s="28">
        <v>0.10100000000000001</v>
      </c>
      <c r="AE42" s="28" t="s">
        <v>481</v>
      </c>
      <c r="AF42" s="28">
        <v>30</v>
      </c>
      <c r="AG42" s="28">
        <v>51</v>
      </c>
      <c r="AH42" s="28">
        <v>33</v>
      </c>
      <c r="AI42" s="28">
        <v>10.269</v>
      </c>
      <c r="AJ42" s="28">
        <v>0.10100000000000001</v>
      </c>
      <c r="AK42" s="28">
        <v>0.17399999999999999</v>
      </c>
      <c r="AL42" s="28">
        <v>0</v>
      </c>
      <c r="AM42" s="28">
        <v>0</v>
      </c>
      <c r="AN42" s="28">
        <v>0</v>
      </c>
      <c r="AO42" s="28">
        <v>0</v>
      </c>
      <c r="AP42" s="28"/>
      <c r="AQ42" s="28" t="b">
        <v>1</v>
      </c>
      <c r="AR42" s="28">
        <v>1.861E-3</v>
      </c>
      <c r="AS42" s="28" t="b">
        <v>1</v>
      </c>
      <c r="AT42" s="28" t="b">
        <v>1</v>
      </c>
      <c r="AU42" s="28" t="s">
        <v>482</v>
      </c>
      <c r="AV42" s="29">
        <v>0</v>
      </c>
      <c r="AW42" s="29">
        <v>45</v>
      </c>
      <c r="AX42" s="29">
        <v>11.25</v>
      </c>
      <c r="AY42" s="34" t="str">
        <f>IFERROR(HYPERLINK("#Technical!A"&amp;MATCH(B42,Technical!A:A,0),"Open Technical"),HYPERLINK("#Technical!A1","Open Technical"))</f>
        <v>Open Technical</v>
      </c>
      <c r="AZ42" s="34"/>
    </row>
    <row r="43" spans="1:52" ht="30" customHeight="1" x14ac:dyDescent="0.25">
      <c r="A43" s="37" t="s">
        <v>475</v>
      </c>
      <c r="B43" s="30" t="s">
        <v>555</v>
      </c>
      <c r="C43" s="35">
        <v>200</v>
      </c>
      <c r="D43" s="37" t="s">
        <v>477</v>
      </c>
      <c r="E43" s="37">
        <v>6.3E-2</v>
      </c>
      <c r="F43" s="37" t="s">
        <v>556</v>
      </c>
      <c r="G43" s="37"/>
      <c r="H43" s="37">
        <v>31</v>
      </c>
      <c r="I43" s="50"/>
      <c r="J43" s="37" t="s">
        <v>478</v>
      </c>
      <c r="K43" s="37" t="s">
        <v>479</v>
      </c>
      <c r="L43" s="37" t="s">
        <v>484</v>
      </c>
      <c r="M43" s="37">
        <v>60</v>
      </c>
      <c r="N43" s="37">
        <v>0</v>
      </c>
      <c r="O43" s="37" t="s">
        <v>133</v>
      </c>
      <c r="P43" s="37" t="b">
        <v>0</v>
      </c>
      <c r="Q43" s="37"/>
      <c r="R43" s="37">
        <v>0</v>
      </c>
      <c r="S43" s="37"/>
      <c r="T43" s="37">
        <v>0</v>
      </c>
      <c r="U43" s="37"/>
      <c r="V43" s="37">
        <v>0</v>
      </c>
      <c r="W43" s="37"/>
      <c r="X43" s="37">
        <v>0</v>
      </c>
      <c r="Y43" s="37"/>
      <c r="Z43" s="37">
        <v>0</v>
      </c>
      <c r="AA43" s="37"/>
      <c r="AB43" s="37">
        <v>0</v>
      </c>
      <c r="AC43" s="37">
        <v>4.9669999999999996</v>
      </c>
      <c r="AD43" s="37">
        <v>5.6000000000000001E-2</v>
      </c>
      <c r="AE43" s="37" t="s">
        <v>481</v>
      </c>
      <c r="AF43" s="37">
        <v>30</v>
      </c>
      <c r="AG43" s="37">
        <v>55</v>
      </c>
      <c r="AH43" s="37">
        <v>33</v>
      </c>
      <c r="AI43" s="37">
        <v>4.9669999999999996</v>
      </c>
      <c r="AJ43" s="37">
        <v>5.6000000000000001E-2</v>
      </c>
      <c r="AK43" s="37">
        <v>0.16800000000000001</v>
      </c>
      <c r="AL43" s="37">
        <v>0</v>
      </c>
      <c r="AM43" s="37">
        <v>0</v>
      </c>
      <c r="AN43" s="37">
        <v>0</v>
      </c>
      <c r="AO43" s="37">
        <v>0</v>
      </c>
      <c r="AP43" s="37"/>
      <c r="AQ43" s="37" t="b">
        <v>1</v>
      </c>
      <c r="AR43" s="37">
        <v>1.861E-3</v>
      </c>
      <c r="AS43" s="37" t="b">
        <v>1</v>
      </c>
      <c r="AT43" s="37" t="b">
        <v>1</v>
      </c>
      <c r="AU43" s="37" t="s">
        <v>482</v>
      </c>
      <c r="AV43" s="29">
        <v>0</v>
      </c>
      <c r="AW43" s="29">
        <v>25</v>
      </c>
      <c r="AX43" s="29">
        <v>6.25</v>
      </c>
      <c r="AY43" t="str">
        <f>IFERROR(HYPERLINK("#Technical!A"&amp;MATCH(B43,Technical!A:A,0),"Open Technical"),HYPERLINK("#Technical!A1","Open Technical"))</f>
        <v>Open Technical</v>
      </c>
    </row>
    <row r="44" spans="1:52" ht="30" customHeight="1" x14ac:dyDescent="0.25">
      <c r="A44" s="28" t="s">
        <v>475</v>
      </c>
      <c r="B44" s="33" t="s">
        <v>557</v>
      </c>
      <c r="C44" s="35">
        <v>200</v>
      </c>
      <c r="D44" s="28" t="s">
        <v>477</v>
      </c>
      <c r="E44" s="28">
        <v>7.3999999999999996E-2</v>
      </c>
      <c r="F44" s="28" t="s">
        <v>558</v>
      </c>
      <c r="G44" s="28" t="s">
        <v>559</v>
      </c>
      <c r="H44" s="28">
        <v>48</v>
      </c>
      <c r="I44" s="49"/>
      <c r="J44" s="28" t="s">
        <v>478</v>
      </c>
      <c r="K44" s="28" t="s">
        <v>479</v>
      </c>
      <c r="L44" s="28" t="s">
        <v>484</v>
      </c>
      <c r="M44" s="28">
        <v>61</v>
      </c>
      <c r="N44" s="28">
        <v>117</v>
      </c>
      <c r="O44" s="28" t="s">
        <v>133</v>
      </c>
      <c r="P44" s="28" t="b">
        <v>0</v>
      </c>
      <c r="Q44" s="28"/>
      <c r="R44" s="28">
        <v>0</v>
      </c>
      <c r="S44" s="28"/>
      <c r="T44" s="28">
        <v>0</v>
      </c>
      <c r="U44" s="28"/>
      <c r="V44" s="28">
        <v>0</v>
      </c>
      <c r="W44" s="28"/>
      <c r="X44" s="28">
        <v>0</v>
      </c>
      <c r="Y44" s="28"/>
      <c r="Z44" s="28">
        <v>0</v>
      </c>
      <c r="AA44" s="28"/>
      <c r="AB44" s="28">
        <v>0</v>
      </c>
      <c r="AC44" s="28">
        <v>8.9659999999999993</v>
      </c>
      <c r="AD44" s="28">
        <v>0</v>
      </c>
      <c r="AE44" s="28" t="s">
        <v>481</v>
      </c>
      <c r="AF44" s="28">
        <v>30</v>
      </c>
      <c r="AG44" s="28">
        <v>60</v>
      </c>
      <c r="AH44" s="28">
        <v>41</v>
      </c>
      <c r="AI44" s="28">
        <v>8.9659999999999993</v>
      </c>
      <c r="AJ44" s="28">
        <v>0</v>
      </c>
      <c r="AK44" s="28">
        <v>8.9999999999999993E-3</v>
      </c>
      <c r="AL44" s="28">
        <v>0</v>
      </c>
      <c r="AM44" s="28">
        <v>0</v>
      </c>
      <c r="AN44" s="28">
        <v>0</v>
      </c>
      <c r="AO44" s="28">
        <v>0</v>
      </c>
      <c r="AP44" s="28"/>
      <c r="AQ44" s="28" t="b">
        <v>1</v>
      </c>
      <c r="AR44" s="28">
        <v>1.861E-3</v>
      </c>
      <c r="AS44" s="28" t="b">
        <v>1</v>
      </c>
      <c r="AT44" s="28" t="b">
        <v>1</v>
      </c>
      <c r="AU44" s="28" t="s">
        <v>482</v>
      </c>
      <c r="AV44" s="29">
        <v>0</v>
      </c>
      <c r="AW44" s="29">
        <v>45</v>
      </c>
      <c r="AX44" s="29">
        <v>11.25</v>
      </c>
      <c r="AY44" s="34" t="str">
        <f>IFERROR(HYPERLINK("#Technical!A"&amp;MATCH(B44,Technical!A:A,0),"Open Technical"),HYPERLINK("#Technical!A1","Open Technical"))</f>
        <v>Open Technical</v>
      </c>
      <c r="AZ44" s="34"/>
    </row>
    <row r="45" spans="1:52" ht="30" customHeight="1" x14ac:dyDescent="0.25">
      <c r="A45" s="37" t="s">
        <v>475</v>
      </c>
      <c r="B45" s="30" t="s">
        <v>560</v>
      </c>
      <c r="C45" s="35">
        <v>200</v>
      </c>
      <c r="D45" s="37" t="s">
        <v>477</v>
      </c>
      <c r="E45" s="37">
        <v>7.4999999999999997E-2</v>
      </c>
      <c r="F45" s="37" t="s">
        <v>561</v>
      </c>
      <c r="G45" s="37" t="s">
        <v>562</v>
      </c>
      <c r="H45" s="37">
        <v>571</v>
      </c>
      <c r="I45" s="50"/>
      <c r="J45" s="37" t="s">
        <v>478</v>
      </c>
      <c r="K45" s="37" t="s">
        <v>479</v>
      </c>
      <c r="L45" s="37" t="s">
        <v>484</v>
      </c>
      <c r="M45" s="37">
        <v>58</v>
      </c>
      <c r="N45" s="37">
        <v>356</v>
      </c>
      <c r="O45" s="37" t="s">
        <v>133</v>
      </c>
      <c r="P45" s="37" t="b">
        <v>0</v>
      </c>
      <c r="Q45" s="37"/>
      <c r="R45" s="37">
        <v>0</v>
      </c>
      <c r="S45" s="37"/>
      <c r="T45" s="37">
        <v>0</v>
      </c>
      <c r="U45" s="37"/>
      <c r="V45" s="37">
        <v>0</v>
      </c>
      <c r="W45" s="37"/>
      <c r="X45" s="37">
        <v>0</v>
      </c>
      <c r="Y45" s="37"/>
      <c r="Z45" s="37">
        <v>0</v>
      </c>
      <c r="AA45" s="37"/>
      <c r="AB45" s="37">
        <v>0</v>
      </c>
      <c r="AC45" s="37">
        <v>10.125999999999999</v>
      </c>
      <c r="AD45" s="37">
        <v>6.2E-2</v>
      </c>
      <c r="AE45" s="37" t="s">
        <v>481</v>
      </c>
      <c r="AF45" s="37">
        <v>70</v>
      </c>
      <c r="AG45" s="37">
        <v>46</v>
      </c>
      <c r="AH45" s="37">
        <v>28</v>
      </c>
      <c r="AI45" s="37">
        <v>10.125999999999999</v>
      </c>
      <c r="AJ45" s="37">
        <v>6.2E-2</v>
      </c>
      <c r="AK45" s="37">
        <v>0.17699999999999999</v>
      </c>
      <c r="AL45" s="37">
        <v>0</v>
      </c>
      <c r="AM45" s="37">
        <v>0</v>
      </c>
      <c r="AN45" s="37">
        <v>0</v>
      </c>
      <c r="AO45" s="37">
        <v>0</v>
      </c>
      <c r="AP45" s="37"/>
      <c r="AQ45" s="37" t="b">
        <v>1</v>
      </c>
      <c r="AR45" s="37">
        <v>1.861E-3</v>
      </c>
      <c r="AS45" s="37" t="b">
        <v>1</v>
      </c>
      <c r="AT45" s="37" t="b">
        <v>1</v>
      </c>
      <c r="AU45" s="37" t="s">
        <v>482</v>
      </c>
      <c r="AV45" s="29">
        <v>0</v>
      </c>
      <c r="AW45" s="32">
        <v>70</v>
      </c>
      <c r="AX45" s="29">
        <v>17.5</v>
      </c>
      <c r="AY45" t="str">
        <f>IFERROR(HYPERLINK("#Technical!A"&amp;MATCH(B45,Technical!A:A,0),"Open Technical"),HYPERLINK("#Technical!A1","Open Technical"))</f>
        <v>Open Technical</v>
      </c>
    </row>
    <row r="46" spans="1:52" ht="30" customHeight="1" x14ac:dyDescent="0.25">
      <c r="A46" s="28" t="s">
        <v>475</v>
      </c>
      <c r="B46" s="33" t="s">
        <v>563</v>
      </c>
      <c r="C46" s="35">
        <v>200</v>
      </c>
      <c r="D46" s="28" t="s">
        <v>477</v>
      </c>
      <c r="E46" s="28">
        <v>7.4999999999999997E-2</v>
      </c>
      <c r="F46" s="28" t="s">
        <v>564</v>
      </c>
      <c r="G46" s="28" t="s">
        <v>565</v>
      </c>
      <c r="H46" s="28">
        <v>589</v>
      </c>
      <c r="I46" s="49"/>
      <c r="J46" s="28" t="s">
        <v>478</v>
      </c>
      <c r="K46" s="28" t="s">
        <v>479</v>
      </c>
      <c r="L46" s="28" t="s">
        <v>484</v>
      </c>
      <c r="M46" s="28">
        <v>59</v>
      </c>
      <c r="N46" s="28">
        <v>1077</v>
      </c>
      <c r="O46" s="28" t="s">
        <v>159</v>
      </c>
      <c r="P46" s="28" t="b">
        <v>0</v>
      </c>
      <c r="Q46" s="28"/>
      <c r="R46" s="28">
        <v>0</v>
      </c>
      <c r="S46" s="28"/>
      <c r="T46" s="28">
        <v>0</v>
      </c>
      <c r="U46" s="28"/>
      <c r="V46" s="28">
        <v>0</v>
      </c>
      <c r="W46" s="28"/>
      <c r="X46" s="28">
        <v>0</v>
      </c>
      <c r="Y46" s="28"/>
      <c r="Z46" s="28">
        <v>0</v>
      </c>
      <c r="AA46" s="28"/>
      <c r="AB46" s="28">
        <v>0</v>
      </c>
      <c r="AC46" s="28">
        <v>10.48</v>
      </c>
      <c r="AD46" s="28">
        <v>0.56899999999999995</v>
      </c>
      <c r="AE46" s="28" t="s">
        <v>481</v>
      </c>
      <c r="AF46" s="28">
        <v>100</v>
      </c>
      <c r="AG46" s="28">
        <v>24</v>
      </c>
      <c r="AH46" s="28">
        <v>18</v>
      </c>
      <c r="AI46" s="28">
        <v>10.48</v>
      </c>
      <c r="AJ46" s="28">
        <v>0.56899999999999995</v>
      </c>
      <c r="AK46" s="28">
        <v>0.20300000000000001</v>
      </c>
      <c r="AL46" s="28">
        <v>0</v>
      </c>
      <c r="AM46" s="28">
        <v>0</v>
      </c>
      <c r="AN46" s="28">
        <v>0</v>
      </c>
      <c r="AO46" s="28">
        <v>0</v>
      </c>
      <c r="AP46" s="28"/>
      <c r="AQ46" s="28" t="b">
        <v>1</v>
      </c>
      <c r="AR46" s="28">
        <v>1.861E-3</v>
      </c>
      <c r="AS46" s="28" t="b">
        <v>1</v>
      </c>
      <c r="AT46" s="28" t="b">
        <v>1</v>
      </c>
      <c r="AU46" s="28" t="s">
        <v>482</v>
      </c>
      <c r="AV46" s="29">
        <v>0</v>
      </c>
      <c r="AW46" s="35">
        <v>100</v>
      </c>
      <c r="AX46" s="29">
        <v>25</v>
      </c>
      <c r="AY46" s="34" t="str">
        <f>IFERROR(HYPERLINK("#Technical!A"&amp;MATCH(B46,Technical!A:A,0),"Open Technical"),HYPERLINK("#Technical!A1","Open Technical"))</f>
        <v>Open Technical</v>
      </c>
      <c r="AZ46" s="34"/>
    </row>
    <row r="47" spans="1:52" ht="30" customHeight="1" x14ac:dyDescent="0.25">
      <c r="A47" s="37" t="s">
        <v>475</v>
      </c>
      <c r="B47" s="30" t="s">
        <v>566</v>
      </c>
      <c r="C47" s="35">
        <v>200</v>
      </c>
      <c r="D47" s="37" t="s">
        <v>477</v>
      </c>
      <c r="E47" s="37">
        <v>7.1999999999999995E-2</v>
      </c>
      <c r="F47" s="37" t="s">
        <v>567</v>
      </c>
      <c r="G47" s="37" t="s">
        <v>568</v>
      </c>
      <c r="H47" s="37">
        <v>1148</v>
      </c>
      <c r="I47" s="50"/>
      <c r="J47" s="37" t="s">
        <v>478</v>
      </c>
      <c r="K47" s="37" t="s">
        <v>479</v>
      </c>
      <c r="L47" s="37" t="s">
        <v>484</v>
      </c>
      <c r="M47" s="37">
        <v>47</v>
      </c>
      <c r="N47" s="37">
        <v>161</v>
      </c>
      <c r="O47" s="37" t="s">
        <v>569</v>
      </c>
      <c r="P47" s="37" t="b">
        <v>0</v>
      </c>
      <c r="Q47" s="37"/>
      <c r="R47" s="37">
        <v>0</v>
      </c>
      <c r="S47" s="37"/>
      <c r="T47" s="37">
        <v>0</v>
      </c>
      <c r="U47" s="37"/>
      <c r="V47" s="37">
        <v>0</v>
      </c>
      <c r="W47" s="37"/>
      <c r="X47" s="37">
        <v>0</v>
      </c>
      <c r="Y47" s="37"/>
      <c r="Z47" s="37">
        <v>0</v>
      </c>
      <c r="AA47" s="37"/>
      <c r="AB47" s="37">
        <v>0</v>
      </c>
      <c r="AC47" s="37">
        <v>21.818999999999999</v>
      </c>
      <c r="AD47" s="37">
        <v>0</v>
      </c>
      <c r="AE47" s="37" t="s">
        <v>481</v>
      </c>
      <c r="AF47" s="37">
        <v>100</v>
      </c>
      <c r="AG47" s="37">
        <v>32</v>
      </c>
      <c r="AH47" s="37">
        <v>27</v>
      </c>
      <c r="AI47" s="37">
        <v>21.818999999999999</v>
      </c>
      <c r="AJ47" s="37">
        <v>0</v>
      </c>
      <c r="AK47" s="37">
        <v>0.17299999999999999</v>
      </c>
      <c r="AL47" s="37">
        <v>0</v>
      </c>
      <c r="AM47" s="37">
        <v>0</v>
      </c>
      <c r="AN47" s="37">
        <v>0</v>
      </c>
      <c r="AO47" s="37">
        <v>0</v>
      </c>
      <c r="AP47" s="37">
        <v>2</v>
      </c>
      <c r="AQ47" s="37" t="b">
        <v>0</v>
      </c>
      <c r="AR47" s="37">
        <v>8.3590000000000001E-3</v>
      </c>
      <c r="AS47" s="37" t="b">
        <v>1</v>
      </c>
      <c r="AT47" s="37" t="b">
        <v>1</v>
      </c>
      <c r="AU47" s="37" t="s">
        <v>482</v>
      </c>
      <c r="AV47" s="29">
        <v>0</v>
      </c>
      <c r="AW47" s="35">
        <v>100</v>
      </c>
      <c r="AX47" s="29">
        <v>25</v>
      </c>
      <c r="AY47" t="str">
        <f>IFERROR(HYPERLINK("#Technical!A"&amp;MATCH(B47,Technical!A:A,0),"Open Technical"),HYPERLINK("#Technical!A1","Open Technical"))</f>
        <v>Open Technical</v>
      </c>
    </row>
    <row r="48" spans="1:52" ht="30" customHeight="1" x14ac:dyDescent="0.25">
      <c r="A48" s="28" t="s">
        <v>475</v>
      </c>
      <c r="B48" s="33" t="s">
        <v>570</v>
      </c>
      <c r="C48" s="35">
        <v>200</v>
      </c>
      <c r="D48" s="28" t="s">
        <v>477</v>
      </c>
      <c r="E48" s="28">
        <v>7.4999999999999997E-2</v>
      </c>
      <c r="F48" s="28" t="s">
        <v>571</v>
      </c>
      <c r="G48" s="28" t="s">
        <v>572</v>
      </c>
      <c r="H48" s="28">
        <v>603</v>
      </c>
      <c r="I48" s="49"/>
      <c r="J48" s="28" t="s">
        <v>478</v>
      </c>
      <c r="K48" s="28" t="s">
        <v>479</v>
      </c>
      <c r="L48" s="28" t="s">
        <v>484</v>
      </c>
      <c r="M48" s="28">
        <v>57</v>
      </c>
      <c r="N48" s="28">
        <v>376</v>
      </c>
      <c r="O48" s="28" t="s">
        <v>159</v>
      </c>
      <c r="P48" s="28" t="b">
        <v>0</v>
      </c>
      <c r="Q48" s="28"/>
      <c r="R48" s="28">
        <v>0</v>
      </c>
      <c r="S48" s="28"/>
      <c r="T48" s="28">
        <v>0</v>
      </c>
      <c r="U48" s="28"/>
      <c r="V48" s="28">
        <v>0</v>
      </c>
      <c r="W48" s="28"/>
      <c r="X48" s="28">
        <v>0</v>
      </c>
      <c r="Y48" s="28"/>
      <c r="Z48" s="28">
        <v>0</v>
      </c>
      <c r="AA48" s="28"/>
      <c r="AB48" s="28">
        <v>0</v>
      </c>
      <c r="AC48" s="28">
        <v>8.9429999999999996</v>
      </c>
      <c r="AD48" s="28">
        <v>0.54</v>
      </c>
      <c r="AE48" s="28" t="s">
        <v>481</v>
      </c>
      <c r="AF48" s="28">
        <v>100</v>
      </c>
      <c r="AG48" s="28">
        <v>27</v>
      </c>
      <c r="AH48" s="28">
        <v>12</v>
      </c>
      <c r="AI48" s="28">
        <v>8.9429999999999996</v>
      </c>
      <c r="AJ48" s="28">
        <v>0.54</v>
      </c>
      <c r="AK48" s="28">
        <v>0.02</v>
      </c>
      <c r="AL48" s="28">
        <v>0</v>
      </c>
      <c r="AM48" s="28">
        <v>0</v>
      </c>
      <c r="AN48" s="28">
        <v>0</v>
      </c>
      <c r="AO48" s="28">
        <v>0</v>
      </c>
      <c r="AP48" s="28">
        <v>3</v>
      </c>
      <c r="AQ48" s="28" t="b">
        <v>0</v>
      </c>
      <c r="AR48" s="28">
        <v>2.3259999999999999E-3</v>
      </c>
      <c r="AS48" s="28" t="b">
        <v>1</v>
      </c>
      <c r="AT48" s="28" t="b">
        <v>1</v>
      </c>
      <c r="AU48" s="28" t="s">
        <v>482</v>
      </c>
      <c r="AV48" s="29">
        <v>0</v>
      </c>
      <c r="AW48" s="35">
        <v>100</v>
      </c>
      <c r="AX48" s="29">
        <v>25</v>
      </c>
      <c r="AY48" s="34" t="str">
        <f>IFERROR(HYPERLINK("#Technical!A"&amp;MATCH(B48,Technical!A:A,0),"Open Technical"),HYPERLINK("#Technical!A1","Open Technical"))</f>
        <v>Open Technical</v>
      </c>
      <c r="AZ48" s="34"/>
    </row>
    <row r="49" spans="1:52" ht="30" customHeight="1" x14ac:dyDescent="0.25">
      <c r="A49" s="37" t="s">
        <v>475</v>
      </c>
      <c r="B49" s="30" t="s">
        <v>573</v>
      </c>
      <c r="C49" s="35">
        <v>200</v>
      </c>
      <c r="D49" s="37" t="s">
        <v>477</v>
      </c>
      <c r="E49" s="37">
        <v>7.3999999999999996E-2</v>
      </c>
      <c r="F49" s="37" t="s">
        <v>574</v>
      </c>
      <c r="G49" s="37" t="s">
        <v>575</v>
      </c>
      <c r="H49" s="37">
        <v>1159</v>
      </c>
      <c r="I49" s="50"/>
      <c r="J49" s="37" t="s">
        <v>478</v>
      </c>
      <c r="K49" s="37" t="s">
        <v>479</v>
      </c>
      <c r="L49" s="37" t="s">
        <v>484</v>
      </c>
      <c r="M49" s="37">
        <v>49</v>
      </c>
      <c r="N49" s="37">
        <v>156</v>
      </c>
      <c r="O49" s="37" t="s">
        <v>576</v>
      </c>
      <c r="P49" s="37" t="b">
        <v>0</v>
      </c>
      <c r="Q49" s="37"/>
      <c r="R49" s="37">
        <v>0</v>
      </c>
      <c r="S49" s="37"/>
      <c r="T49" s="37">
        <v>0</v>
      </c>
      <c r="U49" s="37"/>
      <c r="V49" s="37">
        <v>0</v>
      </c>
      <c r="W49" s="37"/>
      <c r="X49" s="37">
        <v>0</v>
      </c>
      <c r="Y49" s="37"/>
      <c r="Z49" s="37">
        <v>0</v>
      </c>
      <c r="AA49" s="37"/>
      <c r="AB49" s="37">
        <v>0</v>
      </c>
      <c r="AC49" s="37">
        <v>9.2100000000000009</v>
      </c>
      <c r="AD49" s="37">
        <v>1E-3</v>
      </c>
      <c r="AE49" s="37" t="s">
        <v>481</v>
      </c>
      <c r="AF49" s="37">
        <v>100</v>
      </c>
      <c r="AG49" s="37">
        <v>49</v>
      </c>
      <c r="AH49" s="37">
        <v>26</v>
      </c>
      <c r="AI49" s="37">
        <v>9.2100000000000009</v>
      </c>
      <c r="AJ49" s="37">
        <v>1E-3</v>
      </c>
      <c r="AK49" s="37">
        <v>8.0000000000000002E-3</v>
      </c>
      <c r="AL49" s="37">
        <v>0</v>
      </c>
      <c r="AM49" s="37">
        <v>0</v>
      </c>
      <c r="AN49" s="37">
        <v>0</v>
      </c>
      <c r="AO49" s="37">
        <v>0</v>
      </c>
      <c r="AP49" s="37">
        <v>2</v>
      </c>
      <c r="AQ49" s="37" t="b">
        <v>0</v>
      </c>
      <c r="AR49" s="37">
        <v>5.0340000000000003E-3</v>
      </c>
      <c r="AS49" s="37" t="b">
        <v>1</v>
      </c>
      <c r="AT49" s="37" t="b">
        <v>1</v>
      </c>
      <c r="AU49" s="37" t="s">
        <v>482</v>
      </c>
      <c r="AV49" s="29">
        <v>0</v>
      </c>
      <c r="AW49" s="35">
        <v>100</v>
      </c>
      <c r="AX49" s="29">
        <v>25</v>
      </c>
      <c r="AY49" t="str">
        <f>IFERROR(HYPERLINK("#Technical!A"&amp;MATCH(B49,Technical!A:A,0),"Open Technical"),HYPERLINK("#Technical!A1","Open Technical"))</f>
        <v>Open Technical</v>
      </c>
    </row>
    <row r="50" spans="1:52" ht="30" customHeight="1" x14ac:dyDescent="0.25">
      <c r="A50" s="28" t="s">
        <v>475</v>
      </c>
      <c r="B50" s="33" t="s">
        <v>577</v>
      </c>
      <c r="C50" s="35">
        <v>200</v>
      </c>
      <c r="D50" s="28" t="s">
        <v>477</v>
      </c>
      <c r="E50" s="28">
        <v>7.2999999999999995E-2</v>
      </c>
      <c r="F50" s="28" t="s">
        <v>578</v>
      </c>
      <c r="G50" s="28" t="s">
        <v>575</v>
      </c>
      <c r="H50" s="28">
        <v>1160</v>
      </c>
      <c r="I50" s="49"/>
      <c r="J50" s="28" t="s">
        <v>478</v>
      </c>
      <c r="K50" s="28" t="s">
        <v>479</v>
      </c>
      <c r="L50" s="28" t="s">
        <v>484</v>
      </c>
      <c r="M50" s="28">
        <v>51</v>
      </c>
      <c r="N50" s="28">
        <v>156</v>
      </c>
      <c r="O50" s="28" t="s">
        <v>576</v>
      </c>
      <c r="P50" s="28" t="b">
        <v>0</v>
      </c>
      <c r="Q50" s="28"/>
      <c r="R50" s="28">
        <v>0</v>
      </c>
      <c r="S50" s="28"/>
      <c r="T50" s="28">
        <v>0</v>
      </c>
      <c r="U50" s="28"/>
      <c r="V50" s="28">
        <v>0</v>
      </c>
      <c r="W50" s="28"/>
      <c r="X50" s="28">
        <v>0</v>
      </c>
      <c r="Y50" s="28"/>
      <c r="Z50" s="28">
        <v>0</v>
      </c>
      <c r="AA50" s="28"/>
      <c r="AB50" s="28">
        <v>0</v>
      </c>
      <c r="AC50" s="28">
        <v>10.68</v>
      </c>
      <c r="AD50" s="28">
        <v>1E-3</v>
      </c>
      <c r="AE50" s="28" t="s">
        <v>481</v>
      </c>
      <c r="AF50" s="28">
        <v>100</v>
      </c>
      <c r="AG50" s="28">
        <v>40</v>
      </c>
      <c r="AH50" s="28">
        <v>39</v>
      </c>
      <c r="AI50" s="28">
        <v>10.68</v>
      </c>
      <c r="AJ50" s="28">
        <v>1E-3</v>
      </c>
      <c r="AK50" s="28">
        <v>0.17100000000000001</v>
      </c>
      <c r="AL50" s="28">
        <v>0</v>
      </c>
      <c r="AM50" s="28">
        <v>0</v>
      </c>
      <c r="AN50" s="28">
        <v>0</v>
      </c>
      <c r="AO50" s="28">
        <v>0</v>
      </c>
      <c r="AP50" s="28"/>
      <c r="AQ50" s="28" t="b">
        <v>1</v>
      </c>
      <c r="AR50" s="28">
        <v>1.861E-3</v>
      </c>
      <c r="AS50" s="28" t="b">
        <v>1</v>
      </c>
      <c r="AT50" s="28" t="b">
        <v>1</v>
      </c>
      <c r="AU50" s="28" t="s">
        <v>482</v>
      </c>
      <c r="AV50" s="29">
        <v>0</v>
      </c>
      <c r="AW50" s="35">
        <v>100</v>
      </c>
      <c r="AX50" s="29">
        <v>25</v>
      </c>
      <c r="AY50" s="34" t="str">
        <f>IFERROR(HYPERLINK("#Technical!A"&amp;MATCH(B50,Technical!A:A,0),"Open Technical"),HYPERLINK("#Technical!A1","Open Technical"))</f>
        <v>Open Technical</v>
      </c>
      <c r="AZ50" s="34"/>
    </row>
    <row r="51" spans="1:52" ht="30" customHeight="1" x14ac:dyDescent="0.25">
      <c r="A51" s="37" t="s">
        <v>475</v>
      </c>
      <c r="B51" s="30" t="s">
        <v>579</v>
      </c>
      <c r="C51" s="35">
        <v>200</v>
      </c>
      <c r="D51" s="37" t="s">
        <v>477</v>
      </c>
      <c r="E51" s="37">
        <v>0.17199999999999999</v>
      </c>
      <c r="F51" s="37" t="s">
        <v>580</v>
      </c>
      <c r="G51" s="37" t="s">
        <v>581</v>
      </c>
      <c r="H51" s="37">
        <v>1168</v>
      </c>
      <c r="I51" s="50"/>
      <c r="J51" s="37" t="s">
        <v>478</v>
      </c>
      <c r="K51" s="37" t="s">
        <v>479</v>
      </c>
      <c r="L51" s="37" t="s">
        <v>484</v>
      </c>
      <c r="M51" s="37">
        <v>50</v>
      </c>
      <c r="N51" s="37">
        <v>526</v>
      </c>
      <c r="O51" s="37" t="s">
        <v>133</v>
      </c>
      <c r="P51" s="37" t="b">
        <v>0</v>
      </c>
      <c r="Q51" s="37"/>
      <c r="R51" s="37">
        <v>0</v>
      </c>
      <c r="S51" s="37"/>
      <c r="T51" s="37">
        <v>0</v>
      </c>
      <c r="U51" s="37"/>
      <c r="V51" s="37">
        <v>0</v>
      </c>
      <c r="W51" s="37"/>
      <c r="X51" s="37">
        <v>0</v>
      </c>
      <c r="Y51" s="37"/>
      <c r="Z51" s="37">
        <v>0</v>
      </c>
      <c r="AA51" s="37"/>
      <c r="AB51" s="37">
        <v>0</v>
      </c>
      <c r="AC51" s="37">
        <v>8.2409999999999997</v>
      </c>
      <c r="AD51" s="37">
        <v>1E-3</v>
      </c>
      <c r="AE51" s="37" t="s">
        <v>481</v>
      </c>
      <c r="AF51" s="37">
        <v>100</v>
      </c>
      <c r="AG51" s="37">
        <v>51</v>
      </c>
      <c r="AH51" s="37">
        <v>40</v>
      </c>
      <c r="AI51" s="37">
        <v>8.2409999999999997</v>
      </c>
      <c r="AJ51" s="37">
        <v>1E-3</v>
      </c>
      <c r="AK51" s="37">
        <v>0.23400000000000001</v>
      </c>
      <c r="AL51" s="37">
        <v>0</v>
      </c>
      <c r="AM51" s="37">
        <v>0</v>
      </c>
      <c r="AN51" s="37">
        <v>0</v>
      </c>
      <c r="AO51" s="37">
        <v>0</v>
      </c>
      <c r="AP51" s="37"/>
      <c r="AQ51" s="37" t="b">
        <v>1</v>
      </c>
      <c r="AR51" s="37">
        <v>1.861E-3</v>
      </c>
      <c r="AS51" s="37" t="b">
        <v>1</v>
      </c>
      <c r="AT51" s="37" t="b">
        <v>1</v>
      </c>
      <c r="AU51" s="37" t="s">
        <v>482</v>
      </c>
      <c r="AV51" s="29">
        <v>0</v>
      </c>
      <c r="AW51" s="35">
        <v>100</v>
      </c>
      <c r="AX51" s="29">
        <v>25</v>
      </c>
      <c r="AY51" t="str">
        <f>IFERROR(HYPERLINK("#Technical!A"&amp;MATCH(B51,Technical!A:A,0),"Open Technical"),HYPERLINK("#Technical!A1","Open Technical"))</f>
        <v>Open Technical</v>
      </c>
    </row>
    <row r="52" spans="1:52" ht="30" customHeight="1" x14ac:dyDescent="0.25">
      <c r="A52" s="28" t="s">
        <v>475</v>
      </c>
      <c r="B52" s="33" t="s">
        <v>582</v>
      </c>
      <c r="C52" s="35">
        <v>200</v>
      </c>
      <c r="D52" s="28" t="s">
        <v>477</v>
      </c>
      <c r="E52" s="28">
        <v>0.05</v>
      </c>
      <c r="F52" s="28" t="s">
        <v>583</v>
      </c>
      <c r="G52" s="28" t="s">
        <v>584</v>
      </c>
      <c r="H52" s="28">
        <v>901</v>
      </c>
      <c r="I52" s="49"/>
      <c r="J52" s="28" t="s">
        <v>478</v>
      </c>
      <c r="K52" s="28" t="s">
        <v>479</v>
      </c>
      <c r="L52" s="28" t="s">
        <v>484</v>
      </c>
      <c r="M52" s="28">
        <v>74</v>
      </c>
      <c r="N52" s="28">
        <v>400</v>
      </c>
      <c r="O52" s="28" t="s">
        <v>133</v>
      </c>
      <c r="P52" s="28" t="b">
        <v>0</v>
      </c>
      <c r="Q52" s="28"/>
      <c r="R52" s="28">
        <v>0</v>
      </c>
      <c r="S52" s="28"/>
      <c r="T52" s="28">
        <v>0</v>
      </c>
      <c r="U52" s="28"/>
      <c r="V52" s="28">
        <v>0</v>
      </c>
      <c r="W52" s="28"/>
      <c r="X52" s="28">
        <v>0</v>
      </c>
      <c r="Y52" s="28"/>
      <c r="Z52" s="28">
        <v>0</v>
      </c>
      <c r="AA52" s="28"/>
      <c r="AB52" s="28">
        <v>0</v>
      </c>
      <c r="AC52" s="28">
        <v>7.1580000000000004</v>
      </c>
      <c r="AD52" s="28">
        <v>1E-3</v>
      </c>
      <c r="AE52" s="28" t="s">
        <v>481</v>
      </c>
      <c r="AF52" s="28">
        <v>100</v>
      </c>
      <c r="AG52" s="28">
        <v>50</v>
      </c>
      <c r="AH52" s="28">
        <v>30</v>
      </c>
      <c r="AI52" s="28">
        <v>7.1580000000000004</v>
      </c>
      <c r="AJ52" s="28">
        <v>1E-3</v>
      </c>
      <c r="AK52" s="28">
        <v>0.17399999999999999</v>
      </c>
      <c r="AL52" s="28">
        <v>0</v>
      </c>
      <c r="AM52" s="28">
        <v>0</v>
      </c>
      <c r="AN52" s="28">
        <v>0</v>
      </c>
      <c r="AO52" s="28">
        <v>0</v>
      </c>
      <c r="AP52" s="28">
        <v>1</v>
      </c>
      <c r="AQ52" s="28" t="b">
        <v>0</v>
      </c>
      <c r="AR52" s="28">
        <v>5.8172000000000001E-2</v>
      </c>
      <c r="AS52" s="28" t="b">
        <v>1</v>
      </c>
      <c r="AT52" s="28" t="b">
        <v>1</v>
      </c>
      <c r="AU52" s="28" t="s">
        <v>482</v>
      </c>
      <c r="AV52" s="29">
        <v>0</v>
      </c>
      <c r="AW52" s="32">
        <v>70</v>
      </c>
      <c r="AX52" s="29">
        <v>17.5</v>
      </c>
      <c r="AY52" s="34" t="str">
        <f>IFERROR(HYPERLINK("#Technical!A"&amp;MATCH(B52,Technical!A:A,0),"Open Technical"),HYPERLINK("#Technical!A1","Open Technical"))</f>
        <v>Open Technical</v>
      </c>
      <c r="AZ52" s="34"/>
    </row>
    <row r="53" spans="1:52" ht="30" customHeight="1" x14ac:dyDescent="0.25">
      <c r="A53" s="37" t="s">
        <v>475</v>
      </c>
      <c r="B53" s="30" t="s">
        <v>585</v>
      </c>
      <c r="C53" s="35">
        <v>200</v>
      </c>
      <c r="D53" s="37" t="s">
        <v>477</v>
      </c>
      <c r="E53" s="37">
        <v>3.6999999999999998E-2</v>
      </c>
      <c r="F53" s="37" t="s">
        <v>586</v>
      </c>
      <c r="G53" s="37" t="s">
        <v>587</v>
      </c>
      <c r="H53" s="37">
        <v>401</v>
      </c>
      <c r="I53" s="50"/>
      <c r="J53" s="37" t="s">
        <v>478</v>
      </c>
      <c r="K53" s="37" t="s">
        <v>479</v>
      </c>
      <c r="L53" s="37" t="s">
        <v>484</v>
      </c>
      <c r="M53" s="37">
        <v>63</v>
      </c>
      <c r="N53" s="37">
        <v>134</v>
      </c>
      <c r="O53" s="37" t="s">
        <v>133</v>
      </c>
      <c r="P53" s="37" t="b">
        <v>0</v>
      </c>
      <c r="Q53" s="37"/>
      <c r="R53" s="37">
        <v>0</v>
      </c>
      <c r="S53" s="37"/>
      <c r="T53" s="37">
        <v>0</v>
      </c>
      <c r="U53" s="37"/>
      <c r="V53" s="37">
        <v>0</v>
      </c>
      <c r="W53" s="37"/>
      <c r="X53" s="37">
        <v>0</v>
      </c>
      <c r="Y53" s="37"/>
      <c r="Z53" s="37">
        <v>0</v>
      </c>
      <c r="AA53" s="37"/>
      <c r="AB53" s="37">
        <v>0</v>
      </c>
      <c r="AC53" s="37">
        <v>7.26</v>
      </c>
      <c r="AD53" s="37">
        <v>1E-3</v>
      </c>
      <c r="AE53" s="37" t="s">
        <v>481</v>
      </c>
      <c r="AF53" s="37">
        <v>50</v>
      </c>
      <c r="AG53" s="37">
        <v>53</v>
      </c>
      <c r="AH53" s="37">
        <v>44</v>
      </c>
      <c r="AI53" s="37">
        <v>7.26</v>
      </c>
      <c r="AJ53" s="37">
        <v>1E-3</v>
      </c>
      <c r="AK53" s="37">
        <v>6.0000000000000001E-3</v>
      </c>
      <c r="AL53" s="37">
        <v>0</v>
      </c>
      <c r="AM53" s="37">
        <v>0</v>
      </c>
      <c r="AN53" s="37">
        <v>0</v>
      </c>
      <c r="AO53" s="37">
        <v>0</v>
      </c>
      <c r="AP53" s="37">
        <v>1</v>
      </c>
      <c r="AQ53" s="37" t="b">
        <v>0</v>
      </c>
      <c r="AR53" s="37">
        <v>5.8172000000000001E-2</v>
      </c>
      <c r="AS53" s="37" t="b">
        <v>1</v>
      </c>
      <c r="AT53" s="37" t="b">
        <v>1</v>
      </c>
      <c r="AU53" s="37" t="s">
        <v>482</v>
      </c>
      <c r="AV53" s="29">
        <v>0</v>
      </c>
      <c r="AW53" s="35">
        <v>100</v>
      </c>
      <c r="AX53" s="29">
        <v>25</v>
      </c>
      <c r="AY53" t="str">
        <f>IFERROR(HYPERLINK("#Technical!A"&amp;MATCH(B53,Technical!A:A,0),"Open Technical"),HYPERLINK("#Technical!A1","Open Technical"))</f>
        <v>Open Technical</v>
      </c>
    </row>
    <row r="54" spans="1:52" ht="30" customHeight="1" x14ac:dyDescent="0.25">
      <c r="A54" s="28" t="s">
        <v>475</v>
      </c>
      <c r="B54" s="33" t="s">
        <v>588</v>
      </c>
      <c r="C54" s="35">
        <v>200</v>
      </c>
      <c r="D54" s="28" t="s">
        <v>477</v>
      </c>
      <c r="E54" s="28">
        <v>8.5000000000000006E-2</v>
      </c>
      <c r="F54" s="28" t="s">
        <v>589</v>
      </c>
      <c r="G54" s="28" t="s">
        <v>590</v>
      </c>
      <c r="H54" s="28">
        <v>68</v>
      </c>
      <c r="I54" s="49"/>
      <c r="J54" s="28" t="s">
        <v>478</v>
      </c>
      <c r="K54" s="28" t="s">
        <v>479</v>
      </c>
      <c r="L54" s="28" t="s">
        <v>484</v>
      </c>
      <c r="M54" s="28">
        <v>82</v>
      </c>
      <c r="N54" s="28">
        <v>210</v>
      </c>
      <c r="O54" s="28" t="s">
        <v>133</v>
      </c>
      <c r="P54" s="28" t="b">
        <v>0</v>
      </c>
      <c r="Q54" s="28"/>
      <c r="R54" s="28">
        <v>0</v>
      </c>
      <c r="S54" s="28"/>
      <c r="T54" s="28">
        <v>0</v>
      </c>
      <c r="U54" s="28"/>
      <c r="V54" s="28">
        <v>0</v>
      </c>
      <c r="W54" s="28"/>
      <c r="X54" s="28">
        <v>0</v>
      </c>
      <c r="Y54" s="28"/>
      <c r="Z54" s="28">
        <v>0</v>
      </c>
      <c r="AA54" s="28"/>
      <c r="AB54" s="28">
        <v>0</v>
      </c>
      <c r="AC54" s="28">
        <v>14.959</v>
      </c>
      <c r="AD54" s="28">
        <v>1E-3</v>
      </c>
      <c r="AE54" s="28" t="s">
        <v>481</v>
      </c>
      <c r="AF54" s="28">
        <v>30</v>
      </c>
      <c r="AG54" s="28">
        <v>51</v>
      </c>
      <c r="AH54" s="28">
        <v>45</v>
      </c>
      <c r="AI54" s="28">
        <v>14.959</v>
      </c>
      <c r="AJ54" s="28">
        <v>1E-3</v>
      </c>
      <c r="AK54" s="28">
        <v>0.17</v>
      </c>
      <c r="AL54" s="28">
        <v>0</v>
      </c>
      <c r="AM54" s="28">
        <v>0</v>
      </c>
      <c r="AN54" s="28">
        <v>0</v>
      </c>
      <c r="AO54" s="28">
        <v>0</v>
      </c>
      <c r="AP54" s="28"/>
      <c r="AQ54" s="28" t="b">
        <v>1</v>
      </c>
      <c r="AR54" s="28">
        <v>1.861E-3</v>
      </c>
      <c r="AS54" s="28" t="b">
        <v>1</v>
      </c>
      <c r="AT54" s="28" t="b">
        <v>1</v>
      </c>
      <c r="AU54" s="28" t="s">
        <v>482</v>
      </c>
      <c r="AV54" s="29">
        <v>0</v>
      </c>
      <c r="AW54" s="32">
        <v>75</v>
      </c>
      <c r="AX54" s="29">
        <v>18.75</v>
      </c>
      <c r="AY54" s="34" t="str">
        <f>IFERROR(HYPERLINK("#Technical!A"&amp;MATCH(B54,Technical!A:A,0),"Open Technical"),HYPERLINK("#Technical!A1","Open Technical"))</f>
        <v>Open Technical</v>
      </c>
      <c r="AZ54" s="34"/>
    </row>
    <row r="55" spans="1:52" ht="30" customHeight="1" x14ac:dyDescent="0.25">
      <c r="A55" s="37" t="s">
        <v>475</v>
      </c>
      <c r="B55" s="30" t="s">
        <v>591</v>
      </c>
      <c r="C55" s="35">
        <v>200</v>
      </c>
      <c r="D55" s="37" t="s">
        <v>477</v>
      </c>
      <c r="E55" s="37">
        <v>4.2999999999999997E-2</v>
      </c>
      <c r="F55" s="37" t="s">
        <v>592</v>
      </c>
      <c r="G55" s="37" t="s">
        <v>593</v>
      </c>
      <c r="H55" s="37">
        <v>66</v>
      </c>
      <c r="I55" s="50"/>
      <c r="J55" s="37" t="s">
        <v>478</v>
      </c>
      <c r="K55" s="37" t="s">
        <v>479</v>
      </c>
      <c r="L55" s="37" t="s">
        <v>484</v>
      </c>
      <c r="M55" s="37">
        <v>75</v>
      </c>
      <c r="N55" s="37">
        <v>193</v>
      </c>
      <c r="O55" s="37" t="s">
        <v>133</v>
      </c>
      <c r="P55" s="37" t="b">
        <v>0</v>
      </c>
      <c r="Q55" s="37"/>
      <c r="R55" s="37">
        <v>0</v>
      </c>
      <c r="S55" s="37"/>
      <c r="T55" s="37">
        <v>0</v>
      </c>
      <c r="U55" s="37"/>
      <c r="V55" s="37">
        <v>0</v>
      </c>
      <c r="W55" s="37"/>
      <c r="X55" s="37">
        <v>0</v>
      </c>
      <c r="Y55" s="37"/>
      <c r="Z55" s="37">
        <v>0</v>
      </c>
      <c r="AA55" s="37"/>
      <c r="AB55" s="37">
        <v>0</v>
      </c>
      <c r="AC55" s="37">
        <v>13.657</v>
      </c>
      <c r="AD55" s="37">
        <v>1E-3</v>
      </c>
      <c r="AE55" s="37" t="s">
        <v>481</v>
      </c>
      <c r="AF55" s="37">
        <v>30</v>
      </c>
      <c r="AG55" s="37">
        <v>44</v>
      </c>
      <c r="AH55" s="37">
        <v>45</v>
      </c>
      <c r="AI55" s="37">
        <v>13.657</v>
      </c>
      <c r="AJ55" s="37">
        <v>1E-3</v>
      </c>
      <c r="AK55" s="37">
        <v>0.17199999999999999</v>
      </c>
      <c r="AL55" s="37">
        <v>0</v>
      </c>
      <c r="AM55" s="37">
        <v>0</v>
      </c>
      <c r="AN55" s="37">
        <v>0</v>
      </c>
      <c r="AO55" s="37">
        <v>0</v>
      </c>
      <c r="AP55" s="37"/>
      <c r="AQ55" s="37" t="b">
        <v>1</v>
      </c>
      <c r="AR55" s="37">
        <v>1.861E-3</v>
      </c>
      <c r="AS55" s="37" t="b">
        <v>1</v>
      </c>
      <c r="AT55" s="37" t="b">
        <v>1</v>
      </c>
      <c r="AU55" s="37" t="s">
        <v>482</v>
      </c>
      <c r="AV55" s="29">
        <v>0</v>
      </c>
      <c r="AW55" s="32">
        <v>75</v>
      </c>
      <c r="AX55" s="29">
        <v>18.75</v>
      </c>
      <c r="AY55" t="str">
        <f>IFERROR(HYPERLINK("#Technical!A"&amp;MATCH(B55,Technical!A:A,0),"Open Technical"),HYPERLINK("#Technical!A1","Open Technical"))</f>
        <v>Open Technical</v>
      </c>
    </row>
    <row r="56" spans="1:52" ht="30" customHeight="1" x14ac:dyDescent="0.25">
      <c r="A56" s="28" t="s">
        <v>475</v>
      </c>
      <c r="B56" s="33" t="s">
        <v>594</v>
      </c>
      <c r="C56" s="35">
        <v>200</v>
      </c>
      <c r="D56" s="28" t="s">
        <v>477</v>
      </c>
      <c r="E56" s="28">
        <v>8.2000000000000003E-2</v>
      </c>
      <c r="F56" s="28" t="s">
        <v>595</v>
      </c>
      <c r="G56" s="28" t="s">
        <v>596</v>
      </c>
      <c r="H56" s="28">
        <v>47</v>
      </c>
      <c r="I56" s="49"/>
      <c r="J56" s="28" t="s">
        <v>478</v>
      </c>
      <c r="K56" s="28" t="s">
        <v>479</v>
      </c>
      <c r="L56" s="28" t="s">
        <v>484</v>
      </c>
      <c r="M56" s="28">
        <v>73</v>
      </c>
      <c r="N56" s="28">
        <v>92</v>
      </c>
      <c r="O56" s="28" t="s">
        <v>133</v>
      </c>
      <c r="P56" s="28" t="b">
        <v>0</v>
      </c>
      <c r="Q56" s="28"/>
      <c r="R56" s="28">
        <v>0</v>
      </c>
      <c r="S56" s="28"/>
      <c r="T56" s="28">
        <v>0</v>
      </c>
      <c r="U56" s="28"/>
      <c r="V56" s="28">
        <v>0</v>
      </c>
      <c r="W56" s="28"/>
      <c r="X56" s="28">
        <v>0</v>
      </c>
      <c r="Y56" s="28"/>
      <c r="Z56" s="28">
        <v>0</v>
      </c>
      <c r="AA56" s="28"/>
      <c r="AB56" s="28">
        <v>0</v>
      </c>
      <c r="AC56" s="28">
        <v>5.6020000000000003</v>
      </c>
      <c r="AD56" s="28">
        <v>2E-3</v>
      </c>
      <c r="AE56" s="28" t="s">
        <v>481</v>
      </c>
      <c r="AF56" s="28">
        <v>30</v>
      </c>
      <c r="AG56" s="28">
        <v>57</v>
      </c>
      <c r="AH56" s="28">
        <v>42</v>
      </c>
      <c r="AI56" s="28">
        <v>5.6020000000000003</v>
      </c>
      <c r="AJ56" s="28">
        <v>2E-3</v>
      </c>
      <c r="AK56" s="28">
        <v>0.20499999999999999</v>
      </c>
      <c r="AL56" s="28">
        <v>0</v>
      </c>
      <c r="AM56" s="28">
        <v>0</v>
      </c>
      <c r="AN56" s="28">
        <v>0</v>
      </c>
      <c r="AO56" s="28">
        <v>0</v>
      </c>
      <c r="AP56" s="28"/>
      <c r="AQ56" s="28" t="b">
        <v>1</v>
      </c>
      <c r="AR56" s="28">
        <v>1.861E-3</v>
      </c>
      <c r="AS56" s="28" t="b">
        <v>1</v>
      </c>
      <c r="AT56" s="28" t="b">
        <v>1</v>
      </c>
      <c r="AU56" s="28" t="s">
        <v>482</v>
      </c>
      <c r="AV56" s="29">
        <v>0</v>
      </c>
      <c r="AW56" s="29">
        <v>45</v>
      </c>
      <c r="AX56" s="29">
        <v>11.25</v>
      </c>
      <c r="AY56" s="34" t="str">
        <f>IFERROR(HYPERLINK("#Technical!A"&amp;MATCH(B56,Technical!A:A,0),"Open Technical"),HYPERLINK("#Technical!A1","Open Technical"))</f>
        <v>Open Technical</v>
      </c>
      <c r="AZ56" s="34"/>
    </row>
    <row r="57" spans="1:52" ht="30" customHeight="1" x14ac:dyDescent="0.25">
      <c r="A57" s="37" t="s">
        <v>475</v>
      </c>
      <c r="B57" s="30" t="s">
        <v>597</v>
      </c>
      <c r="C57" s="35">
        <v>200</v>
      </c>
      <c r="D57" s="37" t="s">
        <v>598</v>
      </c>
      <c r="E57" s="37">
        <v>4.0359999999999996</v>
      </c>
      <c r="F57" s="37" t="s">
        <v>599</v>
      </c>
      <c r="G57" s="37" t="s">
        <v>600</v>
      </c>
      <c r="H57" s="37">
        <v>23</v>
      </c>
      <c r="I57" s="50"/>
      <c r="J57" s="37" t="s">
        <v>478</v>
      </c>
      <c r="K57" s="37" t="s">
        <v>479</v>
      </c>
      <c r="L57" s="37" t="s">
        <v>480</v>
      </c>
      <c r="M57" s="37">
        <v>38</v>
      </c>
      <c r="N57" s="37">
        <v>44</v>
      </c>
      <c r="O57" s="37" t="s">
        <v>133</v>
      </c>
      <c r="P57" s="37" t="b">
        <v>0</v>
      </c>
      <c r="Q57" s="37"/>
      <c r="R57" s="37">
        <v>0</v>
      </c>
      <c r="S57" s="37"/>
      <c r="T57" s="37">
        <v>0</v>
      </c>
      <c r="U57" s="37"/>
      <c r="V57" s="37">
        <v>0</v>
      </c>
      <c r="W57" s="37"/>
      <c r="X57" s="37">
        <v>0</v>
      </c>
      <c r="Y57" s="37"/>
      <c r="Z57" s="37">
        <v>0</v>
      </c>
      <c r="AA57" s="37"/>
      <c r="AB57" s="37">
        <v>0</v>
      </c>
      <c r="AC57" s="37">
        <v>0</v>
      </c>
      <c r="AD57" s="37"/>
      <c r="AE57" s="37" t="s">
        <v>481</v>
      </c>
      <c r="AF57" s="37">
        <v>30</v>
      </c>
      <c r="AG57" s="37">
        <v>0</v>
      </c>
      <c r="AH57" s="37">
        <v>0</v>
      </c>
      <c r="AI57" s="37">
        <v>0</v>
      </c>
      <c r="AJ57" s="37">
        <v>0</v>
      </c>
      <c r="AK57" s="37">
        <v>0</v>
      </c>
      <c r="AL57" s="37">
        <v>0</v>
      </c>
      <c r="AM57" s="37">
        <v>0</v>
      </c>
      <c r="AN57" s="37">
        <v>0</v>
      </c>
      <c r="AO57" s="37">
        <v>0</v>
      </c>
      <c r="AP57" s="37"/>
      <c r="AQ57" s="37" t="b">
        <v>1</v>
      </c>
      <c r="AR57" s="37">
        <v>1.861E-3</v>
      </c>
      <c r="AS57" s="37" t="b">
        <v>1</v>
      </c>
      <c r="AT57" s="37" t="b">
        <v>1</v>
      </c>
      <c r="AU57" s="37" t="s">
        <v>482</v>
      </c>
      <c r="AV57" s="29">
        <v>0</v>
      </c>
      <c r="AW57" s="29">
        <v>45</v>
      </c>
      <c r="AX57" s="29">
        <v>11.25</v>
      </c>
      <c r="AY57" t="str">
        <f>IFERROR(HYPERLINK("#Technical!A"&amp;MATCH(B57,Technical!A:A,0),"Open Technical"),HYPERLINK("#Technical!A1","Open Technical"))</f>
        <v>Open Technical</v>
      </c>
    </row>
    <row r="58" spans="1:52" ht="30" customHeight="1" x14ac:dyDescent="0.25">
      <c r="A58" s="28" t="s">
        <v>475</v>
      </c>
      <c r="B58" s="33" t="s">
        <v>601</v>
      </c>
      <c r="C58" s="35">
        <v>200</v>
      </c>
      <c r="D58" s="28" t="s">
        <v>477</v>
      </c>
      <c r="E58" s="28">
        <v>5.8000000000000003E-2</v>
      </c>
      <c r="F58" s="28" t="s">
        <v>602</v>
      </c>
      <c r="G58" s="28" t="s">
        <v>603</v>
      </c>
      <c r="H58" s="28">
        <v>2215</v>
      </c>
      <c r="I58" s="49"/>
      <c r="J58" s="28" t="s">
        <v>478</v>
      </c>
      <c r="K58" s="28" t="s">
        <v>479</v>
      </c>
      <c r="L58" s="28" t="s">
        <v>484</v>
      </c>
      <c r="M58" s="28">
        <v>31</v>
      </c>
      <c r="N58" s="28">
        <v>160</v>
      </c>
      <c r="O58" s="28" t="s">
        <v>159</v>
      </c>
      <c r="P58" s="28" t="b">
        <v>0</v>
      </c>
      <c r="Q58" s="28"/>
      <c r="R58" s="28">
        <v>0</v>
      </c>
      <c r="S58" s="28"/>
      <c r="T58" s="28">
        <v>0</v>
      </c>
      <c r="U58" s="28"/>
      <c r="V58" s="28">
        <v>0</v>
      </c>
      <c r="W58" s="28"/>
      <c r="X58" s="28">
        <v>0</v>
      </c>
      <c r="Y58" s="28"/>
      <c r="Z58" s="28">
        <v>0</v>
      </c>
      <c r="AA58" s="28"/>
      <c r="AB58" s="28">
        <v>0</v>
      </c>
      <c r="AC58" s="28">
        <v>24.283999999999999</v>
      </c>
      <c r="AD58" s="28">
        <v>6.5000000000000002E-2</v>
      </c>
      <c r="AE58" s="28" t="s">
        <v>481</v>
      </c>
      <c r="AF58" s="28">
        <v>40</v>
      </c>
      <c r="AG58" s="28">
        <v>37</v>
      </c>
      <c r="AH58" s="28">
        <v>37</v>
      </c>
      <c r="AI58" s="28">
        <v>24.283999999999999</v>
      </c>
      <c r="AJ58" s="28">
        <v>6.5000000000000002E-2</v>
      </c>
      <c r="AK58" s="28">
        <v>0.17299999999999999</v>
      </c>
      <c r="AL58" s="28">
        <v>0</v>
      </c>
      <c r="AM58" s="28">
        <v>0</v>
      </c>
      <c r="AN58" s="28">
        <v>0</v>
      </c>
      <c r="AO58" s="28">
        <v>0</v>
      </c>
      <c r="AP58" s="28">
        <v>2</v>
      </c>
      <c r="AQ58" s="28" t="b">
        <v>0</v>
      </c>
      <c r="AR58" s="28">
        <v>8.3590000000000001E-3</v>
      </c>
      <c r="AS58" s="28" t="b">
        <v>1</v>
      </c>
      <c r="AT58" s="28" t="b">
        <v>1</v>
      </c>
      <c r="AU58" s="28" t="s">
        <v>482</v>
      </c>
      <c r="AV58" s="29">
        <v>0</v>
      </c>
      <c r="AW58" s="35">
        <v>100</v>
      </c>
      <c r="AX58" s="29">
        <v>25</v>
      </c>
      <c r="AY58" s="34" t="str">
        <f>IFERROR(HYPERLINK("#Technical!A"&amp;MATCH(B58,Technical!A:A,0),"Open Technical"),HYPERLINK("#Technical!A1","Open Technical"))</f>
        <v>Open Technical</v>
      </c>
      <c r="AZ58" s="34"/>
    </row>
    <row r="59" spans="1:52" ht="30" customHeight="1" x14ac:dyDescent="0.25">
      <c r="A59" s="37" t="s">
        <v>475</v>
      </c>
      <c r="B59" s="30" t="s">
        <v>604</v>
      </c>
      <c r="C59" s="35">
        <v>200</v>
      </c>
      <c r="D59" s="37" t="s">
        <v>477</v>
      </c>
      <c r="E59" s="37">
        <v>8.5000000000000006E-2</v>
      </c>
      <c r="F59" s="37" t="s">
        <v>605</v>
      </c>
      <c r="G59" s="37" t="s">
        <v>606</v>
      </c>
      <c r="H59" s="37">
        <v>868</v>
      </c>
      <c r="I59" s="50"/>
      <c r="J59" s="37" t="s">
        <v>478</v>
      </c>
      <c r="K59" s="37" t="s">
        <v>479</v>
      </c>
      <c r="L59" s="37" t="s">
        <v>484</v>
      </c>
      <c r="M59" s="37">
        <v>63</v>
      </c>
      <c r="N59" s="37">
        <v>800</v>
      </c>
      <c r="O59" s="37" t="s">
        <v>607</v>
      </c>
      <c r="P59" s="37" t="b">
        <v>0</v>
      </c>
      <c r="Q59" s="37"/>
      <c r="R59" s="37">
        <v>0</v>
      </c>
      <c r="S59" s="37"/>
      <c r="T59" s="37">
        <v>0</v>
      </c>
      <c r="U59" s="37"/>
      <c r="V59" s="37">
        <v>0</v>
      </c>
      <c r="W59" s="37"/>
      <c r="X59" s="37">
        <v>0</v>
      </c>
      <c r="Y59" s="37"/>
      <c r="Z59" s="37">
        <v>0</v>
      </c>
      <c r="AA59" s="37"/>
      <c r="AB59" s="37">
        <v>0</v>
      </c>
      <c r="AC59" s="37">
        <v>11.528</v>
      </c>
      <c r="AD59" s="37">
        <v>2.3E-2</v>
      </c>
      <c r="AE59" s="37" t="s">
        <v>481</v>
      </c>
      <c r="AF59" s="37">
        <v>100</v>
      </c>
      <c r="AG59" s="37">
        <v>46</v>
      </c>
      <c r="AH59" s="37">
        <v>29</v>
      </c>
      <c r="AI59" s="37">
        <v>11.528</v>
      </c>
      <c r="AJ59" s="37">
        <v>2.3E-2</v>
      </c>
      <c r="AK59" s="37">
        <v>0.17299999999999999</v>
      </c>
      <c r="AL59" s="37">
        <v>0</v>
      </c>
      <c r="AM59" s="37">
        <v>0</v>
      </c>
      <c r="AN59" s="37">
        <v>0</v>
      </c>
      <c r="AO59" s="37">
        <v>0</v>
      </c>
      <c r="AP59" s="37"/>
      <c r="AQ59" s="37" t="b">
        <v>1</v>
      </c>
      <c r="AR59" s="37">
        <v>1.861E-3</v>
      </c>
      <c r="AS59" s="37" t="b">
        <v>1</v>
      </c>
      <c r="AT59" s="37" t="b">
        <v>1</v>
      </c>
      <c r="AU59" s="37" t="s">
        <v>482</v>
      </c>
      <c r="AV59" s="29">
        <v>0</v>
      </c>
      <c r="AW59" s="35">
        <v>100</v>
      </c>
      <c r="AX59" s="29">
        <v>25</v>
      </c>
      <c r="AY59" t="str">
        <f>IFERROR(HYPERLINK("#Technical!A"&amp;MATCH(B59,Technical!A:A,0),"Open Technical"),HYPERLINK("#Technical!A1","Open Technical"))</f>
        <v>Open Technical</v>
      </c>
    </row>
    <row r="60" spans="1:52" ht="30" customHeight="1" x14ac:dyDescent="0.25">
      <c r="A60" s="28" t="s">
        <v>475</v>
      </c>
      <c r="B60" s="33" t="s">
        <v>608</v>
      </c>
      <c r="C60" s="35">
        <v>200</v>
      </c>
      <c r="D60" s="28" t="s">
        <v>477</v>
      </c>
      <c r="E60" s="28">
        <v>7.5999999999999998E-2</v>
      </c>
      <c r="F60" s="28" t="s">
        <v>609</v>
      </c>
      <c r="G60" s="28" t="s">
        <v>610</v>
      </c>
      <c r="H60" s="28">
        <v>452</v>
      </c>
      <c r="I60" s="49"/>
      <c r="J60" s="28" t="s">
        <v>478</v>
      </c>
      <c r="K60" s="28" t="s">
        <v>479</v>
      </c>
      <c r="L60" s="28" t="s">
        <v>484</v>
      </c>
      <c r="M60" s="28">
        <v>44</v>
      </c>
      <c r="N60" s="28">
        <v>79</v>
      </c>
      <c r="O60" s="28" t="s">
        <v>133</v>
      </c>
      <c r="P60" s="28" t="b">
        <v>0</v>
      </c>
      <c r="Q60" s="28"/>
      <c r="R60" s="28">
        <v>0</v>
      </c>
      <c r="S60" s="28"/>
      <c r="T60" s="28">
        <v>0</v>
      </c>
      <c r="U60" s="28"/>
      <c r="V60" s="28">
        <v>0</v>
      </c>
      <c r="W60" s="28"/>
      <c r="X60" s="28">
        <v>0</v>
      </c>
      <c r="Y60" s="28"/>
      <c r="Z60" s="28">
        <v>0</v>
      </c>
      <c r="AA60" s="28"/>
      <c r="AB60" s="28">
        <v>0</v>
      </c>
      <c r="AC60" s="28">
        <v>5.407</v>
      </c>
      <c r="AD60" s="28">
        <v>3.0000000000000001E-3</v>
      </c>
      <c r="AE60" s="28" t="s">
        <v>481</v>
      </c>
      <c r="AF60" s="28">
        <v>100</v>
      </c>
      <c r="AG60" s="28">
        <v>61</v>
      </c>
      <c r="AH60" s="28">
        <v>36</v>
      </c>
      <c r="AI60" s="28">
        <v>5.407</v>
      </c>
      <c r="AJ60" s="28">
        <v>3.0000000000000001E-3</v>
      </c>
      <c r="AK60" s="28">
        <v>0.59499999999999997</v>
      </c>
      <c r="AL60" s="28">
        <v>0</v>
      </c>
      <c r="AM60" s="28">
        <v>0</v>
      </c>
      <c r="AN60" s="28">
        <v>0</v>
      </c>
      <c r="AO60" s="28">
        <v>0</v>
      </c>
      <c r="AP60" s="28">
        <v>1</v>
      </c>
      <c r="AQ60" s="28" t="b">
        <v>0</v>
      </c>
      <c r="AR60" s="28">
        <v>5.8172000000000001E-2</v>
      </c>
      <c r="AS60" s="28" t="b">
        <v>1</v>
      </c>
      <c r="AT60" s="28" t="b">
        <v>1</v>
      </c>
      <c r="AU60" s="28" t="s">
        <v>482</v>
      </c>
      <c r="AV60" s="29">
        <v>0</v>
      </c>
      <c r="AW60" s="35">
        <v>100</v>
      </c>
      <c r="AX60" s="29">
        <v>25</v>
      </c>
      <c r="AY60" s="34" t="str">
        <f>IFERROR(HYPERLINK("#Technical!A"&amp;MATCH(B60,Technical!A:A,0),"Open Technical"),HYPERLINK("#Technical!A1","Open Technical"))</f>
        <v>Open Technical</v>
      </c>
      <c r="AZ60" s="34"/>
    </row>
    <row r="61" spans="1:52" ht="30" customHeight="1" x14ac:dyDescent="0.25">
      <c r="A61" s="37" t="s">
        <v>475</v>
      </c>
      <c r="B61" s="30" t="s">
        <v>611</v>
      </c>
      <c r="C61" s="35">
        <v>200</v>
      </c>
      <c r="D61" s="37" t="s">
        <v>477</v>
      </c>
      <c r="E61" s="37">
        <v>5.7000000000000002E-2</v>
      </c>
      <c r="F61" s="37" t="s">
        <v>612</v>
      </c>
      <c r="G61" s="37" t="s">
        <v>613</v>
      </c>
      <c r="H61" s="37">
        <v>44</v>
      </c>
      <c r="I61" s="50"/>
      <c r="J61" s="37" t="s">
        <v>478</v>
      </c>
      <c r="K61" s="37" t="s">
        <v>479</v>
      </c>
      <c r="L61" s="37" t="s">
        <v>484</v>
      </c>
      <c r="M61" s="37">
        <v>51</v>
      </c>
      <c r="N61" s="37">
        <v>100</v>
      </c>
      <c r="O61" s="37" t="s">
        <v>614</v>
      </c>
      <c r="P61" s="37" t="b">
        <v>0</v>
      </c>
      <c r="Q61" s="37"/>
      <c r="R61" s="37">
        <v>0</v>
      </c>
      <c r="S61" s="37"/>
      <c r="T61" s="37">
        <v>0</v>
      </c>
      <c r="U61" s="37"/>
      <c r="V61" s="37">
        <v>0</v>
      </c>
      <c r="W61" s="37"/>
      <c r="X61" s="37">
        <v>0</v>
      </c>
      <c r="Y61" s="37"/>
      <c r="Z61" s="37">
        <v>0</v>
      </c>
      <c r="AA61" s="37"/>
      <c r="AB61" s="37">
        <v>0</v>
      </c>
      <c r="AC61" s="37">
        <v>9.2460000000000004</v>
      </c>
      <c r="AD61" s="37">
        <v>1E-3</v>
      </c>
      <c r="AE61" s="37" t="s">
        <v>481</v>
      </c>
      <c r="AF61" s="37">
        <v>30</v>
      </c>
      <c r="AG61" s="37">
        <v>53</v>
      </c>
      <c r="AH61" s="37">
        <v>33</v>
      </c>
      <c r="AI61" s="37">
        <v>9.2460000000000004</v>
      </c>
      <c r="AJ61" s="37">
        <v>1E-3</v>
      </c>
      <c r="AK61" s="37">
        <v>0.20200000000000001</v>
      </c>
      <c r="AL61" s="37">
        <v>0</v>
      </c>
      <c r="AM61" s="37">
        <v>0</v>
      </c>
      <c r="AN61" s="37">
        <v>0</v>
      </c>
      <c r="AO61" s="37">
        <v>0</v>
      </c>
      <c r="AP61" s="37"/>
      <c r="AQ61" s="37" t="b">
        <v>1</v>
      </c>
      <c r="AR61" s="37">
        <v>1.861E-3</v>
      </c>
      <c r="AS61" s="37" t="b">
        <v>1</v>
      </c>
      <c r="AT61" s="37" t="b">
        <v>1</v>
      </c>
      <c r="AU61" s="37" t="s">
        <v>482</v>
      </c>
      <c r="AV61" s="29">
        <v>0</v>
      </c>
      <c r="AW61" s="29">
        <v>45</v>
      </c>
      <c r="AX61" s="29">
        <v>11.25</v>
      </c>
      <c r="AY61" t="str">
        <f>IFERROR(HYPERLINK("#Technical!A"&amp;MATCH(B61,Technical!A:A,0),"Open Technical"),HYPERLINK("#Technical!A1","Open Technical"))</f>
        <v>Open Technical</v>
      </c>
    </row>
    <row r="62" spans="1:52" ht="30" customHeight="1" x14ac:dyDescent="0.25">
      <c r="A62" s="28" t="s">
        <v>475</v>
      </c>
      <c r="B62" s="33" t="s">
        <v>615</v>
      </c>
      <c r="C62" s="35">
        <v>200</v>
      </c>
      <c r="D62" s="28" t="s">
        <v>477</v>
      </c>
      <c r="E62" s="28">
        <v>5.2999999999999999E-2</v>
      </c>
      <c r="F62" s="28" t="s">
        <v>616</v>
      </c>
      <c r="G62" s="28" t="s">
        <v>617</v>
      </c>
      <c r="H62" s="28">
        <v>40</v>
      </c>
      <c r="I62" s="49"/>
      <c r="J62" s="28" t="s">
        <v>478</v>
      </c>
      <c r="K62" s="28" t="s">
        <v>479</v>
      </c>
      <c r="L62" s="28" t="s">
        <v>484</v>
      </c>
      <c r="M62" s="28">
        <v>58</v>
      </c>
      <c r="N62" s="28">
        <v>68</v>
      </c>
      <c r="O62" s="28" t="s">
        <v>614</v>
      </c>
      <c r="P62" s="28" t="b">
        <v>0</v>
      </c>
      <c r="Q62" s="28"/>
      <c r="R62" s="28">
        <v>0</v>
      </c>
      <c r="S62" s="28"/>
      <c r="T62" s="28">
        <v>0</v>
      </c>
      <c r="U62" s="28"/>
      <c r="V62" s="28">
        <v>0</v>
      </c>
      <c r="W62" s="28"/>
      <c r="X62" s="28">
        <v>0</v>
      </c>
      <c r="Y62" s="28"/>
      <c r="Z62" s="28">
        <v>0</v>
      </c>
      <c r="AA62" s="28"/>
      <c r="AB62" s="28">
        <v>0</v>
      </c>
      <c r="AC62" s="28">
        <v>11.297000000000001</v>
      </c>
      <c r="AD62" s="28">
        <v>2E-3</v>
      </c>
      <c r="AE62" s="28" t="s">
        <v>481</v>
      </c>
      <c r="AF62" s="28">
        <v>30</v>
      </c>
      <c r="AG62" s="28">
        <v>63</v>
      </c>
      <c r="AH62" s="28">
        <v>39</v>
      </c>
      <c r="AI62" s="28">
        <v>11.297000000000001</v>
      </c>
      <c r="AJ62" s="28">
        <v>2E-3</v>
      </c>
      <c r="AK62" s="28">
        <v>0.16900000000000001</v>
      </c>
      <c r="AL62" s="28">
        <v>0</v>
      </c>
      <c r="AM62" s="28">
        <v>0</v>
      </c>
      <c r="AN62" s="28">
        <v>0</v>
      </c>
      <c r="AO62" s="28">
        <v>0</v>
      </c>
      <c r="AP62" s="28"/>
      <c r="AQ62" s="28" t="b">
        <v>1</v>
      </c>
      <c r="AR62" s="28">
        <v>1.861E-3</v>
      </c>
      <c r="AS62" s="28" t="b">
        <v>1</v>
      </c>
      <c r="AT62" s="28" t="b">
        <v>1</v>
      </c>
      <c r="AU62" s="28" t="s">
        <v>482</v>
      </c>
      <c r="AV62" s="29">
        <v>0</v>
      </c>
      <c r="AW62" s="29">
        <v>45</v>
      </c>
      <c r="AX62" s="29">
        <v>11.25</v>
      </c>
      <c r="AY62" s="34" t="str">
        <f>IFERROR(HYPERLINK("#Technical!A"&amp;MATCH(B62,Technical!A:A,0),"Open Technical"),HYPERLINK("#Technical!A1","Open Technical"))</f>
        <v>Open Technical</v>
      </c>
      <c r="AZ62" s="34"/>
    </row>
    <row r="63" spans="1:52" ht="30" customHeight="1" x14ac:dyDescent="0.25">
      <c r="A63" s="37" t="s">
        <v>475</v>
      </c>
      <c r="B63" s="30" t="s">
        <v>618</v>
      </c>
      <c r="C63" s="35">
        <v>200</v>
      </c>
      <c r="D63" s="37" t="s">
        <v>477</v>
      </c>
      <c r="E63" s="37">
        <v>0.06</v>
      </c>
      <c r="F63" s="37" t="s">
        <v>619</v>
      </c>
      <c r="G63" s="37" t="s">
        <v>620</v>
      </c>
      <c r="H63" s="37">
        <v>670</v>
      </c>
      <c r="I63" s="50"/>
      <c r="J63" s="37" t="s">
        <v>478</v>
      </c>
      <c r="K63" s="37" t="s">
        <v>479</v>
      </c>
      <c r="L63" s="37" t="s">
        <v>484</v>
      </c>
      <c r="M63" s="37">
        <v>43</v>
      </c>
      <c r="N63" s="37">
        <v>344</v>
      </c>
      <c r="O63" s="37" t="s">
        <v>133</v>
      </c>
      <c r="P63" s="37" t="b">
        <v>0</v>
      </c>
      <c r="Q63" s="37"/>
      <c r="R63" s="37">
        <v>0</v>
      </c>
      <c r="S63" s="37"/>
      <c r="T63" s="37">
        <v>0</v>
      </c>
      <c r="U63" s="37"/>
      <c r="V63" s="37">
        <v>0</v>
      </c>
      <c r="W63" s="37"/>
      <c r="X63" s="37">
        <v>0</v>
      </c>
      <c r="Y63" s="37"/>
      <c r="Z63" s="37">
        <v>0</v>
      </c>
      <c r="AA63" s="37"/>
      <c r="AB63" s="37">
        <v>0</v>
      </c>
      <c r="AC63" s="37">
        <v>7.42</v>
      </c>
      <c r="AD63" s="37">
        <v>1E-3</v>
      </c>
      <c r="AE63" s="37" t="s">
        <v>481</v>
      </c>
      <c r="AF63" s="37">
        <v>100</v>
      </c>
      <c r="AG63" s="37">
        <v>49</v>
      </c>
      <c r="AH63" s="37">
        <v>31</v>
      </c>
      <c r="AI63" s="37">
        <v>7.42</v>
      </c>
      <c r="AJ63" s="37">
        <v>1E-3</v>
      </c>
      <c r="AK63" s="37">
        <v>0.17399999999999999</v>
      </c>
      <c r="AL63" s="37">
        <v>0</v>
      </c>
      <c r="AM63" s="37">
        <v>0</v>
      </c>
      <c r="AN63" s="37">
        <v>0</v>
      </c>
      <c r="AO63" s="37">
        <v>0</v>
      </c>
      <c r="AP63" s="37">
        <v>1</v>
      </c>
      <c r="AQ63" s="37" t="b">
        <v>0</v>
      </c>
      <c r="AR63" s="37">
        <v>5.8172000000000001E-2</v>
      </c>
      <c r="AS63" s="37" t="b">
        <v>1</v>
      </c>
      <c r="AT63" s="37" t="b">
        <v>1</v>
      </c>
      <c r="AU63" s="37" t="s">
        <v>482</v>
      </c>
      <c r="AV63" s="29">
        <v>0</v>
      </c>
      <c r="AW63" s="32">
        <v>70</v>
      </c>
      <c r="AX63" s="29">
        <v>17.5</v>
      </c>
      <c r="AY63" t="str">
        <f>IFERROR(HYPERLINK("#Technical!A"&amp;MATCH(B63,Technical!A:A,0),"Open Technical"),HYPERLINK("#Technical!A1","Open Technical"))</f>
        <v>Open Technical</v>
      </c>
    </row>
    <row r="64" spans="1:52" ht="30" customHeight="1" x14ac:dyDescent="0.25">
      <c r="A64" s="28" t="s">
        <v>475</v>
      </c>
      <c r="B64" s="33" t="s">
        <v>621</v>
      </c>
      <c r="C64" s="35">
        <v>200</v>
      </c>
      <c r="D64" s="28" t="s">
        <v>477</v>
      </c>
      <c r="E64" s="28">
        <v>6.6000000000000003E-2</v>
      </c>
      <c r="F64" s="28" t="s">
        <v>622</v>
      </c>
      <c r="G64" s="28" t="s">
        <v>623</v>
      </c>
      <c r="H64" s="28">
        <v>65</v>
      </c>
      <c r="I64" s="49"/>
      <c r="J64" s="28" t="s">
        <v>478</v>
      </c>
      <c r="K64" s="28" t="s">
        <v>479</v>
      </c>
      <c r="L64" s="28" t="s">
        <v>484</v>
      </c>
      <c r="M64" s="28">
        <v>59</v>
      </c>
      <c r="N64" s="28">
        <v>216</v>
      </c>
      <c r="O64" s="28" t="s">
        <v>614</v>
      </c>
      <c r="P64" s="28" t="b">
        <v>0</v>
      </c>
      <c r="Q64" s="28"/>
      <c r="R64" s="28">
        <v>0</v>
      </c>
      <c r="S64" s="28"/>
      <c r="T64" s="28">
        <v>0</v>
      </c>
      <c r="U64" s="28"/>
      <c r="V64" s="28">
        <v>0</v>
      </c>
      <c r="W64" s="28"/>
      <c r="X64" s="28">
        <v>0</v>
      </c>
      <c r="Y64" s="28"/>
      <c r="Z64" s="28">
        <v>0</v>
      </c>
      <c r="AA64" s="28"/>
      <c r="AB64" s="28">
        <v>0</v>
      </c>
      <c r="AC64" s="28">
        <v>8.3059999999999992</v>
      </c>
      <c r="AD64" s="28">
        <v>1E-3</v>
      </c>
      <c r="AE64" s="28" t="s">
        <v>481</v>
      </c>
      <c r="AF64" s="28">
        <v>30</v>
      </c>
      <c r="AG64" s="28">
        <v>64</v>
      </c>
      <c r="AH64" s="28">
        <v>30</v>
      </c>
      <c r="AI64" s="28">
        <v>8.3059999999999992</v>
      </c>
      <c r="AJ64" s="28">
        <v>1E-3</v>
      </c>
      <c r="AK64" s="28">
        <v>0.17</v>
      </c>
      <c r="AL64" s="28">
        <v>0</v>
      </c>
      <c r="AM64" s="28">
        <v>0</v>
      </c>
      <c r="AN64" s="28">
        <v>0</v>
      </c>
      <c r="AO64" s="28">
        <v>0</v>
      </c>
      <c r="AP64" s="28"/>
      <c r="AQ64" s="28" t="b">
        <v>1</v>
      </c>
      <c r="AR64" s="28">
        <v>1.861E-3</v>
      </c>
      <c r="AS64" s="28" t="b">
        <v>1</v>
      </c>
      <c r="AT64" s="28" t="b">
        <v>1</v>
      </c>
      <c r="AU64" s="28" t="s">
        <v>482</v>
      </c>
      <c r="AV64" s="29">
        <v>0</v>
      </c>
      <c r="AW64" s="29">
        <v>45</v>
      </c>
      <c r="AX64" s="29">
        <v>11.25</v>
      </c>
      <c r="AY64" s="34" t="str">
        <f>IFERROR(HYPERLINK("#Technical!A"&amp;MATCH(B64,Technical!A:A,0),"Open Technical"),HYPERLINK("#Technical!A1","Open Technical"))</f>
        <v>Open Technical</v>
      </c>
      <c r="AZ64" s="34"/>
    </row>
    <row r="65" spans="1:52" ht="30" customHeight="1" x14ac:dyDescent="0.25">
      <c r="A65" s="37" t="s">
        <v>475</v>
      </c>
      <c r="B65" s="30" t="s">
        <v>624</v>
      </c>
      <c r="C65" s="35">
        <v>200</v>
      </c>
      <c r="D65" s="37" t="s">
        <v>477</v>
      </c>
      <c r="E65" s="37">
        <v>6.7000000000000004E-2</v>
      </c>
      <c r="F65" s="37" t="s">
        <v>625</v>
      </c>
      <c r="G65" s="37"/>
      <c r="H65" s="37">
        <v>39</v>
      </c>
      <c r="I65" s="50"/>
      <c r="J65" s="37" t="s">
        <v>478</v>
      </c>
      <c r="K65" s="37" t="s">
        <v>479</v>
      </c>
      <c r="L65" s="37" t="s">
        <v>484</v>
      </c>
      <c r="M65" s="37">
        <v>50</v>
      </c>
      <c r="N65" s="37">
        <v>0</v>
      </c>
      <c r="O65" s="37" t="s">
        <v>133</v>
      </c>
      <c r="P65" s="37" t="b">
        <v>0</v>
      </c>
      <c r="Q65" s="37"/>
      <c r="R65" s="37">
        <v>0</v>
      </c>
      <c r="S65" s="37"/>
      <c r="T65" s="37">
        <v>0</v>
      </c>
      <c r="U65" s="37"/>
      <c r="V65" s="37">
        <v>0</v>
      </c>
      <c r="W65" s="37"/>
      <c r="X65" s="37">
        <v>0</v>
      </c>
      <c r="Y65" s="37"/>
      <c r="Z65" s="37">
        <v>0</v>
      </c>
      <c r="AA65" s="37"/>
      <c r="AB65" s="37">
        <v>0</v>
      </c>
      <c r="AC65" s="37">
        <v>6.0140000000000002</v>
      </c>
      <c r="AD65" s="37">
        <v>2.4E-2</v>
      </c>
      <c r="AE65" s="37" t="s">
        <v>481</v>
      </c>
      <c r="AF65" s="37">
        <v>30</v>
      </c>
      <c r="AG65" s="37">
        <v>66</v>
      </c>
      <c r="AH65" s="37">
        <v>34</v>
      </c>
      <c r="AI65" s="37">
        <v>6.0140000000000002</v>
      </c>
      <c r="AJ65" s="37">
        <v>2.4E-2</v>
      </c>
      <c r="AK65" s="37">
        <v>0.20899999999999999</v>
      </c>
      <c r="AL65" s="37">
        <v>0</v>
      </c>
      <c r="AM65" s="37">
        <v>0</v>
      </c>
      <c r="AN65" s="37">
        <v>0</v>
      </c>
      <c r="AO65" s="37">
        <v>0</v>
      </c>
      <c r="AP65" s="37"/>
      <c r="AQ65" s="37" t="b">
        <v>1</v>
      </c>
      <c r="AR65" s="37">
        <v>1.861E-3</v>
      </c>
      <c r="AS65" s="37" t="b">
        <v>1</v>
      </c>
      <c r="AT65" s="37" t="b">
        <v>1</v>
      </c>
      <c r="AU65" s="37" t="s">
        <v>482</v>
      </c>
      <c r="AV65" s="29">
        <v>0</v>
      </c>
      <c r="AW65" s="29">
        <v>25</v>
      </c>
      <c r="AX65" s="29">
        <v>6.25</v>
      </c>
      <c r="AY65" t="str">
        <f>IFERROR(HYPERLINK("#Technical!A"&amp;MATCH(B65,Technical!A:A,0),"Open Technical"),HYPERLINK("#Technical!A1","Open Technical"))</f>
        <v>Open Technical</v>
      </c>
    </row>
    <row r="66" spans="1:52" ht="30" customHeight="1" x14ac:dyDescent="0.25">
      <c r="A66" s="28" t="s">
        <v>475</v>
      </c>
      <c r="B66" s="33" t="s">
        <v>626</v>
      </c>
      <c r="C66" s="35">
        <v>200</v>
      </c>
      <c r="D66" s="28" t="s">
        <v>477</v>
      </c>
      <c r="E66" s="28">
        <v>8.2000000000000003E-2</v>
      </c>
      <c r="F66" s="28" t="s">
        <v>627</v>
      </c>
      <c r="G66" s="28" t="s">
        <v>628</v>
      </c>
      <c r="H66" s="28">
        <v>973</v>
      </c>
      <c r="I66" s="49"/>
      <c r="J66" s="28" t="s">
        <v>478</v>
      </c>
      <c r="K66" s="28" t="s">
        <v>479</v>
      </c>
      <c r="L66" s="28" t="s">
        <v>484</v>
      </c>
      <c r="M66" s="28">
        <v>50</v>
      </c>
      <c r="N66" s="28">
        <v>368</v>
      </c>
      <c r="O66" s="28" t="s">
        <v>133</v>
      </c>
      <c r="P66" s="28" t="b">
        <v>0</v>
      </c>
      <c r="Q66" s="28"/>
      <c r="R66" s="28">
        <v>0</v>
      </c>
      <c r="S66" s="28"/>
      <c r="T66" s="28">
        <v>0</v>
      </c>
      <c r="U66" s="28"/>
      <c r="V66" s="28">
        <v>0</v>
      </c>
      <c r="W66" s="28"/>
      <c r="X66" s="28">
        <v>0</v>
      </c>
      <c r="Y66" s="28"/>
      <c r="Z66" s="28">
        <v>0</v>
      </c>
      <c r="AA66" s="28"/>
      <c r="AB66" s="28">
        <v>0</v>
      </c>
      <c r="AC66" s="28">
        <v>0</v>
      </c>
      <c r="AD66" s="28">
        <v>0</v>
      </c>
      <c r="AE66" s="28" t="s">
        <v>481</v>
      </c>
      <c r="AF66" s="28">
        <v>100</v>
      </c>
      <c r="AG66" s="28">
        <v>56</v>
      </c>
      <c r="AH66" s="28">
        <v>0</v>
      </c>
      <c r="AI66" s="28">
        <v>0</v>
      </c>
      <c r="AJ66" s="28">
        <v>0</v>
      </c>
      <c r="AK66" s="28">
        <v>0</v>
      </c>
      <c r="AL66" s="28">
        <v>0</v>
      </c>
      <c r="AM66" s="28">
        <v>0</v>
      </c>
      <c r="AN66" s="28">
        <v>0</v>
      </c>
      <c r="AO66" s="28">
        <v>0</v>
      </c>
      <c r="AP66" s="28"/>
      <c r="AQ66" s="28" t="b">
        <v>1</v>
      </c>
      <c r="AR66" s="28">
        <v>1.861E-3</v>
      </c>
      <c r="AS66" s="28" t="b">
        <v>1</v>
      </c>
      <c r="AT66" s="28" t="b">
        <v>1</v>
      </c>
      <c r="AU66" s="28" t="s">
        <v>482</v>
      </c>
      <c r="AV66" s="29">
        <v>0</v>
      </c>
      <c r="AW66" s="35">
        <v>100</v>
      </c>
      <c r="AX66" s="29">
        <v>25</v>
      </c>
      <c r="AY66" s="34" t="str">
        <f>IFERROR(HYPERLINK("#Technical!A"&amp;MATCH(B66,Technical!A:A,0),"Open Technical"),HYPERLINK("#Technical!A1","Open Technical"))</f>
        <v>Open Technical</v>
      </c>
      <c r="AZ66" s="34"/>
    </row>
    <row r="67" spans="1:52" ht="30" customHeight="1" x14ac:dyDescent="0.25">
      <c r="A67" s="37" t="s">
        <v>475</v>
      </c>
      <c r="B67" s="30" t="s">
        <v>629</v>
      </c>
      <c r="C67" s="35">
        <v>200</v>
      </c>
      <c r="D67" s="37" t="s">
        <v>477</v>
      </c>
      <c r="E67" s="37">
        <v>5.8000000000000003E-2</v>
      </c>
      <c r="F67" s="37" t="s">
        <v>630</v>
      </c>
      <c r="G67" s="37" t="s">
        <v>631</v>
      </c>
      <c r="H67" s="37">
        <v>55</v>
      </c>
      <c r="I67" s="50"/>
      <c r="J67" s="37" t="s">
        <v>478</v>
      </c>
      <c r="K67" s="37" t="s">
        <v>479</v>
      </c>
      <c r="L67" s="37" t="s">
        <v>484</v>
      </c>
      <c r="M67" s="37">
        <v>66</v>
      </c>
      <c r="N67" s="37">
        <v>128</v>
      </c>
      <c r="O67" s="37" t="s">
        <v>133</v>
      </c>
      <c r="P67" s="37" t="b">
        <v>0</v>
      </c>
      <c r="Q67" s="37"/>
      <c r="R67" s="37">
        <v>0</v>
      </c>
      <c r="S67" s="37"/>
      <c r="T67" s="37">
        <v>0</v>
      </c>
      <c r="U67" s="37"/>
      <c r="V67" s="37">
        <v>0</v>
      </c>
      <c r="W67" s="37"/>
      <c r="X67" s="37">
        <v>0</v>
      </c>
      <c r="Y67" s="37"/>
      <c r="Z67" s="37">
        <v>0</v>
      </c>
      <c r="AA67" s="37"/>
      <c r="AB67" s="37">
        <v>0</v>
      </c>
      <c r="AC67" s="37">
        <v>8.74</v>
      </c>
      <c r="AD67" s="37">
        <v>6.0000000000000001E-3</v>
      </c>
      <c r="AE67" s="37" t="s">
        <v>481</v>
      </c>
      <c r="AF67" s="37">
        <v>30</v>
      </c>
      <c r="AG67" s="37">
        <v>63</v>
      </c>
      <c r="AH67" s="37">
        <v>43</v>
      </c>
      <c r="AI67" s="37">
        <v>8.74</v>
      </c>
      <c r="AJ67" s="37">
        <v>6.0000000000000001E-3</v>
      </c>
      <c r="AK67" s="37">
        <v>0.2</v>
      </c>
      <c r="AL67" s="37">
        <v>0</v>
      </c>
      <c r="AM67" s="37">
        <v>0</v>
      </c>
      <c r="AN67" s="37">
        <v>0</v>
      </c>
      <c r="AO67" s="37">
        <v>0</v>
      </c>
      <c r="AP67" s="37"/>
      <c r="AQ67" s="37" t="b">
        <v>1</v>
      </c>
      <c r="AR67" s="37">
        <v>1.861E-3</v>
      </c>
      <c r="AS67" s="37" t="b">
        <v>1</v>
      </c>
      <c r="AT67" s="37" t="b">
        <v>1</v>
      </c>
      <c r="AU67" s="37" t="s">
        <v>482</v>
      </c>
      <c r="AV67" s="29">
        <v>0</v>
      </c>
      <c r="AW67" s="29">
        <v>45</v>
      </c>
      <c r="AX67" s="29">
        <v>11.25</v>
      </c>
      <c r="AY67" t="str">
        <f>IFERROR(HYPERLINK("#Technical!A"&amp;MATCH(B67,Technical!A:A,0),"Open Technical"),HYPERLINK("#Technical!A1","Open Technical"))</f>
        <v>Open Technical</v>
      </c>
    </row>
    <row r="68" spans="1:52" ht="30" customHeight="1" x14ac:dyDescent="0.25">
      <c r="A68" s="28" t="s">
        <v>475</v>
      </c>
      <c r="B68" s="33" t="s">
        <v>632</v>
      </c>
      <c r="C68" s="35">
        <v>200</v>
      </c>
      <c r="D68" s="28" t="s">
        <v>477</v>
      </c>
      <c r="E68" s="28">
        <v>0.13</v>
      </c>
      <c r="F68" s="28" t="s">
        <v>633</v>
      </c>
      <c r="G68" s="28" t="s">
        <v>634</v>
      </c>
      <c r="H68" s="28">
        <v>180</v>
      </c>
      <c r="I68" s="49"/>
      <c r="J68" s="28" t="s">
        <v>478</v>
      </c>
      <c r="K68" s="28" t="s">
        <v>479</v>
      </c>
      <c r="L68" s="28" t="s">
        <v>484</v>
      </c>
      <c r="M68" s="28">
        <v>66</v>
      </c>
      <c r="N68" s="28">
        <v>306</v>
      </c>
      <c r="O68" s="28" t="s">
        <v>159</v>
      </c>
      <c r="P68" s="28" t="b">
        <v>0</v>
      </c>
      <c r="Q68" s="28"/>
      <c r="R68" s="28">
        <v>0</v>
      </c>
      <c r="S68" s="28"/>
      <c r="T68" s="28">
        <v>0</v>
      </c>
      <c r="U68" s="28"/>
      <c r="V68" s="28">
        <v>0</v>
      </c>
      <c r="W68" s="28"/>
      <c r="X68" s="28">
        <v>0</v>
      </c>
      <c r="Y68" s="28"/>
      <c r="Z68" s="28">
        <v>0</v>
      </c>
      <c r="AA68" s="28"/>
      <c r="AB68" s="28">
        <v>0</v>
      </c>
      <c r="AC68" s="28">
        <v>20.053000000000001</v>
      </c>
      <c r="AD68" s="28">
        <v>1E-3</v>
      </c>
      <c r="AE68" s="28" t="s">
        <v>481</v>
      </c>
      <c r="AF68" s="28">
        <v>30</v>
      </c>
      <c r="AG68" s="28">
        <v>48</v>
      </c>
      <c r="AH68" s="28">
        <v>44</v>
      </c>
      <c r="AI68" s="28">
        <v>20.053000000000001</v>
      </c>
      <c r="AJ68" s="28">
        <v>1E-3</v>
      </c>
      <c r="AK68" s="28">
        <v>0.16800000000000001</v>
      </c>
      <c r="AL68" s="28">
        <v>0</v>
      </c>
      <c r="AM68" s="28">
        <v>0</v>
      </c>
      <c r="AN68" s="28">
        <v>0</v>
      </c>
      <c r="AO68" s="28">
        <v>0</v>
      </c>
      <c r="AP68" s="28">
        <v>2</v>
      </c>
      <c r="AQ68" s="28" t="b">
        <v>0</v>
      </c>
      <c r="AR68" s="28">
        <v>5.0340000000000003E-3</v>
      </c>
      <c r="AS68" s="28" t="b">
        <v>1</v>
      </c>
      <c r="AT68" s="28" t="b">
        <v>1</v>
      </c>
      <c r="AU68" s="28" t="s">
        <v>482</v>
      </c>
      <c r="AV68" s="29">
        <v>0</v>
      </c>
      <c r="AW68" s="32">
        <v>75</v>
      </c>
      <c r="AX68" s="29">
        <v>18.75</v>
      </c>
      <c r="AY68" s="34" t="str">
        <f>IFERROR(HYPERLINK("#Technical!A"&amp;MATCH(B68,Technical!A:A,0),"Open Technical"),HYPERLINK("#Technical!A1","Open Technical"))</f>
        <v>Open Technical</v>
      </c>
      <c r="AZ68" s="34"/>
    </row>
    <row r="69" spans="1:52" ht="31.5" x14ac:dyDescent="0.25">
      <c r="A69" s="37" t="s">
        <v>475</v>
      </c>
      <c r="B69" s="30" t="s">
        <v>635</v>
      </c>
      <c r="C69" s="35">
        <v>200</v>
      </c>
      <c r="D69" s="37" t="s">
        <v>477</v>
      </c>
      <c r="E69" s="37">
        <v>0.11899999999999999</v>
      </c>
      <c r="F69" s="37" t="s">
        <v>636</v>
      </c>
      <c r="G69" s="37" t="s">
        <v>637</v>
      </c>
      <c r="H69" s="37">
        <v>1723</v>
      </c>
      <c r="I69" s="50"/>
      <c r="J69" s="37" t="s">
        <v>478</v>
      </c>
      <c r="K69" s="37" t="s">
        <v>479</v>
      </c>
      <c r="L69" s="37" t="s">
        <v>484</v>
      </c>
      <c r="M69" s="37">
        <v>41</v>
      </c>
      <c r="N69" s="37">
        <v>370</v>
      </c>
      <c r="O69" s="37" t="s">
        <v>133</v>
      </c>
      <c r="P69" s="37" t="b">
        <v>0</v>
      </c>
      <c r="Q69" s="37"/>
      <c r="R69" s="37">
        <v>0</v>
      </c>
      <c r="S69" s="37"/>
      <c r="T69" s="37">
        <v>0</v>
      </c>
      <c r="U69" s="37"/>
      <c r="V69" s="37">
        <v>0</v>
      </c>
      <c r="W69" s="37"/>
      <c r="X69" s="37">
        <v>0</v>
      </c>
      <c r="Y69" s="37"/>
      <c r="Z69" s="37">
        <v>0</v>
      </c>
      <c r="AA69" s="37"/>
      <c r="AB69" s="37">
        <v>0</v>
      </c>
      <c r="AC69" s="37">
        <v>9.5630000000000006</v>
      </c>
      <c r="AD69" s="37">
        <v>2E-3</v>
      </c>
      <c r="AE69" s="37" t="s">
        <v>481</v>
      </c>
      <c r="AF69" s="37">
        <v>100</v>
      </c>
      <c r="AG69" s="37">
        <v>50</v>
      </c>
      <c r="AH69" s="37">
        <v>29</v>
      </c>
      <c r="AI69" s="37">
        <v>9.5630000000000006</v>
      </c>
      <c r="AJ69" s="37">
        <v>2E-3</v>
      </c>
      <c r="AK69" s="37">
        <v>0.17399999999999999</v>
      </c>
      <c r="AL69" s="37">
        <v>0</v>
      </c>
      <c r="AM69" s="37">
        <v>0</v>
      </c>
      <c r="AN69" s="37">
        <v>0</v>
      </c>
      <c r="AO69" s="37">
        <v>0</v>
      </c>
      <c r="AP69" s="37">
        <v>1</v>
      </c>
      <c r="AQ69" s="37" t="b">
        <v>0</v>
      </c>
      <c r="AR69" s="37">
        <v>5.8172000000000001E-2</v>
      </c>
      <c r="AS69" s="37" t="b">
        <v>1</v>
      </c>
      <c r="AT69" s="37" t="b">
        <v>1</v>
      </c>
      <c r="AU69" s="37" t="s">
        <v>482</v>
      </c>
      <c r="AV69" s="29">
        <v>0</v>
      </c>
      <c r="AW69" s="35">
        <v>100</v>
      </c>
      <c r="AX69" s="29">
        <v>25</v>
      </c>
      <c r="AY69" t="str">
        <f>IFERROR(HYPERLINK("#Technical!A"&amp;MATCH(B69,Technical!A:A,0),"Open Technical"),HYPERLINK("#Technical!A1","Open Technical"))</f>
        <v>Open Technical</v>
      </c>
    </row>
    <row r="70" spans="1:52" ht="30" customHeight="1" x14ac:dyDescent="0.25">
      <c r="A70" s="28" t="s">
        <v>475</v>
      </c>
      <c r="B70" s="33" t="s">
        <v>638</v>
      </c>
      <c r="C70" s="35">
        <v>200</v>
      </c>
      <c r="D70" s="28" t="s">
        <v>477</v>
      </c>
      <c r="E70" s="28">
        <v>7.2999999999999995E-2</v>
      </c>
      <c r="F70" s="28" t="s">
        <v>639</v>
      </c>
      <c r="G70" s="28" t="s">
        <v>640</v>
      </c>
      <c r="H70" s="28">
        <v>35</v>
      </c>
      <c r="I70" s="49"/>
      <c r="J70" s="28" t="s">
        <v>478</v>
      </c>
      <c r="K70" s="28" t="s">
        <v>479</v>
      </c>
      <c r="L70" s="28" t="s">
        <v>484</v>
      </c>
      <c r="M70" s="28">
        <v>47</v>
      </c>
      <c r="N70" s="28">
        <v>159</v>
      </c>
      <c r="O70" s="28" t="s">
        <v>133</v>
      </c>
      <c r="P70" s="28" t="b">
        <v>0</v>
      </c>
      <c r="Q70" s="28"/>
      <c r="R70" s="28">
        <v>0</v>
      </c>
      <c r="S70" s="28"/>
      <c r="T70" s="28">
        <v>0</v>
      </c>
      <c r="U70" s="28"/>
      <c r="V70" s="28">
        <v>0</v>
      </c>
      <c r="W70" s="28"/>
      <c r="X70" s="28">
        <v>0</v>
      </c>
      <c r="Y70" s="28"/>
      <c r="Z70" s="28">
        <v>0</v>
      </c>
      <c r="AA70" s="28"/>
      <c r="AB70" s="28">
        <v>0</v>
      </c>
      <c r="AC70" s="28">
        <v>6.0789999999999997</v>
      </c>
      <c r="AD70" s="28">
        <v>0.08</v>
      </c>
      <c r="AE70" s="28" t="s">
        <v>481</v>
      </c>
      <c r="AF70" s="28">
        <v>100</v>
      </c>
      <c r="AG70" s="28">
        <v>55</v>
      </c>
      <c r="AH70" s="28">
        <v>46</v>
      </c>
      <c r="AI70" s="28">
        <v>6.0789999999999997</v>
      </c>
      <c r="AJ70" s="28">
        <v>0.08</v>
      </c>
      <c r="AK70" s="28">
        <v>0.17199999999999999</v>
      </c>
      <c r="AL70" s="28">
        <v>0</v>
      </c>
      <c r="AM70" s="28">
        <v>0</v>
      </c>
      <c r="AN70" s="28">
        <v>0</v>
      </c>
      <c r="AO70" s="28">
        <v>0</v>
      </c>
      <c r="AP70" s="28">
        <v>1</v>
      </c>
      <c r="AQ70" s="28" t="b">
        <v>0</v>
      </c>
      <c r="AR70" s="28">
        <v>5.8172000000000001E-2</v>
      </c>
      <c r="AS70" s="28" t="b">
        <v>1</v>
      </c>
      <c r="AT70" s="28" t="b">
        <v>1</v>
      </c>
      <c r="AU70" s="28" t="s">
        <v>482</v>
      </c>
      <c r="AV70" s="29">
        <v>0</v>
      </c>
      <c r="AW70" s="32">
        <v>75</v>
      </c>
      <c r="AX70" s="29">
        <v>18.75</v>
      </c>
      <c r="AY70" s="34" t="str">
        <f>IFERROR(HYPERLINK("#Technical!A"&amp;MATCH(B70,Technical!A:A,0),"Open Technical"),HYPERLINK("#Technical!A1","Open Technical"))</f>
        <v>Open Technical</v>
      </c>
      <c r="AZ70" s="34"/>
    </row>
    <row r="71" spans="1:52" ht="30" customHeight="1" x14ac:dyDescent="0.25">
      <c r="A71" s="37" t="s">
        <v>475</v>
      </c>
      <c r="B71" s="30" t="s">
        <v>641</v>
      </c>
      <c r="C71" s="35">
        <v>200</v>
      </c>
      <c r="D71" s="37" t="s">
        <v>477</v>
      </c>
      <c r="E71" s="37">
        <v>9.0999999999999998E-2</v>
      </c>
      <c r="F71" s="37" t="s">
        <v>642</v>
      </c>
      <c r="G71" s="37" t="s">
        <v>643</v>
      </c>
      <c r="H71" s="37">
        <v>627</v>
      </c>
      <c r="I71" s="50"/>
      <c r="J71" s="37" t="s">
        <v>478</v>
      </c>
      <c r="K71" s="37" t="s">
        <v>479</v>
      </c>
      <c r="L71" s="37" t="s">
        <v>484</v>
      </c>
      <c r="M71" s="37">
        <v>48</v>
      </c>
      <c r="N71" s="37">
        <v>379</v>
      </c>
      <c r="O71" s="37" t="s">
        <v>133</v>
      </c>
      <c r="P71" s="37" t="b">
        <v>0</v>
      </c>
      <c r="Q71" s="37"/>
      <c r="R71" s="37">
        <v>0</v>
      </c>
      <c r="S71" s="37"/>
      <c r="T71" s="37">
        <v>0</v>
      </c>
      <c r="U71" s="37"/>
      <c r="V71" s="37">
        <v>0</v>
      </c>
      <c r="W71" s="37"/>
      <c r="X71" s="37">
        <v>0</v>
      </c>
      <c r="Y71" s="37"/>
      <c r="Z71" s="37">
        <v>0</v>
      </c>
      <c r="AA71" s="37"/>
      <c r="AB71" s="37">
        <v>0</v>
      </c>
      <c r="AC71" s="37">
        <v>6.2460000000000004</v>
      </c>
      <c r="AD71" s="37">
        <v>1E-3</v>
      </c>
      <c r="AE71" s="37" t="s">
        <v>481</v>
      </c>
      <c r="AF71" s="37">
        <v>60</v>
      </c>
      <c r="AG71" s="37">
        <v>81</v>
      </c>
      <c r="AH71" s="37">
        <v>45</v>
      </c>
      <c r="AI71" s="37">
        <v>6.2460000000000004</v>
      </c>
      <c r="AJ71" s="37">
        <v>1E-3</v>
      </c>
      <c r="AK71" s="37">
        <v>0.17399999999999999</v>
      </c>
      <c r="AL71" s="37">
        <v>0</v>
      </c>
      <c r="AM71" s="37">
        <v>0</v>
      </c>
      <c r="AN71" s="37">
        <v>0</v>
      </c>
      <c r="AO71" s="37">
        <v>0</v>
      </c>
      <c r="AP71" s="37">
        <v>1</v>
      </c>
      <c r="AQ71" s="37" t="b">
        <v>0</v>
      </c>
      <c r="AR71" s="37">
        <v>6.5322000000000005E-2</v>
      </c>
      <c r="AS71" s="37" t="b">
        <v>1</v>
      </c>
      <c r="AT71" s="37" t="b">
        <v>1</v>
      </c>
      <c r="AU71" s="37" t="s">
        <v>482</v>
      </c>
      <c r="AV71" s="29">
        <v>0</v>
      </c>
      <c r="AW71" s="35">
        <v>100</v>
      </c>
      <c r="AX71" s="29">
        <v>25</v>
      </c>
      <c r="AY71" t="str">
        <f>IFERROR(HYPERLINK("#Technical!A"&amp;MATCH(B71,Technical!A:A,0),"Open Technical"),HYPERLINK("#Technical!A1","Open Technical"))</f>
        <v>Open Technical</v>
      </c>
    </row>
    <row r="72" spans="1:52" ht="30" customHeight="1" x14ac:dyDescent="0.25">
      <c r="A72" s="28" t="s">
        <v>475</v>
      </c>
      <c r="B72" s="33" t="s">
        <v>644</v>
      </c>
      <c r="C72" s="35">
        <v>200</v>
      </c>
      <c r="D72" s="28" t="s">
        <v>477</v>
      </c>
      <c r="E72" s="28">
        <v>6.0999999999999999E-2</v>
      </c>
      <c r="F72" s="28" t="s">
        <v>645</v>
      </c>
      <c r="G72" s="28" t="s">
        <v>646</v>
      </c>
      <c r="H72" s="28">
        <v>131</v>
      </c>
      <c r="I72" s="49"/>
      <c r="J72" s="28" t="s">
        <v>478</v>
      </c>
      <c r="K72" s="28" t="s">
        <v>479</v>
      </c>
      <c r="L72" s="28" t="s">
        <v>484</v>
      </c>
      <c r="M72" s="28">
        <v>59</v>
      </c>
      <c r="N72" s="28">
        <v>263</v>
      </c>
      <c r="O72" s="28" t="s">
        <v>133</v>
      </c>
      <c r="P72" s="28" t="b">
        <v>0</v>
      </c>
      <c r="Q72" s="28"/>
      <c r="R72" s="28">
        <v>0</v>
      </c>
      <c r="S72" s="28"/>
      <c r="T72" s="28">
        <v>0</v>
      </c>
      <c r="U72" s="28"/>
      <c r="V72" s="28">
        <v>0</v>
      </c>
      <c r="W72" s="28"/>
      <c r="X72" s="28">
        <v>0</v>
      </c>
      <c r="Y72" s="28"/>
      <c r="Z72" s="28">
        <v>0</v>
      </c>
      <c r="AA72" s="28"/>
      <c r="AB72" s="28">
        <v>0</v>
      </c>
      <c r="AC72" s="28">
        <v>8.6920000000000002</v>
      </c>
      <c r="AD72" s="28">
        <v>3.0000000000000001E-3</v>
      </c>
      <c r="AE72" s="28" t="s">
        <v>481</v>
      </c>
      <c r="AF72" s="28">
        <v>30</v>
      </c>
      <c r="AG72" s="28">
        <v>47</v>
      </c>
      <c r="AH72" s="28">
        <v>41</v>
      </c>
      <c r="AI72" s="28">
        <v>8.6920000000000002</v>
      </c>
      <c r="AJ72" s="28">
        <v>3.0000000000000001E-3</v>
      </c>
      <c r="AK72" s="28">
        <v>0.20200000000000001</v>
      </c>
      <c r="AL72" s="28">
        <v>0</v>
      </c>
      <c r="AM72" s="28">
        <v>0</v>
      </c>
      <c r="AN72" s="28">
        <v>0</v>
      </c>
      <c r="AO72" s="28">
        <v>0</v>
      </c>
      <c r="AP72" s="28"/>
      <c r="AQ72" s="28" t="b">
        <v>1</v>
      </c>
      <c r="AR72" s="28">
        <v>1.861E-3</v>
      </c>
      <c r="AS72" s="28" t="b">
        <v>1</v>
      </c>
      <c r="AT72" s="28" t="b">
        <v>1</v>
      </c>
      <c r="AU72" s="28" t="s">
        <v>482</v>
      </c>
      <c r="AV72" s="29">
        <v>0</v>
      </c>
      <c r="AW72" s="29">
        <v>45</v>
      </c>
      <c r="AX72" s="29">
        <v>11.25</v>
      </c>
      <c r="AY72" s="34" t="str">
        <f>IFERROR(HYPERLINK("#Technical!A"&amp;MATCH(B72,Technical!A:A,0),"Open Technical"),HYPERLINK("#Technical!A1","Open Technical"))</f>
        <v>Open Technical</v>
      </c>
      <c r="AZ72" s="34"/>
    </row>
    <row r="73" spans="1:52" ht="30" customHeight="1" x14ac:dyDescent="0.25">
      <c r="A73" s="37" t="s">
        <v>475</v>
      </c>
      <c r="B73" s="30" t="s">
        <v>647</v>
      </c>
      <c r="C73" s="35">
        <v>200</v>
      </c>
      <c r="D73" s="37" t="s">
        <v>477</v>
      </c>
      <c r="E73" s="37">
        <v>0.06</v>
      </c>
      <c r="F73" s="37" t="s">
        <v>648</v>
      </c>
      <c r="G73" s="37" t="s">
        <v>649</v>
      </c>
      <c r="H73" s="37">
        <v>168</v>
      </c>
      <c r="I73" s="50"/>
      <c r="J73" s="37" t="s">
        <v>478</v>
      </c>
      <c r="K73" s="37" t="s">
        <v>479</v>
      </c>
      <c r="L73" s="37" t="s">
        <v>484</v>
      </c>
      <c r="M73" s="37">
        <v>46</v>
      </c>
      <c r="N73" s="37">
        <v>160</v>
      </c>
      <c r="O73" s="37" t="s">
        <v>133</v>
      </c>
      <c r="P73" s="37" t="b">
        <v>0</v>
      </c>
      <c r="Q73" s="37"/>
      <c r="R73" s="37">
        <v>0</v>
      </c>
      <c r="S73" s="37"/>
      <c r="T73" s="37">
        <v>0</v>
      </c>
      <c r="U73" s="37"/>
      <c r="V73" s="37">
        <v>0</v>
      </c>
      <c r="W73" s="37"/>
      <c r="X73" s="37">
        <v>0</v>
      </c>
      <c r="Y73" s="37"/>
      <c r="Z73" s="37">
        <v>0</v>
      </c>
      <c r="AA73" s="37"/>
      <c r="AB73" s="37">
        <v>0</v>
      </c>
      <c r="AC73" s="37">
        <v>0</v>
      </c>
      <c r="AD73" s="37">
        <v>0</v>
      </c>
      <c r="AE73" s="37" t="s">
        <v>481</v>
      </c>
      <c r="AF73" s="37">
        <v>50</v>
      </c>
      <c r="AG73" s="37">
        <v>50</v>
      </c>
      <c r="AH73" s="37">
        <v>0</v>
      </c>
      <c r="AI73" s="37">
        <v>0</v>
      </c>
      <c r="AJ73" s="37">
        <v>0</v>
      </c>
      <c r="AK73" s="37">
        <v>0</v>
      </c>
      <c r="AL73" s="37">
        <v>0</v>
      </c>
      <c r="AM73" s="37">
        <v>0</v>
      </c>
      <c r="AN73" s="37">
        <v>0</v>
      </c>
      <c r="AO73" s="37">
        <v>0</v>
      </c>
      <c r="AP73" s="37">
        <v>1</v>
      </c>
      <c r="AQ73" s="37" t="b">
        <v>0</v>
      </c>
      <c r="AR73" s="37">
        <v>6.5322000000000005E-2</v>
      </c>
      <c r="AS73" s="37" t="b">
        <v>1</v>
      </c>
      <c r="AT73" s="37" t="b">
        <v>1</v>
      </c>
      <c r="AU73" s="37" t="s">
        <v>482</v>
      </c>
      <c r="AV73" s="29">
        <v>0</v>
      </c>
      <c r="AW73" s="32">
        <v>75</v>
      </c>
      <c r="AX73" s="29">
        <v>18.75</v>
      </c>
      <c r="AY73" t="str">
        <f>IFERROR(HYPERLINK("#Technical!A"&amp;MATCH(B73,Technical!A:A,0),"Open Technical"),HYPERLINK("#Technical!A1","Open Technical"))</f>
        <v>Open Technical</v>
      </c>
    </row>
    <row r="74" spans="1:52" ht="30" customHeight="1" x14ac:dyDescent="0.25">
      <c r="A74" s="28" t="s">
        <v>475</v>
      </c>
      <c r="B74" s="33" t="s">
        <v>650</v>
      </c>
      <c r="C74" s="35">
        <v>200</v>
      </c>
      <c r="D74" s="28" t="s">
        <v>477</v>
      </c>
      <c r="E74" s="28">
        <v>2.7989999999999999</v>
      </c>
      <c r="F74" s="28" t="s">
        <v>489</v>
      </c>
      <c r="G74" s="28" t="s">
        <v>651</v>
      </c>
      <c r="H74" s="28">
        <v>191</v>
      </c>
      <c r="I74" s="49"/>
      <c r="J74" s="28" t="s">
        <v>478</v>
      </c>
      <c r="K74" s="28" t="s">
        <v>479</v>
      </c>
      <c r="L74" s="28" t="s">
        <v>484</v>
      </c>
      <c r="M74" s="28">
        <v>42</v>
      </c>
      <c r="N74" s="28">
        <v>417</v>
      </c>
      <c r="O74" s="28" t="s">
        <v>133</v>
      </c>
      <c r="P74" s="28" t="b">
        <v>0</v>
      </c>
      <c r="Q74" s="28"/>
      <c r="R74" s="28">
        <v>0</v>
      </c>
      <c r="S74" s="28"/>
      <c r="T74" s="28">
        <v>0</v>
      </c>
      <c r="U74" s="28"/>
      <c r="V74" s="28">
        <v>0</v>
      </c>
      <c r="W74" s="28"/>
      <c r="X74" s="28">
        <v>0</v>
      </c>
      <c r="Y74" s="28"/>
      <c r="Z74" s="28">
        <v>0</v>
      </c>
      <c r="AA74" s="28"/>
      <c r="AB74" s="28">
        <v>0</v>
      </c>
      <c r="AC74" s="28">
        <v>12.237</v>
      </c>
      <c r="AD74" s="28">
        <v>1.7000000000000001E-2</v>
      </c>
      <c r="AE74" s="28" t="s">
        <v>481</v>
      </c>
      <c r="AF74" s="28">
        <v>40</v>
      </c>
      <c r="AG74" s="28">
        <v>70</v>
      </c>
      <c r="AH74" s="28">
        <v>46</v>
      </c>
      <c r="AI74" s="28">
        <v>12.237</v>
      </c>
      <c r="AJ74" s="28">
        <v>1.7000000000000001E-2</v>
      </c>
      <c r="AK74" s="28">
        <v>0.17100000000000001</v>
      </c>
      <c r="AL74" s="28">
        <v>0</v>
      </c>
      <c r="AM74" s="28">
        <v>0</v>
      </c>
      <c r="AN74" s="28">
        <v>0</v>
      </c>
      <c r="AO74" s="28">
        <v>0</v>
      </c>
      <c r="AP74" s="28"/>
      <c r="AQ74" s="28" t="b">
        <v>1</v>
      </c>
      <c r="AR74" s="28">
        <v>1.861E-3</v>
      </c>
      <c r="AS74" s="28" t="b">
        <v>1</v>
      </c>
      <c r="AT74" s="28" t="b">
        <v>1</v>
      </c>
      <c r="AU74" s="28" t="s">
        <v>482</v>
      </c>
      <c r="AV74" s="29">
        <v>0</v>
      </c>
      <c r="AW74" s="29">
        <v>45</v>
      </c>
      <c r="AX74" s="29">
        <v>11.25</v>
      </c>
      <c r="AY74" s="34" t="str">
        <f>IFERROR(HYPERLINK("#Technical!A"&amp;MATCH(B74,Technical!A:A,0),"Open Technical"),HYPERLINK("#Technical!A1","Open Technical"))</f>
        <v>Open Technical</v>
      </c>
      <c r="AZ74" s="34"/>
    </row>
    <row r="75" spans="1:52" ht="30" customHeight="1" x14ac:dyDescent="0.25">
      <c r="A75" s="37" t="s">
        <v>475</v>
      </c>
      <c r="B75" s="30" t="s">
        <v>652</v>
      </c>
      <c r="C75" s="35">
        <v>200</v>
      </c>
      <c r="D75" s="37" t="s">
        <v>477</v>
      </c>
      <c r="E75" s="37">
        <v>6.3E-2</v>
      </c>
      <c r="F75" s="37" t="s">
        <v>653</v>
      </c>
      <c r="G75" s="37" t="s">
        <v>654</v>
      </c>
      <c r="H75" s="37">
        <v>518</v>
      </c>
      <c r="I75" s="50"/>
      <c r="J75" s="37" t="s">
        <v>478</v>
      </c>
      <c r="K75" s="37" t="s">
        <v>479</v>
      </c>
      <c r="L75" s="37" t="s">
        <v>484</v>
      </c>
      <c r="M75" s="37">
        <v>34</v>
      </c>
      <c r="N75" s="37">
        <v>160</v>
      </c>
      <c r="O75" s="37" t="s">
        <v>159</v>
      </c>
      <c r="P75" s="37" t="b">
        <v>0</v>
      </c>
      <c r="Q75" s="37"/>
      <c r="R75" s="37">
        <v>0</v>
      </c>
      <c r="S75" s="37"/>
      <c r="T75" s="37">
        <v>0</v>
      </c>
      <c r="U75" s="37"/>
      <c r="V75" s="37">
        <v>0</v>
      </c>
      <c r="W75" s="37"/>
      <c r="X75" s="37">
        <v>0</v>
      </c>
      <c r="Y75" s="37"/>
      <c r="Z75" s="37">
        <v>0</v>
      </c>
      <c r="AA75" s="37"/>
      <c r="AB75" s="37">
        <v>0</v>
      </c>
      <c r="AC75" s="37">
        <v>22.300999999999998</v>
      </c>
      <c r="AD75" s="37">
        <v>6.7000000000000004E-2</v>
      </c>
      <c r="AE75" s="37" t="s">
        <v>481</v>
      </c>
      <c r="AF75" s="37">
        <v>60</v>
      </c>
      <c r="AG75" s="37">
        <v>53</v>
      </c>
      <c r="AH75" s="37">
        <v>35</v>
      </c>
      <c r="AI75" s="37">
        <v>22.300999999999998</v>
      </c>
      <c r="AJ75" s="37">
        <v>6.7000000000000004E-2</v>
      </c>
      <c r="AK75" s="37">
        <v>0.17199999999999999</v>
      </c>
      <c r="AL75" s="37">
        <v>0</v>
      </c>
      <c r="AM75" s="37">
        <v>0</v>
      </c>
      <c r="AN75" s="37">
        <v>0</v>
      </c>
      <c r="AO75" s="37">
        <v>0</v>
      </c>
      <c r="AP75" s="37">
        <v>2</v>
      </c>
      <c r="AQ75" s="37" t="b">
        <v>0</v>
      </c>
      <c r="AR75" s="37">
        <v>8.3590000000000001E-3</v>
      </c>
      <c r="AS75" s="37" t="b">
        <v>1</v>
      </c>
      <c r="AT75" s="37" t="b">
        <v>1</v>
      </c>
      <c r="AU75" s="37" t="s">
        <v>482</v>
      </c>
      <c r="AV75" s="29">
        <v>0</v>
      </c>
      <c r="AW75" s="35">
        <v>100</v>
      </c>
      <c r="AX75" s="29">
        <v>25</v>
      </c>
      <c r="AY75" t="str">
        <f>IFERROR(HYPERLINK("#Technical!A"&amp;MATCH(B75,Technical!A:A,0),"Open Technical"),HYPERLINK("#Technical!A1","Open Technical"))</f>
        <v>Open Technical</v>
      </c>
    </row>
    <row r="76" spans="1:52" ht="30" customHeight="1" x14ac:dyDescent="0.25">
      <c r="A76" s="28" t="s">
        <v>475</v>
      </c>
      <c r="B76" s="33" t="s">
        <v>655</v>
      </c>
      <c r="C76" s="35">
        <v>200</v>
      </c>
      <c r="D76" s="28" t="s">
        <v>477</v>
      </c>
      <c r="E76" s="28">
        <v>5.8000000000000003E-2</v>
      </c>
      <c r="F76" s="28" t="s">
        <v>656</v>
      </c>
      <c r="G76" s="28" t="s">
        <v>657</v>
      </c>
      <c r="H76" s="28">
        <v>428</v>
      </c>
      <c r="I76" s="49"/>
      <c r="J76" s="28" t="s">
        <v>478</v>
      </c>
      <c r="K76" s="28" t="s">
        <v>479</v>
      </c>
      <c r="L76" s="28" t="s">
        <v>484</v>
      </c>
      <c r="M76" s="28">
        <v>48</v>
      </c>
      <c r="N76" s="28">
        <v>392</v>
      </c>
      <c r="O76" s="28" t="s">
        <v>133</v>
      </c>
      <c r="P76" s="28" t="b">
        <v>0</v>
      </c>
      <c r="Q76" s="28"/>
      <c r="R76" s="28">
        <v>0</v>
      </c>
      <c r="S76" s="28"/>
      <c r="T76" s="28">
        <v>0</v>
      </c>
      <c r="U76" s="28"/>
      <c r="V76" s="28">
        <v>0</v>
      </c>
      <c r="W76" s="28"/>
      <c r="X76" s="28">
        <v>0</v>
      </c>
      <c r="Y76" s="28"/>
      <c r="Z76" s="28">
        <v>0</v>
      </c>
      <c r="AA76" s="28"/>
      <c r="AB76" s="28">
        <v>0</v>
      </c>
      <c r="AC76" s="28">
        <v>6.8789999999999996</v>
      </c>
      <c r="AD76" s="28">
        <v>1E-3</v>
      </c>
      <c r="AE76" s="28" t="s">
        <v>481</v>
      </c>
      <c r="AF76" s="28">
        <v>30</v>
      </c>
      <c r="AG76" s="28">
        <v>54</v>
      </c>
      <c r="AH76" s="28">
        <v>28</v>
      </c>
      <c r="AI76" s="28">
        <v>6.8789999999999996</v>
      </c>
      <c r="AJ76" s="28">
        <v>1E-3</v>
      </c>
      <c r="AK76" s="28">
        <v>0.16900000000000001</v>
      </c>
      <c r="AL76" s="28">
        <v>0</v>
      </c>
      <c r="AM76" s="28">
        <v>0</v>
      </c>
      <c r="AN76" s="28">
        <v>0</v>
      </c>
      <c r="AO76" s="28">
        <v>0</v>
      </c>
      <c r="AP76" s="28">
        <v>1</v>
      </c>
      <c r="AQ76" s="28" t="b">
        <v>0</v>
      </c>
      <c r="AR76" s="28">
        <v>5.8172000000000001E-2</v>
      </c>
      <c r="AS76" s="28" t="b">
        <v>1</v>
      </c>
      <c r="AT76" s="28" t="b">
        <v>1</v>
      </c>
      <c r="AU76" s="28" t="s">
        <v>482</v>
      </c>
      <c r="AV76" s="29">
        <v>0</v>
      </c>
      <c r="AW76" s="35">
        <v>100</v>
      </c>
      <c r="AX76" s="29">
        <v>25</v>
      </c>
      <c r="AY76" s="34" t="str">
        <f>IFERROR(HYPERLINK("#Technical!A"&amp;MATCH(B76,Technical!A:A,0),"Open Technical"),HYPERLINK("#Technical!A1","Open Technical"))</f>
        <v>Open Technical</v>
      </c>
      <c r="AZ76" s="34"/>
    </row>
    <row r="77" spans="1:52" ht="30" customHeight="1" x14ac:dyDescent="0.25">
      <c r="A77" s="37" t="s">
        <v>475</v>
      </c>
      <c r="B77" s="30" t="s">
        <v>658</v>
      </c>
      <c r="C77" s="35">
        <v>200</v>
      </c>
      <c r="D77" s="37" t="s">
        <v>477</v>
      </c>
      <c r="E77" s="37">
        <v>7.6999999999999999E-2</v>
      </c>
      <c r="F77" s="37" t="s">
        <v>659</v>
      </c>
      <c r="G77" s="37" t="s">
        <v>660</v>
      </c>
      <c r="H77" s="37">
        <v>454</v>
      </c>
      <c r="I77" s="50"/>
      <c r="J77" s="37" t="s">
        <v>478</v>
      </c>
      <c r="K77" s="37" t="s">
        <v>479</v>
      </c>
      <c r="L77" s="37" t="s">
        <v>484</v>
      </c>
      <c r="M77" s="37">
        <v>43</v>
      </c>
      <c r="N77" s="37">
        <v>1176</v>
      </c>
      <c r="O77" s="37" t="s">
        <v>133</v>
      </c>
      <c r="P77" s="37" t="b">
        <v>0</v>
      </c>
      <c r="Q77" s="37"/>
      <c r="R77" s="37">
        <v>0</v>
      </c>
      <c r="S77" s="37"/>
      <c r="T77" s="37">
        <v>0</v>
      </c>
      <c r="U77" s="37"/>
      <c r="V77" s="37">
        <v>0</v>
      </c>
      <c r="W77" s="37"/>
      <c r="X77" s="37">
        <v>0</v>
      </c>
      <c r="Y77" s="37"/>
      <c r="Z77" s="37">
        <v>0</v>
      </c>
      <c r="AA77" s="37"/>
      <c r="AB77" s="37">
        <v>0</v>
      </c>
      <c r="AC77" s="37">
        <v>5.819</v>
      </c>
      <c r="AD77" s="37">
        <v>1E-3</v>
      </c>
      <c r="AE77" s="37" t="s">
        <v>481</v>
      </c>
      <c r="AF77" s="37">
        <v>100</v>
      </c>
      <c r="AG77" s="37">
        <v>43</v>
      </c>
      <c r="AH77" s="37">
        <v>44</v>
      </c>
      <c r="AI77" s="37">
        <v>5.819</v>
      </c>
      <c r="AJ77" s="37">
        <v>1E-3</v>
      </c>
      <c r="AK77" s="37">
        <v>0.20699999999999999</v>
      </c>
      <c r="AL77" s="37">
        <v>0</v>
      </c>
      <c r="AM77" s="37">
        <v>0</v>
      </c>
      <c r="AN77" s="37">
        <v>0</v>
      </c>
      <c r="AO77" s="37">
        <v>0</v>
      </c>
      <c r="AP77" s="37">
        <v>1</v>
      </c>
      <c r="AQ77" s="37" t="b">
        <v>0</v>
      </c>
      <c r="AR77" s="37">
        <v>8.9929999999999993E-3</v>
      </c>
      <c r="AS77" s="37" t="b">
        <v>1</v>
      </c>
      <c r="AT77" s="37" t="b">
        <v>1</v>
      </c>
      <c r="AU77" s="37" t="s">
        <v>482</v>
      </c>
      <c r="AV77" s="29">
        <v>0</v>
      </c>
      <c r="AW77" s="32">
        <v>70</v>
      </c>
      <c r="AX77" s="29">
        <v>17.5</v>
      </c>
      <c r="AY77" t="str">
        <f>IFERROR(HYPERLINK("#Technical!A"&amp;MATCH(B77,Technical!A:A,0),"Open Technical"),HYPERLINK("#Technical!A1","Open Technical"))</f>
        <v>Open Technical</v>
      </c>
    </row>
    <row r="78" spans="1:52" ht="30" customHeight="1" x14ac:dyDescent="0.25">
      <c r="A78" s="28" t="s">
        <v>475</v>
      </c>
      <c r="B78" s="33" t="s">
        <v>661</v>
      </c>
      <c r="C78" s="35">
        <v>200</v>
      </c>
      <c r="D78" s="28" t="s">
        <v>477</v>
      </c>
      <c r="E78" s="28">
        <v>2.5459999999999998</v>
      </c>
      <c r="F78" s="28" t="s">
        <v>662</v>
      </c>
      <c r="G78" s="28" t="s">
        <v>663</v>
      </c>
      <c r="H78" s="28">
        <v>193</v>
      </c>
      <c r="I78" s="49"/>
      <c r="J78" s="28" t="s">
        <v>478</v>
      </c>
      <c r="K78" s="28" t="s">
        <v>479</v>
      </c>
      <c r="L78" s="28" t="s">
        <v>484</v>
      </c>
      <c r="M78" s="28">
        <v>49</v>
      </c>
      <c r="N78" s="28">
        <v>371</v>
      </c>
      <c r="O78" s="28" t="s">
        <v>133</v>
      </c>
      <c r="P78" s="28" t="b">
        <v>0</v>
      </c>
      <c r="Q78" s="28"/>
      <c r="R78" s="28">
        <v>0</v>
      </c>
      <c r="S78" s="28"/>
      <c r="T78" s="28">
        <v>0</v>
      </c>
      <c r="U78" s="28"/>
      <c r="V78" s="28">
        <v>0</v>
      </c>
      <c r="W78" s="28"/>
      <c r="X78" s="28">
        <v>0</v>
      </c>
      <c r="Y78" s="28"/>
      <c r="Z78" s="28">
        <v>0</v>
      </c>
      <c r="AA78" s="28"/>
      <c r="AB78" s="28">
        <v>0</v>
      </c>
      <c r="AC78" s="28">
        <v>9.9499999999999993</v>
      </c>
      <c r="AD78" s="28">
        <v>1E-3</v>
      </c>
      <c r="AE78" s="28" t="s">
        <v>481</v>
      </c>
      <c r="AF78" s="28">
        <v>30</v>
      </c>
      <c r="AG78" s="28">
        <v>53</v>
      </c>
      <c r="AH78" s="28">
        <v>35</v>
      </c>
      <c r="AI78" s="28">
        <v>9.9499999999999993</v>
      </c>
      <c r="AJ78" s="28">
        <v>1E-3</v>
      </c>
      <c r="AK78" s="28">
        <v>0.20599999999999999</v>
      </c>
      <c r="AL78" s="28">
        <v>0</v>
      </c>
      <c r="AM78" s="28">
        <v>0</v>
      </c>
      <c r="AN78" s="28">
        <v>0</v>
      </c>
      <c r="AO78" s="28">
        <v>0</v>
      </c>
      <c r="AP78" s="28"/>
      <c r="AQ78" s="28" t="b">
        <v>1</v>
      </c>
      <c r="AR78" s="28">
        <v>1.861E-3</v>
      </c>
      <c r="AS78" s="28" t="b">
        <v>1</v>
      </c>
      <c r="AT78" s="28" t="b">
        <v>1</v>
      </c>
      <c r="AU78" s="28" t="s">
        <v>482</v>
      </c>
      <c r="AV78" s="29">
        <v>0</v>
      </c>
      <c r="AW78" s="29">
        <v>45</v>
      </c>
      <c r="AX78" s="29">
        <v>11.25</v>
      </c>
      <c r="AY78" s="34" t="str">
        <f>IFERROR(HYPERLINK("#Technical!A"&amp;MATCH(B78,Technical!A:A,0),"Open Technical"),HYPERLINK("#Technical!A1","Open Technical"))</f>
        <v>Open Technical</v>
      </c>
      <c r="AZ78" s="34"/>
    </row>
    <row r="79" spans="1:52" ht="30" customHeight="1" x14ac:dyDescent="0.25">
      <c r="A79" s="37" t="s">
        <v>475</v>
      </c>
      <c r="B79" s="30" t="s">
        <v>664</v>
      </c>
      <c r="C79" s="35">
        <v>200</v>
      </c>
      <c r="D79" s="37" t="s">
        <v>477</v>
      </c>
      <c r="E79" s="37">
        <v>2.5230000000000001</v>
      </c>
      <c r="F79" s="37" t="s">
        <v>665</v>
      </c>
      <c r="G79" s="37" t="s">
        <v>666</v>
      </c>
      <c r="H79" s="37">
        <v>166</v>
      </c>
      <c r="I79" s="50"/>
      <c r="J79" s="37" t="s">
        <v>478</v>
      </c>
      <c r="K79" s="37" t="s">
        <v>479</v>
      </c>
      <c r="L79" s="37" t="s">
        <v>484</v>
      </c>
      <c r="M79" s="37">
        <v>51</v>
      </c>
      <c r="N79" s="37">
        <v>306</v>
      </c>
      <c r="O79" s="37" t="s">
        <v>133</v>
      </c>
      <c r="P79" s="37" t="b">
        <v>0</v>
      </c>
      <c r="Q79" s="37"/>
      <c r="R79" s="37">
        <v>0</v>
      </c>
      <c r="S79" s="37"/>
      <c r="T79" s="37">
        <v>0</v>
      </c>
      <c r="U79" s="37"/>
      <c r="V79" s="37">
        <v>0</v>
      </c>
      <c r="W79" s="37"/>
      <c r="X79" s="37">
        <v>0</v>
      </c>
      <c r="Y79" s="37"/>
      <c r="Z79" s="37">
        <v>0</v>
      </c>
      <c r="AA79" s="37"/>
      <c r="AB79" s="37">
        <v>0</v>
      </c>
      <c r="AC79" s="37">
        <v>5.6710000000000003</v>
      </c>
      <c r="AD79" s="37">
        <v>0.156</v>
      </c>
      <c r="AE79" s="37" t="s">
        <v>481</v>
      </c>
      <c r="AF79" s="37">
        <v>30</v>
      </c>
      <c r="AG79" s="37">
        <v>53</v>
      </c>
      <c r="AH79" s="37">
        <v>46</v>
      </c>
      <c r="AI79" s="37">
        <v>5.6710000000000003</v>
      </c>
      <c r="AJ79" s="37">
        <v>0.156</v>
      </c>
      <c r="AK79" s="37">
        <v>0.26100000000000001</v>
      </c>
      <c r="AL79" s="37">
        <v>0</v>
      </c>
      <c r="AM79" s="37">
        <v>0</v>
      </c>
      <c r="AN79" s="37">
        <v>0</v>
      </c>
      <c r="AO79" s="37">
        <v>0</v>
      </c>
      <c r="AP79" s="37"/>
      <c r="AQ79" s="37" t="b">
        <v>1</v>
      </c>
      <c r="AR79" s="37">
        <v>1.861E-3</v>
      </c>
      <c r="AS79" s="37" t="b">
        <v>1</v>
      </c>
      <c r="AT79" s="37" t="b">
        <v>1</v>
      </c>
      <c r="AU79" s="37" t="s">
        <v>482</v>
      </c>
      <c r="AV79" s="29">
        <v>0</v>
      </c>
      <c r="AW79" s="29">
        <v>45</v>
      </c>
      <c r="AX79" s="29">
        <v>11.25</v>
      </c>
      <c r="AY79" t="str">
        <f>IFERROR(HYPERLINK("#Technical!A"&amp;MATCH(B79,Technical!A:A,0),"Open Technical"),HYPERLINK("#Technical!A1","Open Technical"))</f>
        <v>Open Technical</v>
      </c>
    </row>
    <row r="80" spans="1:52" ht="30" customHeight="1" x14ac:dyDescent="0.25">
      <c r="A80" s="28" t="s">
        <v>475</v>
      </c>
      <c r="B80" s="33" t="s">
        <v>667</v>
      </c>
      <c r="C80" s="35">
        <v>200</v>
      </c>
      <c r="D80" s="28" t="s">
        <v>477</v>
      </c>
      <c r="E80" s="28">
        <v>2.4969999999999999</v>
      </c>
      <c r="F80" s="28" t="s">
        <v>668</v>
      </c>
      <c r="G80" s="28" t="s">
        <v>669</v>
      </c>
      <c r="H80" s="28">
        <v>74</v>
      </c>
      <c r="I80" s="49"/>
      <c r="J80" s="28" t="s">
        <v>478</v>
      </c>
      <c r="K80" s="28" t="s">
        <v>479</v>
      </c>
      <c r="L80" s="28" t="s">
        <v>484</v>
      </c>
      <c r="M80" s="28">
        <v>78</v>
      </c>
      <c r="N80" s="28">
        <v>192</v>
      </c>
      <c r="O80" s="28" t="s">
        <v>614</v>
      </c>
      <c r="P80" s="28" t="b">
        <v>0</v>
      </c>
      <c r="Q80" s="28"/>
      <c r="R80" s="28">
        <v>0</v>
      </c>
      <c r="S80" s="28"/>
      <c r="T80" s="28">
        <v>0</v>
      </c>
      <c r="U80" s="28"/>
      <c r="V80" s="28">
        <v>0</v>
      </c>
      <c r="W80" s="28"/>
      <c r="X80" s="28">
        <v>0</v>
      </c>
      <c r="Y80" s="28"/>
      <c r="Z80" s="28">
        <v>0</v>
      </c>
      <c r="AA80" s="28"/>
      <c r="AB80" s="28">
        <v>0</v>
      </c>
      <c r="AC80" s="28">
        <v>15.02</v>
      </c>
      <c r="AD80" s="28">
        <v>6.6000000000000003E-2</v>
      </c>
      <c r="AE80" s="28" t="s">
        <v>481</v>
      </c>
      <c r="AF80" s="28">
        <v>30</v>
      </c>
      <c r="AG80" s="28">
        <v>41</v>
      </c>
      <c r="AH80" s="28">
        <v>40</v>
      </c>
      <c r="AI80" s="28">
        <v>15.02</v>
      </c>
      <c r="AJ80" s="28">
        <v>6.6000000000000003E-2</v>
      </c>
      <c r="AK80" s="28">
        <v>0.17799999999999999</v>
      </c>
      <c r="AL80" s="28">
        <v>0</v>
      </c>
      <c r="AM80" s="28">
        <v>0</v>
      </c>
      <c r="AN80" s="28">
        <v>0</v>
      </c>
      <c r="AO80" s="28">
        <v>0</v>
      </c>
      <c r="AP80" s="28"/>
      <c r="AQ80" s="28" t="b">
        <v>1</v>
      </c>
      <c r="AR80" s="28">
        <v>1.861E-3</v>
      </c>
      <c r="AS80" s="28" t="b">
        <v>1</v>
      </c>
      <c r="AT80" s="28" t="b">
        <v>1</v>
      </c>
      <c r="AU80" s="28" t="s">
        <v>482</v>
      </c>
      <c r="AV80" s="29">
        <v>0</v>
      </c>
      <c r="AW80" s="29">
        <v>45</v>
      </c>
      <c r="AX80" s="29">
        <v>11.25</v>
      </c>
      <c r="AY80" s="34" t="str">
        <f>IFERROR(HYPERLINK("#Technical!A"&amp;MATCH(B80,Technical!A:A,0),"Open Technical"),HYPERLINK("#Technical!A1","Open Technical"))</f>
        <v>Open Technical</v>
      </c>
      <c r="AZ80" s="34"/>
    </row>
    <row r="81" spans="1:52" ht="30" customHeight="1" x14ac:dyDescent="0.25">
      <c r="A81" s="37" t="s">
        <v>475</v>
      </c>
      <c r="B81" s="30" t="s">
        <v>670</v>
      </c>
      <c r="C81" s="35">
        <v>200</v>
      </c>
      <c r="D81" s="37" t="s">
        <v>477</v>
      </c>
      <c r="E81" s="37">
        <v>2.581</v>
      </c>
      <c r="F81" s="37" t="s">
        <v>671</v>
      </c>
      <c r="G81" s="37" t="s">
        <v>672</v>
      </c>
      <c r="H81" s="37">
        <v>62</v>
      </c>
      <c r="I81" s="50"/>
      <c r="J81" s="37" t="s">
        <v>478</v>
      </c>
      <c r="K81" s="37" t="s">
        <v>479</v>
      </c>
      <c r="L81" s="37" t="s">
        <v>484</v>
      </c>
      <c r="M81" s="37">
        <v>84</v>
      </c>
      <c r="N81" s="37">
        <v>106</v>
      </c>
      <c r="O81" s="37" t="s">
        <v>614</v>
      </c>
      <c r="P81" s="37" t="b">
        <v>0</v>
      </c>
      <c r="Q81" s="37"/>
      <c r="R81" s="37">
        <v>0</v>
      </c>
      <c r="S81" s="37"/>
      <c r="T81" s="37">
        <v>0</v>
      </c>
      <c r="U81" s="37"/>
      <c r="V81" s="37">
        <v>0</v>
      </c>
      <c r="W81" s="37"/>
      <c r="X81" s="37">
        <v>0</v>
      </c>
      <c r="Y81" s="37"/>
      <c r="Z81" s="37">
        <v>0</v>
      </c>
      <c r="AA81" s="37"/>
      <c r="AB81" s="37">
        <v>0</v>
      </c>
      <c r="AC81" s="37">
        <v>10.472</v>
      </c>
      <c r="AD81" s="37">
        <v>7.8E-2</v>
      </c>
      <c r="AE81" s="37" t="s">
        <v>481</v>
      </c>
      <c r="AF81" s="37">
        <v>40</v>
      </c>
      <c r="AG81" s="37">
        <v>53</v>
      </c>
      <c r="AH81" s="37">
        <v>32</v>
      </c>
      <c r="AI81" s="37">
        <v>10.472</v>
      </c>
      <c r="AJ81" s="37">
        <v>7.8E-2</v>
      </c>
      <c r="AK81" s="37">
        <v>0.17199999999999999</v>
      </c>
      <c r="AL81" s="37">
        <v>0</v>
      </c>
      <c r="AM81" s="37">
        <v>0</v>
      </c>
      <c r="AN81" s="37">
        <v>0</v>
      </c>
      <c r="AO81" s="37">
        <v>0</v>
      </c>
      <c r="AP81" s="37"/>
      <c r="AQ81" s="37" t="b">
        <v>1</v>
      </c>
      <c r="AR81" s="37">
        <v>1.861E-3</v>
      </c>
      <c r="AS81" s="37" t="b">
        <v>1</v>
      </c>
      <c r="AT81" s="37" t="b">
        <v>1</v>
      </c>
      <c r="AU81" s="37" t="s">
        <v>482</v>
      </c>
      <c r="AV81" s="29">
        <v>0</v>
      </c>
      <c r="AW81" s="29">
        <v>45</v>
      </c>
      <c r="AX81" s="29">
        <v>11.25</v>
      </c>
      <c r="AY81" t="str">
        <f>IFERROR(HYPERLINK("#Technical!A"&amp;MATCH(B81,Technical!A:A,0),"Open Technical"),HYPERLINK("#Technical!A1","Open Technical"))</f>
        <v>Open Technical</v>
      </c>
    </row>
    <row r="82" spans="1:52" ht="30" customHeight="1" x14ac:dyDescent="0.25">
      <c r="A82" s="28" t="s">
        <v>475</v>
      </c>
      <c r="B82" s="33" t="s">
        <v>673</v>
      </c>
      <c r="C82" s="35">
        <v>200</v>
      </c>
      <c r="D82" s="28" t="s">
        <v>477</v>
      </c>
      <c r="E82" s="28">
        <v>2.5</v>
      </c>
      <c r="F82" s="28" t="s">
        <v>674</v>
      </c>
      <c r="G82" s="28" t="s">
        <v>675</v>
      </c>
      <c r="H82" s="28">
        <v>171</v>
      </c>
      <c r="I82" s="49"/>
      <c r="J82" s="28" t="s">
        <v>478</v>
      </c>
      <c r="K82" s="28" t="s">
        <v>479</v>
      </c>
      <c r="L82" s="28" t="s">
        <v>484</v>
      </c>
      <c r="M82" s="28">
        <v>59</v>
      </c>
      <c r="N82" s="28">
        <v>345</v>
      </c>
      <c r="O82" s="28" t="s">
        <v>676</v>
      </c>
      <c r="P82" s="28" t="b">
        <v>0</v>
      </c>
      <c r="Q82" s="28"/>
      <c r="R82" s="28">
        <v>0</v>
      </c>
      <c r="S82" s="28"/>
      <c r="T82" s="28">
        <v>0</v>
      </c>
      <c r="U82" s="28"/>
      <c r="V82" s="28">
        <v>0</v>
      </c>
      <c r="W82" s="28"/>
      <c r="X82" s="28">
        <v>0</v>
      </c>
      <c r="Y82" s="28"/>
      <c r="Z82" s="28">
        <v>0</v>
      </c>
      <c r="AA82" s="28"/>
      <c r="AB82" s="28">
        <v>0</v>
      </c>
      <c r="AC82" s="28">
        <v>14.302</v>
      </c>
      <c r="AD82" s="28">
        <v>2.5999999999999999E-2</v>
      </c>
      <c r="AE82" s="28" t="s">
        <v>481</v>
      </c>
      <c r="AF82" s="28">
        <v>50</v>
      </c>
      <c r="AG82" s="28">
        <v>41</v>
      </c>
      <c r="AH82" s="28">
        <v>50</v>
      </c>
      <c r="AI82" s="28">
        <v>14.302</v>
      </c>
      <c r="AJ82" s="28">
        <v>2.5999999999999999E-2</v>
      </c>
      <c r="AK82" s="28">
        <v>0.21</v>
      </c>
      <c r="AL82" s="28">
        <v>0</v>
      </c>
      <c r="AM82" s="28">
        <v>0</v>
      </c>
      <c r="AN82" s="28">
        <v>0</v>
      </c>
      <c r="AO82" s="28">
        <v>0</v>
      </c>
      <c r="AP82" s="28"/>
      <c r="AQ82" s="28" t="b">
        <v>1</v>
      </c>
      <c r="AR82" s="28">
        <v>1.861E-3</v>
      </c>
      <c r="AS82" s="28" t="b">
        <v>1</v>
      </c>
      <c r="AT82" s="28" t="b">
        <v>1</v>
      </c>
      <c r="AU82" s="28" t="s">
        <v>482</v>
      </c>
      <c r="AV82" s="29">
        <v>0</v>
      </c>
      <c r="AW82" s="29">
        <v>45</v>
      </c>
      <c r="AX82" s="29">
        <v>11.25</v>
      </c>
      <c r="AY82" s="34" t="str">
        <f>IFERROR(HYPERLINK("#Technical!A"&amp;MATCH(B82,Technical!A:A,0),"Open Technical"),HYPERLINK("#Technical!A1","Open Technical"))</f>
        <v>Open Technical</v>
      </c>
      <c r="AZ82" s="34"/>
    </row>
    <row r="83" spans="1:52" ht="30" customHeight="1" x14ac:dyDescent="0.25">
      <c r="A83" s="37" t="s">
        <v>475</v>
      </c>
      <c r="B83" s="30" t="s">
        <v>677</v>
      </c>
      <c r="C83" s="35">
        <v>200</v>
      </c>
      <c r="D83" s="37" t="s">
        <v>477</v>
      </c>
      <c r="E83" s="37">
        <v>2.7290000000000001</v>
      </c>
      <c r="F83" s="37" t="s">
        <v>678</v>
      </c>
      <c r="G83" s="37" t="s">
        <v>679</v>
      </c>
      <c r="H83" s="37">
        <v>54</v>
      </c>
      <c r="I83" s="50"/>
      <c r="J83" s="37" t="s">
        <v>478</v>
      </c>
      <c r="K83" s="37" t="s">
        <v>479</v>
      </c>
      <c r="L83" s="37" t="s">
        <v>484</v>
      </c>
      <c r="M83" s="37">
        <v>67</v>
      </c>
      <c r="N83" s="37">
        <v>56</v>
      </c>
      <c r="O83" s="37" t="s">
        <v>614</v>
      </c>
      <c r="P83" s="37" t="b">
        <v>0</v>
      </c>
      <c r="Q83" s="37"/>
      <c r="R83" s="37">
        <v>0</v>
      </c>
      <c r="S83" s="37"/>
      <c r="T83" s="37">
        <v>0</v>
      </c>
      <c r="U83" s="37"/>
      <c r="V83" s="37">
        <v>0</v>
      </c>
      <c r="W83" s="37"/>
      <c r="X83" s="37">
        <v>0</v>
      </c>
      <c r="Y83" s="37"/>
      <c r="Z83" s="37">
        <v>0</v>
      </c>
      <c r="AA83" s="37"/>
      <c r="AB83" s="37">
        <v>0</v>
      </c>
      <c r="AC83" s="37">
        <v>11.099</v>
      </c>
      <c r="AD83" s="37">
        <v>0.13300000000000001</v>
      </c>
      <c r="AE83" s="37" t="s">
        <v>481</v>
      </c>
      <c r="AF83" s="37">
        <v>30</v>
      </c>
      <c r="AG83" s="37">
        <v>50</v>
      </c>
      <c r="AH83" s="37">
        <v>37</v>
      </c>
      <c r="AI83" s="37">
        <v>11.099</v>
      </c>
      <c r="AJ83" s="37">
        <v>0.13300000000000001</v>
      </c>
      <c r="AK83" s="37">
        <v>0.20399999999999999</v>
      </c>
      <c r="AL83" s="37">
        <v>0</v>
      </c>
      <c r="AM83" s="37">
        <v>0</v>
      </c>
      <c r="AN83" s="37">
        <v>0</v>
      </c>
      <c r="AO83" s="37">
        <v>0</v>
      </c>
      <c r="AP83" s="37"/>
      <c r="AQ83" s="37" t="b">
        <v>1</v>
      </c>
      <c r="AR83" s="37">
        <v>1.861E-3</v>
      </c>
      <c r="AS83" s="37" t="b">
        <v>1</v>
      </c>
      <c r="AT83" s="37" t="b">
        <v>1</v>
      </c>
      <c r="AU83" s="37" t="s">
        <v>482</v>
      </c>
      <c r="AV83" s="29">
        <v>0</v>
      </c>
      <c r="AW83" s="29">
        <v>45</v>
      </c>
      <c r="AX83" s="29">
        <v>11.25</v>
      </c>
      <c r="AY83" t="str">
        <f>IFERROR(HYPERLINK("#Technical!A"&amp;MATCH(B83,Technical!A:A,0),"Open Technical"),HYPERLINK("#Technical!A1","Open Technical"))</f>
        <v>Open Technical</v>
      </c>
    </row>
    <row r="84" spans="1:52" ht="30" customHeight="1" x14ac:dyDescent="0.25">
      <c r="A84" s="28" t="s">
        <v>475</v>
      </c>
      <c r="B84" s="33" t="s">
        <v>680</v>
      </c>
      <c r="C84" s="35">
        <v>200</v>
      </c>
      <c r="D84" s="28" t="s">
        <v>477</v>
      </c>
      <c r="E84" s="28">
        <v>2.5459999999999998</v>
      </c>
      <c r="F84" s="28" t="s">
        <v>681</v>
      </c>
      <c r="G84" s="28" t="s">
        <v>682</v>
      </c>
      <c r="H84" s="28">
        <v>39</v>
      </c>
      <c r="I84" s="49"/>
      <c r="J84" s="28" t="s">
        <v>478</v>
      </c>
      <c r="K84" s="28" t="s">
        <v>479</v>
      </c>
      <c r="L84" s="28" t="s">
        <v>484</v>
      </c>
      <c r="M84" s="28">
        <v>67</v>
      </c>
      <c r="N84" s="28">
        <v>56</v>
      </c>
      <c r="O84" s="28" t="s">
        <v>614</v>
      </c>
      <c r="P84" s="28" t="b">
        <v>0</v>
      </c>
      <c r="Q84" s="28"/>
      <c r="R84" s="28">
        <v>0</v>
      </c>
      <c r="S84" s="28"/>
      <c r="T84" s="28">
        <v>0</v>
      </c>
      <c r="U84" s="28"/>
      <c r="V84" s="28">
        <v>0</v>
      </c>
      <c r="W84" s="28"/>
      <c r="X84" s="28">
        <v>0</v>
      </c>
      <c r="Y84" s="28"/>
      <c r="Z84" s="28">
        <v>0</v>
      </c>
      <c r="AA84" s="28"/>
      <c r="AB84" s="28">
        <v>0</v>
      </c>
      <c r="AC84" s="28">
        <v>10.039999999999999</v>
      </c>
      <c r="AD84" s="28">
        <v>1E-3</v>
      </c>
      <c r="AE84" s="28" t="s">
        <v>481</v>
      </c>
      <c r="AF84" s="28">
        <v>30</v>
      </c>
      <c r="AG84" s="28">
        <v>62</v>
      </c>
      <c r="AH84" s="28">
        <v>37</v>
      </c>
      <c r="AI84" s="28">
        <v>10.039999999999999</v>
      </c>
      <c r="AJ84" s="28">
        <v>1E-3</v>
      </c>
      <c r="AK84" s="28">
        <v>0.16800000000000001</v>
      </c>
      <c r="AL84" s="28">
        <v>0</v>
      </c>
      <c r="AM84" s="28">
        <v>0</v>
      </c>
      <c r="AN84" s="28">
        <v>0</v>
      </c>
      <c r="AO84" s="28">
        <v>0</v>
      </c>
      <c r="AP84" s="28"/>
      <c r="AQ84" s="28" t="b">
        <v>1</v>
      </c>
      <c r="AR84" s="28">
        <v>1.861E-3</v>
      </c>
      <c r="AS84" s="28" t="b">
        <v>1</v>
      </c>
      <c r="AT84" s="28" t="b">
        <v>1</v>
      </c>
      <c r="AU84" s="28" t="s">
        <v>482</v>
      </c>
      <c r="AV84" s="29">
        <v>0</v>
      </c>
      <c r="AW84" s="29">
        <v>45</v>
      </c>
      <c r="AX84" s="29">
        <v>11.25</v>
      </c>
      <c r="AY84" s="34" t="str">
        <f>IFERROR(HYPERLINK("#Technical!A"&amp;MATCH(B84,Technical!A:A,0),"Open Technical"),HYPERLINK("#Technical!A1","Open Technical"))</f>
        <v>Open Technical</v>
      </c>
      <c r="AZ84" s="34"/>
    </row>
    <row r="85" spans="1:52" ht="30" customHeight="1" x14ac:dyDescent="0.25">
      <c r="A85" s="37" t="s">
        <v>475</v>
      </c>
      <c r="B85" s="30" t="s">
        <v>683</v>
      </c>
      <c r="C85" s="35">
        <v>200</v>
      </c>
      <c r="D85" s="37" t="s">
        <v>477</v>
      </c>
      <c r="E85" s="37">
        <v>2.54</v>
      </c>
      <c r="F85" s="37" t="s">
        <v>684</v>
      </c>
      <c r="G85" s="37" t="s">
        <v>685</v>
      </c>
      <c r="H85" s="37">
        <v>94</v>
      </c>
      <c r="I85" s="50"/>
      <c r="J85" s="37" t="s">
        <v>478</v>
      </c>
      <c r="K85" s="37" t="s">
        <v>479</v>
      </c>
      <c r="L85" s="37" t="s">
        <v>484</v>
      </c>
      <c r="M85" s="37">
        <v>49</v>
      </c>
      <c r="N85" s="37">
        <v>352</v>
      </c>
      <c r="O85" s="37" t="s">
        <v>133</v>
      </c>
      <c r="P85" s="37" t="b">
        <v>0</v>
      </c>
      <c r="Q85" s="37"/>
      <c r="R85" s="37">
        <v>0</v>
      </c>
      <c r="S85" s="37"/>
      <c r="T85" s="37">
        <v>0</v>
      </c>
      <c r="U85" s="37"/>
      <c r="V85" s="37">
        <v>0</v>
      </c>
      <c r="W85" s="37"/>
      <c r="X85" s="37">
        <v>0</v>
      </c>
      <c r="Y85" s="37"/>
      <c r="Z85" s="37">
        <v>0</v>
      </c>
      <c r="AA85" s="37"/>
      <c r="AB85" s="37">
        <v>0</v>
      </c>
      <c r="AC85" s="37">
        <v>10.574999999999999</v>
      </c>
      <c r="AD85" s="37">
        <v>2.1999999999999999E-2</v>
      </c>
      <c r="AE85" s="37" t="s">
        <v>481</v>
      </c>
      <c r="AF85" s="37">
        <v>30</v>
      </c>
      <c r="AG85" s="37">
        <v>68</v>
      </c>
      <c r="AH85" s="37">
        <v>30</v>
      </c>
      <c r="AI85" s="37">
        <v>10.574999999999999</v>
      </c>
      <c r="AJ85" s="37">
        <v>2.1999999999999999E-2</v>
      </c>
      <c r="AK85" s="37">
        <v>0.20499999999999999</v>
      </c>
      <c r="AL85" s="37">
        <v>0</v>
      </c>
      <c r="AM85" s="37">
        <v>0</v>
      </c>
      <c r="AN85" s="37">
        <v>0</v>
      </c>
      <c r="AO85" s="37">
        <v>0</v>
      </c>
      <c r="AP85" s="37"/>
      <c r="AQ85" s="37" t="b">
        <v>1</v>
      </c>
      <c r="AR85" s="37">
        <v>1.861E-3</v>
      </c>
      <c r="AS85" s="37" t="b">
        <v>1</v>
      </c>
      <c r="AT85" s="37" t="b">
        <v>1</v>
      </c>
      <c r="AU85" s="37" t="s">
        <v>482</v>
      </c>
      <c r="AV85" s="29">
        <v>0</v>
      </c>
      <c r="AW85" s="29">
        <v>45</v>
      </c>
      <c r="AX85" s="29">
        <v>11.25</v>
      </c>
      <c r="AY85" t="str">
        <f>IFERROR(HYPERLINK("#Technical!A"&amp;MATCH(B85,Technical!A:A,0),"Open Technical"),HYPERLINK("#Technical!A1","Open Technical"))</f>
        <v>Open Technical</v>
      </c>
    </row>
    <row r="86" spans="1:52" ht="30" customHeight="1" x14ac:dyDescent="0.25">
      <c r="A86" s="28" t="s">
        <v>475</v>
      </c>
      <c r="B86" s="33" t="s">
        <v>686</v>
      </c>
      <c r="C86" s="35">
        <v>200</v>
      </c>
      <c r="D86" s="28" t="s">
        <v>477</v>
      </c>
      <c r="E86" s="28">
        <v>2.6880000000000002</v>
      </c>
      <c r="F86" s="28" t="s">
        <v>687</v>
      </c>
      <c r="G86" s="28" t="s">
        <v>688</v>
      </c>
      <c r="H86" s="28">
        <v>1741</v>
      </c>
      <c r="I86" s="49"/>
      <c r="J86" s="28" t="s">
        <v>478</v>
      </c>
      <c r="K86" s="28" t="s">
        <v>479</v>
      </c>
      <c r="L86" s="28" t="s">
        <v>484</v>
      </c>
      <c r="M86" s="28">
        <v>51</v>
      </c>
      <c r="N86" s="28">
        <v>347</v>
      </c>
      <c r="O86" s="28" t="s">
        <v>133</v>
      </c>
      <c r="P86" s="28" t="b">
        <v>0</v>
      </c>
      <c r="Q86" s="28"/>
      <c r="R86" s="28">
        <v>0</v>
      </c>
      <c r="S86" s="28"/>
      <c r="T86" s="28">
        <v>0</v>
      </c>
      <c r="U86" s="28"/>
      <c r="V86" s="28">
        <v>0</v>
      </c>
      <c r="W86" s="28"/>
      <c r="X86" s="28">
        <v>0</v>
      </c>
      <c r="Y86" s="28"/>
      <c r="Z86" s="28">
        <v>0</v>
      </c>
      <c r="AA86" s="28"/>
      <c r="AB86" s="28">
        <v>0</v>
      </c>
      <c r="AC86" s="28">
        <v>12.74</v>
      </c>
      <c r="AD86" s="28">
        <v>6.6000000000000003E-2</v>
      </c>
      <c r="AE86" s="28" t="s">
        <v>481</v>
      </c>
      <c r="AF86" s="28">
        <v>30</v>
      </c>
      <c r="AG86" s="28">
        <v>48</v>
      </c>
      <c r="AH86" s="28">
        <v>46</v>
      </c>
      <c r="AI86" s="28">
        <v>12.74</v>
      </c>
      <c r="AJ86" s="28">
        <v>6.6000000000000003E-2</v>
      </c>
      <c r="AK86" s="28">
        <v>0.17100000000000001</v>
      </c>
      <c r="AL86" s="28">
        <v>0</v>
      </c>
      <c r="AM86" s="28">
        <v>0</v>
      </c>
      <c r="AN86" s="28">
        <v>0</v>
      </c>
      <c r="AO86" s="28">
        <v>0</v>
      </c>
      <c r="AP86" s="28"/>
      <c r="AQ86" s="28" t="b">
        <v>1</v>
      </c>
      <c r="AR86" s="28">
        <v>1.861E-3</v>
      </c>
      <c r="AS86" s="28" t="b">
        <v>1</v>
      </c>
      <c r="AT86" s="28" t="b">
        <v>1</v>
      </c>
      <c r="AU86" s="28" t="s">
        <v>482</v>
      </c>
      <c r="AV86" s="29">
        <v>0</v>
      </c>
      <c r="AW86" s="32">
        <v>70</v>
      </c>
      <c r="AX86" s="29">
        <v>17.5</v>
      </c>
      <c r="AY86" s="34" t="str">
        <f>IFERROR(HYPERLINK("#Technical!A"&amp;MATCH(B86,Technical!A:A,0),"Open Technical"),HYPERLINK("#Technical!A1","Open Technical"))</f>
        <v>Open Technical</v>
      </c>
      <c r="AZ86" s="34"/>
    </row>
  </sheetData>
  <autoFilter ref="A1:AZ86" xr:uid="{00000000-0009-0000-0000-000005000000}"/>
  <conditionalFormatting sqref="C2:C86">
    <cfRule type="cellIs" dxfId="56" priority="1" operator="equal">
      <formula>200</formula>
    </cfRule>
    <cfRule type="cellIs" dxfId="55" priority="2" operator="between">
      <formula>300</formula>
      <formula>399</formula>
    </cfRule>
    <cfRule type="cellIs" dxfId="54" priority="3" operator="greaterThanOrEqual">
      <formula>400</formula>
    </cfRule>
  </conditionalFormatting>
  <conditionalFormatting sqref="E2:E86">
    <cfRule type="colorScale" priority="4">
      <colorScale>
        <cfvo type="min"/>
        <cfvo type="percentile" val="50"/>
        <cfvo type="max"/>
        <color rgb="FF63BE7B"/>
        <color rgb="FFFFEB84"/>
        <color rgb="FFF8696B"/>
      </colorScale>
    </cfRule>
    <cfRule type="dataBar" priority="5">
      <dataBar>
        <cfvo type="min"/>
        <cfvo type="max"/>
        <color rgb="FF638EC6"/>
      </dataBar>
    </cfRule>
  </conditionalFormatting>
  <conditionalFormatting sqref="H2:H86">
    <cfRule type="colorScale" priority="6">
      <colorScale>
        <cfvo type="min"/>
        <cfvo type="percentile" val="50"/>
        <cfvo type="max"/>
        <color rgb="FFF8696B"/>
        <color rgb="FFFFEB84"/>
        <color rgb="FF63BE7B"/>
      </colorScale>
    </cfRule>
    <cfRule type="dataBar" priority="7">
      <dataBar>
        <cfvo type="min"/>
        <cfvo type="max"/>
        <color rgb="FF63BE7B"/>
      </dataBar>
    </cfRule>
    <cfRule type="colorScale" priority="13">
      <colorScale>
        <cfvo type="num" val="0"/>
        <cfvo type="num" val="150"/>
        <cfvo type="num" val="300"/>
        <color rgb="FFF8696B"/>
        <color rgb="FFFFEB84"/>
        <color rgb="FF63BE7B"/>
      </colorScale>
    </cfRule>
  </conditionalFormatting>
  <conditionalFormatting sqref="I2:I86">
    <cfRule type="colorScale" priority="8">
      <colorScale>
        <cfvo type="min"/>
        <cfvo type="percentile" val="50"/>
        <cfvo type="max"/>
        <color rgb="FFF8696B"/>
        <color rgb="FFFFEB84"/>
        <color rgb="FF63BE7B"/>
      </colorScale>
    </cfRule>
    <cfRule type="colorScale" priority="12">
      <colorScale>
        <cfvo type="num" val="0"/>
        <cfvo type="num" val="50"/>
        <cfvo type="num" val="100"/>
        <color rgb="FFF8696B"/>
        <color rgb="FFFFEB84"/>
        <color rgb="FF63BE7B"/>
      </colorScale>
    </cfRule>
  </conditionalFormatting>
  <conditionalFormatting sqref="J2:J86">
    <cfRule type="expression" dxfId="53" priority="9" stopIfTrue="1">
      <formula>LOWER(J2)="critical"</formula>
    </cfRule>
    <cfRule type="expression" dxfId="52" priority="10" stopIfTrue="1">
      <formula>LOWER(J2)="warning"</formula>
    </cfRule>
    <cfRule type="expression" dxfId="51" priority="11" stopIfTrue="1">
      <formula>OR(LOWER(J2)="pass",LOWER(J2)="observation")</formula>
    </cfRule>
  </conditionalFormatting>
  <conditionalFormatting sqref="N2:N86">
    <cfRule type="cellIs" dxfId="50" priority="14" operator="greaterThan">
      <formula>160</formula>
    </cfRule>
  </conditionalFormatting>
  <dataValidations count="54">
    <dataValidation type="custom" allowBlank="1" showInputMessage="1" promptTitle="Health Icon" prompt="Health Icon. Review this metric to identify risk, then use linked tabs for details and remediation." sqref="A1" xr:uid="{00000000-0002-0000-0500-000000000000}">
      <formula1>TRUE</formula1>
    </dataValidation>
    <dataValidation type="custom" allowBlank="1" showInputMessage="1" promptTitle="URL" prompt="URL. Use this URL to inspect the page directly or jump to related tabs." sqref="B1" xr:uid="{00000000-0002-0000-0500-000001000000}">
      <formula1>TRUE</formula1>
    </dataValidation>
    <dataValidation type="custom" allowBlank="1" showInputMessage="1" promptTitle="Status Code" prompt="HTTP response code returned for this page/resource. Fix: Resolve 4xx/5xx errors and reduce unnecessary redirects." sqref="C1" xr:uid="{00000000-0002-0000-0500-000002000000}">
      <formula1>TRUE</formula1>
    </dataValidation>
    <dataValidation type="custom" allowBlank="1" showInputMessage="1" promptTitle="Indexability" prompt="Indexing/canonicalization signal. Fix: ensure indexable pages use correct canonicals and non-conflicting directives." sqref="D1" xr:uid="{00000000-0002-0000-0500-000003000000}">
      <formula1>TRUE</formula1>
    </dataValidation>
    <dataValidation type="custom" allowBlank="1" showInputMessage="1" promptTitle="Load Time (s)" prompt="Page/request speed metric. Fix: optimise assets, server response time, and blocking resources." sqref="E1" xr:uid="{00000000-0002-0000-0500-000004000000}">
      <formula1>TRUE</formula1>
    </dataValidation>
    <dataValidation type="custom" allowBlank="1" showInputMessage="1" promptTitle="Title" prompt="Title. Review this metric to identify risk, then use linked tabs for details and remediation." sqref="F1" xr:uid="{00000000-0002-0000-0500-000005000000}">
      <formula1>TRUE</formula1>
    </dataValidation>
    <dataValidation type="custom" allowBlank="1" showInputMessage="1" promptTitle="Meta Description" prompt="Meta Description. Review this metric to identify risk, then use linked tabs for details and remediation." sqref="G1" xr:uid="{00000000-0002-0000-0500-000006000000}">
      <formula1>TRUE</formula1>
    </dataValidation>
    <dataValidation type="custom" allowBlank="1" showInputMessage="1" promptTitle="Word Count (Body)" prompt="Content quality depth metric. Fix: expand thin content and improve clarity for search intent." sqref="H1" xr:uid="{00000000-0002-0000-0500-000007000000}">
      <formula1>TRUE</formula1>
    </dataValidation>
    <dataValidation type="custom" allowBlank="1" showInputMessage="1" promptTitle="SEO Health Score" prompt="Composite SEO quality score for this URL. Higher is better. Guide: 90+ strong, 70-89 needs tuning, below 70 high priority." sqref="I1" xr:uid="{00000000-0002-0000-0500-000008000000}">
      <formula1>TRUE</formula1>
    </dataValidation>
    <dataValidation type="custom" allowBlank="1" showInputMessage="1" promptTitle="Severity Badge" prompt="Issue impact level. Fix: Resolve Critical first, then Warning, then improvement opportunities." sqref="J1" xr:uid="{00000000-0002-0000-0500-000009000000}">
      <formula1>TRUE</formula1>
    </dataValidation>
    <dataValidation type="custom" allowBlank="1" showInputMessage="1" promptTitle="Extraction State" prompt="Extraction State. Review this metric to identify risk, then use linked tabs for details and remediation." sqref="K1" xr:uid="{00000000-0002-0000-0500-00000A000000}">
      <formula1>TRUE</formula1>
    </dataValidation>
    <dataValidation type="custom" allowBlank="1" showInputMessage="1" promptTitle="Extraction Source" prompt="Extraction Source. Review this metric to identify risk, then use linked tabs for details and remediation." sqref="L1" xr:uid="{00000000-0002-0000-0500-00000B000000}">
      <formula1>TRUE</formula1>
    </dataValidation>
    <dataValidation type="custom" allowBlank="1" showInputMessage="1" promptTitle="Title Length" prompt="Title Length. Review this metric to identify risk, then use linked tabs for details and remediation." sqref="M1" xr:uid="{00000000-0002-0000-0500-00000C000000}">
      <formula1>TRUE</formula1>
    </dataValidation>
    <dataValidation type="custom" allowBlank="1" showInputMessage="1" promptTitle="Meta Desc Length" prompt="Meta Desc Length. Review this metric to identify risk, then use linked tabs for details and remediation." sqref="N1" xr:uid="{00000000-0002-0000-0500-00000D000000}">
      <formula1>TRUE</formula1>
    </dataValidation>
    <dataValidation type="custom" allowBlank="1" showInputMessage="1" promptTitle="OG-Image" prompt="OG-Image. Review this metric to identify risk, then use linked tabs for details and remediation." sqref="O1" xr:uid="{00000000-0002-0000-0500-00000E000000}">
      <formula1>TRUE</formula1>
    </dataValidation>
    <dataValidation type="custom" allowBlank="1" showInputMessage="1" promptTitle="Has Valid JSON-LD" prompt="Structured data signal. Fix: add valid schema types and correct parsing/validation errors." sqref="P1" xr:uid="{00000000-0002-0000-0500-00000F000000}">
      <formula1>TRUE</formula1>
    </dataValidation>
    <dataValidation type="custom" allowBlank="1" showInputMessage="1" promptTitle="H1 Content" prompt="H1 Content. Review this metric to identify risk, then use linked tabs for details and remediation." sqref="Q1" xr:uid="{00000000-0002-0000-0500-000010000000}">
      <formula1>TRUE</formula1>
    </dataValidation>
    <dataValidation type="custom" allowBlank="1" showInputMessage="1" promptTitle="H1 Length" prompt="H1 Length. Review this metric to identify risk, then use linked tabs for details and remediation." sqref="R1" xr:uid="{00000000-0002-0000-0500-000011000000}">
      <formula1>TRUE</formula1>
    </dataValidation>
    <dataValidation type="custom" allowBlank="1" showInputMessage="1" promptTitle="H2 Content" prompt="H2 Content. Review this metric to identify risk, then use linked tabs for details and remediation." sqref="S1" xr:uid="{00000000-0002-0000-0500-000012000000}">
      <formula1>TRUE</formula1>
    </dataValidation>
    <dataValidation type="custom" allowBlank="1" showInputMessage="1" promptTitle="H2 Length" prompt="H2 Length. Review this metric to identify risk, then use linked tabs for details and remediation." sqref="T1" xr:uid="{00000000-0002-0000-0500-000013000000}">
      <formula1>TRUE</formula1>
    </dataValidation>
    <dataValidation type="custom" allowBlank="1" showInputMessage="1" promptTitle="H3 Content" prompt="H3 Content. Review this metric to identify risk, then use linked tabs for details and remediation." sqref="U1" xr:uid="{00000000-0002-0000-0500-000014000000}">
      <formula1>TRUE</formula1>
    </dataValidation>
    <dataValidation type="custom" allowBlank="1" showInputMessage="1" promptTitle="H3 Length" prompt="H3 Length. Review this metric to identify risk, then use linked tabs for details and remediation." sqref="V1" xr:uid="{00000000-0002-0000-0500-000015000000}">
      <formula1>TRUE</formula1>
    </dataValidation>
    <dataValidation type="custom" allowBlank="1" showInputMessage="1" promptTitle="H4 Content" prompt="H4 Content. Review this metric to identify risk, then use linked tabs for details and remediation." sqref="W1" xr:uid="{00000000-0002-0000-0500-000016000000}">
      <formula1>TRUE</formula1>
    </dataValidation>
    <dataValidation type="custom" allowBlank="1" showInputMessage="1" promptTitle="H4 Length" prompt="H4 Length. Review this metric to identify risk, then use linked tabs for details and remediation." sqref="X1" xr:uid="{00000000-0002-0000-0500-000017000000}">
      <formula1>TRUE</formula1>
    </dataValidation>
    <dataValidation type="custom" allowBlank="1" showInputMessage="1" promptTitle="H5 Content" prompt="H5 Content. Review this metric to identify risk, then use linked tabs for details and remediation." sqref="Y1" xr:uid="{00000000-0002-0000-0500-000018000000}">
      <formula1>TRUE</formula1>
    </dataValidation>
    <dataValidation type="custom" allowBlank="1" showInputMessage="1" promptTitle="H5 Length" prompt="H5 Length. Review this metric to identify risk, then use linked tabs for details and remediation." sqref="Z1" xr:uid="{00000000-0002-0000-0500-000019000000}">
      <formula1>TRUE</formula1>
    </dataValidation>
    <dataValidation type="custom" allowBlank="1" showInputMessage="1" promptTitle="H6 Content" prompt="H6 Content. Review this metric to identify risk, then use linked tabs for details and remediation." sqref="AA1" xr:uid="{00000000-0002-0000-0500-00001A000000}">
      <formula1>TRUE</formula1>
    </dataValidation>
    <dataValidation type="custom" allowBlank="1" showInputMessage="1" promptTitle="H6 Length" prompt="H6 Length. Review this metric to identify risk, then use linked tabs for details and remediation." sqref="AB1" xr:uid="{00000000-0002-0000-0500-00001B000000}">
      <formula1>TRUE</formula1>
    </dataValidation>
    <dataValidation type="custom" allowBlank="1" showInputMessage="1" promptTitle="CWV LCP (s)" prompt="CWV LCP (s). Review this metric to identify risk, then use linked tabs for details and remediation." sqref="AC1" xr:uid="{00000000-0002-0000-0500-00001C000000}">
      <formula1>TRUE</formula1>
    </dataValidation>
    <dataValidation type="custom" allowBlank="1" showInputMessage="1" promptTitle="CWV CLS" prompt="CWV CLS. Review this metric to identify risk, then use linked tabs for details and remediation." sqref="AD1" xr:uid="{00000000-0002-0000-0500-00001D000000}">
      <formula1>TRUE</formula1>
    </dataValidation>
    <dataValidation type="custom" allowBlank="1" showInputMessage="1" promptTitle="Field vs Lab" prompt="Field vs Lab. Review this metric to identify risk, then use linked tabs for details and remediation." sqref="AE1" xr:uid="{00000000-0002-0000-0500-00001E000000}">
      <formula1>TRUE</formula1>
    </dataValidation>
    <dataValidation type="custom" allowBlank="1" showInputMessage="1" promptTitle="Regional Authority Score" prompt="Regional Authority Score. Review this metric to identify risk, then use linked tabs for details and remediation." sqref="AF1" xr:uid="{00000000-0002-0000-0500-00001F000000}">
      <formula1>TRUE</formula1>
    </dataValidation>
    <dataValidation type="custom" allowBlank="1" showInputMessage="1" promptTitle="Desktop PSI Score" prompt="Desktop PSI Score. Review this metric to identify risk, then use linked tabs for details and remediation." sqref="AG1" xr:uid="{00000000-0002-0000-0500-000020000000}">
      <formula1>TRUE</formula1>
    </dataValidation>
    <dataValidation type="custom" allowBlank="1" showInputMessage="1" promptTitle="Mobile PSI Score" prompt="Mobile PSI Score. Review this metric to identify risk, then use linked tabs for details and remediation." sqref="AH1" xr:uid="{00000000-0002-0000-0500-000021000000}">
      <formula1>TRUE</formula1>
    </dataValidation>
    <dataValidation type="custom" allowBlank="1" showInputMessage="1" promptTitle="Mobile LCP (s)" prompt="Mobile LCP (s). Review this metric to identify risk, then use linked tabs for details and remediation." sqref="AI1" xr:uid="{00000000-0002-0000-0500-000022000000}">
      <formula1>TRUE</formula1>
    </dataValidation>
    <dataValidation type="custom" allowBlank="1" showInputMessage="1" promptTitle="Mobile CLS" prompt="Mobile CLS. Review this metric to identify risk, then use linked tabs for details and remediation." sqref="AJ1" xr:uid="{00000000-0002-0000-0500-000023000000}">
      <formula1>TRUE</formula1>
    </dataValidation>
    <dataValidation type="custom" allowBlank="1" showInputMessage="1" promptTitle="Mobile TTFB (s)" prompt="Time to First Byte: server responsiveness signal. Fix: optimise backend performance, caching, and CDN usage." sqref="AK1" xr:uid="{00000000-0002-0000-0500-000024000000}">
      <formula1>TRUE</formula1>
    </dataValidation>
    <dataValidation type="custom" allowBlank="1" showInputMessage="1" promptTitle="GSC Clicks" prompt="GSC Clicks. Review this metric to identify risk, then use linked tabs for details and remediation." sqref="AL1" xr:uid="{00000000-0002-0000-0500-000025000000}">
      <formula1>TRUE</formula1>
    </dataValidation>
    <dataValidation type="custom" allowBlank="1" showInputMessage="1" promptTitle="GSC Impressions" prompt="GSC Impressions. Review this metric to identify risk, then use linked tabs for details and remediation." sqref="AM1" xr:uid="{00000000-0002-0000-0500-000026000000}">
      <formula1>TRUE</formula1>
    </dataValidation>
    <dataValidation type="custom" allowBlank="1" showInputMessage="1" promptTitle="GSC CTR" prompt="GSC CTR. Review this metric to identify risk, then use linked tabs for details and remediation." sqref="AN1" xr:uid="{00000000-0002-0000-0500-000027000000}">
      <formula1>TRUE</formula1>
    </dataValidation>
    <dataValidation type="custom" allowBlank="1" showInputMessage="1" promptTitle="GSC Avg Position" prompt="GSC Avg Position. Review this metric to identify risk, then use linked tabs for details and remediation." sqref="AO1" xr:uid="{00000000-0002-0000-0500-000028000000}">
      <formula1>TRUE</formula1>
    </dataValidation>
    <dataValidation type="custom" allowBlank="1" showInputMessage="1" promptTitle="Click Depth" prompt="Click Depth. Review this metric to identify risk, then use linked tabs for details and remediation." sqref="AP1" xr:uid="{00000000-0002-0000-0500-000029000000}">
      <formula1>TRUE</formula1>
    </dataValidation>
    <dataValidation type="custom" allowBlank="1" showInputMessage="1" promptTitle="Orphan Pages" prompt="Orphan Pages. Review this metric to identify risk, then use linked tabs for details and remediation." sqref="AQ1" xr:uid="{00000000-0002-0000-0500-00002A000000}">
      <formula1>TRUE</formula1>
    </dataValidation>
    <dataValidation type="custom" allowBlank="1" showInputMessage="1" promptTitle="Internal PageRank" prompt="Internal PageRank. Review this metric to identify risk, then use linked tabs for details and remediation." sqref="AR1" xr:uid="{00000000-0002-0000-0500-00002B000000}">
      <formula1>TRUE</formula1>
    </dataValidation>
    <dataValidation type="custom" allowBlank="1" showInputMessage="1" promptTitle="Found via Sitemap" prompt="Found via Sitemap. Review this metric to identify risk, then use linked tabs for details and remediation." sqref="AS1" xr:uid="{00000000-0002-0000-0500-00002C000000}">
      <formula1>TRUE</formula1>
    </dataValidation>
    <dataValidation type="custom" allowBlank="1" showInputMessage="1" promptTitle="Found via Crawl" prompt="Found via Crawl. Review this metric to identify risk, then use linked tabs for details and remediation." sqref="AT1" xr:uid="{00000000-0002-0000-0500-00002D000000}">
      <formula1>TRUE</formula1>
    </dataValidation>
    <dataValidation type="custom" allowBlank="1" showInputMessage="1" promptTitle="Discovery Source" prompt="Discovery Source. Review this metric to identify risk, then use linked tabs for details and remediation." sqref="AU1" xr:uid="{00000000-0002-0000-0500-00002E000000}">
      <formula1>TRUE</formula1>
    </dataValidation>
    <dataValidation type="custom" allowBlank="1" showInputMessage="1" promptTitle="Technical Health" prompt="Technical Health. Review this metric to identify risk, then use linked tabs for details and remediation." sqref="AV1" xr:uid="{00000000-0002-0000-0500-00002F000000}">
      <formula1>TRUE</formula1>
    </dataValidation>
    <dataValidation type="custom" allowBlank="1" showInputMessage="1" promptTitle="Copy Score" prompt="Copy Score. Review this metric to identify risk, then use linked tabs for details and remediation." sqref="AW1" xr:uid="{00000000-0002-0000-0500-000030000000}">
      <formula1>TRUE</formula1>
    </dataValidation>
    <dataValidation type="custom" allowBlank="1" showInputMessage="1" promptTitle="SEO Score" prompt="SEO Score. Review this metric to identify risk, then use linked tabs for details and remediation." sqref="AX1" xr:uid="{00000000-0002-0000-0500-000031000000}">
      <formula1>TRUE</formula1>
    </dataValidation>
    <dataValidation type="custom" allowBlank="1" showInputMessage="1" promptTitle="Technical View" prompt="Navigation helper. Click to jump directly to the related record in another tab." sqref="AY1" xr:uid="{00000000-0002-0000-0500-000032000000}">
      <formula1>TRUE</formula1>
    </dataValidation>
    <dataValidation type="custom" allowBlank="1" showInputMessage="1" promptTitle="BACK TO DASHBOARD" prompt="BACK TO DASHBOARD. Review this metric to identify risk, then use linked tabs for details and remediation." sqref="AZ1" xr:uid="{00000000-0002-0000-0500-000033000000}">
      <formula1>TRUE</formula1>
    </dataValidation>
    <dataValidation type="custom" allowBlank="1" showInputMessage="1" promptTitle="Status Code" prompt="HTTP status returned for the URL. Fix: Resolve 4xx/5xx errors and remove unnecessary redirect chains." sqref="C1" xr:uid="{00000000-0002-0000-0500-000034000000}">
      <formula1>TRUE</formula1>
    </dataValidation>
    <dataValidation type="custom" allowBlank="1" showInputMessage="1" promptTitle="SEO Health Score" prompt="Weighted technical SEO quality score for this URL. Fix: Prioritize critical issues and improve warnings in FixPlan." sqref="I1" xr:uid="{00000000-0002-0000-0500-000035000000}">
      <formula1>TRUE</formula1>
    </dataValidation>
  </dataValidations>
  <hyperlinks>
    <hyperlink ref="AZ1" location="Dashboard!A1" display="BACK TO DASHBOARD" xr:uid="{00000000-0004-0000-0500-000000000000}"/>
    <hyperlink ref="B2" r:id="rId1" xr:uid="{00000000-0004-0000-0500-000001000000}"/>
    <hyperlink ref="B3" r:id="rId2" xr:uid="{00000000-0004-0000-0500-000002000000}"/>
    <hyperlink ref="B4" r:id="rId3" xr:uid="{00000000-0004-0000-0500-000003000000}"/>
    <hyperlink ref="B5" r:id="rId4" xr:uid="{00000000-0004-0000-0500-000004000000}"/>
    <hyperlink ref="B6" r:id="rId5" xr:uid="{00000000-0004-0000-0500-000005000000}"/>
    <hyperlink ref="B7" r:id="rId6" xr:uid="{00000000-0004-0000-0500-000006000000}"/>
    <hyperlink ref="B8" r:id="rId7" xr:uid="{00000000-0004-0000-0500-000007000000}"/>
    <hyperlink ref="B9" r:id="rId8" xr:uid="{00000000-0004-0000-0500-000008000000}"/>
    <hyperlink ref="B10" r:id="rId9" xr:uid="{00000000-0004-0000-0500-000009000000}"/>
    <hyperlink ref="B11" r:id="rId10" xr:uid="{00000000-0004-0000-0500-00000A000000}"/>
    <hyperlink ref="B12" r:id="rId11" xr:uid="{00000000-0004-0000-0500-00000B000000}"/>
    <hyperlink ref="B13" r:id="rId12" xr:uid="{00000000-0004-0000-0500-00000C000000}"/>
    <hyperlink ref="B14" r:id="rId13" xr:uid="{00000000-0004-0000-0500-00000D000000}"/>
    <hyperlink ref="B15" r:id="rId14" xr:uid="{00000000-0004-0000-0500-00000E000000}"/>
    <hyperlink ref="B16" r:id="rId15" xr:uid="{00000000-0004-0000-0500-00000F000000}"/>
    <hyperlink ref="B17" r:id="rId16" xr:uid="{00000000-0004-0000-0500-000010000000}"/>
    <hyperlink ref="B18" r:id="rId17" xr:uid="{00000000-0004-0000-0500-000011000000}"/>
    <hyperlink ref="B19" r:id="rId18" xr:uid="{00000000-0004-0000-0500-000012000000}"/>
    <hyperlink ref="B20" r:id="rId19" xr:uid="{00000000-0004-0000-0500-000013000000}"/>
    <hyperlink ref="B21" r:id="rId20" xr:uid="{00000000-0004-0000-0500-000014000000}"/>
    <hyperlink ref="B22" r:id="rId21" xr:uid="{00000000-0004-0000-0500-000015000000}"/>
    <hyperlink ref="B23" r:id="rId22" xr:uid="{00000000-0004-0000-0500-000016000000}"/>
    <hyperlink ref="B24" r:id="rId23" xr:uid="{00000000-0004-0000-0500-000017000000}"/>
    <hyperlink ref="B25" r:id="rId24" xr:uid="{00000000-0004-0000-0500-000018000000}"/>
    <hyperlink ref="B26" r:id="rId25" xr:uid="{00000000-0004-0000-0500-000019000000}"/>
    <hyperlink ref="B27" r:id="rId26" xr:uid="{00000000-0004-0000-0500-00001A000000}"/>
    <hyperlink ref="B28" r:id="rId27" xr:uid="{00000000-0004-0000-0500-00001B000000}"/>
    <hyperlink ref="B29" r:id="rId28" xr:uid="{00000000-0004-0000-0500-00001C000000}"/>
    <hyperlink ref="B30" r:id="rId29" xr:uid="{00000000-0004-0000-0500-00001D000000}"/>
    <hyperlink ref="B31" r:id="rId30" xr:uid="{00000000-0004-0000-0500-00001E000000}"/>
    <hyperlink ref="B32" r:id="rId31" xr:uid="{00000000-0004-0000-0500-00001F000000}"/>
    <hyperlink ref="B33" r:id="rId32" xr:uid="{00000000-0004-0000-0500-000020000000}"/>
    <hyperlink ref="B34" r:id="rId33" xr:uid="{00000000-0004-0000-0500-000021000000}"/>
    <hyperlink ref="B35" r:id="rId34" xr:uid="{00000000-0004-0000-0500-000022000000}"/>
    <hyperlink ref="B36" r:id="rId35" xr:uid="{00000000-0004-0000-0500-000023000000}"/>
    <hyperlink ref="B37" r:id="rId36" xr:uid="{00000000-0004-0000-0500-000024000000}"/>
    <hyperlink ref="B38" r:id="rId37" xr:uid="{00000000-0004-0000-0500-000025000000}"/>
    <hyperlink ref="B39" r:id="rId38" xr:uid="{00000000-0004-0000-0500-000026000000}"/>
    <hyperlink ref="B40" r:id="rId39" xr:uid="{00000000-0004-0000-0500-000027000000}"/>
    <hyperlink ref="B41" r:id="rId40" xr:uid="{00000000-0004-0000-0500-000028000000}"/>
    <hyperlink ref="B42" r:id="rId41" xr:uid="{00000000-0004-0000-0500-000029000000}"/>
    <hyperlink ref="B43" r:id="rId42" xr:uid="{00000000-0004-0000-0500-00002A000000}"/>
    <hyperlink ref="B44" r:id="rId43" xr:uid="{00000000-0004-0000-0500-00002B000000}"/>
    <hyperlink ref="B45" r:id="rId44" xr:uid="{00000000-0004-0000-0500-00002C000000}"/>
    <hyperlink ref="B46" r:id="rId45" xr:uid="{00000000-0004-0000-0500-00002D000000}"/>
    <hyperlink ref="B47" r:id="rId46" xr:uid="{00000000-0004-0000-0500-00002E000000}"/>
    <hyperlink ref="B48" r:id="rId47" xr:uid="{00000000-0004-0000-0500-00002F000000}"/>
    <hyperlink ref="B49" r:id="rId48" xr:uid="{00000000-0004-0000-0500-000030000000}"/>
    <hyperlink ref="B50" r:id="rId49" xr:uid="{00000000-0004-0000-0500-000031000000}"/>
    <hyperlink ref="B51" r:id="rId50" xr:uid="{00000000-0004-0000-0500-000032000000}"/>
    <hyperlink ref="B52" r:id="rId51" xr:uid="{00000000-0004-0000-0500-000033000000}"/>
    <hyperlink ref="B53" r:id="rId52" xr:uid="{00000000-0004-0000-0500-000034000000}"/>
    <hyperlink ref="B54" r:id="rId53" xr:uid="{00000000-0004-0000-0500-000035000000}"/>
    <hyperlink ref="B55" r:id="rId54" xr:uid="{00000000-0004-0000-0500-000036000000}"/>
    <hyperlink ref="B56" r:id="rId55" xr:uid="{00000000-0004-0000-0500-000037000000}"/>
    <hyperlink ref="B57" r:id="rId56" xr:uid="{00000000-0004-0000-0500-000038000000}"/>
    <hyperlink ref="B58" r:id="rId57" xr:uid="{00000000-0004-0000-0500-000039000000}"/>
    <hyperlink ref="B59" r:id="rId58" xr:uid="{00000000-0004-0000-0500-00003A000000}"/>
    <hyperlink ref="B60" r:id="rId59" xr:uid="{00000000-0004-0000-0500-00003B000000}"/>
    <hyperlink ref="B61" r:id="rId60" xr:uid="{00000000-0004-0000-0500-00003C000000}"/>
    <hyperlink ref="B62" r:id="rId61" xr:uid="{00000000-0004-0000-0500-00003D000000}"/>
    <hyperlink ref="B63" r:id="rId62" xr:uid="{00000000-0004-0000-0500-00003E000000}"/>
    <hyperlink ref="B64" r:id="rId63" xr:uid="{00000000-0004-0000-0500-00003F000000}"/>
    <hyperlink ref="B65" r:id="rId64" xr:uid="{00000000-0004-0000-0500-000040000000}"/>
    <hyperlink ref="B66" r:id="rId65" xr:uid="{00000000-0004-0000-0500-000041000000}"/>
    <hyperlink ref="B67" r:id="rId66" xr:uid="{00000000-0004-0000-0500-000042000000}"/>
    <hyperlink ref="B68" r:id="rId67" xr:uid="{00000000-0004-0000-0500-000043000000}"/>
    <hyperlink ref="B69" r:id="rId68" xr:uid="{00000000-0004-0000-0500-000044000000}"/>
    <hyperlink ref="B70" r:id="rId69" xr:uid="{00000000-0004-0000-0500-000045000000}"/>
    <hyperlink ref="B71" r:id="rId70" xr:uid="{00000000-0004-0000-0500-000046000000}"/>
    <hyperlink ref="B72" r:id="rId71" xr:uid="{00000000-0004-0000-0500-000047000000}"/>
    <hyperlink ref="B73" r:id="rId72" xr:uid="{00000000-0004-0000-0500-000048000000}"/>
    <hyperlink ref="B74" r:id="rId73" xr:uid="{00000000-0004-0000-0500-000049000000}"/>
    <hyperlink ref="B75" r:id="rId74" xr:uid="{00000000-0004-0000-0500-00004A000000}"/>
    <hyperlink ref="B76" r:id="rId75" xr:uid="{00000000-0004-0000-0500-00004B000000}"/>
    <hyperlink ref="B77" r:id="rId76" xr:uid="{00000000-0004-0000-0500-00004C000000}"/>
    <hyperlink ref="B78" r:id="rId77" xr:uid="{00000000-0004-0000-0500-00004D000000}"/>
    <hyperlink ref="B79" r:id="rId78" xr:uid="{00000000-0004-0000-0500-00004E000000}"/>
    <hyperlink ref="B80" r:id="rId79" xr:uid="{00000000-0004-0000-0500-00004F000000}"/>
    <hyperlink ref="B81" r:id="rId80" xr:uid="{00000000-0004-0000-0500-000050000000}"/>
    <hyperlink ref="B82" r:id="rId81" xr:uid="{00000000-0004-0000-0500-000051000000}"/>
    <hyperlink ref="B83" r:id="rId82" xr:uid="{00000000-0004-0000-0500-000052000000}"/>
    <hyperlink ref="B84" r:id="rId83" xr:uid="{00000000-0004-0000-0500-000053000000}"/>
    <hyperlink ref="B85" r:id="rId84" xr:uid="{00000000-0004-0000-0500-000054000000}"/>
    <hyperlink ref="B86" r:id="rId85" xr:uid="{00000000-0004-0000-0500-000055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P86"/>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36" customWidth="1"/>
    <col min="2" max="2" width="13" customWidth="1"/>
    <col min="3" max="3" width="14" customWidth="1"/>
    <col min="4" max="4" width="18" customWidth="1"/>
    <col min="5" max="5" width="16" customWidth="1"/>
    <col min="6" max="6" width="15" customWidth="1"/>
    <col min="7" max="7" width="21" customWidth="1"/>
    <col min="8" max="8" width="11" customWidth="1"/>
    <col min="9" max="9" width="25" customWidth="1"/>
    <col min="10" max="11" width="36" customWidth="1"/>
    <col min="12" max="12" width="16" customWidth="1"/>
    <col min="13" max="13" width="7" customWidth="1"/>
    <col min="14" max="15" width="8" customWidth="1"/>
    <col min="16" max="16" width="18" customWidth="1"/>
    <col min="17" max="17" width="19" customWidth="1"/>
    <col min="18" max="18" width="13" customWidth="1"/>
    <col min="19" max="19" width="11" customWidth="1"/>
    <col min="20" max="20" width="18" customWidth="1"/>
    <col min="21" max="21" width="12" customWidth="1"/>
    <col min="22" max="22" width="10" customWidth="1"/>
    <col min="23" max="23" width="23" customWidth="1"/>
    <col min="24" max="25" width="60" customWidth="1"/>
    <col min="26" max="26" width="22" customWidth="1"/>
    <col min="27" max="27" width="26" customWidth="1"/>
    <col min="28" max="28" width="14" customWidth="1"/>
    <col min="29" max="29" width="16" hidden="1" customWidth="1"/>
    <col min="30" max="30" width="21" customWidth="1"/>
    <col min="31" max="31" width="57" customWidth="1"/>
    <col min="32" max="32" width="6" customWidth="1"/>
    <col min="33" max="33" width="14" customWidth="1"/>
    <col min="34" max="34" width="34" hidden="1" customWidth="1"/>
    <col min="35" max="35" width="29" customWidth="1"/>
    <col min="36" max="36" width="60" customWidth="1"/>
    <col min="37" max="37" width="28" customWidth="1"/>
    <col min="38" max="45" width="18" hidden="1" customWidth="1" outlineLevel="1"/>
    <col min="46" max="46" width="15" customWidth="1"/>
    <col min="47" max="47" width="16" customWidth="1"/>
    <col min="48" max="48" width="15" customWidth="1"/>
    <col min="49" max="49" width="27" customWidth="1"/>
    <col min="50" max="50" width="18" customWidth="1"/>
    <col min="51" max="51" width="10" customWidth="1"/>
    <col min="52" max="53" width="20" hidden="1" customWidth="1"/>
    <col min="54" max="54" width="22" customWidth="1"/>
    <col min="55" max="55" width="29" customWidth="1"/>
    <col min="56" max="56" width="22" customWidth="1"/>
    <col min="57" max="57" width="54" hidden="1" customWidth="1"/>
    <col min="58" max="58" width="18" customWidth="1"/>
    <col min="59" max="59" width="19" customWidth="1"/>
    <col min="60" max="60" width="18" customWidth="1"/>
    <col min="61" max="61" width="16" customWidth="1"/>
    <col min="62" max="62" width="12" customWidth="1"/>
    <col min="63" max="63" width="17" customWidth="1"/>
    <col min="64" max="64" width="13" customWidth="1"/>
    <col min="65" max="65" width="9" customWidth="1"/>
    <col min="66" max="66" width="17" customWidth="1"/>
    <col min="67" max="67" width="14" customWidth="1"/>
    <col min="68" max="68" width="12" customWidth="1"/>
    <col min="69" max="69" width="17" customWidth="1"/>
    <col min="70" max="70" width="9" customWidth="1"/>
    <col min="71" max="71" width="18" customWidth="1"/>
    <col min="72" max="72" width="13" customWidth="1"/>
    <col min="73" max="73" width="18" customWidth="1"/>
    <col min="74" max="74" width="14" customWidth="1"/>
    <col min="75" max="75" width="19" customWidth="1"/>
    <col min="76" max="76" width="26" customWidth="1"/>
    <col min="77" max="77" width="22" customWidth="1"/>
    <col min="78" max="78" width="40" customWidth="1"/>
    <col min="79" max="79" width="26" customWidth="1"/>
    <col min="80" max="80" width="23" customWidth="1"/>
    <col min="81" max="81" width="22" customWidth="1"/>
    <col min="82" max="82" width="26" customWidth="1"/>
    <col min="83" max="83" width="16" customWidth="1"/>
    <col min="84" max="84" width="27" customWidth="1"/>
    <col min="85" max="85" width="28" customWidth="1"/>
    <col min="86" max="86" width="27" customWidth="1"/>
    <col min="87" max="87" width="25" customWidth="1"/>
    <col min="88" max="88" width="24" customWidth="1"/>
    <col min="89" max="89" width="60" customWidth="1"/>
    <col min="90" max="90" width="18" customWidth="1"/>
    <col min="91" max="91" width="11" customWidth="1"/>
    <col min="92" max="92" width="16" customWidth="1"/>
  </cols>
  <sheetData>
    <row r="1" spans="1:94" ht="45" x14ac:dyDescent="0.25">
      <c r="A1" s="27" t="s">
        <v>102</v>
      </c>
      <c r="B1" s="27" t="s">
        <v>431</v>
      </c>
      <c r="C1" s="27" t="s">
        <v>689</v>
      </c>
      <c r="D1" s="27" t="s">
        <v>435</v>
      </c>
      <c r="E1" s="27" t="s">
        <v>436</v>
      </c>
      <c r="F1" s="27" t="s">
        <v>305</v>
      </c>
      <c r="G1" s="27" t="s">
        <v>690</v>
      </c>
      <c r="H1" s="27" t="s">
        <v>691</v>
      </c>
      <c r="I1" s="27" t="s">
        <v>692</v>
      </c>
      <c r="J1" s="27" t="s">
        <v>693</v>
      </c>
      <c r="K1" s="27" t="s">
        <v>694</v>
      </c>
      <c r="L1" s="27" t="s">
        <v>695</v>
      </c>
      <c r="M1" s="27" t="s">
        <v>68</v>
      </c>
      <c r="N1" s="27" t="s">
        <v>64</v>
      </c>
      <c r="O1" s="27" t="s">
        <v>307</v>
      </c>
      <c r="P1" s="27" t="s">
        <v>437</v>
      </c>
      <c r="Q1" s="27" t="s">
        <v>438</v>
      </c>
      <c r="R1" s="27" t="s">
        <v>430</v>
      </c>
      <c r="S1" s="27" t="s">
        <v>119</v>
      </c>
      <c r="T1" s="27" t="s">
        <v>120</v>
      </c>
      <c r="U1" s="27" t="s">
        <v>121</v>
      </c>
      <c r="V1" s="27" t="s">
        <v>696</v>
      </c>
      <c r="W1" s="27" t="s">
        <v>697</v>
      </c>
      <c r="X1" s="27" t="s">
        <v>698</v>
      </c>
      <c r="Y1" s="27" t="s">
        <v>699</v>
      </c>
      <c r="Z1" s="27" t="s">
        <v>700</v>
      </c>
      <c r="AA1" s="27" t="s">
        <v>701</v>
      </c>
      <c r="AB1" s="27" t="s">
        <v>702</v>
      </c>
      <c r="AC1" s="27" t="s">
        <v>703</v>
      </c>
      <c r="AD1" s="27" t="s">
        <v>704</v>
      </c>
      <c r="AE1" s="27" t="s">
        <v>705</v>
      </c>
      <c r="AF1" s="27" t="s">
        <v>706</v>
      </c>
      <c r="AG1" s="27" t="s">
        <v>707</v>
      </c>
      <c r="AH1" s="27" t="s">
        <v>708</v>
      </c>
      <c r="AI1" s="27" t="s">
        <v>709</v>
      </c>
      <c r="AJ1" s="27" t="s">
        <v>710</v>
      </c>
      <c r="AK1" s="27" t="s">
        <v>711</v>
      </c>
      <c r="AL1" s="27" t="s">
        <v>712</v>
      </c>
      <c r="AM1" s="27" t="s">
        <v>713</v>
      </c>
      <c r="AN1" s="27" t="s">
        <v>714</v>
      </c>
      <c r="AO1" s="27" t="s">
        <v>715</v>
      </c>
      <c r="AP1" s="27" t="s">
        <v>716</v>
      </c>
      <c r="AQ1" s="27" t="s">
        <v>717</v>
      </c>
      <c r="AR1" s="27" t="s">
        <v>718</v>
      </c>
      <c r="AS1" s="27" t="s">
        <v>719</v>
      </c>
      <c r="AT1" s="27" t="s">
        <v>720</v>
      </c>
      <c r="AU1" s="27" t="s">
        <v>721</v>
      </c>
      <c r="AV1" s="27" t="s">
        <v>722</v>
      </c>
      <c r="AW1" s="27" t="s">
        <v>723</v>
      </c>
      <c r="AX1" s="27" t="s">
        <v>724</v>
      </c>
      <c r="AY1" s="27" t="s">
        <v>725</v>
      </c>
      <c r="AZ1" s="27" t="s">
        <v>726</v>
      </c>
      <c r="BA1" s="27" t="s">
        <v>727</v>
      </c>
      <c r="BB1" s="27" t="s">
        <v>728</v>
      </c>
      <c r="BC1" s="27" t="s">
        <v>729</v>
      </c>
      <c r="BD1" s="27" t="s">
        <v>730</v>
      </c>
      <c r="BE1" s="27" t="s">
        <v>731</v>
      </c>
      <c r="BF1" s="27" t="s">
        <v>732</v>
      </c>
      <c r="BG1" s="27" t="s">
        <v>459</v>
      </c>
      <c r="BH1" s="27" t="s">
        <v>460</v>
      </c>
      <c r="BI1" s="27" t="s">
        <v>461</v>
      </c>
      <c r="BJ1" s="27" t="s">
        <v>462</v>
      </c>
      <c r="BK1" s="27" t="s">
        <v>463</v>
      </c>
      <c r="BL1" s="27" t="s">
        <v>455</v>
      </c>
      <c r="BM1" s="27" t="s">
        <v>456</v>
      </c>
      <c r="BN1" s="27" t="s">
        <v>733</v>
      </c>
      <c r="BO1" s="27" t="s">
        <v>457</v>
      </c>
      <c r="BP1" s="27" t="s">
        <v>464</v>
      </c>
      <c r="BQ1" s="27" t="s">
        <v>465</v>
      </c>
      <c r="BR1" s="27" t="s">
        <v>466</v>
      </c>
      <c r="BS1" s="27" t="s">
        <v>467</v>
      </c>
      <c r="BT1" s="27" t="s">
        <v>468</v>
      </c>
      <c r="BU1" s="27" t="s">
        <v>734</v>
      </c>
      <c r="BV1" s="27" t="s">
        <v>469</v>
      </c>
      <c r="BW1" s="27" t="s">
        <v>470</v>
      </c>
      <c r="BX1" s="27" t="s">
        <v>458</v>
      </c>
      <c r="BY1" s="27" t="s">
        <v>735</v>
      </c>
      <c r="BZ1" s="27" t="s">
        <v>736</v>
      </c>
      <c r="CA1" s="27" t="s">
        <v>737</v>
      </c>
      <c r="CB1" s="27" t="s">
        <v>738</v>
      </c>
      <c r="CC1" s="27" t="s">
        <v>739</v>
      </c>
      <c r="CD1" s="27" t="s">
        <v>740</v>
      </c>
      <c r="CE1" s="27" t="s">
        <v>741</v>
      </c>
      <c r="CF1" s="27" t="s">
        <v>742</v>
      </c>
      <c r="CG1" s="27" t="s">
        <v>743</v>
      </c>
      <c r="CH1" s="27" t="s">
        <v>744</v>
      </c>
      <c r="CI1" s="27" t="s">
        <v>745</v>
      </c>
      <c r="CJ1" s="27" t="s">
        <v>746</v>
      </c>
      <c r="CK1" s="27" t="s">
        <v>747</v>
      </c>
      <c r="CL1" s="27" t="s">
        <v>748</v>
      </c>
      <c r="CM1" s="27" t="s">
        <v>749</v>
      </c>
      <c r="CN1" s="27" t="s">
        <v>750</v>
      </c>
      <c r="CO1" s="27" t="s">
        <v>122</v>
      </c>
      <c r="CP1" s="36" t="s">
        <v>251</v>
      </c>
    </row>
    <row r="2" spans="1:94" ht="30" customHeight="1" x14ac:dyDescent="0.25">
      <c r="A2" s="33" t="s">
        <v>476</v>
      </c>
      <c r="B2" s="29">
        <v>404</v>
      </c>
      <c r="C2" s="28" t="s">
        <v>751</v>
      </c>
      <c r="D2" s="49"/>
      <c r="E2" s="28" t="s">
        <v>478</v>
      </c>
      <c r="F2" s="28"/>
      <c r="G2" s="29" t="s">
        <v>752</v>
      </c>
      <c r="H2" s="49">
        <v>4055.68</v>
      </c>
      <c r="I2" s="49"/>
      <c r="J2" s="51" t="s">
        <v>753</v>
      </c>
      <c r="K2" s="51"/>
      <c r="L2" s="28"/>
      <c r="M2" s="28" t="s">
        <v>335</v>
      </c>
      <c r="N2" s="29" t="s">
        <v>2</v>
      </c>
      <c r="O2" s="28"/>
      <c r="P2" s="28" t="s">
        <v>479</v>
      </c>
      <c r="Q2" s="28" t="s">
        <v>480</v>
      </c>
      <c r="R2" s="28" t="s">
        <v>475</v>
      </c>
      <c r="S2" s="29">
        <v>13.75</v>
      </c>
      <c r="T2" s="29">
        <v>0</v>
      </c>
      <c r="U2" s="29">
        <v>55</v>
      </c>
      <c r="V2" s="28" t="s">
        <v>754</v>
      </c>
      <c r="W2" s="28">
        <v>1</v>
      </c>
      <c r="X2" s="28" t="s">
        <v>755</v>
      </c>
      <c r="Y2" s="31" t="s">
        <v>756</v>
      </c>
      <c r="Z2" s="28" t="b">
        <v>0</v>
      </c>
      <c r="AA2" s="28" t="s">
        <v>757</v>
      </c>
      <c r="AB2" s="28" t="s">
        <v>758</v>
      </c>
      <c r="AC2" s="28"/>
      <c r="AD2" s="35" t="b">
        <v>1</v>
      </c>
      <c r="AE2" s="28" t="s">
        <v>759</v>
      </c>
      <c r="AF2" s="28"/>
      <c r="AG2" s="28"/>
      <c r="AH2" s="28"/>
      <c r="AI2" s="51"/>
      <c r="AJ2" s="51"/>
      <c r="AK2" s="28"/>
      <c r="AL2" s="46" t="b">
        <v>0</v>
      </c>
      <c r="AM2" s="28">
        <v>0</v>
      </c>
      <c r="AN2" s="28" t="b">
        <v>0</v>
      </c>
      <c r="AO2" s="28"/>
      <c r="AP2" s="28"/>
      <c r="AQ2" s="46" t="b">
        <v>0</v>
      </c>
      <c r="AR2" s="28" t="b">
        <v>0</v>
      </c>
      <c r="AS2" s="28" t="b">
        <v>0</v>
      </c>
      <c r="AT2" s="28"/>
      <c r="AU2" s="41"/>
      <c r="AV2" s="41"/>
      <c r="AW2" s="41" t="s">
        <v>760</v>
      </c>
      <c r="AX2" s="28" t="s">
        <v>761</v>
      </c>
      <c r="AY2" s="28" t="s">
        <v>762</v>
      </c>
      <c r="AZ2" s="28">
        <v>0</v>
      </c>
      <c r="BA2" s="28"/>
      <c r="BB2" s="28">
        <v>0</v>
      </c>
      <c r="BC2" s="28">
        <v>0</v>
      </c>
      <c r="BD2" s="28">
        <v>0</v>
      </c>
      <c r="BE2" s="28" t="b">
        <v>0</v>
      </c>
      <c r="BF2" s="35" t="b">
        <v>1</v>
      </c>
      <c r="BG2" s="28">
        <v>0</v>
      </c>
      <c r="BH2" s="28">
        <v>0</v>
      </c>
      <c r="BI2" s="28">
        <v>0</v>
      </c>
      <c r="BJ2" s="28">
        <v>0</v>
      </c>
      <c r="BK2" s="28">
        <v>0</v>
      </c>
      <c r="BL2" s="28">
        <v>0</v>
      </c>
      <c r="BM2" s="28"/>
      <c r="BN2" s="28" t="s">
        <v>481</v>
      </c>
      <c r="BO2" s="28" t="s">
        <v>481</v>
      </c>
      <c r="BP2" s="28">
        <v>0</v>
      </c>
      <c r="BQ2" s="28">
        <v>0</v>
      </c>
      <c r="BR2" s="28">
        <v>0</v>
      </c>
      <c r="BS2" s="28">
        <v>0</v>
      </c>
      <c r="BT2" s="28"/>
      <c r="BU2" s="28">
        <v>0</v>
      </c>
      <c r="BV2" s="28" t="b">
        <v>1</v>
      </c>
      <c r="BW2" s="28">
        <v>1.861E-3</v>
      </c>
      <c r="BX2" s="28">
        <v>0</v>
      </c>
      <c r="BY2" s="28">
        <v>0</v>
      </c>
      <c r="BZ2" s="28" t="b">
        <v>0</v>
      </c>
      <c r="CA2" s="28" t="s">
        <v>85</v>
      </c>
      <c r="CB2" s="28"/>
      <c r="CC2" s="28"/>
      <c r="CD2" s="28"/>
      <c r="CE2" s="28" t="s">
        <v>763</v>
      </c>
      <c r="CF2" s="28"/>
      <c r="CG2" s="28" t="b">
        <v>0</v>
      </c>
      <c r="CH2" s="28" t="b">
        <v>0</v>
      </c>
      <c r="CI2" s="28">
        <v>0</v>
      </c>
      <c r="CJ2" s="28">
        <v>0</v>
      </c>
      <c r="CK2" s="28"/>
      <c r="CL2" s="28"/>
      <c r="CM2" s="51">
        <v>1</v>
      </c>
      <c r="CN2" s="51" t="b">
        <v>0</v>
      </c>
      <c r="CO2" s="34" t="str">
        <f>IFERROR(HYPERLINK("#Main!A"&amp;MATCH(A2,Main!A:A,0),"Open"),HYPERLINK("#Main!A1","Open"))</f>
        <v>Open</v>
      </c>
      <c r="CP2" s="34"/>
    </row>
    <row r="3" spans="1:94" ht="30" customHeight="1" x14ac:dyDescent="0.25">
      <c r="A3" s="30" t="s">
        <v>483</v>
      </c>
      <c r="B3" s="29">
        <v>404</v>
      </c>
      <c r="C3" s="37" t="s">
        <v>751</v>
      </c>
      <c r="D3" s="50"/>
      <c r="E3" s="37" t="s">
        <v>478</v>
      </c>
      <c r="F3" s="37"/>
      <c r="G3" s="29" t="s">
        <v>752</v>
      </c>
      <c r="H3" s="50">
        <v>4066.1</v>
      </c>
      <c r="I3" s="50"/>
      <c r="J3" s="52" t="s">
        <v>764</v>
      </c>
      <c r="K3" s="52"/>
      <c r="L3" s="37"/>
      <c r="M3" s="37" t="s">
        <v>335</v>
      </c>
      <c r="N3" s="29" t="s">
        <v>2</v>
      </c>
      <c r="O3" s="37"/>
      <c r="P3" s="37" t="s">
        <v>479</v>
      </c>
      <c r="Q3" s="37" t="s">
        <v>480</v>
      </c>
      <c r="R3" s="37" t="s">
        <v>475</v>
      </c>
      <c r="S3" s="29">
        <v>13.75</v>
      </c>
      <c r="T3" s="29">
        <v>0</v>
      </c>
      <c r="U3" s="29">
        <v>55</v>
      </c>
      <c r="V3" s="37" t="s">
        <v>754</v>
      </c>
      <c r="W3" s="37">
        <v>1</v>
      </c>
      <c r="X3" s="37" t="s">
        <v>765</v>
      </c>
      <c r="Y3" s="43" t="s">
        <v>766</v>
      </c>
      <c r="Z3" s="37" t="b">
        <v>0</v>
      </c>
      <c r="AA3" s="37" t="s">
        <v>757</v>
      </c>
      <c r="AB3" s="37" t="s">
        <v>758</v>
      </c>
      <c r="AC3" s="37"/>
      <c r="AD3" s="35" t="b">
        <v>1</v>
      </c>
      <c r="AE3" s="37" t="s">
        <v>759</v>
      </c>
      <c r="AF3" s="37"/>
      <c r="AG3" s="37"/>
      <c r="AH3" s="37"/>
      <c r="AI3" s="52"/>
      <c r="AJ3" s="52"/>
      <c r="AK3" s="37"/>
      <c r="AL3" s="46" t="b">
        <v>0</v>
      </c>
      <c r="AM3" s="37">
        <v>0</v>
      </c>
      <c r="AN3" s="37" t="b">
        <v>0</v>
      </c>
      <c r="AO3" s="37"/>
      <c r="AP3" s="37"/>
      <c r="AQ3" s="46" t="b">
        <v>0</v>
      </c>
      <c r="AR3" s="37" t="b">
        <v>0</v>
      </c>
      <c r="AS3" s="37" t="b">
        <v>0</v>
      </c>
      <c r="AT3" s="37"/>
      <c r="AU3" s="44"/>
      <c r="AV3" s="44"/>
      <c r="AW3" s="44" t="s">
        <v>767</v>
      </c>
      <c r="AX3" s="37" t="s">
        <v>761</v>
      </c>
      <c r="AY3" s="37" t="s">
        <v>762</v>
      </c>
      <c r="AZ3" s="37">
        <v>0</v>
      </c>
      <c r="BA3" s="37"/>
      <c r="BB3" s="37">
        <v>0</v>
      </c>
      <c r="BC3" s="37">
        <v>0</v>
      </c>
      <c r="BD3" s="37">
        <v>0</v>
      </c>
      <c r="BE3" s="37" t="b">
        <v>0</v>
      </c>
      <c r="BF3" s="35" t="b">
        <v>1</v>
      </c>
      <c r="BG3" s="37">
        <v>0</v>
      </c>
      <c r="BH3" s="37">
        <v>0</v>
      </c>
      <c r="BI3" s="37">
        <v>0</v>
      </c>
      <c r="BJ3" s="37">
        <v>0</v>
      </c>
      <c r="BK3" s="37">
        <v>0</v>
      </c>
      <c r="BL3" s="37">
        <v>0</v>
      </c>
      <c r="BM3" s="37"/>
      <c r="BN3" s="37" t="s">
        <v>481</v>
      </c>
      <c r="BO3" s="37" t="s">
        <v>481</v>
      </c>
      <c r="BP3" s="37">
        <v>0</v>
      </c>
      <c r="BQ3" s="37">
        <v>0</v>
      </c>
      <c r="BR3" s="37">
        <v>0</v>
      </c>
      <c r="BS3" s="37">
        <v>0</v>
      </c>
      <c r="BT3" s="37"/>
      <c r="BU3" s="37">
        <v>0</v>
      </c>
      <c r="BV3" s="37" t="b">
        <v>1</v>
      </c>
      <c r="BW3" s="37">
        <v>1.861E-3</v>
      </c>
      <c r="BX3" s="37">
        <v>0</v>
      </c>
      <c r="BY3" s="37">
        <v>0</v>
      </c>
      <c r="BZ3" s="37" t="b">
        <v>0</v>
      </c>
      <c r="CA3" s="37" t="s">
        <v>85</v>
      </c>
      <c r="CB3" s="37"/>
      <c r="CC3" s="37"/>
      <c r="CD3" s="37"/>
      <c r="CE3" s="37" t="s">
        <v>763</v>
      </c>
      <c r="CF3" s="37"/>
      <c r="CG3" s="37" t="b">
        <v>0</v>
      </c>
      <c r="CH3" s="37" t="b">
        <v>0</v>
      </c>
      <c r="CI3" s="37">
        <v>0</v>
      </c>
      <c r="CJ3" s="37">
        <v>0</v>
      </c>
      <c r="CK3" s="37"/>
      <c r="CL3" s="37"/>
      <c r="CM3" s="52">
        <v>2</v>
      </c>
      <c r="CN3" s="52" t="b">
        <v>0</v>
      </c>
      <c r="CO3" t="str">
        <f>IFERROR(HYPERLINK("#Main!A"&amp;MATCH(A3,Main!A:A,0),"Open"),HYPERLINK("#Main!A1","Open"))</f>
        <v>Open</v>
      </c>
    </row>
    <row r="4" spans="1:94" ht="31.5" x14ac:dyDescent="0.25">
      <c r="A4" s="33" t="s">
        <v>127</v>
      </c>
      <c r="B4" s="35">
        <v>200</v>
      </c>
      <c r="C4" s="28" t="s">
        <v>768</v>
      </c>
      <c r="D4" s="49"/>
      <c r="E4" s="28" t="s">
        <v>478</v>
      </c>
      <c r="F4" s="28"/>
      <c r="G4" s="35" t="s">
        <v>477</v>
      </c>
      <c r="H4" s="49">
        <v>68.02</v>
      </c>
      <c r="I4" s="49">
        <v>21005.1</v>
      </c>
      <c r="J4" s="51" t="s">
        <v>127</v>
      </c>
      <c r="K4" s="51" t="s">
        <v>127</v>
      </c>
      <c r="L4" s="28" t="s">
        <v>769</v>
      </c>
      <c r="M4" s="28" t="s">
        <v>335</v>
      </c>
      <c r="N4" s="29" t="s">
        <v>2</v>
      </c>
      <c r="O4" s="28"/>
      <c r="P4" s="28" t="s">
        <v>479</v>
      </c>
      <c r="Q4" s="28" t="s">
        <v>484</v>
      </c>
      <c r="R4" s="28" t="s">
        <v>475</v>
      </c>
      <c r="S4" s="29">
        <v>18.75</v>
      </c>
      <c r="T4" s="29">
        <v>0</v>
      </c>
      <c r="U4" s="32">
        <v>75</v>
      </c>
      <c r="V4" s="28" t="s">
        <v>754</v>
      </c>
      <c r="W4" s="28">
        <v>0</v>
      </c>
      <c r="X4" s="28"/>
      <c r="Y4" s="31"/>
      <c r="Z4" s="28" t="b">
        <v>0</v>
      </c>
      <c r="AA4" s="28" t="s">
        <v>757</v>
      </c>
      <c r="AB4" s="28" t="s">
        <v>758</v>
      </c>
      <c r="AC4" s="28">
        <v>558.41</v>
      </c>
      <c r="AD4" s="35" t="b">
        <v>1</v>
      </c>
      <c r="AE4" s="28" t="s">
        <v>770</v>
      </c>
      <c r="AF4" s="28"/>
      <c r="AG4" s="28"/>
      <c r="AH4" s="28" t="s">
        <v>771</v>
      </c>
      <c r="AI4" s="53" t="b">
        <v>1</v>
      </c>
      <c r="AJ4" s="51" t="s">
        <v>127</v>
      </c>
      <c r="AK4" s="35" t="b">
        <v>1</v>
      </c>
      <c r="AL4" s="46" t="b">
        <v>0</v>
      </c>
      <c r="AM4" s="28">
        <v>0</v>
      </c>
      <c r="AN4" s="28" t="b">
        <v>0</v>
      </c>
      <c r="AO4" s="28"/>
      <c r="AP4" s="28"/>
      <c r="AQ4" s="46" t="b">
        <v>0</v>
      </c>
      <c r="AR4" s="28" t="b">
        <v>0</v>
      </c>
      <c r="AS4" s="28" t="b">
        <v>0</v>
      </c>
      <c r="AT4" s="28"/>
      <c r="AU4" s="41"/>
      <c r="AV4" s="41"/>
      <c r="AW4" s="41" t="s">
        <v>772</v>
      </c>
      <c r="AX4" s="28" t="s">
        <v>773</v>
      </c>
      <c r="AY4" s="28" t="s">
        <v>774</v>
      </c>
      <c r="AZ4" s="28">
        <v>0</v>
      </c>
      <c r="BA4" s="28"/>
      <c r="BB4" s="28">
        <v>63</v>
      </c>
      <c r="BC4" s="28">
        <v>22</v>
      </c>
      <c r="BD4" s="28">
        <v>2</v>
      </c>
      <c r="BE4" s="28" t="b">
        <v>0</v>
      </c>
      <c r="BF4" s="35" t="b">
        <v>1</v>
      </c>
      <c r="BG4" s="28">
        <v>51</v>
      </c>
      <c r="BH4" s="28">
        <v>0</v>
      </c>
      <c r="BI4" s="28">
        <v>0</v>
      </c>
      <c r="BJ4" s="28">
        <v>0</v>
      </c>
      <c r="BK4" s="28">
        <v>0</v>
      </c>
      <c r="BL4" s="28">
        <v>0</v>
      </c>
      <c r="BM4" s="28">
        <v>0</v>
      </c>
      <c r="BN4" s="28" t="s">
        <v>775</v>
      </c>
      <c r="BO4" s="28" t="s">
        <v>481</v>
      </c>
      <c r="BP4" s="28">
        <v>0</v>
      </c>
      <c r="BQ4" s="28">
        <v>0</v>
      </c>
      <c r="BR4" s="28">
        <v>0</v>
      </c>
      <c r="BS4" s="28">
        <v>0</v>
      </c>
      <c r="BT4" s="28">
        <v>0</v>
      </c>
      <c r="BU4" s="28">
        <v>68</v>
      </c>
      <c r="BV4" s="28" t="b">
        <v>0</v>
      </c>
      <c r="BW4" s="28">
        <v>6.1538000000000002E-2</v>
      </c>
      <c r="BX4" s="28">
        <v>100</v>
      </c>
      <c r="BY4" s="28">
        <v>16</v>
      </c>
      <c r="BZ4" s="28" t="b">
        <v>0</v>
      </c>
      <c r="CA4" s="28" t="s">
        <v>82</v>
      </c>
      <c r="CB4" s="28"/>
      <c r="CC4" s="28"/>
      <c r="CD4" s="28"/>
      <c r="CE4" s="28" t="s">
        <v>776</v>
      </c>
      <c r="CF4" s="28"/>
      <c r="CG4" s="28" t="b">
        <v>0</v>
      </c>
      <c r="CH4" s="28" t="b">
        <v>0</v>
      </c>
      <c r="CI4" s="28">
        <v>475</v>
      </c>
      <c r="CJ4" s="28">
        <v>942</v>
      </c>
      <c r="CK4" s="28"/>
      <c r="CL4" s="28"/>
      <c r="CM4" s="51">
        <v>0</v>
      </c>
      <c r="CN4" s="51" t="b">
        <v>0</v>
      </c>
      <c r="CO4" s="34" t="str">
        <f>IFERROR(HYPERLINK("#Main!A"&amp;MATCH(A4,Main!A:A,0),"Open"),HYPERLINK("#Main!A1","Open"))</f>
        <v>Open</v>
      </c>
      <c r="CP4" s="34"/>
    </row>
    <row r="5" spans="1:94" ht="30" customHeight="1" x14ac:dyDescent="0.25">
      <c r="A5" s="30" t="s">
        <v>135</v>
      </c>
      <c r="B5" s="35">
        <v>200</v>
      </c>
      <c r="C5" s="37" t="s">
        <v>768</v>
      </c>
      <c r="D5" s="50"/>
      <c r="E5" s="37" t="s">
        <v>478</v>
      </c>
      <c r="F5" s="37"/>
      <c r="G5" s="35" t="s">
        <v>477</v>
      </c>
      <c r="H5" s="50">
        <v>78.55</v>
      </c>
      <c r="I5" s="50">
        <v>21308.95</v>
      </c>
      <c r="J5" s="52" t="s">
        <v>135</v>
      </c>
      <c r="K5" s="52" t="s">
        <v>135</v>
      </c>
      <c r="L5" s="37" t="s">
        <v>769</v>
      </c>
      <c r="M5" s="37" t="s">
        <v>335</v>
      </c>
      <c r="N5" s="29" t="s">
        <v>2</v>
      </c>
      <c r="O5" s="37"/>
      <c r="P5" s="37" t="s">
        <v>479</v>
      </c>
      <c r="Q5" s="37" t="s">
        <v>484</v>
      </c>
      <c r="R5" s="37" t="s">
        <v>475</v>
      </c>
      <c r="S5" s="29">
        <v>18.75</v>
      </c>
      <c r="T5" s="29">
        <v>0</v>
      </c>
      <c r="U5" s="32">
        <v>75</v>
      </c>
      <c r="V5" s="37" t="s">
        <v>754</v>
      </c>
      <c r="W5" s="37">
        <v>0</v>
      </c>
      <c r="X5" s="37"/>
      <c r="Y5" s="43"/>
      <c r="Z5" s="37" t="b">
        <v>0</v>
      </c>
      <c r="AA5" s="37" t="s">
        <v>757</v>
      </c>
      <c r="AB5" s="37" t="s">
        <v>758</v>
      </c>
      <c r="AC5" s="37">
        <v>322.02</v>
      </c>
      <c r="AD5" s="35" t="b">
        <v>1</v>
      </c>
      <c r="AE5" s="37" t="s">
        <v>770</v>
      </c>
      <c r="AF5" s="37"/>
      <c r="AG5" s="37"/>
      <c r="AH5" s="37" t="s">
        <v>771</v>
      </c>
      <c r="AI5" s="53" t="b">
        <v>1</v>
      </c>
      <c r="AJ5" s="52" t="s">
        <v>135</v>
      </c>
      <c r="AK5" s="35" t="b">
        <v>1</v>
      </c>
      <c r="AL5" s="46" t="b">
        <v>0</v>
      </c>
      <c r="AM5" s="37">
        <v>0</v>
      </c>
      <c r="AN5" s="37" t="b">
        <v>0</v>
      </c>
      <c r="AO5" s="37"/>
      <c r="AP5" s="37"/>
      <c r="AQ5" s="46" t="b">
        <v>0</v>
      </c>
      <c r="AR5" s="37" t="b">
        <v>0</v>
      </c>
      <c r="AS5" s="37" t="b">
        <v>0</v>
      </c>
      <c r="AT5" s="37"/>
      <c r="AU5" s="44"/>
      <c r="AV5" s="44"/>
      <c r="AW5" s="44" t="s">
        <v>777</v>
      </c>
      <c r="AX5" s="37" t="s">
        <v>761</v>
      </c>
      <c r="AY5" s="37" t="s">
        <v>762</v>
      </c>
      <c r="AZ5" s="37">
        <v>0</v>
      </c>
      <c r="BA5" s="37"/>
      <c r="BB5" s="37">
        <v>32</v>
      </c>
      <c r="BC5" s="37">
        <v>14</v>
      </c>
      <c r="BD5" s="37">
        <v>7</v>
      </c>
      <c r="BE5" s="37" t="b">
        <v>0</v>
      </c>
      <c r="BF5" s="35" t="b">
        <v>1</v>
      </c>
      <c r="BG5" s="37">
        <v>64</v>
      </c>
      <c r="BH5" s="37">
        <v>37</v>
      </c>
      <c r="BI5" s="37">
        <v>6.3280000000000003</v>
      </c>
      <c r="BJ5" s="37">
        <v>2E-3</v>
      </c>
      <c r="BK5" s="37">
        <v>0.20699999999999999</v>
      </c>
      <c r="BL5" s="37">
        <v>6.3280000000000003</v>
      </c>
      <c r="BM5" s="37">
        <v>2E-3</v>
      </c>
      <c r="BN5" s="37" t="s">
        <v>775</v>
      </c>
      <c r="BO5" s="37" t="s">
        <v>481</v>
      </c>
      <c r="BP5" s="37">
        <v>0</v>
      </c>
      <c r="BQ5" s="37">
        <v>0</v>
      </c>
      <c r="BR5" s="37">
        <v>0</v>
      </c>
      <c r="BS5" s="37">
        <v>0</v>
      </c>
      <c r="BT5" s="37">
        <v>1</v>
      </c>
      <c r="BU5" s="37">
        <v>59</v>
      </c>
      <c r="BV5" s="37" t="b">
        <v>0</v>
      </c>
      <c r="BW5" s="37">
        <v>5.8172000000000001E-2</v>
      </c>
      <c r="BX5" s="37">
        <v>70</v>
      </c>
      <c r="BY5" s="37">
        <v>5</v>
      </c>
      <c r="BZ5" s="37" t="b">
        <v>0</v>
      </c>
      <c r="CA5" s="37" t="s">
        <v>82</v>
      </c>
      <c r="CB5" s="37"/>
      <c r="CC5" s="37"/>
      <c r="CD5" s="37"/>
      <c r="CE5" s="37" t="s">
        <v>776</v>
      </c>
      <c r="CF5" s="37"/>
      <c r="CG5" s="37" t="b">
        <v>0</v>
      </c>
      <c r="CH5" s="37" t="b">
        <v>0</v>
      </c>
      <c r="CI5" s="37">
        <v>770</v>
      </c>
      <c r="CJ5" s="37">
        <v>2511</v>
      </c>
      <c r="CK5" s="37"/>
      <c r="CL5" s="37"/>
      <c r="CM5" s="52">
        <v>1</v>
      </c>
      <c r="CN5" s="52" t="b">
        <v>0</v>
      </c>
      <c r="CO5" t="str">
        <f>IFERROR(HYPERLINK("#Main!A"&amp;MATCH(A5,Main!A:A,0),"Open"),HYPERLINK("#Main!A1","Open"))</f>
        <v>Open</v>
      </c>
    </row>
    <row r="6" spans="1:94" ht="30" customHeight="1" x14ac:dyDescent="0.25">
      <c r="A6" s="33" t="s">
        <v>144</v>
      </c>
      <c r="B6" s="35">
        <v>200</v>
      </c>
      <c r="C6" s="28" t="s">
        <v>768</v>
      </c>
      <c r="D6" s="49"/>
      <c r="E6" s="28" t="s">
        <v>478</v>
      </c>
      <c r="F6" s="28"/>
      <c r="G6" s="35" t="s">
        <v>477</v>
      </c>
      <c r="H6" s="49">
        <v>52.79</v>
      </c>
      <c r="I6" s="49">
        <v>19625.7</v>
      </c>
      <c r="J6" s="51" t="s">
        <v>144</v>
      </c>
      <c r="K6" s="51" t="s">
        <v>144</v>
      </c>
      <c r="L6" s="28" t="s">
        <v>769</v>
      </c>
      <c r="M6" s="28" t="s">
        <v>335</v>
      </c>
      <c r="N6" s="29" t="s">
        <v>2</v>
      </c>
      <c r="O6" s="28"/>
      <c r="P6" s="28" t="s">
        <v>479</v>
      </c>
      <c r="Q6" s="28" t="s">
        <v>484</v>
      </c>
      <c r="R6" s="28" t="s">
        <v>475</v>
      </c>
      <c r="S6" s="29">
        <v>25</v>
      </c>
      <c r="T6" s="29">
        <v>0</v>
      </c>
      <c r="U6" s="35">
        <v>100</v>
      </c>
      <c r="V6" s="28" t="s">
        <v>754</v>
      </c>
      <c r="W6" s="28">
        <v>0</v>
      </c>
      <c r="X6" s="28"/>
      <c r="Y6" s="31"/>
      <c r="Z6" s="28" t="b">
        <v>0</v>
      </c>
      <c r="AA6" s="28" t="s">
        <v>757</v>
      </c>
      <c r="AB6" s="28" t="s">
        <v>758</v>
      </c>
      <c r="AC6" s="28">
        <v>337.73</v>
      </c>
      <c r="AD6" s="35" t="b">
        <v>1</v>
      </c>
      <c r="AE6" s="28" t="s">
        <v>770</v>
      </c>
      <c r="AF6" s="28"/>
      <c r="AG6" s="28"/>
      <c r="AH6" s="28" t="s">
        <v>771</v>
      </c>
      <c r="AI6" s="53" t="b">
        <v>1</v>
      </c>
      <c r="AJ6" s="51" t="s">
        <v>144</v>
      </c>
      <c r="AK6" s="35" t="b">
        <v>1</v>
      </c>
      <c r="AL6" s="46" t="b">
        <v>0</v>
      </c>
      <c r="AM6" s="28">
        <v>0</v>
      </c>
      <c r="AN6" s="28" t="b">
        <v>0</v>
      </c>
      <c r="AO6" s="28"/>
      <c r="AP6" s="28"/>
      <c r="AQ6" s="46" t="b">
        <v>0</v>
      </c>
      <c r="AR6" s="28" t="b">
        <v>0</v>
      </c>
      <c r="AS6" s="28" t="b">
        <v>0</v>
      </c>
      <c r="AT6" s="28"/>
      <c r="AU6" s="41"/>
      <c r="AV6" s="41"/>
      <c r="AW6" s="41" t="s">
        <v>778</v>
      </c>
      <c r="AX6" s="28" t="s">
        <v>761</v>
      </c>
      <c r="AY6" s="28" t="s">
        <v>762</v>
      </c>
      <c r="AZ6" s="28">
        <v>0</v>
      </c>
      <c r="BA6" s="28"/>
      <c r="BB6" s="28">
        <v>58</v>
      </c>
      <c r="BC6" s="28">
        <v>15</v>
      </c>
      <c r="BD6" s="28">
        <v>3</v>
      </c>
      <c r="BE6" s="28" t="b">
        <v>0</v>
      </c>
      <c r="BF6" s="35" t="b">
        <v>1</v>
      </c>
      <c r="BG6" s="28">
        <v>43</v>
      </c>
      <c r="BH6" s="28">
        <v>32</v>
      </c>
      <c r="BI6" s="28">
        <v>29.553000000000001</v>
      </c>
      <c r="BJ6" s="28">
        <v>0.115</v>
      </c>
      <c r="BK6" s="28">
        <v>6.0000000000000001E-3</v>
      </c>
      <c r="BL6" s="28">
        <v>29.553000000000001</v>
      </c>
      <c r="BM6" s="28">
        <v>0.115</v>
      </c>
      <c r="BN6" s="28" t="s">
        <v>775</v>
      </c>
      <c r="BO6" s="28" t="s">
        <v>481</v>
      </c>
      <c r="BP6" s="28">
        <v>0</v>
      </c>
      <c r="BQ6" s="28">
        <v>0</v>
      </c>
      <c r="BR6" s="28">
        <v>0</v>
      </c>
      <c r="BS6" s="28">
        <v>0</v>
      </c>
      <c r="BT6" s="28">
        <v>1</v>
      </c>
      <c r="BU6" s="28">
        <v>59</v>
      </c>
      <c r="BV6" s="28" t="b">
        <v>0</v>
      </c>
      <c r="BW6" s="28">
        <v>5.8172000000000001E-2</v>
      </c>
      <c r="BX6" s="28">
        <v>60</v>
      </c>
      <c r="BY6" s="28">
        <v>4</v>
      </c>
      <c r="BZ6" s="28" t="b">
        <v>0</v>
      </c>
      <c r="CA6" s="28" t="s">
        <v>82</v>
      </c>
      <c r="CB6" s="28"/>
      <c r="CC6" s="28"/>
      <c r="CD6" s="28"/>
      <c r="CE6" s="28" t="s">
        <v>776</v>
      </c>
      <c r="CF6" s="28"/>
      <c r="CG6" s="28" t="b">
        <v>0</v>
      </c>
      <c r="CH6" s="28" t="b">
        <v>0</v>
      </c>
      <c r="CI6" s="28">
        <v>583</v>
      </c>
      <c r="CJ6" s="28">
        <v>2622</v>
      </c>
      <c r="CK6" s="28"/>
      <c r="CL6" s="28"/>
      <c r="CM6" s="51">
        <v>1</v>
      </c>
      <c r="CN6" s="51" t="b">
        <v>0</v>
      </c>
      <c r="CO6" s="34" t="str">
        <f>IFERROR(HYPERLINK("#Main!A"&amp;MATCH(A6,Main!A:A,0),"Open"),HYPERLINK("#Main!A1","Open"))</f>
        <v>Open</v>
      </c>
      <c r="CP6" s="34"/>
    </row>
    <row r="7" spans="1:94" ht="30" customHeight="1" x14ac:dyDescent="0.25">
      <c r="A7" s="30" t="s">
        <v>152</v>
      </c>
      <c r="B7" s="35">
        <v>200</v>
      </c>
      <c r="C7" s="37" t="s">
        <v>768</v>
      </c>
      <c r="D7" s="50"/>
      <c r="E7" s="37" t="s">
        <v>478</v>
      </c>
      <c r="F7" s="37"/>
      <c r="G7" s="35" t="s">
        <v>477</v>
      </c>
      <c r="H7" s="50">
        <v>34.53</v>
      </c>
      <c r="I7" s="50">
        <v>19747.59</v>
      </c>
      <c r="J7" s="52" t="s">
        <v>152</v>
      </c>
      <c r="K7" s="52" t="s">
        <v>152</v>
      </c>
      <c r="L7" s="37" t="s">
        <v>769</v>
      </c>
      <c r="M7" s="37" t="s">
        <v>335</v>
      </c>
      <c r="N7" s="29" t="s">
        <v>2</v>
      </c>
      <c r="O7" s="37"/>
      <c r="P7" s="37" t="s">
        <v>479</v>
      </c>
      <c r="Q7" s="37" t="s">
        <v>484</v>
      </c>
      <c r="R7" s="37" t="s">
        <v>475</v>
      </c>
      <c r="S7" s="29">
        <v>25</v>
      </c>
      <c r="T7" s="29">
        <v>0</v>
      </c>
      <c r="U7" s="35">
        <v>100</v>
      </c>
      <c r="V7" s="37" t="s">
        <v>754</v>
      </c>
      <c r="W7" s="37">
        <v>0</v>
      </c>
      <c r="X7" s="37"/>
      <c r="Y7" s="43"/>
      <c r="Z7" s="37" t="b">
        <v>0</v>
      </c>
      <c r="AA7" s="37" t="s">
        <v>757</v>
      </c>
      <c r="AB7" s="37" t="s">
        <v>758</v>
      </c>
      <c r="AC7" s="37">
        <v>513.32000000000005</v>
      </c>
      <c r="AD7" s="35" t="b">
        <v>1</v>
      </c>
      <c r="AE7" s="37" t="s">
        <v>770</v>
      </c>
      <c r="AF7" s="37"/>
      <c r="AG7" s="37"/>
      <c r="AH7" s="37" t="s">
        <v>771</v>
      </c>
      <c r="AI7" s="53" t="b">
        <v>1</v>
      </c>
      <c r="AJ7" s="52" t="s">
        <v>152</v>
      </c>
      <c r="AK7" s="35" t="b">
        <v>1</v>
      </c>
      <c r="AL7" s="46" t="b">
        <v>0</v>
      </c>
      <c r="AM7" s="37">
        <v>0</v>
      </c>
      <c r="AN7" s="37" t="b">
        <v>0</v>
      </c>
      <c r="AO7" s="37"/>
      <c r="AP7" s="37"/>
      <c r="AQ7" s="46" t="b">
        <v>0</v>
      </c>
      <c r="AR7" s="37" t="b">
        <v>0</v>
      </c>
      <c r="AS7" s="37" t="b">
        <v>0</v>
      </c>
      <c r="AT7" s="37"/>
      <c r="AU7" s="44"/>
      <c r="AV7" s="44"/>
      <c r="AW7" s="44" t="s">
        <v>779</v>
      </c>
      <c r="AX7" s="37" t="s">
        <v>761</v>
      </c>
      <c r="AY7" s="37" t="s">
        <v>762</v>
      </c>
      <c r="AZ7" s="37">
        <v>0</v>
      </c>
      <c r="BA7" s="37"/>
      <c r="BB7" s="37">
        <v>16</v>
      </c>
      <c r="BC7" s="37">
        <v>9</v>
      </c>
      <c r="BD7" s="37">
        <v>4</v>
      </c>
      <c r="BE7" s="37" t="b">
        <v>0</v>
      </c>
      <c r="BF7" s="35" t="b">
        <v>1</v>
      </c>
      <c r="BG7" s="37">
        <v>0</v>
      </c>
      <c r="BH7" s="37">
        <v>33</v>
      </c>
      <c r="BI7" s="37">
        <v>17.635999999999999</v>
      </c>
      <c r="BJ7" s="37">
        <v>1.2E-2</v>
      </c>
      <c r="BK7" s="37">
        <v>7.0000000000000001E-3</v>
      </c>
      <c r="BL7" s="37">
        <v>17.635999999999999</v>
      </c>
      <c r="BM7" s="37">
        <v>1.2E-2</v>
      </c>
      <c r="BN7" s="37" t="s">
        <v>775</v>
      </c>
      <c r="BO7" s="37" t="s">
        <v>481</v>
      </c>
      <c r="BP7" s="37">
        <v>0</v>
      </c>
      <c r="BQ7" s="37">
        <v>0</v>
      </c>
      <c r="BR7" s="37">
        <v>0</v>
      </c>
      <c r="BS7" s="37">
        <v>0</v>
      </c>
      <c r="BT7" s="37"/>
      <c r="BU7" s="37">
        <v>0</v>
      </c>
      <c r="BV7" s="37" t="b">
        <v>1</v>
      </c>
      <c r="BW7" s="37">
        <v>1.861E-3</v>
      </c>
      <c r="BX7" s="37">
        <v>100</v>
      </c>
      <c r="BY7" s="37">
        <v>16</v>
      </c>
      <c r="BZ7" s="37" t="b">
        <v>1</v>
      </c>
      <c r="CA7" s="37" t="s">
        <v>82</v>
      </c>
      <c r="CB7" s="37"/>
      <c r="CC7" s="37"/>
      <c r="CD7" s="37"/>
      <c r="CE7" s="37" t="s">
        <v>763</v>
      </c>
      <c r="CF7" s="37"/>
      <c r="CG7" s="37" t="b">
        <v>0</v>
      </c>
      <c r="CH7" s="37" t="b">
        <v>0</v>
      </c>
      <c r="CI7" s="37">
        <v>352</v>
      </c>
      <c r="CJ7" s="37">
        <v>2517</v>
      </c>
      <c r="CK7" s="37"/>
      <c r="CL7" s="37"/>
      <c r="CM7" s="52">
        <v>1</v>
      </c>
      <c r="CN7" s="52" t="b">
        <v>0</v>
      </c>
      <c r="CO7" t="str">
        <f>IFERROR(HYPERLINK("#Main!A"&amp;MATCH(A7,Main!A:A,0),"Open"),HYPERLINK("#Main!A1","Open"))</f>
        <v>Open</v>
      </c>
    </row>
    <row r="8" spans="1:94" ht="30" customHeight="1" x14ac:dyDescent="0.25">
      <c r="A8" s="33" t="s">
        <v>161</v>
      </c>
      <c r="B8" s="35">
        <v>200</v>
      </c>
      <c r="C8" s="28" t="s">
        <v>768</v>
      </c>
      <c r="D8" s="49"/>
      <c r="E8" s="28" t="s">
        <v>478</v>
      </c>
      <c r="F8" s="28"/>
      <c r="G8" s="35" t="s">
        <v>477</v>
      </c>
      <c r="H8" s="49">
        <v>83.65</v>
      </c>
      <c r="I8" s="49">
        <v>18052.3</v>
      </c>
      <c r="J8" s="51" t="s">
        <v>161</v>
      </c>
      <c r="K8" s="51" t="s">
        <v>161</v>
      </c>
      <c r="L8" s="28" t="s">
        <v>769</v>
      </c>
      <c r="M8" s="28" t="s">
        <v>335</v>
      </c>
      <c r="N8" s="29" t="s">
        <v>2</v>
      </c>
      <c r="O8" s="28"/>
      <c r="P8" s="28" t="s">
        <v>479</v>
      </c>
      <c r="Q8" s="28" t="s">
        <v>484</v>
      </c>
      <c r="R8" s="28" t="s">
        <v>475</v>
      </c>
      <c r="S8" s="29">
        <v>11.25</v>
      </c>
      <c r="T8" s="29">
        <v>0</v>
      </c>
      <c r="U8" s="29">
        <v>45</v>
      </c>
      <c r="V8" s="28" t="s">
        <v>754</v>
      </c>
      <c r="W8" s="28">
        <v>0</v>
      </c>
      <c r="X8" s="28"/>
      <c r="Y8" s="31"/>
      <c r="Z8" s="28" t="b">
        <v>0</v>
      </c>
      <c r="AA8" s="28" t="s">
        <v>757</v>
      </c>
      <c r="AB8" s="28" t="s">
        <v>758</v>
      </c>
      <c r="AC8" s="28">
        <v>341.94</v>
      </c>
      <c r="AD8" s="35" t="b">
        <v>1</v>
      </c>
      <c r="AE8" s="28" t="s">
        <v>770</v>
      </c>
      <c r="AF8" s="28"/>
      <c r="AG8" s="28"/>
      <c r="AH8" s="28" t="s">
        <v>771</v>
      </c>
      <c r="AI8" s="53" t="b">
        <v>1</v>
      </c>
      <c r="AJ8" s="51" t="s">
        <v>161</v>
      </c>
      <c r="AK8" s="35" t="b">
        <v>1</v>
      </c>
      <c r="AL8" s="46" t="b">
        <v>0</v>
      </c>
      <c r="AM8" s="28">
        <v>0</v>
      </c>
      <c r="AN8" s="28" t="b">
        <v>0</v>
      </c>
      <c r="AO8" s="28"/>
      <c r="AP8" s="28"/>
      <c r="AQ8" s="46" t="b">
        <v>0</v>
      </c>
      <c r="AR8" s="28" t="b">
        <v>0</v>
      </c>
      <c r="AS8" s="28" t="b">
        <v>0</v>
      </c>
      <c r="AT8" s="28"/>
      <c r="AU8" s="41"/>
      <c r="AV8" s="41"/>
      <c r="AW8" s="41" t="s">
        <v>780</v>
      </c>
      <c r="AX8" s="28" t="s">
        <v>761</v>
      </c>
      <c r="AY8" s="28" t="s">
        <v>762</v>
      </c>
      <c r="AZ8" s="28">
        <v>0</v>
      </c>
      <c r="BA8" s="28"/>
      <c r="BB8" s="28">
        <v>99</v>
      </c>
      <c r="BC8" s="28">
        <v>64</v>
      </c>
      <c r="BD8" s="28">
        <v>3</v>
      </c>
      <c r="BE8" s="28" t="b">
        <v>0</v>
      </c>
      <c r="BF8" s="35" t="b">
        <v>1</v>
      </c>
      <c r="BG8" s="28">
        <v>58</v>
      </c>
      <c r="BH8" s="28">
        <v>39</v>
      </c>
      <c r="BI8" s="28">
        <v>7.2409999999999997</v>
      </c>
      <c r="BJ8" s="28">
        <v>8.9999999999999993E-3</v>
      </c>
      <c r="BK8" s="28">
        <v>0.16700000000000001</v>
      </c>
      <c r="BL8" s="28">
        <v>7.2409999999999997</v>
      </c>
      <c r="BM8" s="28">
        <v>8.9999999999999993E-3</v>
      </c>
      <c r="BN8" s="28" t="s">
        <v>775</v>
      </c>
      <c r="BO8" s="28" t="s">
        <v>481</v>
      </c>
      <c r="BP8" s="28">
        <v>0</v>
      </c>
      <c r="BQ8" s="28">
        <v>0</v>
      </c>
      <c r="BR8" s="28">
        <v>0</v>
      </c>
      <c r="BS8" s="28">
        <v>0</v>
      </c>
      <c r="BT8" s="28">
        <v>2</v>
      </c>
      <c r="BU8" s="28">
        <v>2</v>
      </c>
      <c r="BV8" s="28" t="b">
        <v>0</v>
      </c>
      <c r="BW8" s="28">
        <v>4.921E-3</v>
      </c>
      <c r="BX8" s="28">
        <v>100</v>
      </c>
      <c r="BY8" s="28">
        <v>9</v>
      </c>
      <c r="BZ8" s="28" t="b">
        <v>0</v>
      </c>
      <c r="CA8" s="28" t="s">
        <v>82</v>
      </c>
      <c r="CB8" s="28"/>
      <c r="CC8" s="28"/>
      <c r="CD8" s="28"/>
      <c r="CE8" s="28" t="s">
        <v>781</v>
      </c>
      <c r="CF8" s="28"/>
      <c r="CG8" s="28" t="b">
        <v>0</v>
      </c>
      <c r="CH8" s="28" t="b">
        <v>0</v>
      </c>
      <c r="CI8" s="28">
        <v>381</v>
      </c>
      <c r="CJ8" s="28">
        <v>2399</v>
      </c>
      <c r="CK8" s="28"/>
      <c r="CL8" s="28"/>
      <c r="CM8" s="51">
        <v>1</v>
      </c>
      <c r="CN8" s="51" t="b">
        <v>0</v>
      </c>
      <c r="CO8" s="34" t="str">
        <f>IFERROR(HYPERLINK("#Main!A"&amp;MATCH(A8,Main!A:A,0),"Open"),HYPERLINK("#Main!A1","Open"))</f>
        <v>Open</v>
      </c>
      <c r="CP8" s="34"/>
    </row>
    <row r="9" spans="1:94" ht="30" customHeight="1" x14ac:dyDescent="0.25">
      <c r="A9" s="30" t="s">
        <v>169</v>
      </c>
      <c r="B9" s="35">
        <v>200</v>
      </c>
      <c r="C9" s="37" t="s">
        <v>768</v>
      </c>
      <c r="D9" s="50"/>
      <c r="E9" s="37" t="s">
        <v>478</v>
      </c>
      <c r="F9" s="37"/>
      <c r="G9" s="35" t="s">
        <v>477</v>
      </c>
      <c r="H9" s="50">
        <v>54.69</v>
      </c>
      <c r="I9" s="50">
        <v>18067.82</v>
      </c>
      <c r="J9" s="52" t="s">
        <v>169</v>
      </c>
      <c r="K9" s="52" t="s">
        <v>169</v>
      </c>
      <c r="L9" s="37" t="s">
        <v>769</v>
      </c>
      <c r="M9" s="37" t="s">
        <v>335</v>
      </c>
      <c r="N9" s="29" t="s">
        <v>2</v>
      </c>
      <c r="O9" s="37"/>
      <c r="P9" s="37" t="s">
        <v>479</v>
      </c>
      <c r="Q9" s="37" t="s">
        <v>484</v>
      </c>
      <c r="R9" s="37" t="s">
        <v>475</v>
      </c>
      <c r="S9" s="29">
        <v>11.25</v>
      </c>
      <c r="T9" s="29">
        <v>0</v>
      </c>
      <c r="U9" s="29">
        <v>45</v>
      </c>
      <c r="V9" s="37" t="s">
        <v>754</v>
      </c>
      <c r="W9" s="37">
        <v>0</v>
      </c>
      <c r="X9" s="37"/>
      <c r="Y9" s="43"/>
      <c r="Z9" s="37" t="b">
        <v>0</v>
      </c>
      <c r="AA9" s="37" t="s">
        <v>757</v>
      </c>
      <c r="AB9" s="37" t="s">
        <v>758</v>
      </c>
      <c r="AC9" s="37">
        <v>279.86</v>
      </c>
      <c r="AD9" s="35" t="b">
        <v>1</v>
      </c>
      <c r="AE9" s="37" t="s">
        <v>770</v>
      </c>
      <c r="AF9" s="37"/>
      <c r="AG9" s="37"/>
      <c r="AH9" s="37" t="s">
        <v>771</v>
      </c>
      <c r="AI9" s="53" t="b">
        <v>1</v>
      </c>
      <c r="AJ9" s="52" t="s">
        <v>169</v>
      </c>
      <c r="AK9" s="35" t="b">
        <v>1</v>
      </c>
      <c r="AL9" s="46" t="b">
        <v>0</v>
      </c>
      <c r="AM9" s="37">
        <v>0</v>
      </c>
      <c r="AN9" s="37" t="b">
        <v>0</v>
      </c>
      <c r="AO9" s="37"/>
      <c r="AP9" s="37"/>
      <c r="AQ9" s="46" t="b">
        <v>0</v>
      </c>
      <c r="AR9" s="37" t="b">
        <v>0</v>
      </c>
      <c r="AS9" s="37" t="b">
        <v>0</v>
      </c>
      <c r="AT9" s="37"/>
      <c r="AU9" s="44"/>
      <c r="AV9" s="44"/>
      <c r="AW9" s="44" t="s">
        <v>782</v>
      </c>
      <c r="AX9" s="37" t="s">
        <v>761</v>
      </c>
      <c r="AY9" s="37" t="s">
        <v>762</v>
      </c>
      <c r="AZ9" s="37">
        <v>0</v>
      </c>
      <c r="BA9" s="37"/>
      <c r="BB9" s="37">
        <v>32</v>
      </c>
      <c r="BC9" s="37">
        <v>14</v>
      </c>
      <c r="BD9" s="37">
        <v>4</v>
      </c>
      <c r="BE9" s="37" t="b">
        <v>0</v>
      </c>
      <c r="BF9" s="35" t="b">
        <v>1</v>
      </c>
      <c r="BG9" s="37">
        <v>42</v>
      </c>
      <c r="BH9" s="37">
        <v>33</v>
      </c>
      <c r="BI9" s="37">
        <v>13.146000000000001</v>
      </c>
      <c r="BJ9" s="37">
        <v>1.2E-2</v>
      </c>
      <c r="BK9" s="37">
        <v>0.20100000000000001</v>
      </c>
      <c r="BL9" s="37">
        <v>13.146000000000001</v>
      </c>
      <c r="BM9" s="37">
        <v>1.2E-2</v>
      </c>
      <c r="BN9" s="37" t="s">
        <v>775</v>
      </c>
      <c r="BO9" s="37" t="s">
        <v>481</v>
      </c>
      <c r="BP9" s="37">
        <v>0</v>
      </c>
      <c r="BQ9" s="37">
        <v>0</v>
      </c>
      <c r="BR9" s="37">
        <v>0</v>
      </c>
      <c r="BS9" s="37">
        <v>0</v>
      </c>
      <c r="BT9" s="37"/>
      <c r="BU9" s="37">
        <v>0</v>
      </c>
      <c r="BV9" s="37" t="b">
        <v>1</v>
      </c>
      <c r="BW9" s="37">
        <v>1.861E-3</v>
      </c>
      <c r="BX9" s="37">
        <v>30</v>
      </c>
      <c r="BY9" s="37">
        <v>3</v>
      </c>
      <c r="BZ9" s="37" t="b">
        <v>0</v>
      </c>
      <c r="CA9" s="37" t="s">
        <v>82</v>
      </c>
      <c r="CB9" s="37"/>
      <c r="CC9" s="37"/>
      <c r="CD9" s="37"/>
      <c r="CE9" s="37" t="s">
        <v>763</v>
      </c>
      <c r="CF9" s="37"/>
      <c r="CG9" s="37" t="b">
        <v>0</v>
      </c>
      <c r="CH9" s="37" t="b">
        <v>0</v>
      </c>
      <c r="CI9" s="37">
        <v>475</v>
      </c>
      <c r="CJ9" s="37">
        <v>2077</v>
      </c>
      <c r="CK9" s="37"/>
      <c r="CL9" s="37"/>
      <c r="CM9" s="52">
        <v>1</v>
      </c>
      <c r="CN9" s="52" t="b">
        <v>0</v>
      </c>
      <c r="CO9" t="str">
        <f>IFERROR(HYPERLINK("#Main!A"&amp;MATCH(A9,Main!A:A,0),"Open"),HYPERLINK("#Main!A1","Open"))</f>
        <v>Open</v>
      </c>
    </row>
    <row r="10" spans="1:94" ht="30" customHeight="1" x14ac:dyDescent="0.25">
      <c r="A10" s="33" t="s">
        <v>177</v>
      </c>
      <c r="B10" s="35">
        <v>200</v>
      </c>
      <c r="C10" s="28" t="s">
        <v>768</v>
      </c>
      <c r="D10" s="49"/>
      <c r="E10" s="28" t="s">
        <v>478</v>
      </c>
      <c r="F10" s="28"/>
      <c r="G10" s="35" t="s">
        <v>477</v>
      </c>
      <c r="H10" s="49">
        <v>35.74</v>
      </c>
      <c r="I10" s="49">
        <v>18429.55</v>
      </c>
      <c r="J10" s="51" t="s">
        <v>177</v>
      </c>
      <c r="K10" s="51" t="s">
        <v>177</v>
      </c>
      <c r="L10" s="28" t="s">
        <v>769</v>
      </c>
      <c r="M10" s="28" t="s">
        <v>335</v>
      </c>
      <c r="N10" s="29" t="s">
        <v>2</v>
      </c>
      <c r="O10" s="28"/>
      <c r="P10" s="28" t="s">
        <v>479</v>
      </c>
      <c r="Q10" s="28" t="s">
        <v>484</v>
      </c>
      <c r="R10" s="28" t="s">
        <v>475</v>
      </c>
      <c r="S10" s="29">
        <v>17.5</v>
      </c>
      <c r="T10" s="29">
        <v>0</v>
      </c>
      <c r="U10" s="32">
        <v>70</v>
      </c>
      <c r="V10" s="28" t="s">
        <v>754</v>
      </c>
      <c r="W10" s="28">
        <v>0</v>
      </c>
      <c r="X10" s="28"/>
      <c r="Y10" s="31"/>
      <c r="Z10" s="28" t="b">
        <v>0</v>
      </c>
      <c r="AA10" s="28" t="s">
        <v>757</v>
      </c>
      <c r="AB10" s="28" t="s">
        <v>758</v>
      </c>
      <c r="AC10" s="28">
        <v>341.44</v>
      </c>
      <c r="AD10" s="35" t="b">
        <v>1</v>
      </c>
      <c r="AE10" s="28" t="s">
        <v>770</v>
      </c>
      <c r="AF10" s="28"/>
      <c r="AG10" s="28"/>
      <c r="AH10" s="28" t="s">
        <v>771</v>
      </c>
      <c r="AI10" s="53" t="b">
        <v>1</v>
      </c>
      <c r="AJ10" s="51" t="s">
        <v>177</v>
      </c>
      <c r="AK10" s="35" t="b">
        <v>1</v>
      </c>
      <c r="AL10" s="46" t="b">
        <v>0</v>
      </c>
      <c r="AM10" s="28">
        <v>0</v>
      </c>
      <c r="AN10" s="28" t="b">
        <v>0</v>
      </c>
      <c r="AO10" s="28"/>
      <c r="AP10" s="28"/>
      <c r="AQ10" s="46" t="b">
        <v>0</v>
      </c>
      <c r="AR10" s="28" t="b">
        <v>0</v>
      </c>
      <c r="AS10" s="28" t="b">
        <v>0</v>
      </c>
      <c r="AT10" s="28"/>
      <c r="AU10" s="41"/>
      <c r="AV10" s="41"/>
      <c r="AW10" s="41" t="s">
        <v>783</v>
      </c>
      <c r="AX10" s="28" t="s">
        <v>761</v>
      </c>
      <c r="AY10" s="28" t="s">
        <v>762</v>
      </c>
      <c r="AZ10" s="28">
        <v>0</v>
      </c>
      <c r="BA10" s="28"/>
      <c r="BB10" s="28">
        <v>32</v>
      </c>
      <c r="BC10" s="28">
        <v>15</v>
      </c>
      <c r="BD10" s="28">
        <v>2</v>
      </c>
      <c r="BE10" s="28" t="b">
        <v>0</v>
      </c>
      <c r="BF10" s="35" t="b">
        <v>1</v>
      </c>
      <c r="BG10" s="28">
        <v>43</v>
      </c>
      <c r="BH10" s="28">
        <v>48</v>
      </c>
      <c r="BI10" s="28">
        <v>13.589</v>
      </c>
      <c r="BJ10" s="28">
        <v>1.2E-2</v>
      </c>
      <c r="BK10" s="28">
        <v>0.17399999999999999</v>
      </c>
      <c r="BL10" s="28">
        <v>13.589</v>
      </c>
      <c r="BM10" s="28">
        <v>1.2E-2</v>
      </c>
      <c r="BN10" s="28" t="s">
        <v>775</v>
      </c>
      <c r="BO10" s="28" t="s">
        <v>481</v>
      </c>
      <c r="BP10" s="28">
        <v>0</v>
      </c>
      <c r="BQ10" s="28">
        <v>0</v>
      </c>
      <c r="BR10" s="28">
        <v>0</v>
      </c>
      <c r="BS10" s="28">
        <v>0</v>
      </c>
      <c r="BT10" s="28"/>
      <c r="BU10" s="28">
        <v>0</v>
      </c>
      <c r="BV10" s="28" t="b">
        <v>1</v>
      </c>
      <c r="BW10" s="28">
        <v>1.861E-3</v>
      </c>
      <c r="BX10" s="28">
        <v>100</v>
      </c>
      <c r="BY10" s="28">
        <v>8</v>
      </c>
      <c r="BZ10" s="28" t="b">
        <v>0</v>
      </c>
      <c r="CA10" s="28" t="s">
        <v>82</v>
      </c>
      <c r="CB10" s="28"/>
      <c r="CC10" s="28"/>
      <c r="CD10" s="28"/>
      <c r="CE10" s="28" t="s">
        <v>763</v>
      </c>
      <c r="CF10" s="28"/>
      <c r="CG10" s="28" t="b">
        <v>0</v>
      </c>
      <c r="CH10" s="28" t="b">
        <v>0</v>
      </c>
      <c r="CI10" s="28">
        <v>468</v>
      </c>
      <c r="CJ10" s="28">
        <v>2089</v>
      </c>
      <c r="CK10" s="28"/>
      <c r="CL10" s="28"/>
      <c r="CM10" s="51">
        <v>1</v>
      </c>
      <c r="CN10" s="51" t="b">
        <v>0</v>
      </c>
      <c r="CO10" s="34" t="str">
        <f>IFERROR(HYPERLINK("#Main!A"&amp;MATCH(A10,Main!A:A,0),"Open"),HYPERLINK("#Main!A1","Open"))</f>
        <v>Open</v>
      </c>
      <c r="CP10" s="34"/>
    </row>
    <row r="11" spans="1:94" ht="30" customHeight="1" x14ac:dyDescent="0.25">
      <c r="A11" s="30" t="s">
        <v>185</v>
      </c>
      <c r="B11" s="35">
        <v>200</v>
      </c>
      <c r="C11" s="37" t="s">
        <v>768</v>
      </c>
      <c r="D11" s="50"/>
      <c r="E11" s="37" t="s">
        <v>478</v>
      </c>
      <c r="F11" s="37"/>
      <c r="G11" s="35" t="s">
        <v>477</v>
      </c>
      <c r="H11" s="50">
        <v>54.4</v>
      </c>
      <c r="I11" s="50">
        <v>18388.21</v>
      </c>
      <c r="J11" s="52" t="s">
        <v>185</v>
      </c>
      <c r="K11" s="52" t="s">
        <v>185</v>
      </c>
      <c r="L11" s="37" t="s">
        <v>769</v>
      </c>
      <c r="M11" s="37" t="s">
        <v>335</v>
      </c>
      <c r="N11" s="29" t="s">
        <v>2</v>
      </c>
      <c r="O11" s="37"/>
      <c r="P11" s="37" t="s">
        <v>479</v>
      </c>
      <c r="Q11" s="37" t="s">
        <v>484</v>
      </c>
      <c r="R11" s="37" t="s">
        <v>475</v>
      </c>
      <c r="S11" s="29">
        <v>25</v>
      </c>
      <c r="T11" s="29">
        <v>0</v>
      </c>
      <c r="U11" s="35">
        <v>100</v>
      </c>
      <c r="V11" s="37" t="s">
        <v>754</v>
      </c>
      <c r="W11" s="37">
        <v>0</v>
      </c>
      <c r="X11" s="37"/>
      <c r="Y11" s="43"/>
      <c r="Z11" s="37" t="b">
        <v>0</v>
      </c>
      <c r="AA11" s="37" t="s">
        <v>757</v>
      </c>
      <c r="AB11" s="37" t="s">
        <v>758</v>
      </c>
      <c r="AC11" s="37">
        <v>371.02</v>
      </c>
      <c r="AD11" s="35" t="b">
        <v>1</v>
      </c>
      <c r="AE11" s="37" t="s">
        <v>770</v>
      </c>
      <c r="AF11" s="37"/>
      <c r="AG11" s="37"/>
      <c r="AH11" s="37" t="s">
        <v>771</v>
      </c>
      <c r="AI11" s="53" t="b">
        <v>1</v>
      </c>
      <c r="AJ11" s="52" t="s">
        <v>185</v>
      </c>
      <c r="AK11" s="35" t="b">
        <v>1</v>
      </c>
      <c r="AL11" s="46" t="b">
        <v>0</v>
      </c>
      <c r="AM11" s="37">
        <v>0</v>
      </c>
      <c r="AN11" s="37" t="b">
        <v>0</v>
      </c>
      <c r="AO11" s="37"/>
      <c r="AP11" s="37"/>
      <c r="AQ11" s="46" t="b">
        <v>0</v>
      </c>
      <c r="AR11" s="37" t="b">
        <v>0</v>
      </c>
      <c r="AS11" s="37" t="b">
        <v>0</v>
      </c>
      <c r="AT11" s="37"/>
      <c r="AU11" s="44"/>
      <c r="AV11" s="44"/>
      <c r="AW11" s="44" t="s">
        <v>784</v>
      </c>
      <c r="AX11" s="37" t="s">
        <v>761</v>
      </c>
      <c r="AY11" s="37" t="s">
        <v>762</v>
      </c>
      <c r="AZ11" s="37">
        <v>0</v>
      </c>
      <c r="BA11" s="37"/>
      <c r="BB11" s="37">
        <v>41</v>
      </c>
      <c r="BC11" s="37">
        <v>33</v>
      </c>
      <c r="BD11" s="37">
        <v>13</v>
      </c>
      <c r="BE11" s="37" t="b">
        <v>0</v>
      </c>
      <c r="BF11" s="35" t="b">
        <v>1</v>
      </c>
      <c r="BG11" s="37">
        <v>57</v>
      </c>
      <c r="BH11" s="37">
        <v>39</v>
      </c>
      <c r="BI11" s="37">
        <v>15.727</v>
      </c>
      <c r="BJ11" s="37">
        <v>0</v>
      </c>
      <c r="BK11" s="37">
        <v>7.0000000000000001E-3</v>
      </c>
      <c r="BL11" s="37">
        <v>15.727</v>
      </c>
      <c r="BM11" s="37">
        <v>0</v>
      </c>
      <c r="BN11" s="37" t="s">
        <v>775</v>
      </c>
      <c r="BO11" s="37" t="s">
        <v>481</v>
      </c>
      <c r="BP11" s="37">
        <v>0</v>
      </c>
      <c r="BQ11" s="37">
        <v>0</v>
      </c>
      <c r="BR11" s="37">
        <v>0</v>
      </c>
      <c r="BS11" s="37">
        <v>0</v>
      </c>
      <c r="BT11" s="37">
        <v>2</v>
      </c>
      <c r="BU11" s="37">
        <v>11</v>
      </c>
      <c r="BV11" s="37" t="b">
        <v>0</v>
      </c>
      <c r="BW11" s="37">
        <v>8.2869999999999992E-3</v>
      </c>
      <c r="BX11" s="37">
        <v>80</v>
      </c>
      <c r="BY11" s="37">
        <v>6</v>
      </c>
      <c r="BZ11" s="37" t="b">
        <v>0</v>
      </c>
      <c r="CA11" s="37" t="s">
        <v>82</v>
      </c>
      <c r="CB11" s="37"/>
      <c r="CC11" s="37"/>
      <c r="CD11" s="37"/>
      <c r="CE11" s="37" t="s">
        <v>776</v>
      </c>
      <c r="CF11" s="37"/>
      <c r="CG11" s="37" t="b">
        <v>0</v>
      </c>
      <c r="CH11" s="37" t="b">
        <v>0</v>
      </c>
      <c r="CI11" s="37">
        <v>381</v>
      </c>
      <c r="CJ11" s="37">
        <v>2467</v>
      </c>
      <c r="CK11" s="37"/>
      <c r="CL11" s="37"/>
      <c r="CM11" s="52">
        <v>1</v>
      </c>
      <c r="CN11" s="52" t="b">
        <v>0</v>
      </c>
      <c r="CO11" t="str">
        <f>IFERROR(HYPERLINK("#Main!A"&amp;MATCH(A11,Main!A:A,0),"Open"),HYPERLINK("#Main!A1","Open"))</f>
        <v>Open</v>
      </c>
    </row>
    <row r="12" spans="1:94" ht="30" customHeight="1" x14ac:dyDescent="0.25">
      <c r="A12" s="33" t="s">
        <v>193</v>
      </c>
      <c r="B12" s="35">
        <v>200</v>
      </c>
      <c r="C12" s="28" t="s">
        <v>768</v>
      </c>
      <c r="D12" s="49"/>
      <c r="E12" s="28" t="s">
        <v>478</v>
      </c>
      <c r="F12" s="28"/>
      <c r="G12" s="35" t="s">
        <v>477</v>
      </c>
      <c r="H12" s="49">
        <v>51.53</v>
      </c>
      <c r="I12" s="49">
        <v>18313.04</v>
      </c>
      <c r="J12" s="51" t="s">
        <v>193</v>
      </c>
      <c r="K12" s="51" t="s">
        <v>193</v>
      </c>
      <c r="L12" s="28" t="s">
        <v>769</v>
      </c>
      <c r="M12" s="28" t="s">
        <v>335</v>
      </c>
      <c r="N12" s="29" t="s">
        <v>2</v>
      </c>
      <c r="O12" s="28"/>
      <c r="P12" s="28" t="s">
        <v>479</v>
      </c>
      <c r="Q12" s="28" t="s">
        <v>484</v>
      </c>
      <c r="R12" s="28" t="s">
        <v>475</v>
      </c>
      <c r="S12" s="29">
        <v>25</v>
      </c>
      <c r="T12" s="29">
        <v>0</v>
      </c>
      <c r="U12" s="35">
        <v>100</v>
      </c>
      <c r="V12" s="28" t="s">
        <v>754</v>
      </c>
      <c r="W12" s="28">
        <v>0</v>
      </c>
      <c r="X12" s="28"/>
      <c r="Y12" s="31"/>
      <c r="Z12" s="28" t="b">
        <v>0</v>
      </c>
      <c r="AA12" s="28" t="s">
        <v>757</v>
      </c>
      <c r="AB12" s="28" t="s">
        <v>758</v>
      </c>
      <c r="AC12" s="28">
        <v>272.62</v>
      </c>
      <c r="AD12" s="35" t="b">
        <v>1</v>
      </c>
      <c r="AE12" s="28" t="s">
        <v>770</v>
      </c>
      <c r="AF12" s="28"/>
      <c r="AG12" s="28"/>
      <c r="AH12" s="28" t="s">
        <v>771</v>
      </c>
      <c r="AI12" s="53" t="b">
        <v>1</v>
      </c>
      <c r="AJ12" s="51" t="s">
        <v>193</v>
      </c>
      <c r="AK12" s="35" t="b">
        <v>1</v>
      </c>
      <c r="AL12" s="46" t="b">
        <v>0</v>
      </c>
      <c r="AM12" s="28">
        <v>0</v>
      </c>
      <c r="AN12" s="28" t="b">
        <v>0</v>
      </c>
      <c r="AO12" s="28"/>
      <c r="AP12" s="28"/>
      <c r="AQ12" s="46" t="b">
        <v>0</v>
      </c>
      <c r="AR12" s="28" t="b">
        <v>0</v>
      </c>
      <c r="AS12" s="28" t="b">
        <v>0</v>
      </c>
      <c r="AT12" s="28"/>
      <c r="AU12" s="41"/>
      <c r="AV12" s="41"/>
      <c r="AW12" s="41" t="s">
        <v>785</v>
      </c>
      <c r="AX12" s="28" t="s">
        <v>761</v>
      </c>
      <c r="AY12" s="28" t="s">
        <v>762</v>
      </c>
      <c r="AZ12" s="28">
        <v>0</v>
      </c>
      <c r="BA12" s="28"/>
      <c r="BB12" s="28">
        <v>19</v>
      </c>
      <c r="BC12" s="28">
        <v>10</v>
      </c>
      <c r="BD12" s="28">
        <v>2</v>
      </c>
      <c r="BE12" s="28" t="b">
        <v>0</v>
      </c>
      <c r="BF12" s="35" t="b">
        <v>1</v>
      </c>
      <c r="BG12" s="28">
        <v>48</v>
      </c>
      <c r="BH12" s="28">
        <v>49</v>
      </c>
      <c r="BI12" s="28">
        <v>16.596</v>
      </c>
      <c r="BJ12" s="28">
        <v>0</v>
      </c>
      <c r="BK12" s="28">
        <v>0.17199999999999999</v>
      </c>
      <c r="BL12" s="28">
        <v>16.596</v>
      </c>
      <c r="BM12" s="28">
        <v>0</v>
      </c>
      <c r="BN12" s="28" t="s">
        <v>775</v>
      </c>
      <c r="BO12" s="28" t="s">
        <v>481</v>
      </c>
      <c r="BP12" s="28">
        <v>0</v>
      </c>
      <c r="BQ12" s="28">
        <v>0</v>
      </c>
      <c r="BR12" s="28">
        <v>0</v>
      </c>
      <c r="BS12" s="28">
        <v>0</v>
      </c>
      <c r="BT12" s="28">
        <v>4</v>
      </c>
      <c r="BU12" s="28">
        <v>9</v>
      </c>
      <c r="BV12" s="28" t="b">
        <v>0</v>
      </c>
      <c r="BW12" s="28">
        <v>5.2269999999999999E-3</v>
      </c>
      <c r="BX12" s="28">
        <v>40</v>
      </c>
      <c r="BY12" s="28">
        <v>4</v>
      </c>
      <c r="BZ12" s="28" t="b">
        <v>0</v>
      </c>
      <c r="CA12" s="28" t="s">
        <v>82</v>
      </c>
      <c r="CB12" s="28"/>
      <c r="CC12" s="28"/>
      <c r="CD12" s="28"/>
      <c r="CE12" s="28" t="s">
        <v>786</v>
      </c>
      <c r="CF12" s="28"/>
      <c r="CG12" s="28" t="b">
        <v>0</v>
      </c>
      <c r="CH12" s="28" t="b">
        <v>0</v>
      </c>
      <c r="CI12" s="28">
        <v>316</v>
      </c>
      <c r="CJ12" s="28">
        <v>2678</v>
      </c>
      <c r="CK12" s="28"/>
      <c r="CL12" s="28"/>
      <c r="CM12" s="51">
        <v>2</v>
      </c>
      <c r="CN12" s="51" t="b">
        <v>0</v>
      </c>
      <c r="CO12" s="34" t="str">
        <f>IFERROR(HYPERLINK("#Main!A"&amp;MATCH(A12,Main!A:A,0),"Open"),HYPERLINK("#Main!A1","Open"))</f>
        <v>Open</v>
      </c>
      <c r="CP12" s="34"/>
    </row>
    <row r="13" spans="1:94" ht="30" customHeight="1" x14ac:dyDescent="0.25">
      <c r="A13" s="30" t="s">
        <v>201</v>
      </c>
      <c r="B13" s="35">
        <v>200</v>
      </c>
      <c r="C13" s="37" t="s">
        <v>768</v>
      </c>
      <c r="D13" s="50"/>
      <c r="E13" s="37" t="s">
        <v>478</v>
      </c>
      <c r="F13" s="37"/>
      <c r="G13" s="35" t="s">
        <v>477</v>
      </c>
      <c r="H13" s="50">
        <v>72.63</v>
      </c>
      <c r="I13" s="50">
        <v>18121.330000000002</v>
      </c>
      <c r="J13" s="52" t="s">
        <v>201</v>
      </c>
      <c r="K13" s="52" t="s">
        <v>201</v>
      </c>
      <c r="L13" s="37" t="s">
        <v>769</v>
      </c>
      <c r="M13" s="37" t="s">
        <v>335</v>
      </c>
      <c r="N13" s="29" t="s">
        <v>2</v>
      </c>
      <c r="O13" s="37"/>
      <c r="P13" s="37" t="s">
        <v>479</v>
      </c>
      <c r="Q13" s="37" t="s">
        <v>484</v>
      </c>
      <c r="R13" s="37" t="s">
        <v>475</v>
      </c>
      <c r="S13" s="29">
        <v>6.25</v>
      </c>
      <c r="T13" s="29">
        <v>0</v>
      </c>
      <c r="U13" s="29">
        <v>25</v>
      </c>
      <c r="V13" s="37" t="s">
        <v>754</v>
      </c>
      <c r="W13" s="37">
        <v>0</v>
      </c>
      <c r="X13" s="37"/>
      <c r="Y13" s="43"/>
      <c r="Z13" s="37" t="b">
        <v>0</v>
      </c>
      <c r="AA13" s="37" t="s">
        <v>757</v>
      </c>
      <c r="AB13" s="37" t="s">
        <v>758</v>
      </c>
      <c r="AC13" s="37">
        <v>239.76</v>
      </c>
      <c r="AD13" s="35" t="b">
        <v>1</v>
      </c>
      <c r="AE13" s="37" t="s">
        <v>770</v>
      </c>
      <c r="AF13" s="37"/>
      <c r="AG13" s="37"/>
      <c r="AH13" s="37" t="s">
        <v>771</v>
      </c>
      <c r="AI13" s="53" t="b">
        <v>1</v>
      </c>
      <c r="AJ13" s="52" t="s">
        <v>201</v>
      </c>
      <c r="AK13" s="35" t="b">
        <v>1</v>
      </c>
      <c r="AL13" s="46" t="b">
        <v>0</v>
      </c>
      <c r="AM13" s="37">
        <v>0</v>
      </c>
      <c r="AN13" s="37" t="b">
        <v>0</v>
      </c>
      <c r="AO13" s="37"/>
      <c r="AP13" s="37"/>
      <c r="AQ13" s="46" t="b">
        <v>0</v>
      </c>
      <c r="AR13" s="37" t="b">
        <v>0</v>
      </c>
      <c r="AS13" s="37" t="b">
        <v>0</v>
      </c>
      <c r="AT13" s="37"/>
      <c r="AU13" s="44"/>
      <c r="AV13" s="44"/>
      <c r="AW13" s="44" t="s">
        <v>787</v>
      </c>
      <c r="AX13" s="37" t="s">
        <v>761</v>
      </c>
      <c r="AY13" s="37" t="s">
        <v>762</v>
      </c>
      <c r="AZ13" s="37">
        <v>0</v>
      </c>
      <c r="BA13" s="37"/>
      <c r="BB13" s="37">
        <v>19</v>
      </c>
      <c r="BC13" s="37">
        <v>10</v>
      </c>
      <c r="BD13" s="37">
        <v>2</v>
      </c>
      <c r="BE13" s="37" t="b">
        <v>0</v>
      </c>
      <c r="BF13" s="35" t="b">
        <v>1</v>
      </c>
      <c r="BG13" s="37">
        <v>54</v>
      </c>
      <c r="BH13" s="37">
        <v>0</v>
      </c>
      <c r="BI13" s="37">
        <v>0</v>
      </c>
      <c r="BJ13" s="37">
        <v>0</v>
      </c>
      <c r="BK13" s="37">
        <v>0</v>
      </c>
      <c r="BL13" s="37">
        <v>0</v>
      </c>
      <c r="BM13" s="37">
        <v>0</v>
      </c>
      <c r="BN13" s="37" t="s">
        <v>775</v>
      </c>
      <c r="BO13" s="37" t="s">
        <v>481</v>
      </c>
      <c r="BP13" s="37">
        <v>0</v>
      </c>
      <c r="BQ13" s="37">
        <v>0</v>
      </c>
      <c r="BR13" s="37">
        <v>0</v>
      </c>
      <c r="BS13" s="37">
        <v>0</v>
      </c>
      <c r="BT13" s="37"/>
      <c r="BU13" s="37">
        <v>0</v>
      </c>
      <c r="BV13" s="37" t="b">
        <v>1</v>
      </c>
      <c r="BW13" s="37">
        <v>1.861E-3</v>
      </c>
      <c r="BX13" s="37">
        <v>30</v>
      </c>
      <c r="BY13" s="37">
        <v>3</v>
      </c>
      <c r="BZ13" s="37" t="b">
        <v>0</v>
      </c>
      <c r="CA13" s="37" t="s">
        <v>82</v>
      </c>
      <c r="CB13" s="37"/>
      <c r="CC13" s="37"/>
      <c r="CD13" s="37"/>
      <c r="CE13" s="37" t="s">
        <v>763</v>
      </c>
      <c r="CF13" s="37"/>
      <c r="CG13" s="37" t="b">
        <v>0</v>
      </c>
      <c r="CH13" s="37" t="b">
        <v>0</v>
      </c>
      <c r="CI13" s="37">
        <v>396</v>
      </c>
      <c r="CJ13" s="37">
        <v>0</v>
      </c>
      <c r="CK13" s="37"/>
      <c r="CL13" s="37"/>
      <c r="CM13" s="52">
        <v>2</v>
      </c>
      <c r="CN13" s="52" t="b">
        <v>0</v>
      </c>
      <c r="CO13" t="str">
        <f>IFERROR(HYPERLINK("#Main!A"&amp;MATCH(A13,Main!A:A,0),"Open"),HYPERLINK("#Main!A1","Open"))</f>
        <v>Open</v>
      </c>
    </row>
    <row r="14" spans="1:94" ht="30" customHeight="1" x14ac:dyDescent="0.25">
      <c r="A14" s="33" t="s">
        <v>208</v>
      </c>
      <c r="B14" s="35">
        <v>200</v>
      </c>
      <c r="C14" s="28" t="s">
        <v>768</v>
      </c>
      <c r="D14" s="49"/>
      <c r="E14" s="28" t="s">
        <v>478</v>
      </c>
      <c r="F14" s="28"/>
      <c r="G14" s="35" t="s">
        <v>477</v>
      </c>
      <c r="H14" s="49">
        <v>118.44</v>
      </c>
      <c r="I14" s="49">
        <v>18202.560000000001</v>
      </c>
      <c r="J14" s="51" t="s">
        <v>208</v>
      </c>
      <c r="K14" s="51" t="s">
        <v>208</v>
      </c>
      <c r="L14" s="28" t="s">
        <v>769</v>
      </c>
      <c r="M14" s="28" t="s">
        <v>335</v>
      </c>
      <c r="N14" s="29" t="s">
        <v>2</v>
      </c>
      <c r="O14" s="28"/>
      <c r="P14" s="28" t="s">
        <v>479</v>
      </c>
      <c r="Q14" s="28" t="s">
        <v>484</v>
      </c>
      <c r="R14" s="28" t="s">
        <v>475</v>
      </c>
      <c r="S14" s="29">
        <v>18.75</v>
      </c>
      <c r="T14" s="29">
        <v>0</v>
      </c>
      <c r="U14" s="32">
        <v>75</v>
      </c>
      <c r="V14" s="28" t="s">
        <v>754</v>
      </c>
      <c r="W14" s="28">
        <v>0</v>
      </c>
      <c r="X14" s="28"/>
      <c r="Y14" s="31"/>
      <c r="Z14" s="28" t="b">
        <v>0</v>
      </c>
      <c r="AA14" s="28" t="s">
        <v>757</v>
      </c>
      <c r="AB14" s="28" t="s">
        <v>758</v>
      </c>
      <c r="AC14" s="28">
        <v>276.24</v>
      </c>
      <c r="AD14" s="35" t="b">
        <v>1</v>
      </c>
      <c r="AE14" s="28" t="s">
        <v>770</v>
      </c>
      <c r="AF14" s="28"/>
      <c r="AG14" s="28"/>
      <c r="AH14" s="28" t="s">
        <v>771</v>
      </c>
      <c r="AI14" s="53" t="b">
        <v>1</v>
      </c>
      <c r="AJ14" s="51" t="s">
        <v>208</v>
      </c>
      <c r="AK14" s="35" t="b">
        <v>1</v>
      </c>
      <c r="AL14" s="46" t="b">
        <v>0</v>
      </c>
      <c r="AM14" s="28">
        <v>0</v>
      </c>
      <c r="AN14" s="28" t="b">
        <v>0</v>
      </c>
      <c r="AO14" s="28"/>
      <c r="AP14" s="28"/>
      <c r="AQ14" s="46" t="b">
        <v>0</v>
      </c>
      <c r="AR14" s="28" t="b">
        <v>0</v>
      </c>
      <c r="AS14" s="28" t="b">
        <v>0</v>
      </c>
      <c r="AT14" s="28"/>
      <c r="AU14" s="41"/>
      <c r="AV14" s="41"/>
      <c r="AW14" s="41" t="s">
        <v>788</v>
      </c>
      <c r="AX14" s="28" t="s">
        <v>761</v>
      </c>
      <c r="AY14" s="28" t="s">
        <v>762</v>
      </c>
      <c r="AZ14" s="28">
        <v>0</v>
      </c>
      <c r="BA14" s="28"/>
      <c r="BB14" s="28">
        <v>19</v>
      </c>
      <c r="BC14" s="28">
        <v>10</v>
      </c>
      <c r="BD14" s="28">
        <v>2</v>
      </c>
      <c r="BE14" s="28" t="b">
        <v>0</v>
      </c>
      <c r="BF14" s="35" t="b">
        <v>1</v>
      </c>
      <c r="BG14" s="28">
        <v>40</v>
      </c>
      <c r="BH14" s="28">
        <v>27</v>
      </c>
      <c r="BI14" s="28">
        <v>11.249000000000001</v>
      </c>
      <c r="BJ14" s="28">
        <v>7.0000000000000001E-3</v>
      </c>
      <c r="BK14" s="28">
        <v>0.17</v>
      </c>
      <c r="BL14" s="28">
        <v>11.249000000000001</v>
      </c>
      <c r="BM14" s="28">
        <v>7.0000000000000001E-3</v>
      </c>
      <c r="BN14" s="28" t="s">
        <v>775</v>
      </c>
      <c r="BO14" s="28" t="s">
        <v>481</v>
      </c>
      <c r="BP14" s="28">
        <v>0</v>
      </c>
      <c r="BQ14" s="28">
        <v>0</v>
      </c>
      <c r="BR14" s="28">
        <v>0</v>
      </c>
      <c r="BS14" s="28">
        <v>0</v>
      </c>
      <c r="BT14" s="28"/>
      <c r="BU14" s="28">
        <v>0</v>
      </c>
      <c r="BV14" s="28" t="b">
        <v>1</v>
      </c>
      <c r="BW14" s="28">
        <v>1.861E-3</v>
      </c>
      <c r="BX14" s="28">
        <v>30</v>
      </c>
      <c r="BY14" s="28">
        <v>3</v>
      </c>
      <c r="BZ14" s="28" t="b">
        <v>0</v>
      </c>
      <c r="CA14" s="28" t="s">
        <v>82</v>
      </c>
      <c r="CB14" s="28"/>
      <c r="CC14" s="28"/>
      <c r="CD14" s="28"/>
      <c r="CE14" s="28" t="s">
        <v>763</v>
      </c>
      <c r="CF14" s="28"/>
      <c r="CG14" s="28" t="b">
        <v>0</v>
      </c>
      <c r="CH14" s="28" t="b">
        <v>0</v>
      </c>
      <c r="CI14" s="28">
        <v>302</v>
      </c>
      <c r="CJ14" s="28">
        <v>1959</v>
      </c>
      <c r="CK14" s="28"/>
      <c r="CL14" s="28"/>
      <c r="CM14" s="51">
        <v>2</v>
      </c>
      <c r="CN14" s="51" t="b">
        <v>0</v>
      </c>
      <c r="CO14" s="34" t="str">
        <f>IFERROR(HYPERLINK("#Main!A"&amp;MATCH(A14,Main!A:A,0),"Open"),HYPERLINK("#Main!A1","Open"))</f>
        <v>Open</v>
      </c>
      <c r="CP14" s="34"/>
    </row>
    <row r="15" spans="1:94" ht="30" customHeight="1" x14ac:dyDescent="0.25">
      <c r="A15" s="30" t="s">
        <v>216</v>
      </c>
      <c r="B15" s="35">
        <v>200</v>
      </c>
      <c r="C15" s="37" t="s">
        <v>768</v>
      </c>
      <c r="D15" s="50"/>
      <c r="E15" s="37" t="s">
        <v>478</v>
      </c>
      <c r="F15" s="37"/>
      <c r="G15" s="35" t="s">
        <v>477</v>
      </c>
      <c r="H15" s="50">
        <v>77.53</v>
      </c>
      <c r="I15" s="50">
        <v>18098.13</v>
      </c>
      <c r="J15" s="52" t="s">
        <v>216</v>
      </c>
      <c r="K15" s="52" t="s">
        <v>216</v>
      </c>
      <c r="L15" s="37" t="s">
        <v>769</v>
      </c>
      <c r="M15" s="37" t="s">
        <v>335</v>
      </c>
      <c r="N15" s="29" t="s">
        <v>2</v>
      </c>
      <c r="O15" s="37"/>
      <c r="P15" s="37" t="s">
        <v>479</v>
      </c>
      <c r="Q15" s="37" t="s">
        <v>484</v>
      </c>
      <c r="R15" s="37" t="s">
        <v>475</v>
      </c>
      <c r="S15" s="29">
        <v>11.25</v>
      </c>
      <c r="T15" s="29">
        <v>0</v>
      </c>
      <c r="U15" s="29">
        <v>45</v>
      </c>
      <c r="V15" s="37" t="s">
        <v>754</v>
      </c>
      <c r="W15" s="37">
        <v>0</v>
      </c>
      <c r="X15" s="37"/>
      <c r="Y15" s="43"/>
      <c r="Z15" s="37" t="b">
        <v>0</v>
      </c>
      <c r="AA15" s="37" t="s">
        <v>757</v>
      </c>
      <c r="AB15" s="37" t="s">
        <v>758</v>
      </c>
      <c r="AC15" s="37">
        <v>202.14</v>
      </c>
      <c r="AD15" s="35" t="b">
        <v>1</v>
      </c>
      <c r="AE15" s="37" t="s">
        <v>770</v>
      </c>
      <c r="AF15" s="37"/>
      <c r="AG15" s="37"/>
      <c r="AH15" s="37" t="s">
        <v>771</v>
      </c>
      <c r="AI15" s="53" t="b">
        <v>1</v>
      </c>
      <c r="AJ15" s="52" t="s">
        <v>216</v>
      </c>
      <c r="AK15" s="35" t="b">
        <v>1</v>
      </c>
      <c r="AL15" s="46" t="b">
        <v>0</v>
      </c>
      <c r="AM15" s="37">
        <v>0</v>
      </c>
      <c r="AN15" s="37" t="b">
        <v>0</v>
      </c>
      <c r="AO15" s="37"/>
      <c r="AP15" s="37"/>
      <c r="AQ15" s="46" t="b">
        <v>0</v>
      </c>
      <c r="AR15" s="37" t="b">
        <v>0</v>
      </c>
      <c r="AS15" s="37" t="b">
        <v>0</v>
      </c>
      <c r="AT15" s="37"/>
      <c r="AU15" s="44"/>
      <c r="AV15" s="44"/>
      <c r="AW15" s="44" t="s">
        <v>789</v>
      </c>
      <c r="AX15" s="37" t="s">
        <v>761</v>
      </c>
      <c r="AY15" s="37" t="s">
        <v>762</v>
      </c>
      <c r="AZ15" s="37">
        <v>0</v>
      </c>
      <c r="BA15" s="37"/>
      <c r="BB15" s="37">
        <v>2</v>
      </c>
      <c r="BC15" s="37">
        <v>1</v>
      </c>
      <c r="BD15" s="37">
        <v>0</v>
      </c>
      <c r="BE15" s="37" t="b">
        <v>0</v>
      </c>
      <c r="BF15" s="35" t="b">
        <v>1</v>
      </c>
      <c r="BG15" s="37">
        <v>60</v>
      </c>
      <c r="BH15" s="37">
        <v>40</v>
      </c>
      <c r="BI15" s="37">
        <v>5.242</v>
      </c>
      <c r="BJ15" s="37">
        <v>0</v>
      </c>
      <c r="BK15" s="37">
        <v>5.0000000000000001E-3</v>
      </c>
      <c r="BL15" s="37">
        <v>5.242</v>
      </c>
      <c r="BM15" s="37">
        <v>0</v>
      </c>
      <c r="BN15" s="37" t="s">
        <v>775</v>
      </c>
      <c r="BO15" s="37" t="s">
        <v>481</v>
      </c>
      <c r="BP15" s="37">
        <v>0</v>
      </c>
      <c r="BQ15" s="37">
        <v>0</v>
      </c>
      <c r="BR15" s="37">
        <v>0</v>
      </c>
      <c r="BS15" s="37">
        <v>0</v>
      </c>
      <c r="BT15" s="37"/>
      <c r="BU15" s="37">
        <v>0</v>
      </c>
      <c r="BV15" s="37" t="b">
        <v>1</v>
      </c>
      <c r="BW15" s="37">
        <v>1.861E-3</v>
      </c>
      <c r="BX15" s="37">
        <v>30</v>
      </c>
      <c r="BY15" s="37">
        <v>3</v>
      </c>
      <c r="BZ15" s="37" t="b">
        <v>0</v>
      </c>
      <c r="CA15" s="37" t="s">
        <v>82</v>
      </c>
      <c r="CB15" s="37"/>
      <c r="CC15" s="37"/>
      <c r="CD15" s="37"/>
      <c r="CE15" s="37" t="s">
        <v>763</v>
      </c>
      <c r="CF15" s="37"/>
      <c r="CG15" s="37" t="b">
        <v>0</v>
      </c>
      <c r="CH15" s="37" t="b">
        <v>0</v>
      </c>
      <c r="CI15" s="37">
        <v>388</v>
      </c>
      <c r="CJ15" s="37">
        <v>2349</v>
      </c>
      <c r="CK15" s="37"/>
      <c r="CL15" s="37"/>
      <c r="CM15" s="52">
        <v>2</v>
      </c>
      <c r="CN15" s="52" t="b">
        <v>0</v>
      </c>
      <c r="CO15" t="str">
        <f>IFERROR(HYPERLINK("#Main!A"&amp;MATCH(A15,Main!A:A,0),"Open"),HYPERLINK("#Main!A1","Open"))</f>
        <v>Open</v>
      </c>
    </row>
    <row r="16" spans="1:94" ht="30" customHeight="1" x14ac:dyDescent="0.25">
      <c r="A16" s="33" t="s">
        <v>224</v>
      </c>
      <c r="B16" s="35">
        <v>200</v>
      </c>
      <c r="C16" s="28" t="s">
        <v>768</v>
      </c>
      <c r="D16" s="49"/>
      <c r="E16" s="28" t="s">
        <v>478</v>
      </c>
      <c r="F16" s="28"/>
      <c r="G16" s="35" t="s">
        <v>477</v>
      </c>
      <c r="H16" s="49">
        <v>85.73</v>
      </c>
      <c r="I16" s="49">
        <v>18013.68</v>
      </c>
      <c r="J16" s="51" t="s">
        <v>224</v>
      </c>
      <c r="K16" s="51" t="s">
        <v>224</v>
      </c>
      <c r="L16" s="28" t="s">
        <v>769</v>
      </c>
      <c r="M16" s="28" t="s">
        <v>335</v>
      </c>
      <c r="N16" s="29" t="s">
        <v>2</v>
      </c>
      <c r="O16" s="28"/>
      <c r="P16" s="28" t="s">
        <v>479</v>
      </c>
      <c r="Q16" s="28" t="s">
        <v>484</v>
      </c>
      <c r="R16" s="28" t="s">
        <v>475</v>
      </c>
      <c r="S16" s="29">
        <v>18.75</v>
      </c>
      <c r="T16" s="29">
        <v>0</v>
      </c>
      <c r="U16" s="32">
        <v>75</v>
      </c>
      <c r="V16" s="28" t="s">
        <v>754</v>
      </c>
      <c r="W16" s="28">
        <v>0</v>
      </c>
      <c r="X16" s="28"/>
      <c r="Y16" s="31"/>
      <c r="Z16" s="28" t="b">
        <v>0</v>
      </c>
      <c r="AA16" s="28" t="s">
        <v>757</v>
      </c>
      <c r="AB16" s="28" t="s">
        <v>758</v>
      </c>
      <c r="AC16" s="28">
        <v>266.29000000000002</v>
      </c>
      <c r="AD16" s="35" t="b">
        <v>1</v>
      </c>
      <c r="AE16" s="28" t="s">
        <v>770</v>
      </c>
      <c r="AF16" s="28"/>
      <c r="AG16" s="28"/>
      <c r="AH16" s="28" t="s">
        <v>771</v>
      </c>
      <c r="AI16" s="53" t="b">
        <v>1</v>
      </c>
      <c r="AJ16" s="51" t="s">
        <v>224</v>
      </c>
      <c r="AK16" s="35" t="b">
        <v>1</v>
      </c>
      <c r="AL16" s="46" t="b">
        <v>0</v>
      </c>
      <c r="AM16" s="28">
        <v>0</v>
      </c>
      <c r="AN16" s="28" t="b">
        <v>0</v>
      </c>
      <c r="AO16" s="28"/>
      <c r="AP16" s="28"/>
      <c r="AQ16" s="46" t="b">
        <v>0</v>
      </c>
      <c r="AR16" s="28" t="b">
        <v>0</v>
      </c>
      <c r="AS16" s="28" t="b">
        <v>0</v>
      </c>
      <c r="AT16" s="28"/>
      <c r="AU16" s="41"/>
      <c r="AV16" s="41"/>
      <c r="AW16" s="41" t="s">
        <v>790</v>
      </c>
      <c r="AX16" s="28" t="s">
        <v>761</v>
      </c>
      <c r="AY16" s="28" t="s">
        <v>762</v>
      </c>
      <c r="AZ16" s="28">
        <v>0</v>
      </c>
      <c r="BA16" s="28"/>
      <c r="BB16" s="28">
        <v>22</v>
      </c>
      <c r="BC16" s="28">
        <v>12</v>
      </c>
      <c r="BD16" s="28">
        <v>3</v>
      </c>
      <c r="BE16" s="28" t="b">
        <v>0</v>
      </c>
      <c r="BF16" s="35" t="b">
        <v>1</v>
      </c>
      <c r="BG16" s="28">
        <v>46</v>
      </c>
      <c r="BH16" s="28">
        <v>32</v>
      </c>
      <c r="BI16" s="28">
        <v>13.336</v>
      </c>
      <c r="BJ16" s="28">
        <v>1E-3</v>
      </c>
      <c r="BK16" s="28">
        <v>0.17</v>
      </c>
      <c r="BL16" s="28">
        <v>13.336</v>
      </c>
      <c r="BM16" s="28">
        <v>1E-3</v>
      </c>
      <c r="BN16" s="28" t="s">
        <v>775</v>
      </c>
      <c r="BO16" s="28" t="s">
        <v>481</v>
      </c>
      <c r="BP16" s="28">
        <v>0</v>
      </c>
      <c r="BQ16" s="28">
        <v>0</v>
      </c>
      <c r="BR16" s="28">
        <v>0</v>
      </c>
      <c r="BS16" s="28">
        <v>0</v>
      </c>
      <c r="BT16" s="28"/>
      <c r="BU16" s="28">
        <v>0</v>
      </c>
      <c r="BV16" s="28" t="b">
        <v>1</v>
      </c>
      <c r="BW16" s="28">
        <v>1.861E-3</v>
      </c>
      <c r="BX16" s="28">
        <v>30</v>
      </c>
      <c r="BY16" s="28">
        <v>3</v>
      </c>
      <c r="BZ16" s="28" t="b">
        <v>0</v>
      </c>
      <c r="CA16" s="28" t="s">
        <v>82</v>
      </c>
      <c r="CB16" s="28"/>
      <c r="CC16" s="28"/>
      <c r="CD16" s="28"/>
      <c r="CE16" s="28" t="s">
        <v>763</v>
      </c>
      <c r="CF16" s="28"/>
      <c r="CG16" s="28" t="b">
        <v>0</v>
      </c>
      <c r="CH16" s="28" t="b">
        <v>0</v>
      </c>
      <c r="CI16" s="28">
        <v>381</v>
      </c>
      <c r="CJ16" s="28">
        <v>2108</v>
      </c>
      <c r="CK16" s="28"/>
      <c r="CL16" s="28"/>
      <c r="CM16" s="51">
        <v>2</v>
      </c>
      <c r="CN16" s="51" t="b">
        <v>0</v>
      </c>
      <c r="CO16" s="34" t="str">
        <f>IFERROR(HYPERLINK("#Main!A"&amp;MATCH(A16,Main!A:A,0),"Open"),HYPERLINK("#Main!A1","Open"))</f>
        <v>Open</v>
      </c>
      <c r="CP16" s="34"/>
    </row>
    <row r="17" spans="1:94" ht="30" customHeight="1" x14ac:dyDescent="0.25">
      <c r="A17" s="30" t="s">
        <v>233</v>
      </c>
      <c r="B17" s="35">
        <v>200</v>
      </c>
      <c r="C17" s="37" t="s">
        <v>768</v>
      </c>
      <c r="D17" s="50"/>
      <c r="E17" s="37" t="s">
        <v>478</v>
      </c>
      <c r="F17" s="37"/>
      <c r="G17" s="35" t="s">
        <v>477</v>
      </c>
      <c r="H17" s="50">
        <v>57.3</v>
      </c>
      <c r="I17" s="50">
        <v>18211.060000000001</v>
      </c>
      <c r="J17" s="52" t="s">
        <v>233</v>
      </c>
      <c r="K17" s="52" t="s">
        <v>233</v>
      </c>
      <c r="L17" s="37" t="s">
        <v>769</v>
      </c>
      <c r="M17" s="37" t="s">
        <v>335</v>
      </c>
      <c r="N17" s="29" t="s">
        <v>2</v>
      </c>
      <c r="O17" s="37"/>
      <c r="P17" s="37" t="s">
        <v>479</v>
      </c>
      <c r="Q17" s="37" t="s">
        <v>484</v>
      </c>
      <c r="R17" s="37" t="s">
        <v>475</v>
      </c>
      <c r="S17" s="29">
        <v>18.75</v>
      </c>
      <c r="T17" s="29">
        <v>0</v>
      </c>
      <c r="U17" s="32">
        <v>75</v>
      </c>
      <c r="V17" s="37" t="s">
        <v>754</v>
      </c>
      <c r="W17" s="37">
        <v>0</v>
      </c>
      <c r="X17" s="37"/>
      <c r="Y17" s="43"/>
      <c r="Z17" s="37" t="b">
        <v>0</v>
      </c>
      <c r="AA17" s="37" t="s">
        <v>757</v>
      </c>
      <c r="AB17" s="37" t="s">
        <v>758</v>
      </c>
      <c r="AC17" s="37">
        <v>810.33</v>
      </c>
      <c r="AD17" s="35" t="b">
        <v>1</v>
      </c>
      <c r="AE17" s="37" t="s">
        <v>770</v>
      </c>
      <c r="AF17" s="37"/>
      <c r="AG17" s="37"/>
      <c r="AH17" s="37" t="s">
        <v>771</v>
      </c>
      <c r="AI17" s="53" t="b">
        <v>1</v>
      </c>
      <c r="AJ17" s="52" t="s">
        <v>233</v>
      </c>
      <c r="AK17" s="35" t="b">
        <v>1</v>
      </c>
      <c r="AL17" s="46" t="b">
        <v>0</v>
      </c>
      <c r="AM17" s="37">
        <v>0</v>
      </c>
      <c r="AN17" s="37" t="b">
        <v>0</v>
      </c>
      <c r="AO17" s="37"/>
      <c r="AP17" s="37"/>
      <c r="AQ17" s="46" t="b">
        <v>0</v>
      </c>
      <c r="AR17" s="37" t="b">
        <v>0</v>
      </c>
      <c r="AS17" s="37" t="b">
        <v>0</v>
      </c>
      <c r="AT17" s="37"/>
      <c r="AU17" s="44"/>
      <c r="AV17" s="44"/>
      <c r="AW17" s="44" t="s">
        <v>791</v>
      </c>
      <c r="AX17" s="37" t="s">
        <v>761</v>
      </c>
      <c r="AY17" s="37" t="s">
        <v>762</v>
      </c>
      <c r="AZ17" s="37">
        <v>0</v>
      </c>
      <c r="BA17" s="37"/>
      <c r="BB17" s="37">
        <v>617</v>
      </c>
      <c r="BC17" s="37">
        <v>608</v>
      </c>
      <c r="BD17" s="37">
        <v>2</v>
      </c>
      <c r="BE17" s="37" t="b">
        <v>0</v>
      </c>
      <c r="BF17" s="35" t="b">
        <v>1</v>
      </c>
      <c r="BG17" s="37">
        <v>15</v>
      </c>
      <c r="BH17" s="37">
        <v>0</v>
      </c>
      <c r="BI17" s="37">
        <v>0</v>
      </c>
      <c r="BJ17" s="37">
        <v>0</v>
      </c>
      <c r="BK17" s="37">
        <v>0</v>
      </c>
      <c r="BL17" s="37">
        <v>0</v>
      </c>
      <c r="BM17" s="37">
        <v>0</v>
      </c>
      <c r="BN17" s="37" t="s">
        <v>775</v>
      </c>
      <c r="BO17" s="37" t="s">
        <v>481</v>
      </c>
      <c r="BP17" s="37">
        <v>0</v>
      </c>
      <c r="BQ17" s="37">
        <v>0</v>
      </c>
      <c r="BR17" s="37">
        <v>0</v>
      </c>
      <c r="BS17" s="37">
        <v>0</v>
      </c>
      <c r="BT17" s="37">
        <v>3</v>
      </c>
      <c r="BU17" s="37">
        <v>10</v>
      </c>
      <c r="BV17" s="37" t="b">
        <v>0</v>
      </c>
      <c r="BW17" s="37">
        <v>5.8669999999999998E-3</v>
      </c>
      <c r="BX17" s="37">
        <v>30</v>
      </c>
      <c r="BY17" s="37">
        <v>3</v>
      </c>
      <c r="BZ17" s="37" t="b">
        <v>0</v>
      </c>
      <c r="CA17" s="37" t="s">
        <v>82</v>
      </c>
      <c r="CB17" s="37"/>
      <c r="CC17" s="37"/>
      <c r="CD17" s="37"/>
      <c r="CE17" s="37" t="s">
        <v>786</v>
      </c>
      <c r="CF17" s="37"/>
      <c r="CG17" s="37" t="b">
        <v>0</v>
      </c>
      <c r="CH17" s="37" t="b">
        <v>0</v>
      </c>
      <c r="CI17" s="37">
        <v>295</v>
      </c>
      <c r="CJ17" s="37">
        <v>545</v>
      </c>
      <c r="CK17" s="37"/>
      <c r="CL17" s="37"/>
      <c r="CM17" s="52">
        <v>2</v>
      </c>
      <c r="CN17" s="52" t="b">
        <v>0</v>
      </c>
      <c r="CO17" t="str">
        <f>IFERROR(HYPERLINK("#Main!A"&amp;MATCH(A17,Main!A:A,0),"Open"),HYPERLINK("#Main!A1","Open"))</f>
        <v>Open</v>
      </c>
    </row>
    <row r="18" spans="1:94" ht="30" customHeight="1" x14ac:dyDescent="0.25">
      <c r="A18" s="33" t="s">
        <v>241</v>
      </c>
      <c r="B18" s="35">
        <v>200</v>
      </c>
      <c r="C18" s="28" t="s">
        <v>768</v>
      </c>
      <c r="D18" s="49"/>
      <c r="E18" s="28" t="s">
        <v>478</v>
      </c>
      <c r="F18" s="28"/>
      <c r="G18" s="35" t="s">
        <v>477</v>
      </c>
      <c r="H18" s="49">
        <v>70.25</v>
      </c>
      <c r="I18" s="49">
        <v>18066.36</v>
      </c>
      <c r="J18" s="51" t="s">
        <v>241</v>
      </c>
      <c r="K18" s="51" t="s">
        <v>241</v>
      </c>
      <c r="L18" s="28" t="s">
        <v>769</v>
      </c>
      <c r="M18" s="28" t="s">
        <v>335</v>
      </c>
      <c r="N18" s="29" t="s">
        <v>2</v>
      </c>
      <c r="O18" s="28"/>
      <c r="P18" s="28" t="s">
        <v>479</v>
      </c>
      <c r="Q18" s="28" t="s">
        <v>484</v>
      </c>
      <c r="R18" s="28" t="s">
        <v>475</v>
      </c>
      <c r="S18" s="29">
        <v>18.75</v>
      </c>
      <c r="T18" s="29">
        <v>0</v>
      </c>
      <c r="U18" s="32">
        <v>75</v>
      </c>
      <c r="V18" s="28" t="s">
        <v>754</v>
      </c>
      <c r="W18" s="28">
        <v>0</v>
      </c>
      <c r="X18" s="28"/>
      <c r="Y18" s="31"/>
      <c r="Z18" s="28" t="b">
        <v>0</v>
      </c>
      <c r="AA18" s="28" t="s">
        <v>757</v>
      </c>
      <c r="AB18" s="28" t="s">
        <v>758</v>
      </c>
      <c r="AC18" s="28">
        <v>286.99</v>
      </c>
      <c r="AD18" s="35" t="b">
        <v>1</v>
      </c>
      <c r="AE18" s="28" t="s">
        <v>770</v>
      </c>
      <c r="AF18" s="28"/>
      <c r="AG18" s="28"/>
      <c r="AH18" s="28" t="s">
        <v>771</v>
      </c>
      <c r="AI18" s="53" t="b">
        <v>1</v>
      </c>
      <c r="AJ18" s="51" t="s">
        <v>241</v>
      </c>
      <c r="AK18" s="35" t="b">
        <v>1</v>
      </c>
      <c r="AL18" s="46" t="b">
        <v>0</v>
      </c>
      <c r="AM18" s="28">
        <v>0</v>
      </c>
      <c r="AN18" s="28" t="b">
        <v>0</v>
      </c>
      <c r="AO18" s="28"/>
      <c r="AP18" s="28"/>
      <c r="AQ18" s="46" t="b">
        <v>0</v>
      </c>
      <c r="AR18" s="28" t="b">
        <v>0</v>
      </c>
      <c r="AS18" s="28" t="b">
        <v>0</v>
      </c>
      <c r="AT18" s="28"/>
      <c r="AU18" s="41"/>
      <c r="AV18" s="41"/>
      <c r="AW18" s="41" t="s">
        <v>792</v>
      </c>
      <c r="AX18" s="28" t="s">
        <v>761</v>
      </c>
      <c r="AY18" s="28" t="s">
        <v>762</v>
      </c>
      <c r="AZ18" s="28">
        <v>0</v>
      </c>
      <c r="BA18" s="28"/>
      <c r="BB18" s="28">
        <v>19</v>
      </c>
      <c r="BC18" s="28">
        <v>10</v>
      </c>
      <c r="BD18" s="28">
        <v>12</v>
      </c>
      <c r="BE18" s="28" t="b">
        <v>0</v>
      </c>
      <c r="BF18" s="35" t="b">
        <v>1</v>
      </c>
      <c r="BG18" s="28">
        <v>46</v>
      </c>
      <c r="BH18" s="28">
        <v>42</v>
      </c>
      <c r="BI18" s="28">
        <v>12.036</v>
      </c>
      <c r="BJ18" s="28">
        <v>0</v>
      </c>
      <c r="BK18" s="28">
        <v>0.17100000000000001</v>
      </c>
      <c r="BL18" s="28">
        <v>12.036</v>
      </c>
      <c r="BM18" s="28">
        <v>0</v>
      </c>
      <c r="BN18" s="28" t="s">
        <v>775</v>
      </c>
      <c r="BO18" s="28" t="s">
        <v>481</v>
      </c>
      <c r="BP18" s="28">
        <v>0</v>
      </c>
      <c r="BQ18" s="28">
        <v>0</v>
      </c>
      <c r="BR18" s="28">
        <v>0</v>
      </c>
      <c r="BS18" s="28">
        <v>0</v>
      </c>
      <c r="BT18" s="28">
        <v>4</v>
      </c>
      <c r="BU18" s="28">
        <v>9</v>
      </c>
      <c r="BV18" s="28" t="b">
        <v>0</v>
      </c>
      <c r="BW18" s="28">
        <v>5.2269999999999999E-3</v>
      </c>
      <c r="BX18" s="28">
        <v>30</v>
      </c>
      <c r="BY18" s="28">
        <v>3</v>
      </c>
      <c r="BZ18" s="28" t="b">
        <v>0</v>
      </c>
      <c r="CA18" s="28" t="s">
        <v>82</v>
      </c>
      <c r="CB18" s="28"/>
      <c r="CC18" s="28"/>
      <c r="CD18" s="28"/>
      <c r="CE18" s="28" t="s">
        <v>786</v>
      </c>
      <c r="CF18" s="28"/>
      <c r="CG18" s="28" t="b">
        <v>0</v>
      </c>
      <c r="CH18" s="28" t="b">
        <v>0</v>
      </c>
      <c r="CI18" s="28">
        <v>302</v>
      </c>
      <c r="CJ18" s="28">
        <v>229</v>
      </c>
      <c r="CK18" s="28"/>
      <c r="CL18" s="28"/>
      <c r="CM18" s="51">
        <v>2</v>
      </c>
      <c r="CN18" s="51" t="b">
        <v>0</v>
      </c>
      <c r="CO18" s="34" t="str">
        <f>IFERROR(HYPERLINK("#Main!A"&amp;MATCH(A18,Main!A:A,0),"Open"),HYPERLINK("#Main!A1","Open"))</f>
        <v>Open</v>
      </c>
      <c r="CP18" s="34"/>
    </row>
    <row r="19" spans="1:94" ht="30" customHeight="1" x14ac:dyDescent="0.25">
      <c r="A19" s="30" t="s">
        <v>485</v>
      </c>
      <c r="B19" s="35">
        <v>200</v>
      </c>
      <c r="C19" s="37" t="s">
        <v>768</v>
      </c>
      <c r="D19" s="50"/>
      <c r="E19" s="37" t="s">
        <v>478</v>
      </c>
      <c r="F19" s="37"/>
      <c r="G19" s="35" t="s">
        <v>477</v>
      </c>
      <c r="H19" s="50">
        <v>42.2</v>
      </c>
      <c r="I19" s="50">
        <v>18307.82</v>
      </c>
      <c r="J19" s="52" t="s">
        <v>485</v>
      </c>
      <c r="K19" s="52" t="s">
        <v>485</v>
      </c>
      <c r="L19" s="37" t="s">
        <v>769</v>
      </c>
      <c r="M19" s="37" t="s">
        <v>335</v>
      </c>
      <c r="N19" s="29" t="s">
        <v>2</v>
      </c>
      <c r="O19" s="37"/>
      <c r="P19" s="37" t="s">
        <v>479</v>
      </c>
      <c r="Q19" s="37" t="s">
        <v>484</v>
      </c>
      <c r="R19" s="37" t="s">
        <v>475</v>
      </c>
      <c r="S19" s="29">
        <v>25</v>
      </c>
      <c r="T19" s="29">
        <v>0</v>
      </c>
      <c r="U19" s="35">
        <v>100</v>
      </c>
      <c r="V19" s="37" t="s">
        <v>754</v>
      </c>
      <c r="W19" s="37">
        <v>0</v>
      </c>
      <c r="X19" s="37"/>
      <c r="Y19" s="43"/>
      <c r="Z19" s="37" t="b">
        <v>0</v>
      </c>
      <c r="AA19" s="37" t="s">
        <v>757</v>
      </c>
      <c r="AB19" s="37" t="s">
        <v>758</v>
      </c>
      <c r="AC19" s="37">
        <v>380.41</v>
      </c>
      <c r="AD19" s="35" t="b">
        <v>1</v>
      </c>
      <c r="AE19" s="37" t="s">
        <v>770</v>
      </c>
      <c r="AF19" s="37"/>
      <c r="AG19" s="37"/>
      <c r="AH19" s="37" t="s">
        <v>771</v>
      </c>
      <c r="AI19" s="53" t="b">
        <v>1</v>
      </c>
      <c r="AJ19" s="52" t="s">
        <v>485</v>
      </c>
      <c r="AK19" s="35" t="b">
        <v>1</v>
      </c>
      <c r="AL19" s="46" t="b">
        <v>0</v>
      </c>
      <c r="AM19" s="37">
        <v>0</v>
      </c>
      <c r="AN19" s="37" t="b">
        <v>0</v>
      </c>
      <c r="AO19" s="37"/>
      <c r="AP19" s="37"/>
      <c r="AQ19" s="46" t="b">
        <v>0</v>
      </c>
      <c r="AR19" s="37" t="b">
        <v>0</v>
      </c>
      <c r="AS19" s="37" t="b">
        <v>0</v>
      </c>
      <c r="AT19" s="37"/>
      <c r="AU19" s="44"/>
      <c r="AV19" s="44"/>
      <c r="AW19" s="44" t="s">
        <v>793</v>
      </c>
      <c r="AX19" s="37" t="s">
        <v>761</v>
      </c>
      <c r="AY19" s="37" t="s">
        <v>762</v>
      </c>
      <c r="AZ19" s="37">
        <v>0</v>
      </c>
      <c r="BA19" s="37"/>
      <c r="BB19" s="37">
        <v>28</v>
      </c>
      <c r="BC19" s="37">
        <v>18</v>
      </c>
      <c r="BD19" s="37">
        <v>2</v>
      </c>
      <c r="BE19" s="37" t="b">
        <v>0</v>
      </c>
      <c r="BF19" s="35" t="b">
        <v>1</v>
      </c>
      <c r="BG19" s="37">
        <v>61</v>
      </c>
      <c r="BH19" s="37">
        <v>25</v>
      </c>
      <c r="BI19" s="37">
        <v>9.7149999999999999</v>
      </c>
      <c r="BJ19" s="37">
        <v>0</v>
      </c>
      <c r="BK19" s="37">
        <v>0.17299999999999999</v>
      </c>
      <c r="BL19" s="37">
        <v>9.7149999999999999</v>
      </c>
      <c r="BM19" s="37">
        <v>0</v>
      </c>
      <c r="BN19" s="37" t="s">
        <v>775</v>
      </c>
      <c r="BO19" s="37" t="s">
        <v>481</v>
      </c>
      <c r="BP19" s="37">
        <v>0</v>
      </c>
      <c r="BQ19" s="37">
        <v>0</v>
      </c>
      <c r="BR19" s="37">
        <v>0</v>
      </c>
      <c r="BS19" s="37">
        <v>0</v>
      </c>
      <c r="BT19" s="37">
        <v>3</v>
      </c>
      <c r="BU19" s="37">
        <v>11</v>
      </c>
      <c r="BV19" s="37" t="b">
        <v>0</v>
      </c>
      <c r="BW19" s="37">
        <v>5.9800000000000001E-3</v>
      </c>
      <c r="BX19" s="37">
        <v>90</v>
      </c>
      <c r="BY19" s="37">
        <v>9</v>
      </c>
      <c r="BZ19" s="37" t="b">
        <v>1</v>
      </c>
      <c r="CA19" s="37" t="s">
        <v>82</v>
      </c>
      <c r="CB19" s="37"/>
      <c r="CC19" s="37"/>
      <c r="CD19" s="37"/>
      <c r="CE19" s="37" t="s">
        <v>776</v>
      </c>
      <c r="CF19" s="37"/>
      <c r="CG19" s="37" t="b">
        <v>0</v>
      </c>
      <c r="CH19" s="37" t="b">
        <v>0</v>
      </c>
      <c r="CI19" s="37">
        <v>309</v>
      </c>
      <c r="CJ19" s="37">
        <v>2244</v>
      </c>
      <c r="CK19" s="37"/>
      <c r="CL19" s="37"/>
      <c r="CM19" s="52">
        <v>2</v>
      </c>
      <c r="CN19" s="52" t="b">
        <v>0</v>
      </c>
      <c r="CO19" t="str">
        <f>IFERROR(HYPERLINK("#Main!A"&amp;MATCH(A19,Main!A:A,0),"Open"),HYPERLINK("#Main!A1","Open"))</f>
        <v>Open</v>
      </c>
    </row>
    <row r="20" spans="1:94" ht="30" customHeight="1" x14ac:dyDescent="0.25">
      <c r="A20" s="33" t="s">
        <v>488</v>
      </c>
      <c r="B20" s="35">
        <v>200</v>
      </c>
      <c r="C20" s="28" t="s">
        <v>768</v>
      </c>
      <c r="D20" s="49"/>
      <c r="E20" s="28" t="s">
        <v>478</v>
      </c>
      <c r="F20" s="28"/>
      <c r="G20" s="35" t="s">
        <v>477</v>
      </c>
      <c r="H20" s="49">
        <v>56.29</v>
      </c>
      <c r="I20" s="49">
        <v>18243.68</v>
      </c>
      <c r="J20" s="51" t="s">
        <v>488</v>
      </c>
      <c r="K20" s="51" t="s">
        <v>488</v>
      </c>
      <c r="L20" s="28" t="s">
        <v>769</v>
      </c>
      <c r="M20" s="28" t="s">
        <v>335</v>
      </c>
      <c r="N20" s="29" t="s">
        <v>2</v>
      </c>
      <c r="O20" s="28"/>
      <c r="P20" s="28" t="s">
        <v>479</v>
      </c>
      <c r="Q20" s="28" t="s">
        <v>484</v>
      </c>
      <c r="R20" s="28" t="s">
        <v>475</v>
      </c>
      <c r="S20" s="29">
        <v>18.75</v>
      </c>
      <c r="T20" s="29">
        <v>0</v>
      </c>
      <c r="U20" s="32">
        <v>75</v>
      </c>
      <c r="V20" s="28" t="s">
        <v>754</v>
      </c>
      <c r="W20" s="28">
        <v>0</v>
      </c>
      <c r="X20" s="28"/>
      <c r="Y20" s="31"/>
      <c r="Z20" s="28" t="b">
        <v>0</v>
      </c>
      <c r="AA20" s="28" t="s">
        <v>757</v>
      </c>
      <c r="AB20" s="28" t="s">
        <v>758</v>
      </c>
      <c r="AC20" s="28">
        <v>415.94</v>
      </c>
      <c r="AD20" s="35" t="b">
        <v>1</v>
      </c>
      <c r="AE20" s="28" t="s">
        <v>770</v>
      </c>
      <c r="AF20" s="28"/>
      <c r="AG20" s="28"/>
      <c r="AH20" s="28" t="s">
        <v>771</v>
      </c>
      <c r="AI20" s="53" t="b">
        <v>1</v>
      </c>
      <c r="AJ20" s="51" t="s">
        <v>488</v>
      </c>
      <c r="AK20" s="35" t="b">
        <v>1</v>
      </c>
      <c r="AL20" s="46" t="b">
        <v>0</v>
      </c>
      <c r="AM20" s="28">
        <v>0</v>
      </c>
      <c r="AN20" s="28" t="b">
        <v>0</v>
      </c>
      <c r="AO20" s="28"/>
      <c r="AP20" s="28"/>
      <c r="AQ20" s="46" t="b">
        <v>0</v>
      </c>
      <c r="AR20" s="28" t="b">
        <v>0</v>
      </c>
      <c r="AS20" s="28" t="b">
        <v>0</v>
      </c>
      <c r="AT20" s="28"/>
      <c r="AU20" s="41"/>
      <c r="AV20" s="41"/>
      <c r="AW20" s="41" t="s">
        <v>794</v>
      </c>
      <c r="AX20" s="28" t="s">
        <v>761</v>
      </c>
      <c r="AY20" s="28" t="s">
        <v>762</v>
      </c>
      <c r="AZ20" s="28">
        <v>0</v>
      </c>
      <c r="BA20" s="28"/>
      <c r="BB20" s="28">
        <v>19</v>
      </c>
      <c r="BC20" s="28">
        <v>10</v>
      </c>
      <c r="BD20" s="28">
        <v>2</v>
      </c>
      <c r="BE20" s="28" t="b">
        <v>0</v>
      </c>
      <c r="BF20" s="35" t="b">
        <v>1</v>
      </c>
      <c r="BG20" s="28">
        <v>41</v>
      </c>
      <c r="BH20" s="28">
        <v>41</v>
      </c>
      <c r="BI20" s="28">
        <v>15.101000000000001</v>
      </c>
      <c r="BJ20" s="28">
        <v>0</v>
      </c>
      <c r="BK20" s="28">
        <v>0.17299999999999999</v>
      </c>
      <c r="BL20" s="28">
        <v>15.101000000000001</v>
      </c>
      <c r="BM20" s="28">
        <v>0</v>
      </c>
      <c r="BN20" s="28" t="s">
        <v>775</v>
      </c>
      <c r="BO20" s="28" t="s">
        <v>481</v>
      </c>
      <c r="BP20" s="28">
        <v>0</v>
      </c>
      <c r="BQ20" s="28">
        <v>0</v>
      </c>
      <c r="BR20" s="28">
        <v>0</v>
      </c>
      <c r="BS20" s="28">
        <v>0</v>
      </c>
      <c r="BT20" s="28">
        <v>3</v>
      </c>
      <c r="BU20" s="28">
        <v>10</v>
      </c>
      <c r="BV20" s="28" t="b">
        <v>0</v>
      </c>
      <c r="BW20" s="28">
        <v>5.8669999999999998E-3</v>
      </c>
      <c r="BX20" s="28">
        <v>100</v>
      </c>
      <c r="BY20" s="28">
        <v>9</v>
      </c>
      <c r="BZ20" s="28" t="b">
        <v>0</v>
      </c>
      <c r="CA20" s="28" t="s">
        <v>82</v>
      </c>
      <c r="CB20" s="28"/>
      <c r="CC20" s="28"/>
      <c r="CD20" s="28"/>
      <c r="CE20" s="28" t="s">
        <v>786</v>
      </c>
      <c r="CF20" s="28"/>
      <c r="CG20" s="28" t="b">
        <v>0</v>
      </c>
      <c r="CH20" s="28" t="b">
        <v>0</v>
      </c>
      <c r="CI20" s="28">
        <v>302</v>
      </c>
      <c r="CJ20" s="28">
        <v>2194</v>
      </c>
      <c r="CK20" s="28" t="s">
        <v>795</v>
      </c>
      <c r="CL20" s="28"/>
      <c r="CM20" s="51">
        <v>2</v>
      </c>
      <c r="CN20" s="51" t="b">
        <v>0</v>
      </c>
      <c r="CO20" s="34" t="str">
        <f>IFERROR(HYPERLINK("#Main!A"&amp;MATCH(A20,Main!A:A,0),"Open"),HYPERLINK("#Main!A1","Open"))</f>
        <v>Open</v>
      </c>
      <c r="CP20" s="34"/>
    </row>
    <row r="21" spans="1:94" ht="30" customHeight="1" x14ac:dyDescent="0.25">
      <c r="A21" s="30" t="s">
        <v>491</v>
      </c>
      <c r="B21" s="35">
        <v>200</v>
      </c>
      <c r="C21" s="37" t="s">
        <v>768</v>
      </c>
      <c r="D21" s="50"/>
      <c r="E21" s="37" t="s">
        <v>478</v>
      </c>
      <c r="F21" s="37"/>
      <c r="G21" s="35" t="s">
        <v>477</v>
      </c>
      <c r="H21" s="50">
        <v>288.29000000000002</v>
      </c>
      <c r="I21" s="50">
        <v>5079.78</v>
      </c>
      <c r="J21" s="52" t="s">
        <v>491</v>
      </c>
      <c r="K21" s="52" t="s">
        <v>491</v>
      </c>
      <c r="L21" s="37" t="s">
        <v>769</v>
      </c>
      <c r="M21" s="37" t="s">
        <v>335</v>
      </c>
      <c r="N21" s="29" t="s">
        <v>2</v>
      </c>
      <c r="O21" s="37"/>
      <c r="P21" s="37" t="s">
        <v>479</v>
      </c>
      <c r="Q21" s="37" t="s">
        <v>484</v>
      </c>
      <c r="R21" s="37" t="s">
        <v>475</v>
      </c>
      <c r="S21" s="29">
        <v>25</v>
      </c>
      <c r="T21" s="29">
        <v>0</v>
      </c>
      <c r="U21" s="35">
        <v>100</v>
      </c>
      <c r="V21" s="37" t="s">
        <v>754</v>
      </c>
      <c r="W21" s="37">
        <v>0</v>
      </c>
      <c r="X21" s="37"/>
      <c r="Y21" s="43"/>
      <c r="Z21" s="37" t="b">
        <v>0</v>
      </c>
      <c r="AA21" s="37" t="s">
        <v>757</v>
      </c>
      <c r="AB21" s="37" t="s">
        <v>758</v>
      </c>
      <c r="AC21" s="37">
        <v>544.67999999999995</v>
      </c>
      <c r="AD21" s="35" t="b">
        <v>1</v>
      </c>
      <c r="AE21" s="37" t="s">
        <v>770</v>
      </c>
      <c r="AF21" s="37"/>
      <c r="AG21" s="37"/>
      <c r="AH21" s="37" t="s">
        <v>771</v>
      </c>
      <c r="AI21" s="53" t="b">
        <v>1</v>
      </c>
      <c r="AJ21" s="52" t="s">
        <v>491</v>
      </c>
      <c r="AK21" s="35" t="b">
        <v>1</v>
      </c>
      <c r="AL21" s="46" t="b">
        <v>0</v>
      </c>
      <c r="AM21" s="37">
        <v>0</v>
      </c>
      <c r="AN21" s="37" t="b">
        <v>0</v>
      </c>
      <c r="AO21" s="37"/>
      <c r="AP21" s="37"/>
      <c r="AQ21" s="46" t="b">
        <v>0</v>
      </c>
      <c r="AR21" s="37" t="b">
        <v>0</v>
      </c>
      <c r="AS21" s="37" t="b">
        <v>0</v>
      </c>
      <c r="AT21" s="37"/>
      <c r="AU21" s="44"/>
      <c r="AV21" s="44"/>
      <c r="AW21" s="44" t="s">
        <v>796</v>
      </c>
      <c r="AX21" s="37" t="s">
        <v>761</v>
      </c>
      <c r="AY21" s="37" t="s">
        <v>762</v>
      </c>
      <c r="AZ21" s="37">
        <v>0</v>
      </c>
      <c r="BA21" s="37"/>
      <c r="BB21" s="37">
        <v>25</v>
      </c>
      <c r="BC21" s="37">
        <v>17</v>
      </c>
      <c r="BD21" s="37">
        <v>18</v>
      </c>
      <c r="BE21" s="37" t="b">
        <v>0</v>
      </c>
      <c r="BF21" s="35" t="b">
        <v>1</v>
      </c>
      <c r="BG21" s="37">
        <v>34</v>
      </c>
      <c r="BH21" s="37">
        <v>36</v>
      </c>
      <c r="BI21" s="37">
        <v>12.696</v>
      </c>
      <c r="BJ21" s="37">
        <v>0</v>
      </c>
      <c r="BK21" s="37">
        <v>0.17</v>
      </c>
      <c r="BL21" s="37">
        <v>12.696</v>
      </c>
      <c r="BM21" s="37">
        <v>0</v>
      </c>
      <c r="BN21" s="37" t="s">
        <v>775</v>
      </c>
      <c r="BO21" s="37" t="s">
        <v>481</v>
      </c>
      <c r="BP21" s="37">
        <v>0</v>
      </c>
      <c r="BQ21" s="37">
        <v>0</v>
      </c>
      <c r="BR21" s="37">
        <v>0</v>
      </c>
      <c r="BS21" s="37">
        <v>0</v>
      </c>
      <c r="BT21" s="37">
        <v>2</v>
      </c>
      <c r="BU21" s="37">
        <v>2</v>
      </c>
      <c r="BV21" s="37" t="b">
        <v>0</v>
      </c>
      <c r="BW21" s="37">
        <v>4.921E-3</v>
      </c>
      <c r="BX21" s="37">
        <v>100</v>
      </c>
      <c r="BY21" s="37">
        <v>16</v>
      </c>
      <c r="BZ21" s="37" t="b">
        <v>0</v>
      </c>
      <c r="CA21" s="37" t="s">
        <v>82</v>
      </c>
      <c r="CB21" s="37"/>
      <c r="CC21" s="37"/>
      <c r="CD21" s="37"/>
      <c r="CE21" s="37" t="s">
        <v>781</v>
      </c>
      <c r="CF21" s="37"/>
      <c r="CG21" s="37" t="b">
        <v>0</v>
      </c>
      <c r="CH21" s="37" t="b">
        <v>0</v>
      </c>
      <c r="CI21" s="37">
        <v>424</v>
      </c>
      <c r="CJ21" s="37">
        <v>2337</v>
      </c>
      <c r="CK21" s="37"/>
      <c r="CL21" s="37"/>
      <c r="CM21" s="52">
        <v>1</v>
      </c>
      <c r="CN21" s="52" t="b">
        <v>0</v>
      </c>
      <c r="CO21" t="str">
        <f>IFERROR(HYPERLINK("#Main!A"&amp;MATCH(A21,Main!A:A,0),"Open"),HYPERLINK("#Main!A1","Open"))</f>
        <v>Open</v>
      </c>
    </row>
    <row r="22" spans="1:94" ht="30" customHeight="1" x14ac:dyDescent="0.25">
      <c r="A22" s="33" t="s">
        <v>494</v>
      </c>
      <c r="B22" s="35">
        <v>200</v>
      </c>
      <c r="C22" s="28" t="s">
        <v>768</v>
      </c>
      <c r="D22" s="49"/>
      <c r="E22" s="28" t="s">
        <v>478</v>
      </c>
      <c r="F22" s="28"/>
      <c r="G22" s="35" t="s">
        <v>477</v>
      </c>
      <c r="H22" s="49">
        <v>69.14</v>
      </c>
      <c r="I22" s="49">
        <v>18262.7</v>
      </c>
      <c r="J22" s="51" t="s">
        <v>494</v>
      </c>
      <c r="K22" s="51" t="s">
        <v>494</v>
      </c>
      <c r="L22" s="28" t="s">
        <v>769</v>
      </c>
      <c r="M22" s="28" t="s">
        <v>335</v>
      </c>
      <c r="N22" s="29" t="s">
        <v>2</v>
      </c>
      <c r="O22" s="28"/>
      <c r="P22" s="28" t="s">
        <v>479</v>
      </c>
      <c r="Q22" s="28" t="s">
        <v>484</v>
      </c>
      <c r="R22" s="28" t="s">
        <v>475</v>
      </c>
      <c r="S22" s="29">
        <v>18.75</v>
      </c>
      <c r="T22" s="29">
        <v>0</v>
      </c>
      <c r="U22" s="32">
        <v>75</v>
      </c>
      <c r="V22" s="28" t="s">
        <v>754</v>
      </c>
      <c r="W22" s="28">
        <v>0</v>
      </c>
      <c r="X22" s="28"/>
      <c r="Y22" s="31"/>
      <c r="Z22" s="28" t="b">
        <v>0</v>
      </c>
      <c r="AA22" s="28" t="s">
        <v>757</v>
      </c>
      <c r="AB22" s="28" t="s">
        <v>758</v>
      </c>
      <c r="AC22" s="28">
        <v>430.54</v>
      </c>
      <c r="AD22" s="35" t="b">
        <v>1</v>
      </c>
      <c r="AE22" s="28" t="s">
        <v>770</v>
      </c>
      <c r="AF22" s="28"/>
      <c r="AG22" s="28"/>
      <c r="AH22" s="28" t="s">
        <v>771</v>
      </c>
      <c r="AI22" s="53" t="b">
        <v>1</v>
      </c>
      <c r="AJ22" s="51" t="s">
        <v>494</v>
      </c>
      <c r="AK22" s="35" t="b">
        <v>1</v>
      </c>
      <c r="AL22" s="46" t="b">
        <v>0</v>
      </c>
      <c r="AM22" s="28">
        <v>0</v>
      </c>
      <c r="AN22" s="28" t="b">
        <v>0</v>
      </c>
      <c r="AO22" s="28"/>
      <c r="AP22" s="28"/>
      <c r="AQ22" s="46" t="b">
        <v>0</v>
      </c>
      <c r="AR22" s="28" t="b">
        <v>0</v>
      </c>
      <c r="AS22" s="28" t="b">
        <v>0</v>
      </c>
      <c r="AT22" s="28"/>
      <c r="AU22" s="41"/>
      <c r="AV22" s="41"/>
      <c r="AW22" s="41" t="s">
        <v>797</v>
      </c>
      <c r="AX22" s="28" t="s">
        <v>761</v>
      </c>
      <c r="AY22" s="28" t="s">
        <v>762</v>
      </c>
      <c r="AZ22" s="28">
        <v>0</v>
      </c>
      <c r="BA22" s="28"/>
      <c r="BB22" s="28">
        <v>26</v>
      </c>
      <c r="BC22" s="28">
        <v>14</v>
      </c>
      <c r="BD22" s="28">
        <v>4</v>
      </c>
      <c r="BE22" s="28" t="b">
        <v>0</v>
      </c>
      <c r="BF22" s="35" t="b">
        <v>1</v>
      </c>
      <c r="BG22" s="28">
        <v>37</v>
      </c>
      <c r="BH22" s="28">
        <v>35</v>
      </c>
      <c r="BI22" s="28">
        <v>34.636000000000003</v>
      </c>
      <c r="BJ22" s="28">
        <v>0.10299999999999999</v>
      </c>
      <c r="BK22" s="28">
        <v>0.17299999999999999</v>
      </c>
      <c r="BL22" s="28">
        <v>34.636000000000003</v>
      </c>
      <c r="BM22" s="28">
        <v>0.10299999999999999</v>
      </c>
      <c r="BN22" s="28" t="s">
        <v>775</v>
      </c>
      <c r="BO22" s="28" t="s">
        <v>481</v>
      </c>
      <c r="BP22" s="28">
        <v>0</v>
      </c>
      <c r="BQ22" s="28">
        <v>0</v>
      </c>
      <c r="BR22" s="28">
        <v>0</v>
      </c>
      <c r="BS22" s="28">
        <v>0</v>
      </c>
      <c r="BT22" s="28"/>
      <c r="BU22" s="28">
        <v>0</v>
      </c>
      <c r="BV22" s="28" t="b">
        <v>1</v>
      </c>
      <c r="BW22" s="28">
        <v>1.861E-3</v>
      </c>
      <c r="BX22" s="28">
        <v>40</v>
      </c>
      <c r="BY22" s="28">
        <v>4</v>
      </c>
      <c r="BZ22" s="28" t="b">
        <v>0</v>
      </c>
      <c r="CA22" s="28" t="s">
        <v>82</v>
      </c>
      <c r="CB22" s="28"/>
      <c r="CC22" s="28"/>
      <c r="CD22" s="28"/>
      <c r="CE22" s="28" t="s">
        <v>763</v>
      </c>
      <c r="CF22" s="28"/>
      <c r="CG22" s="28" t="b">
        <v>0</v>
      </c>
      <c r="CH22" s="28" t="b">
        <v>0</v>
      </c>
      <c r="CI22" s="28">
        <v>367</v>
      </c>
      <c r="CJ22" s="28">
        <v>2101</v>
      </c>
      <c r="CK22" s="28"/>
      <c r="CL22" s="28"/>
      <c r="CM22" s="51">
        <v>1</v>
      </c>
      <c r="CN22" s="51" t="b">
        <v>0</v>
      </c>
      <c r="CO22" s="34" t="str">
        <f>IFERROR(HYPERLINK("#Main!A"&amp;MATCH(A22,Main!A:A,0),"Open"),HYPERLINK("#Main!A1","Open"))</f>
        <v>Open</v>
      </c>
      <c r="CP22" s="34"/>
    </row>
    <row r="23" spans="1:94" ht="30" customHeight="1" x14ac:dyDescent="0.25">
      <c r="A23" s="30" t="s">
        <v>497</v>
      </c>
      <c r="B23" s="35">
        <v>200</v>
      </c>
      <c r="C23" s="37" t="s">
        <v>768</v>
      </c>
      <c r="D23" s="50"/>
      <c r="E23" s="37" t="s">
        <v>478</v>
      </c>
      <c r="F23" s="37"/>
      <c r="G23" s="35" t="s">
        <v>477</v>
      </c>
      <c r="H23" s="50">
        <v>84.4</v>
      </c>
      <c r="I23" s="50">
        <v>18136.54</v>
      </c>
      <c r="J23" s="52" t="s">
        <v>497</v>
      </c>
      <c r="K23" s="52" t="s">
        <v>497</v>
      </c>
      <c r="L23" s="37" t="s">
        <v>769</v>
      </c>
      <c r="M23" s="37" t="s">
        <v>335</v>
      </c>
      <c r="N23" s="29" t="s">
        <v>2</v>
      </c>
      <c r="O23" s="37"/>
      <c r="P23" s="37" t="s">
        <v>479</v>
      </c>
      <c r="Q23" s="37" t="s">
        <v>484</v>
      </c>
      <c r="R23" s="37" t="s">
        <v>475</v>
      </c>
      <c r="S23" s="29">
        <v>25</v>
      </c>
      <c r="T23" s="29">
        <v>0</v>
      </c>
      <c r="U23" s="35">
        <v>100</v>
      </c>
      <c r="V23" s="37" t="s">
        <v>754</v>
      </c>
      <c r="W23" s="37">
        <v>0</v>
      </c>
      <c r="X23" s="37"/>
      <c r="Y23" s="43"/>
      <c r="Z23" s="37" t="b">
        <v>0</v>
      </c>
      <c r="AA23" s="37" t="s">
        <v>757</v>
      </c>
      <c r="AB23" s="37" t="s">
        <v>758</v>
      </c>
      <c r="AC23" s="37">
        <v>585.66999999999996</v>
      </c>
      <c r="AD23" s="35" t="b">
        <v>1</v>
      </c>
      <c r="AE23" s="37" t="s">
        <v>770</v>
      </c>
      <c r="AF23" s="37"/>
      <c r="AG23" s="37"/>
      <c r="AH23" s="37" t="s">
        <v>771</v>
      </c>
      <c r="AI23" s="53" t="b">
        <v>1</v>
      </c>
      <c r="AJ23" s="52" t="s">
        <v>497</v>
      </c>
      <c r="AK23" s="35" t="b">
        <v>1</v>
      </c>
      <c r="AL23" s="46" t="b">
        <v>0</v>
      </c>
      <c r="AM23" s="37">
        <v>0</v>
      </c>
      <c r="AN23" s="37" t="b">
        <v>0</v>
      </c>
      <c r="AO23" s="37"/>
      <c r="AP23" s="37"/>
      <c r="AQ23" s="46" t="b">
        <v>0</v>
      </c>
      <c r="AR23" s="37" t="b">
        <v>0</v>
      </c>
      <c r="AS23" s="37" t="b">
        <v>0</v>
      </c>
      <c r="AT23" s="37"/>
      <c r="AU23" s="44"/>
      <c r="AV23" s="44"/>
      <c r="AW23" s="44" t="s">
        <v>798</v>
      </c>
      <c r="AX23" s="37" t="s">
        <v>761</v>
      </c>
      <c r="AY23" s="37" t="s">
        <v>762</v>
      </c>
      <c r="AZ23" s="37">
        <v>0</v>
      </c>
      <c r="BA23" s="37"/>
      <c r="BB23" s="37">
        <v>46</v>
      </c>
      <c r="BC23" s="37">
        <v>24</v>
      </c>
      <c r="BD23" s="37">
        <v>28</v>
      </c>
      <c r="BE23" s="37" t="b">
        <v>0</v>
      </c>
      <c r="BF23" s="35" t="b">
        <v>1</v>
      </c>
      <c r="BG23" s="37">
        <v>34</v>
      </c>
      <c r="BH23" s="37">
        <v>33</v>
      </c>
      <c r="BI23" s="37">
        <v>27.324999999999999</v>
      </c>
      <c r="BJ23" s="37">
        <v>2E-3</v>
      </c>
      <c r="BK23" s="37">
        <v>0.23</v>
      </c>
      <c r="BL23" s="37">
        <v>27.324999999999999</v>
      </c>
      <c r="BM23" s="37">
        <v>2E-3</v>
      </c>
      <c r="BN23" s="37" t="s">
        <v>775</v>
      </c>
      <c r="BO23" s="37" t="s">
        <v>481</v>
      </c>
      <c r="BP23" s="37">
        <v>0</v>
      </c>
      <c r="BQ23" s="37">
        <v>0</v>
      </c>
      <c r="BR23" s="37">
        <v>0</v>
      </c>
      <c r="BS23" s="37">
        <v>0</v>
      </c>
      <c r="BT23" s="37">
        <v>1</v>
      </c>
      <c r="BU23" s="37">
        <v>22</v>
      </c>
      <c r="BV23" s="37" t="b">
        <v>0</v>
      </c>
      <c r="BW23" s="37">
        <v>1.1846000000000001E-2</v>
      </c>
      <c r="BX23" s="37">
        <v>100</v>
      </c>
      <c r="BY23" s="37">
        <v>17</v>
      </c>
      <c r="BZ23" s="37" t="b">
        <v>0</v>
      </c>
      <c r="CA23" s="37" t="s">
        <v>82</v>
      </c>
      <c r="CB23" s="37"/>
      <c r="CC23" s="37"/>
      <c r="CD23" s="37"/>
      <c r="CE23" s="37" t="s">
        <v>776</v>
      </c>
      <c r="CF23" s="37"/>
      <c r="CG23" s="37" t="b">
        <v>0</v>
      </c>
      <c r="CH23" s="37" t="b">
        <v>0</v>
      </c>
      <c r="CI23" s="37">
        <v>136</v>
      </c>
      <c r="CJ23" s="37">
        <v>905</v>
      </c>
      <c r="CK23" s="37"/>
      <c r="CL23" s="37"/>
      <c r="CM23" s="52">
        <v>1</v>
      </c>
      <c r="CN23" s="52" t="b">
        <v>0</v>
      </c>
      <c r="CO23" t="str">
        <f>IFERROR(HYPERLINK("#Main!A"&amp;MATCH(A23,Main!A:A,0),"Open"),HYPERLINK("#Main!A1","Open"))</f>
        <v>Open</v>
      </c>
    </row>
    <row r="24" spans="1:94" ht="30" customHeight="1" x14ac:dyDescent="0.25">
      <c r="A24" s="33" t="s">
        <v>500</v>
      </c>
      <c r="B24" s="35">
        <v>200</v>
      </c>
      <c r="C24" s="28" t="s">
        <v>768</v>
      </c>
      <c r="D24" s="49"/>
      <c r="E24" s="28" t="s">
        <v>478</v>
      </c>
      <c r="F24" s="28"/>
      <c r="G24" s="35" t="s">
        <v>477</v>
      </c>
      <c r="H24" s="49">
        <v>63.46</v>
      </c>
      <c r="I24" s="49">
        <v>18136.72</v>
      </c>
      <c r="J24" s="51" t="s">
        <v>500</v>
      </c>
      <c r="K24" s="51" t="s">
        <v>500</v>
      </c>
      <c r="L24" s="28" t="s">
        <v>769</v>
      </c>
      <c r="M24" s="28" t="s">
        <v>335</v>
      </c>
      <c r="N24" s="29" t="s">
        <v>2</v>
      </c>
      <c r="O24" s="28"/>
      <c r="P24" s="28" t="s">
        <v>479</v>
      </c>
      <c r="Q24" s="28" t="s">
        <v>484</v>
      </c>
      <c r="R24" s="28" t="s">
        <v>475</v>
      </c>
      <c r="S24" s="29">
        <v>25</v>
      </c>
      <c r="T24" s="29">
        <v>0</v>
      </c>
      <c r="U24" s="35">
        <v>100</v>
      </c>
      <c r="V24" s="28" t="s">
        <v>754</v>
      </c>
      <c r="W24" s="28">
        <v>0</v>
      </c>
      <c r="X24" s="28"/>
      <c r="Y24" s="31"/>
      <c r="Z24" s="28" t="b">
        <v>0</v>
      </c>
      <c r="AA24" s="28" t="s">
        <v>757</v>
      </c>
      <c r="AB24" s="28" t="s">
        <v>758</v>
      </c>
      <c r="AC24" s="28">
        <v>606.85</v>
      </c>
      <c r="AD24" s="35" t="b">
        <v>1</v>
      </c>
      <c r="AE24" s="28" t="s">
        <v>770</v>
      </c>
      <c r="AF24" s="28"/>
      <c r="AG24" s="28"/>
      <c r="AH24" s="28" t="s">
        <v>771</v>
      </c>
      <c r="AI24" s="53" t="b">
        <v>1</v>
      </c>
      <c r="AJ24" s="51" t="s">
        <v>500</v>
      </c>
      <c r="AK24" s="35" t="b">
        <v>1</v>
      </c>
      <c r="AL24" s="46" t="b">
        <v>0</v>
      </c>
      <c r="AM24" s="28">
        <v>0</v>
      </c>
      <c r="AN24" s="28" t="b">
        <v>0</v>
      </c>
      <c r="AO24" s="28"/>
      <c r="AP24" s="28"/>
      <c r="AQ24" s="46" t="b">
        <v>0</v>
      </c>
      <c r="AR24" s="28" t="b">
        <v>0</v>
      </c>
      <c r="AS24" s="28" t="b">
        <v>0</v>
      </c>
      <c r="AT24" s="28"/>
      <c r="AU24" s="41"/>
      <c r="AV24" s="41"/>
      <c r="AW24" s="41" t="s">
        <v>799</v>
      </c>
      <c r="AX24" s="28" t="s">
        <v>761</v>
      </c>
      <c r="AY24" s="28" t="s">
        <v>762</v>
      </c>
      <c r="AZ24" s="28">
        <v>0</v>
      </c>
      <c r="BA24" s="28"/>
      <c r="BB24" s="28">
        <v>16</v>
      </c>
      <c r="BC24" s="28">
        <v>9</v>
      </c>
      <c r="BD24" s="28">
        <v>49</v>
      </c>
      <c r="BE24" s="28" t="b">
        <v>0</v>
      </c>
      <c r="BF24" s="35" t="b">
        <v>1</v>
      </c>
      <c r="BG24" s="28">
        <v>70</v>
      </c>
      <c r="BH24" s="28">
        <v>37</v>
      </c>
      <c r="BI24" s="28">
        <v>21.213999999999999</v>
      </c>
      <c r="BJ24" s="28">
        <v>0</v>
      </c>
      <c r="BK24" s="28">
        <v>0.219</v>
      </c>
      <c r="BL24" s="28">
        <v>21.213999999999999</v>
      </c>
      <c r="BM24" s="28">
        <v>0</v>
      </c>
      <c r="BN24" s="28" t="s">
        <v>775</v>
      </c>
      <c r="BO24" s="28" t="s">
        <v>481</v>
      </c>
      <c r="BP24" s="28">
        <v>0</v>
      </c>
      <c r="BQ24" s="28">
        <v>0</v>
      </c>
      <c r="BR24" s="28">
        <v>0</v>
      </c>
      <c r="BS24" s="28">
        <v>0</v>
      </c>
      <c r="BT24" s="28">
        <v>2</v>
      </c>
      <c r="BU24" s="28">
        <v>2</v>
      </c>
      <c r="BV24" s="28" t="b">
        <v>0</v>
      </c>
      <c r="BW24" s="28">
        <v>7.9950000000000004E-3</v>
      </c>
      <c r="BX24" s="28">
        <v>90</v>
      </c>
      <c r="BY24" s="28">
        <v>7</v>
      </c>
      <c r="BZ24" s="28" t="b">
        <v>0</v>
      </c>
      <c r="CA24" s="28" t="s">
        <v>82</v>
      </c>
      <c r="CB24" s="28"/>
      <c r="CC24" s="28"/>
      <c r="CD24" s="28"/>
      <c r="CE24" s="28" t="s">
        <v>781</v>
      </c>
      <c r="CF24" s="28"/>
      <c r="CG24" s="28" t="b">
        <v>0</v>
      </c>
      <c r="CH24" s="28" t="b">
        <v>0</v>
      </c>
      <c r="CI24" s="28">
        <v>460</v>
      </c>
      <c r="CJ24" s="28">
        <v>2709</v>
      </c>
      <c r="CK24" s="28"/>
      <c r="CL24" s="28"/>
      <c r="CM24" s="51">
        <v>1</v>
      </c>
      <c r="CN24" s="51" t="b">
        <v>0</v>
      </c>
      <c r="CO24" s="34" t="str">
        <f>IFERROR(HYPERLINK("#Main!A"&amp;MATCH(A24,Main!A:A,0),"Open"),HYPERLINK("#Main!A1","Open"))</f>
        <v>Open</v>
      </c>
      <c r="CP24" s="34"/>
    </row>
    <row r="25" spans="1:94" ht="30" customHeight="1" x14ac:dyDescent="0.25">
      <c r="A25" s="30" t="s">
        <v>503</v>
      </c>
      <c r="B25" s="35">
        <v>200</v>
      </c>
      <c r="C25" s="37" t="s">
        <v>768</v>
      </c>
      <c r="D25" s="50"/>
      <c r="E25" s="37" t="s">
        <v>478</v>
      </c>
      <c r="F25" s="37"/>
      <c r="G25" s="35" t="s">
        <v>477</v>
      </c>
      <c r="H25" s="50">
        <v>71.22</v>
      </c>
      <c r="I25" s="50">
        <v>18331.009999999998</v>
      </c>
      <c r="J25" s="52" t="s">
        <v>503</v>
      </c>
      <c r="K25" s="52" t="s">
        <v>503</v>
      </c>
      <c r="L25" s="37" t="s">
        <v>769</v>
      </c>
      <c r="M25" s="37" t="s">
        <v>335</v>
      </c>
      <c r="N25" s="29" t="s">
        <v>2</v>
      </c>
      <c r="O25" s="37"/>
      <c r="P25" s="37" t="s">
        <v>479</v>
      </c>
      <c r="Q25" s="37" t="s">
        <v>484</v>
      </c>
      <c r="R25" s="37" t="s">
        <v>475</v>
      </c>
      <c r="S25" s="29">
        <v>25</v>
      </c>
      <c r="T25" s="29">
        <v>0</v>
      </c>
      <c r="U25" s="35">
        <v>100</v>
      </c>
      <c r="V25" s="37" t="s">
        <v>754</v>
      </c>
      <c r="W25" s="37">
        <v>0</v>
      </c>
      <c r="X25" s="37"/>
      <c r="Y25" s="43"/>
      <c r="Z25" s="37" t="b">
        <v>0</v>
      </c>
      <c r="AA25" s="37" t="s">
        <v>757</v>
      </c>
      <c r="AB25" s="37" t="s">
        <v>758</v>
      </c>
      <c r="AC25" s="37">
        <v>549.85</v>
      </c>
      <c r="AD25" s="35" t="b">
        <v>1</v>
      </c>
      <c r="AE25" s="37" t="s">
        <v>770</v>
      </c>
      <c r="AF25" s="37"/>
      <c r="AG25" s="37"/>
      <c r="AH25" s="37" t="s">
        <v>771</v>
      </c>
      <c r="AI25" s="53" t="b">
        <v>1</v>
      </c>
      <c r="AJ25" s="52" t="s">
        <v>503</v>
      </c>
      <c r="AK25" s="35" t="b">
        <v>1</v>
      </c>
      <c r="AL25" s="46" t="b">
        <v>0</v>
      </c>
      <c r="AM25" s="37">
        <v>0</v>
      </c>
      <c r="AN25" s="37" t="b">
        <v>0</v>
      </c>
      <c r="AO25" s="37"/>
      <c r="AP25" s="37"/>
      <c r="AQ25" s="46" t="b">
        <v>0</v>
      </c>
      <c r="AR25" s="37" t="b">
        <v>0</v>
      </c>
      <c r="AS25" s="37" t="b">
        <v>0</v>
      </c>
      <c r="AT25" s="37"/>
      <c r="AU25" s="44"/>
      <c r="AV25" s="44"/>
      <c r="AW25" s="44" t="s">
        <v>800</v>
      </c>
      <c r="AX25" s="37" t="s">
        <v>761</v>
      </c>
      <c r="AY25" s="37" t="s">
        <v>762</v>
      </c>
      <c r="AZ25" s="37">
        <v>0</v>
      </c>
      <c r="BA25" s="37"/>
      <c r="BB25" s="37">
        <v>41</v>
      </c>
      <c r="BC25" s="37">
        <v>20</v>
      </c>
      <c r="BD25" s="37">
        <v>5</v>
      </c>
      <c r="BE25" s="37" t="b">
        <v>0</v>
      </c>
      <c r="BF25" s="35" t="b">
        <v>1</v>
      </c>
      <c r="BG25" s="37">
        <v>34</v>
      </c>
      <c r="BH25" s="37">
        <v>0</v>
      </c>
      <c r="BI25" s="37">
        <v>0</v>
      </c>
      <c r="BJ25" s="37">
        <v>0</v>
      </c>
      <c r="BK25" s="37">
        <v>0</v>
      </c>
      <c r="BL25" s="37">
        <v>0</v>
      </c>
      <c r="BM25" s="37">
        <v>0</v>
      </c>
      <c r="BN25" s="37" t="s">
        <v>775</v>
      </c>
      <c r="BO25" s="37" t="s">
        <v>481</v>
      </c>
      <c r="BP25" s="37">
        <v>0</v>
      </c>
      <c r="BQ25" s="37">
        <v>0</v>
      </c>
      <c r="BR25" s="37">
        <v>0</v>
      </c>
      <c r="BS25" s="37">
        <v>0</v>
      </c>
      <c r="BT25" s="37">
        <v>1</v>
      </c>
      <c r="BU25" s="37">
        <v>59</v>
      </c>
      <c r="BV25" s="37" t="b">
        <v>0</v>
      </c>
      <c r="BW25" s="37">
        <v>5.8172000000000001E-2</v>
      </c>
      <c r="BX25" s="37">
        <v>100</v>
      </c>
      <c r="BY25" s="37">
        <v>16</v>
      </c>
      <c r="BZ25" s="37" t="b">
        <v>0</v>
      </c>
      <c r="CA25" s="37" t="s">
        <v>82</v>
      </c>
      <c r="CB25" s="37"/>
      <c r="CC25" s="37"/>
      <c r="CD25" s="37"/>
      <c r="CE25" s="37" t="s">
        <v>776</v>
      </c>
      <c r="CF25" s="37"/>
      <c r="CG25" s="37" t="b">
        <v>0</v>
      </c>
      <c r="CH25" s="37" t="b">
        <v>0</v>
      </c>
      <c r="CI25" s="37">
        <v>381</v>
      </c>
      <c r="CJ25" s="37">
        <v>2213</v>
      </c>
      <c r="CK25" s="37"/>
      <c r="CL25" s="37"/>
      <c r="CM25" s="52">
        <v>1</v>
      </c>
      <c r="CN25" s="52" t="b">
        <v>0</v>
      </c>
      <c r="CO25" t="str">
        <f>IFERROR(HYPERLINK("#Main!A"&amp;MATCH(A25,Main!A:A,0),"Open"),HYPERLINK("#Main!A1","Open"))</f>
        <v>Open</v>
      </c>
    </row>
    <row r="26" spans="1:94" ht="30" customHeight="1" x14ac:dyDescent="0.25">
      <c r="A26" s="33" t="s">
        <v>506</v>
      </c>
      <c r="B26" s="35">
        <v>200</v>
      </c>
      <c r="C26" s="28" t="s">
        <v>768</v>
      </c>
      <c r="D26" s="49"/>
      <c r="E26" s="28" t="s">
        <v>478</v>
      </c>
      <c r="F26" s="28"/>
      <c r="G26" s="35" t="s">
        <v>477</v>
      </c>
      <c r="H26" s="49">
        <v>59.58</v>
      </c>
      <c r="I26" s="49">
        <v>17946.28</v>
      </c>
      <c r="J26" s="51" t="s">
        <v>506</v>
      </c>
      <c r="K26" s="51" t="s">
        <v>506</v>
      </c>
      <c r="L26" s="28" t="s">
        <v>769</v>
      </c>
      <c r="M26" s="28" t="s">
        <v>335</v>
      </c>
      <c r="N26" s="29" t="s">
        <v>2</v>
      </c>
      <c r="O26" s="28"/>
      <c r="P26" s="28" t="s">
        <v>479</v>
      </c>
      <c r="Q26" s="28" t="s">
        <v>484</v>
      </c>
      <c r="R26" s="28" t="s">
        <v>475</v>
      </c>
      <c r="S26" s="29">
        <v>18.75</v>
      </c>
      <c r="T26" s="29">
        <v>0</v>
      </c>
      <c r="U26" s="32">
        <v>75</v>
      </c>
      <c r="V26" s="28" t="s">
        <v>754</v>
      </c>
      <c r="W26" s="28">
        <v>0</v>
      </c>
      <c r="X26" s="28"/>
      <c r="Y26" s="31"/>
      <c r="Z26" s="28" t="b">
        <v>0</v>
      </c>
      <c r="AA26" s="28" t="s">
        <v>757</v>
      </c>
      <c r="AB26" s="28" t="s">
        <v>758</v>
      </c>
      <c r="AC26" s="28">
        <v>327.17</v>
      </c>
      <c r="AD26" s="35" t="b">
        <v>1</v>
      </c>
      <c r="AE26" s="28" t="s">
        <v>770</v>
      </c>
      <c r="AF26" s="28"/>
      <c r="AG26" s="28"/>
      <c r="AH26" s="28" t="s">
        <v>771</v>
      </c>
      <c r="AI26" s="53" t="b">
        <v>1</v>
      </c>
      <c r="AJ26" s="51" t="s">
        <v>506</v>
      </c>
      <c r="AK26" s="35" t="b">
        <v>1</v>
      </c>
      <c r="AL26" s="46" t="b">
        <v>0</v>
      </c>
      <c r="AM26" s="28">
        <v>0</v>
      </c>
      <c r="AN26" s="28" t="b">
        <v>0</v>
      </c>
      <c r="AO26" s="28"/>
      <c r="AP26" s="28"/>
      <c r="AQ26" s="46" t="b">
        <v>0</v>
      </c>
      <c r="AR26" s="28" t="b">
        <v>0</v>
      </c>
      <c r="AS26" s="28" t="b">
        <v>0</v>
      </c>
      <c r="AT26" s="28"/>
      <c r="AU26" s="41"/>
      <c r="AV26" s="41"/>
      <c r="AW26" s="41" t="s">
        <v>801</v>
      </c>
      <c r="AX26" s="28" t="s">
        <v>761</v>
      </c>
      <c r="AY26" s="28" t="s">
        <v>762</v>
      </c>
      <c r="AZ26" s="28">
        <v>0</v>
      </c>
      <c r="BA26" s="28"/>
      <c r="BB26" s="28">
        <v>42</v>
      </c>
      <c r="BC26" s="28">
        <v>22</v>
      </c>
      <c r="BD26" s="28">
        <v>4</v>
      </c>
      <c r="BE26" s="28" t="b">
        <v>0</v>
      </c>
      <c r="BF26" s="35" t="b">
        <v>1</v>
      </c>
      <c r="BG26" s="28">
        <v>39</v>
      </c>
      <c r="BH26" s="28">
        <v>36</v>
      </c>
      <c r="BI26" s="28">
        <v>19.992000000000001</v>
      </c>
      <c r="BJ26" s="28">
        <v>8.9999999999999993E-3</v>
      </c>
      <c r="BK26" s="28">
        <v>0.20499999999999999</v>
      </c>
      <c r="BL26" s="28">
        <v>19.992000000000001</v>
      </c>
      <c r="BM26" s="28">
        <v>8.9999999999999993E-3</v>
      </c>
      <c r="BN26" s="28" t="s">
        <v>775</v>
      </c>
      <c r="BO26" s="28" t="s">
        <v>481</v>
      </c>
      <c r="BP26" s="28">
        <v>0</v>
      </c>
      <c r="BQ26" s="28">
        <v>0</v>
      </c>
      <c r="BR26" s="28">
        <v>0</v>
      </c>
      <c r="BS26" s="28">
        <v>0</v>
      </c>
      <c r="BT26" s="28"/>
      <c r="BU26" s="28">
        <v>0</v>
      </c>
      <c r="BV26" s="28" t="b">
        <v>1</v>
      </c>
      <c r="BW26" s="28">
        <v>1.861E-3</v>
      </c>
      <c r="BX26" s="28">
        <v>30</v>
      </c>
      <c r="BY26" s="28">
        <v>3</v>
      </c>
      <c r="BZ26" s="28" t="b">
        <v>0</v>
      </c>
      <c r="CA26" s="28" t="s">
        <v>82</v>
      </c>
      <c r="CB26" s="28"/>
      <c r="CC26" s="28"/>
      <c r="CD26" s="28"/>
      <c r="CE26" s="28" t="s">
        <v>763</v>
      </c>
      <c r="CF26" s="28"/>
      <c r="CG26" s="28" t="b">
        <v>0</v>
      </c>
      <c r="CH26" s="28" t="b">
        <v>0</v>
      </c>
      <c r="CI26" s="28">
        <v>590</v>
      </c>
      <c r="CJ26" s="28">
        <v>2188</v>
      </c>
      <c r="CK26" s="28"/>
      <c r="CL26" s="28"/>
      <c r="CM26" s="51">
        <v>1</v>
      </c>
      <c r="CN26" s="51" t="b">
        <v>0</v>
      </c>
      <c r="CO26" s="34" t="str">
        <f>IFERROR(HYPERLINK("#Main!A"&amp;MATCH(A26,Main!A:A,0),"Open"),HYPERLINK("#Main!A1","Open"))</f>
        <v>Open</v>
      </c>
      <c r="CP26" s="34"/>
    </row>
    <row r="27" spans="1:94" ht="30" customHeight="1" x14ac:dyDescent="0.25">
      <c r="A27" s="30" t="s">
        <v>509</v>
      </c>
      <c r="B27" s="35">
        <v>200</v>
      </c>
      <c r="C27" s="37" t="s">
        <v>768</v>
      </c>
      <c r="D27" s="50"/>
      <c r="E27" s="37" t="s">
        <v>478</v>
      </c>
      <c r="F27" s="37"/>
      <c r="G27" s="35" t="s">
        <v>477</v>
      </c>
      <c r="H27" s="50">
        <v>67</v>
      </c>
      <c r="I27" s="50">
        <v>18198.8</v>
      </c>
      <c r="J27" s="52" t="s">
        <v>509</v>
      </c>
      <c r="K27" s="52" t="s">
        <v>509</v>
      </c>
      <c r="L27" s="37" t="s">
        <v>769</v>
      </c>
      <c r="M27" s="37" t="s">
        <v>335</v>
      </c>
      <c r="N27" s="29" t="s">
        <v>2</v>
      </c>
      <c r="O27" s="37"/>
      <c r="P27" s="37" t="s">
        <v>479</v>
      </c>
      <c r="Q27" s="37" t="s">
        <v>484</v>
      </c>
      <c r="R27" s="37" t="s">
        <v>475</v>
      </c>
      <c r="S27" s="29">
        <v>18.75</v>
      </c>
      <c r="T27" s="29">
        <v>0</v>
      </c>
      <c r="U27" s="32">
        <v>75</v>
      </c>
      <c r="V27" s="37" t="s">
        <v>754</v>
      </c>
      <c r="W27" s="37">
        <v>0</v>
      </c>
      <c r="X27" s="37"/>
      <c r="Y27" s="43"/>
      <c r="Z27" s="37" t="b">
        <v>0</v>
      </c>
      <c r="AA27" s="37" t="s">
        <v>757</v>
      </c>
      <c r="AB27" s="37" t="s">
        <v>758</v>
      </c>
      <c r="AC27" s="37">
        <v>326.76</v>
      </c>
      <c r="AD27" s="35" t="b">
        <v>1</v>
      </c>
      <c r="AE27" s="37" t="s">
        <v>770</v>
      </c>
      <c r="AF27" s="37"/>
      <c r="AG27" s="37"/>
      <c r="AH27" s="37" t="s">
        <v>771</v>
      </c>
      <c r="AI27" s="53" t="b">
        <v>1</v>
      </c>
      <c r="AJ27" s="52" t="s">
        <v>509</v>
      </c>
      <c r="AK27" s="35" t="b">
        <v>1</v>
      </c>
      <c r="AL27" s="46" t="b">
        <v>0</v>
      </c>
      <c r="AM27" s="37">
        <v>0</v>
      </c>
      <c r="AN27" s="37" t="b">
        <v>0</v>
      </c>
      <c r="AO27" s="37"/>
      <c r="AP27" s="37"/>
      <c r="AQ27" s="46" t="b">
        <v>0</v>
      </c>
      <c r="AR27" s="37" t="b">
        <v>0</v>
      </c>
      <c r="AS27" s="37" t="b">
        <v>0</v>
      </c>
      <c r="AT27" s="37"/>
      <c r="AU27" s="44"/>
      <c r="AV27" s="44"/>
      <c r="AW27" s="44" t="s">
        <v>802</v>
      </c>
      <c r="AX27" s="37" t="s">
        <v>761</v>
      </c>
      <c r="AY27" s="37" t="s">
        <v>762</v>
      </c>
      <c r="AZ27" s="37">
        <v>0</v>
      </c>
      <c r="BA27" s="37"/>
      <c r="BB27" s="37">
        <v>42</v>
      </c>
      <c r="BC27" s="37">
        <v>22</v>
      </c>
      <c r="BD27" s="37">
        <v>4</v>
      </c>
      <c r="BE27" s="37" t="b">
        <v>0</v>
      </c>
      <c r="BF27" s="35" t="b">
        <v>1</v>
      </c>
      <c r="BG27" s="37">
        <v>50</v>
      </c>
      <c r="BH27" s="37">
        <v>43</v>
      </c>
      <c r="BI27" s="37">
        <v>14.993</v>
      </c>
      <c r="BJ27" s="37">
        <v>4.0000000000000001E-3</v>
      </c>
      <c r="BK27" s="37">
        <v>0.16900000000000001</v>
      </c>
      <c r="BL27" s="37">
        <v>14.993</v>
      </c>
      <c r="BM27" s="37">
        <v>4.0000000000000001E-3</v>
      </c>
      <c r="BN27" s="37" t="s">
        <v>775</v>
      </c>
      <c r="BO27" s="37" t="s">
        <v>481</v>
      </c>
      <c r="BP27" s="37">
        <v>0</v>
      </c>
      <c r="BQ27" s="37">
        <v>0</v>
      </c>
      <c r="BR27" s="37">
        <v>0</v>
      </c>
      <c r="BS27" s="37">
        <v>0</v>
      </c>
      <c r="BT27" s="37"/>
      <c r="BU27" s="37">
        <v>0</v>
      </c>
      <c r="BV27" s="37" t="b">
        <v>1</v>
      </c>
      <c r="BW27" s="37">
        <v>1.861E-3</v>
      </c>
      <c r="BX27" s="37">
        <v>40</v>
      </c>
      <c r="BY27" s="37">
        <v>4</v>
      </c>
      <c r="BZ27" s="37" t="b">
        <v>0</v>
      </c>
      <c r="CA27" s="37" t="s">
        <v>82</v>
      </c>
      <c r="CB27" s="37"/>
      <c r="CC27" s="37"/>
      <c r="CD27" s="37"/>
      <c r="CE27" s="37" t="s">
        <v>763</v>
      </c>
      <c r="CF27" s="37"/>
      <c r="CG27" s="37" t="b">
        <v>0</v>
      </c>
      <c r="CH27" s="37" t="b">
        <v>0</v>
      </c>
      <c r="CI27" s="37">
        <v>504</v>
      </c>
      <c r="CJ27" s="37">
        <v>2548</v>
      </c>
      <c r="CK27" s="37"/>
      <c r="CL27" s="37"/>
      <c r="CM27" s="52">
        <v>1</v>
      </c>
      <c r="CN27" s="52" t="b">
        <v>0</v>
      </c>
      <c r="CO27" t="str">
        <f>IFERROR(HYPERLINK("#Main!A"&amp;MATCH(A27,Main!A:A,0),"Open"),HYPERLINK("#Main!A1","Open"))</f>
        <v>Open</v>
      </c>
    </row>
    <row r="28" spans="1:94" ht="30" customHeight="1" x14ac:dyDescent="0.25">
      <c r="A28" s="33" t="s">
        <v>512</v>
      </c>
      <c r="B28" s="35">
        <v>200</v>
      </c>
      <c r="C28" s="28" t="s">
        <v>768</v>
      </c>
      <c r="D28" s="49"/>
      <c r="E28" s="28" t="s">
        <v>478</v>
      </c>
      <c r="F28" s="28"/>
      <c r="G28" s="35" t="s">
        <v>477</v>
      </c>
      <c r="H28" s="49">
        <v>73.94</v>
      </c>
      <c r="I28" s="49">
        <v>17976.97</v>
      </c>
      <c r="J28" s="51" t="s">
        <v>512</v>
      </c>
      <c r="K28" s="51" t="s">
        <v>512</v>
      </c>
      <c r="L28" s="28" t="s">
        <v>769</v>
      </c>
      <c r="M28" s="28" t="s">
        <v>335</v>
      </c>
      <c r="N28" s="29" t="s">
        <v>2</v>
      </c>
      <c r="O28" s="28"/>
      <c r="P28" s="28" t="s">
        <v>479</v>
      </c>
      <c r="Q28" s="28" t="s">
        <v>484</v>
      </c>
      <c r="R28" s="28" t="s">
        <v>475</v>
      </c>
      <c r="S28" s="29">
        <v>17.5</v>
      </c>
      <c r="T28" s="29">
        <v>0</v>
      </c>
      <c r="U28" s="32">
        <v>70</v>
      </c>
      <c r="V28" s="28" t="s">
        <v>754</v>
      </c>
      <c r="W28" s="28">
        <v>0</v>
      </c>
      <c r="X28" s="28"/>
      <c r="Y28" s="31"/>
      <c r="Z28" s="28" t="b">
        <v>0</v>
      </c>
      <c r="AA28" s="28" t="s">
        <v>757</v>
      </c>
      <c r="AB28" s="28" t="s">
        <v>758</v>
      </c>
      <c r="AC28" s="28">
        <v>379.51</v>
      </c>
      <c r="AD28" s="35" t="b">
        <v>1</v>
      </c>
      <c r="AE28" s="28" t="s">
        <v>770</v>
      </c>
      <c r="AF28" s="28"/>
      <c r="AG28" s="28"/>
      <c r="AH28" s="28" t="s">
        <v>771</v>
      </c>
      <c r="AI28" s="53" t="b">
        <v>1</v>
      </c>
      <c r="AJ28" s="51" t="s">
        <v>512</v>
      </c>
      <c r="AK28" s="35" t="b">
        <v>1</v>
      </c>
      <c r="AL28" s="46" t="b">
        <v>0</v>
      </c>
      <c r="AM28" s="28">
        <v>0</v>
      </c>
      <c r="AN28" s="28" t="b">
        <v>0</v>
      </c>
      <c r="AO28" s="28"/>
      <c r="AP28" s="28"/>
      <c r="AQ28" s="46" t="b">
        <v>0</v>
      </c>
      <c r="AR28" s="28" t="b">
        <v>0</v>
      </c>
      <c r="AS28" s="28" t="b">
        <v>0</v>
      </c>
      <c r="AT28" s="28"/>
      <c r="AU28" s="41"/>
      <c r="AV28" s="41"/>
      <c r="AW28" s="41" t="s">
        <v>803</v>
      </c>
      <c r="AX28" s="28" t="s">
        <v>761</v>
      </c>
      <c r="AY28" s="28" t="s">
        <v>762</v>
      </c>
      <c r="AZ28" s="28">
        <v>0</v>
      </c>
      <c r="BA28" s="28"/>
      <c r="BB28" s="28">
        <v>31</v>
      </c>
      <c r="BC28" s="28">
        <v>14</v>
      </c>
      <c r="BD28" s="28">
        <v>4</v>
      </c>
      <c r="BE28" s="28" t="b">
        <v>0</v>
      </c>
      <c r="BF28" s="35" t="b">
        <v>1</v>
      </c>
      <c r="BG28" s="28">
        <v>54</v>
      </c>
      <c r="BH28" s="28">
        <v>33</v>
      </c>
      <c r="BI28" s="28">
        <v>8.5329999999999995</v>
      </c>
      <c r="BJ28" s="28">
        <v>6.4000000000000001E-2</v>
      </c>
      <c r="BK28" s="28">
        <v>0.17699999999999999</v>
      </c>
      <c r="BL28" s="28">
        <v>8.5329999999999995</v>
      </c>
      <c r="BM28" s="28">
        <v>6.4000000000000001E-2</v>
      </c>
      <c r="BN28" s="28" t="s">
        <v>775</v>
      </c>
      <c r="BO28" s="28" t="s">
        <v>481</v>
      </c>
      <c r="BP28" s="28">
        <v>0</v>
      </c>
      <c r="BQ28" s="28">
        <v>0</v>
      </c>
      <c r="BR28" s="28">
        <v>0</v>
      </c>
      <c r="BS28" s="28">
        <v>0</v>
      </c>
      <c r="BT28" s="28"/>
      <c r="BU28" s="28">
        <v>0</v>
      </c>
      <c r="BV28" s="28" t="b">
        <v>1</v>
      </c>
      <c r="BW28" s="28">
        <v>1.861E-3</v>
      </c>
      <c r="BX28" s="28">
        <v>30</v>
      </c>
      <c r="BY28" s="28">
        <v>3</v>
      </c>
      <c r="BZ28" s="28" t="b">
        <v>0</v>
      </c>
      <c r="CA28" s="28" t="s">
        <v>82</v>
      </c>
      <c r="CB28" s="28"/>
      <c r="CC28" s="28"/>
      <c r="CD28" s="28"/>
      <c r="CE28" s="28" t="s">
        <v>763</v>
      </c>
      <c r="CF28" s="28"/>
      <c r="CG28" s="28" t="b">
        <v>0</v>
      </c>
      <c r="CH28" s="28" t="b">
        <v>0</v>
      </c>
      <c r="CI28" s="28">
        <v>367</v>
      </c>
      <c r="CJ28" s="28">
        <v>2151</v>
      </c>
      <c r="CK28" s="28"/>
      <c r="CL28" s="28"/>
      <c r="CM28" s="51">
        <v>1</v>
      </c>
      <c r="CN28" s="51" t="b">
        <v>0</v>
      </c>
      <c r="CO28" s="34" t="str">
        <f>IFERROR(HYPERLINK("#Main!A"&amp;MATCH(A28,Main!A:A,0),"Open"),HYPERLINK("#Main!A1","Open"))</f>
        <v>Open</v>
      </c>
      <c r="CP28" s="34"/>
    </row>
    <row r="29" spans="1:94" ht="30" customHeight="1" x14ac:dyDescent="0.25">
      <c r="A29" s="30" t="s">
        <v>515</v>
      </c>
      <c r="B29" s="35">
        <v>200</v>
      </c>
      <c r="C29" s="37" t="s">
        <v>768</v>
      </c>
      <c r="D29" s="50"/>
      <c r="E29" s="37" t="s">
        <v>478</v>
      </c>
      <c r="F29" s="37"/>
      <c r="G29" s="35" t="s">
        <v>477</v>
      </c>
      <c r="H29" s="50">
        <v>54.58</v>
      </c>
      <c r="I29" s="50">
        <v>18341.5</v>
      </c>
      <c r="J29" s="52" t="s">
        <v>515</v>
      </c>
      <c r="K29" s="52" t="s">
        <v>515</v>
      </c>
      <c r="L29" s="37" t="s">
        <v>769</v>
      </c>
      <c r="M29" s="37" t="s">
        <v>335</v>
      </c>
      <c r="N29" s="29" t="s">
        <v>2</v>
      </c>
      <c r="O29" s="37"/>
      <c r="P29" s="37" t="s">
        <v>479</v>
      </c>
      <c r="Q29" s="37" t="s">
        <v>484</v>
      </c>
      <c r="R29" s="37" t="s">
        <v>475</v>
      </c>
      <c r="S29" s="29">
        <v>25</v>
      </c>
      <c r="T29" s="29">
        <v>0</v>
      </c>
      <c r="U29" s="35">
        <v>100</v>
      </c>
      <c r="V29" s="37" t="s">
        <v>754</v>
      </c>
      <c r="W29" s="37">
        <v>0</v>
      </c>
      <c r="X29" s="37"/>
      <c r="Y29" s="43"/>
      <c r="Z29" s="37" t="b">
        <v>0</v>
      </c>
      <c r="AA29" s="37" t="s">
        <v>757</v>
      </c>
      <c r="AB29" s="37" t="s">
        <v>758</v>
      </c>
      <c r="AC29" s="37">
        <v>313.52999999999997</v>
      </c>
      <c r="AD29" s="35" t="b">
        <v>1</v>
      </c>
      <c r="AE29" s="37" t="s">
        <v>770</v>
      </c>
      <c r="AF29" s="37"/>
      <c r="AG29" s="37"/>
      <c r="AH29" s="37" t="s">
        <v>771</v>
      </c>
      <c r="AI29" s="53" t="b">
        <v>1</v>
      </c>
      <c r="AJ29" s="52" t="s">
        <v>515</v>
      </c>
      <c r="AK29" s="35" t="b">
        <v>1</v>
      </c>
      <c r="AL29" s="46" t="b">
        <v>0</v>
      </c>
      <c r="AM29" s="37">
        <v>0</v>
      </c>
      <c r="AN29" s="37" t="b">
        <v>0</v>
      </c>
      <c r="AO29" s="37"/>
      <c r="AP29" s="37"/>
      <c r="AQ29" s="46" t="b">
        <v>0</v>
      </c>
      <c r="AR29" s="37" t="b">
        <v>0</v>
      </c>
      <c r="AS29" s="37" t="b">
        <v>0</v>
      </c>
      <c r="AT29" s="37"/>
      <c r="AU29" s="44"/>
      <c r="AV29" s="44"/>
      <c r="AW29" s="44" t="s">
        <v>804</v>
      </c>
      <c r="AX29" s="37" t="s">
        <v>761</v>
      </c>
      <c r="AY29" s="37" t="s">
        <v>762</v>
      </c>
      <c r="AZ29" s="37">
        <v>0</v>
      </c>
      <c r="BA29" s="37"/>
      <c r="BB29" s="37">
        <v>21</v>
      </c>
      <c r="BC29" s="37">
        <v>11</v>
      </c>
      <c r="BD29" s="37">
        <v>13</v>
      </c>
      <c r="BE29" s="37" t="b">
        <v>0</v>
      </c>
      <c r="BF29" s="35" t="b">
        <v>1</v>
      </c>
      <c r="BG29" s="37">
        <v>58</v>
      </c>
      <c r="BH29" s="37">
        <v>36</v>
      </c>
      <c r="BI29" s="37">
        <v>13.090999999999999</v>
      </c>
      <c r="BJ29" s="37">
        <v>0</v>
      </c>
      <c r="BK29" s="37">
        <v>0.20100000000000001</v>
      </c>
      <c r="BL29" s="37">
        <v>13.090999999999999</v>
      </c>
      <c r="BM29" s="37">
        <v>0</v>
      </c>
      <c r="BN29" s="37" t="s">
        <v>775</v>
      </c>
      <c r="BO29" s="37" t="s">
        <v>481</v>
      </c>
      <c r="BP29" s="37">
        <v>0</v>
      </c>
      <c r="BQ29" s="37">
        <v>0</v>
      </c>
      <c r="BR29" s="37">
        <v>0</v>
      </c>
      <c r="BS29" s="37">
        <v>0</v>
      </c>
      <c r="BT29" s="37"/>
      <c r="BU29" s="37">
        <v>0</v>
      </c>
      <c r="BV29" s="37" t="b">
        <v>1</v>
      </c>
      <c r="BW29" s="37">
        <v>1.861E-3</v>
      </c>
      <c r="BX29" s="37">
        <v>60</v>
      </c>
      <c r="BY29" s="37">
        <v>4</v>
      </c>
      <c r="BZ29" s="37" t="b">
        <v>0</v>
      </c>
      <c r="CA29" s="37" t="s">
        <v>82</v>
      </c>
      <c r="CB29" s="37"/>
      <c r="CC29" s="37"/>
      <c r="CD29" s="37"/>
      <c r="CE29" s="37" t="s">
        <v>763</v>
      </c>
      <c r="CF29" s="37"/>
      <c r="CG29" s="37" t="b">
        <v>0</v>
      </c>
      <c r="CH29" s="37" t="b">
        <v>0</v>
      </c>
      <c r="CI29" s="37">
        <v>432</v>
      </c>
      <c r="CJ29" s="37">
        <v>2349</v>
      </c>
      <c r="CK29" s="37"/>
      <c r="CL29" s="37"/>
      <c r="CM29" s="52">
        <v>1</v>
      </c>
      <c r="CN29" s="52" t="b">
        <v>0</v>
      </c>
      <c r="CO29" t="str">
        <f>IFERROR(HYPERLINK("#Main!A"&amp;MATCH(A29,Main!A:A,0),"Open"),HYPERLINK("#Main!A1","Open"))</f>
        <v>Open</v>
      </c>
    </row>
    <row r="30" spans="1:94" ht="30" customHeight="1" x14ac:dyDescent="0.25">
      <c r="A30" s="33" t="s">
        <v>518</v>
      </c>
      <c r="B30" s="35">
        <v>200</v>
      </c>
      <c r="C30" s="28" t="s">
        <v>768</v>
      </c>
      <c r="D30" s="49"/>
      <c r="E30" s="28" t="s">
        <v>478</v>
      </c>
      <c r="F30" s="28"/>
      <c r="G30" s="35" t="s">
        <v>477</v>
      </c>
      <c r="H30" s="49">
        <v>52.59</v>
      </c>
      <c r="I30" s="49">
        <v>20401.080000000002</v>
      </c>
      <c r="J30" s="51" t="s">
        <v>518</v>
      </c>
      <c r="K30" s="51" t="s">
        <v>518</v>
      </c>
      <c r="L30" s="28" t="s">
        <v>769</v>
      </c>
      <c r="M30" s="28" t="s">
        <v>335</v>
      </c>
      <c r="N30" s="29" t="s">
        <v>2</v>
      </c>
      <c r="O30" s="28"/>
      <c r="P30" s="28" t="s">
        <v>479</v>
      </c>
      <c r="Q30" s="28" t="s">
        <v>484</v>
      </c>
      <c r="R30" s="28" t="s">
        <v>475</v>
      </c>
      <c r="S30" s="29">
        <v>25</v>
      </c>
      <c r="T30" s="29">
        <v>0</v>
      </c>
      <c r="U30" s="35">
        <v>100</v>
      </c>
      <c r="V30" s="28" t="s">
        <v>754</v>
      </c>
      <c r="W30" s="28">
        <v>0</v>
      </c>
      <c r="X30" s="28"/>
      <c r="Y30" s="31"/>
      <c r="Z30" s="28" t="b">
        <v>0</v>
      </c>
      <c r="AA30" s="28" t="s">
        <v>757</v>
      </c>
      <c r="AB30" s="28" t="s">
        <v>758</v>
      </c>
      <c r="AC30" s="28">
        <v>638.22</v>
      </c>
      <c r="AD30" s="35" t="b">
        <v>1</v>
      </c>
      <c r="AE30" s="28" t="s">
        <v>770</v>
      </c>
      <c r="AF30" s="28"/>
      <c r="AG30" s="28"/>
      <c r="AH30" s="28" t="s">
        <v>771</v>
      </c>
      <c r="AI30" s="53" t="b">
        <v>1</v>
      </c>
      <c r="AJ30" s="51" t="s">
        <v>518</v>
      </c>
      <c r="AK30" s="35" t="b">
        <v>1</v>
      </c>
      <c r="AL30" s="46" t="b">
        <v>0</v>
      </c>
      <c r="AM30" s="28">
        <v>0</v>
      </c>
      <c r="AN30" s="28" t="b">
        <v>0</v>
      </c>
      <c r="AO30" s="28"/>
      <c r="AP30" s="28"/>
      <c r="AQ30" s="46" t="b">
        <v>0</v>
      </c>
      <c r="AR30" s="28" t="b">
        <v>0</v>
      </c>
      <c r="AS30" s="28" t="b">
        <v>0</v>
      </c>
      <c r="AT30" s="28"/>
      <c r="AU30" s="41"/>
      <c r="AV30" s="41"/>
      <c r="AW30" s="41" t="s">
        <v>805</v>
      </c>
      <c r="AX30" s="28" t="s">
        <v>761</v>
      </c>
      <c r="AY30" s="28" t="s">
        <v>762</v>
      </c>
      <c r="AZ30" s="28">
        <v>0</v>
      </c>
      <c r="BA30" s="28"/>
      <c r="BB30" s="28">
        <v>21</v>
      </c>
      <c r="BC30" s="28">
        <v>12</v>
      </c>
      <c r="BD30" s="28">
        <v>22</v>
      </c>
      <c r="BE30" s="28" t="b">
        <v>0</v>
      </c>
      <c r="BF30" s="35" t="b">
        <v>1</v>
      </c>
      <c r="BG30" s="28">
        <v>30</v>
      </c>
      <c r="BH30" s="28">
        <v>0</v>
      </c>
      <c r="BI30" s="28">
        <v>0</v>
      </c>
      <c r="BJ30" s="28">
        <v>0</v>
      </c>
      <c r="BK30" s="28">
        <v>0</v>
      </c>
      <c r="BL30" s="28">
        <v>0</v>
      </c>
      <c r="BM30" s="28">
        <v>0</v>
      </c>
      <c r="BN30" s="28" t="s">
        <v>775</v>
      </c>
      <c r="BO30" s="28" t="s">
        <v>481</v>
      </c>
      <c r="BP30" s="28">
        <v>0</v>
      </c>
      <c r="BQ30" s="28">
        <v>0</v>
      </c>
      <c r="BR30" s="28">
        <v>0</v>
      </c>
      <c r="BS30" s="28">
        <v>0</v>
      </c>
      <c r="BT30" s="28"/>
      <c r="BU30" s="28">
        <v>0</v>
      </c>
      <c r="BV30" s="28" t="b">
        <v>1</v>
      </c>
      <c r="BW30" s="28">
        <v>1.861E-3</v>
      </c>
      <c r="BX30" s="28">
        <v>100</v>
      </c>
      <c r="BY30" s="28">
        <v>16</v>
      </c>
      <c r="BZ30" s="28" t="b">
        <v>0</v>
      </c>
      <c r="CA30" s="28" t="s">
        <v>82</v>
      </c>
      <c r="CB30" s="28"/>
      <c r="CC30" s="28"/>
      <c r="CD30" s="28"/>
      <c r="CE30" s="28" t="s">
        <v>763</v>
      </c>
      <c r="CF30" s="28"/>
      <c r="CG30" s="28" t="b">
        <v>0</v>
      </c>
      <c r="CH30" s="28" t="b">
        <v>0</v>
      </c>
      <c r="CI30" s="28">
        <v>367</v>
      </c>
      <c r="CJ30" s="28">
        <v>2356</v>
      </c>
      <c r="CK30" s="28" t="s">
        <v>806</v>
      </c>
      <c r="CL30" s="28"/>
      <c r="CM30" s="51">
        <v>1</v>
      </c>
      <c r="CN30" s="51" t="b">
        <v>0</v>
      </c>
      <c r="CO30" s="34" t="str">
        <f>IFERROR(HYPERLINK("#Main!A"&amp;MATCH(A30,Main!A:A,0),"Open"),HYPERLINK("#Main!A1","Open"))</f>
        <v>Open</v>
      </c>
      <c r="CP30" s="34"/>
    </row>
    <row r="31" spans="1:94" ht="30" customHeight="1" x14ac:dyDescent="0.25">
      <c r="A31" s="30" t="s">
        <v>521</v>
      </c>
      <c r="B31" s="35">
        <v>200</v>
      </c>
      <c r="C31" s="37" t="s">
        <v>768</v>
      </c>
      <c r="D31" s="50"/>
      <c r="E31" s="37" t="s">
        <v>478</v>
      </c>
      <c r="F31" s="37"/>
      <c r="G31" s="35" t="s">
        <v>477</v>
      </c>
      <c r="H31" s="50">
        <v>269.52</v>
      </c>
      <c r="I31" s="50">
        <v>18555.650000000001</v>
      </c>
      <c r="J31" s="52" t="s">
        <v>521</v>
      </c>
      <c r="K31" s="52" t="s">
        <v>521</v>
      </c>
      <c r="L31" s="37" t="s">
        <v>769</v>
      </c>
      <c r="M31" s="37" t="s">
        <v>335</v>
      </c>
      <c r="N31" s="29" t="s">
        <v>2</v>
      </c>
      <c r="O31" s="37"/>
      <c r="P31" s="37" t="s">
        <v>479</v>
      </c>
      <c r="Q31" s="37" t="s">
        <v>484</v>
      </c>
      <c r="R31" s="37" t="s">
        <v>475</v>
      </c>
      <c r="S31" s="29">
        <v>11.25</v>
      </c>
      <c r="T31" s="29">
        <v>0</v>
      </c>
      <c r="U31" s="29">
        <v>45</v>
      </c>
      <c r="V31" s="37" t="s">
        <v>754</v>
      </c>
      <c r="W31" s="37">
        <v>0</v>
      </c>
      <c r="X31" s="37"/>
      <c r="Y31" s="43"/>
      <c r="Z31" s="37" t="b">
        <v>0</v>
      </c>
      <c r="AA31" s="37" t="s">
        <v>757</v>
      </c>
      <c r="AB31" s="37" t="s">
        <v>758</v>
      </c>
      <c r="AC31" s="37">
        <v>409.87</v>
      </c>
      <c r="AD31" s="35" t="b">
        <v>1</v>
      </c>
      <c r="AE31" s="37" t="s">
        <v>770</v>
      </c>
      <c r="AF31" s="37"/>
      <c r="AG31" s="37"/>
      <c r="AH31" s="37" t="s">
        <v>771</v>
      </c>
      <c r="AI31" s="53" t="b">
        <v>1</v>
      </c>
      <c r="AJ31" s="52" t="s">
        <v>521</v>
      </c>
      <c r="AK31" s="35" t="b">
        <v>1</v>
      </c>
      <c r="AL31" s="46" t="b">
        <v>0</v>
      </c>
      <c r="AM31" s="37">
        <v>0</v>
      </c>
      <c r="AN31" s="37" t="b">
        <v>0</v>
      </c>
      <c r="AO31" s="37"/>
      <c r="AP31" s="37"/>
      <c r="AQ31" s="46" t="b">
        <v>0</v>
      </c>
      <c r="AR31" s="37" t="b">
        <v>0</v>
      </c>
      <c r="AS31" s="37" t="b">
        <v>0</v>
      </c>
      <c r="AT31" s="37"/>
      <c r="AU31" s="44"/>
      <c r="AV31" s="44"/>
      <c r="AW31" s="44" t="s">
        <v>807</v>
      </c>
      <c r="AX31" s="37" t="s">
        <v>761</v>
      </c>
      <c r="AY31" s="37" t="s">
        <v>762</v>
      </c>
      <c r="AZ31" s="37">
        <v>0</v>
      </c>
      <c r="BA31" s="37"/>
      <c r="BB31" s="37">
        <v>16</v>
      </c>
      <c r="BC31" s="37">
        <v>9</v>
      </c>
      <c r="BD31" s="37">
        <v>4</v>
      </c>
      <c r="BE31" s="37" t="b">
        <v>0</v>
      </c>
      <c r="BF31" s="35" t="b">
        <v>1</v>
      </c>
      <c r="BG31" s="37">
        <v>68</v>
      </c>
      <c r="BH31" s="37">
        <v>29</v>
      </c>
      <c r="BI31" s="37">
        <v>12.282999999999999</v>
      </c>
      <c r="BJ31" s="37">
        <v>0.02</v>
      </c>
      <c r="BK31" s="37">
        <v>0.20300000000000001</v>
      </c>
      <c r="BL31" s="37">
        <v>12.282999999999999</v>
      </c>
      <c r="BM31" s="37">
        <v>0.02</v>
      </c>
      <c r="BN31" s="37" t="s">
        <v>775</v>
      </c>
      <c r="BO31" s="37" t="s">
        <v>481</v>
      </c>
      <c r="BP31" s="37">
        <v>0</v>
      </c>
      <c r="BQ31" s="37">
        <v>0</v>
      </c>
      <c r="BR31" s="37">
        <v>0</v>
      </c>
      <c r="BS31" s="37">
        <v>0</v>
      </c>
      <c r="BT31" s="37"/>
      <c r="BU31" s="37">
        <v>0</v>
      </c>
      <c r="BV31" s="37" t="b">
        <v>1</v>
      </c>
      <c r="BW31" s="37">
        <v>1.861E-3</v>
      </c>
      <c r="BX31" s="37">
        <v>40</v>
      </c>
      <c r="BY31" s="37">
        <v>4</v>
      </c>
      <c r="BZ31" s="37" t="b">
        <v>0</v>
      </c>
      <c r="CA31" s="37" t="s">
        <v>82</v>
      </c>
      <c r="CB31" s="37"/>
      <c r="CC31" s="37"/>
      <c r="CD31" s="37"/>
      <c r="CE31" s="37" t="s">
        <v>763</v>
      </c>
      <c r="CF31" s="37"/>
      <c r="CG31" s="37" t="b">
        <v>0</v>
      </c>
      <c r="CH31" s="37" t="b">
        <v>0</v>
      </c>
      <c r="CI31" s="37">
        <v>374</v>
      </c>
      <c r="CJ31" s="37">
        <v>1698</v>
      </c>
      <c r="CK31" s="37"/>
      <c r="CL31" s="37"/>
      <c r="CM31" s="52">
        <v>1</v>
      </c>
      <c r="CN31" s="52" t="b">
        <v>0</v>
      </c>
      <c r="CO31" t="str">
        <f>IFERROR(HYPERLINK("#Main!A"&amp;MATCH(A31,Main!A:A,0),"Open"),HYPERLINK("#Main!A1","Open"))</f>
        <v>Open</v>
      </c>
    </row>
    <row r="32" spans="1:94" ht="30" customHeight="1" x14ac:dyDescent="0.25">
      <c r="A32" s="33" t="s">
        <v>524</v>
      </c>
      <c r="B32" s="35">
        <v>200</v>
      </c>
      <c r="C32" s="28" t="s">
        <v>768</v>
      </c>
      <c r="D32" s="49"/>
      <c r="E32" s="28" t="s">
        <v>478</v>
      </c>
      <c r="F32" s="28"/>
      <c r="G32" s="35" t="s">
        <v>477</v>
      </c>
      <c r="H32" s="49">
        <v>45.53</v>
      </c>
      <c r="I32" s="49">
        <v>18083.919999999998</v>
      </c>
      <c r="J32" s="51" t="s">
        <v>524</v>
      </c>
      <c r="K32" s="51" t="s">
        <v>524</v>
      </c>
      <c r="L32" s="28" t="s">
        <v>769</v>
      </c>
      <c r="M32" s="28" t="s">
        <v>335</v>
      </c>
      <c r="N32" s="29" t="s">
        <v>2</v>
      </c>
      <c r="O32" s="28"/>
      <c r="P32" s="28" t="s">
        <v>479</v>
      </c>
      <c r="Q32" s="28" t="s">
        <v>484</v>
      </c>
      <c r="R32" s="28" t="s">
        <v>475</v>
      </c>
      <c r="S32" s="29">
        <v>18.75</v>
      </c>
      <c r="T32" s="29">
        <v>0</v>
      </c>
      <c r="U32" s="32">
        <v>75</v>
      </c>
      <c r="V32" s="28" t="s">
        <v>754</v>
      </c>
      <c r="W32" s="28">
        <v>0</v>
      </c>
      <c r="X32" s="28"/>
      <c r="Y32" s="31"/>
      <c r="Z32" s="28" t="b">
        <v>0</v>
      </c>
      <c r="AA32" s="28" t="s">
        <v>757</v>
      </c>
      <c r="AB32" s="28" t="s">
        <v>758</v>
      </c>
      <c r="AC32" s="28">
        <v>326.74</v>
      </c>
      <c r="AD32" s="35" t="b">
        <v>1</v>
      </c>
      <c r="AE32" s="28" t="s">
        <v>770</v>
      </c>
      <c r="AF32" s="28"/>
      <c r="AG32" s="28"/>
      <c r="AH32" s="28" t="s">
        <v>771</v>
      </c>
      <c r="AI32" s="53" t="b">
        <v>1</v>
      </c>
      <c r="AJ32" s="51" t="s">
        <v>524</v>
      </c>
      <c r="AK32" s="35" t="b">
        <v>1</v>
      </c>
      <c r="AL32" s="46" t="b">
        <v>0</v>
      </c>
      <c r="AM32" s="28">
        <v>0</v>
      </c>
      <c r="AN32" s="28" t="b">
        <v>0</v>
      </c>
      <c r="AO32" s="28"/>
      <c r="AP32" s="28"/>
      <c r="AQ32" s="46" t="b">
        <v>0</v>
      </c>
      <c r="AR32" s="28" t="b">
        <v>0</v>
      </c>
      <c r="AS32" s="28" t="b">
        <v>0</v>
      </c>
      <c r="AT32" s="28"/>
      <c r="AU32" s="41"/>
      <c r="AV32" s="41"/>
      <c r="AW32" s="41" t="s">
        <v>808</v>
      </c>
      <c r="AX32" s="28" t="s">
        <v>761</v>
      </c>
      <c r="AY32" s="28" t="s">
        <v>762</v>
      </c>
      <c r="AZ32" s="28">
        <v>0</v>
      </c>
      <c r="BA32" s="28"/>
      <c r="BB32" s="28">
        <v>42</v>
      </c>
      <c r="BC32" s="28">
        <v>22</v>
      </c>
      <c r="BD32" s="28">
        <v>4</v>
      </c>
      <c r="BE32" s="28" t="b">
        <v>0</v>
      </c>
      <c r="BF32" s="35" t="b">
        <v>1</v>
      </c>
      <c r="BG32" s="28">
        <v>34</v>
      </c>
      <c r="BH32" s="28">
        <v>36</v>
      </c>
      <c r="BI32" s="28">
        <v>22.667000000000002</v>
      </c>
      <c r="BJ32" s="28">
        <v>4.2000000000000003E-2</v>
      </c>
      <c r="BK32" s="28">
        <v>0.17199999999999999</v>
      </c>
      <c r="BL32" s="28">
        <v>22.667000000000002</v>
      </c>
      <c r="BM32" s="28">
        <v>4.2000000000000003E-2</v>
      </c>
      <c r="BN32" s="28" t="s">
        <v>775</v>
      </c>
      <c r="BO32" s="28" t="s">
        <v>481</v>
      </c>
      <c r="BP32" s="28">
        <v>0</v>
      </c>
      <c r="BQ32" s="28">
        <v>0</v>
      </c>
      <c r="BR32" s="28">
        <v>0</v>
      </c>
      <c r="BS32" s="28">
        <v>0</v>
      </c>
      <c r="BT32" s="28"/>
      <c r="BU32" s="28">
        <v>0</v>
      </c>
      <c r="BV32" s="28" t="b">
        <v>1</v>
      </c>
      <c r="BW32" s="28">
        <v>1.861E-3</v>
      </c>
      <c r="BX32" s="28">
        <v>40</v>
      </c>
      <c r="BY32" s="28">
        <v>4</v>
      </c>
      <c r="BZ32" s="28" t="b">
        <v>0</v>
      </c>
      <c r="CA32" s="28" t="s">
        <v>82</v>
      </c>
      <c r="CB32" s="28"/>
      <c r="CC32" s="28"/>
      <c r="CD32" s="28"/>
      <c r="CE32" s="28" t="s">
        <v>763</v>
      </c>
      <c r="CF32" s="28"/>
      <c r="CG32" s="28" t="b">
        <v>0</v>
      </c>
      <c r="CH32" s="28" t="b">
        <v>0</v>
      </c>
      <c r="CI32" s="28">
        <v>518</v>
      </c>
      <c r="CJ32" s="28">
        <v>2151</v>
      </c>
      <c r="CK32" s="28"/>
      <c r="CL32" s="28"/>
      <c r="CM32" s="51">
        <v>1</v>
      </c>
      <c r="CN32" s="51" t="b">
        <v>0</v>
      </c>
      <c r="CO32" s="34" t="str">
        <f>IFERROR(HYPERLINK("#Main!A"&amp;MATCH(A32,Main!A:A,0),"Open"),HYPERLINK("#Main!A1","Open"))</f>
        <v>Open</v>
      </c>
      <c r="CP32" s="34"/>
    </row>
    <row r="33" spans="1:94" ht="30" customHeight="1" x14ac:dyDescent="0.25">
      <c r="A33" s="30" t="s">
        <v>527</v>
      </c>
      <c r="B33" s="35">
        <v>200</v>
      </c>
      <c r="C33" s="37" t="s">
        <v>768</v>
      </c>
      <c r="D33" s="50"/>
      <c r="E33" s="37" t="s">
        <v>478</v>
      </c>
      <c r="F33" s="37"/>
      <c r="G33" s="35" t="s">
        <v>477</v>
      </c>
      <c r="H33" s="50">
        <v>1502.77</v>
      </c>
      <c r="I33" s="50">
        <v>6197.73</v>
      </c>
      <c r="J33" s="52" t="s">
        <v>518</v>
      </c>
      <c r="K33" s="52" t="s">
        <v>518</v>
      </c>
      <c r="L33" s="37" t="s">
        <v>769</v>
      </c>
      <c r="M33" s="37" t="s">
        <v>335</v>
      </c>
      <c r="N33" s="29" t="s">
        <v>2</v>
      </c>
      <c r="O33" s="37"/>
      <c r="P33" s="37" t="s">
        <v>479</v>
      </c>
      <c r="Q33" s="37" t="s">
        <v>484</v>
      </c>
      <c r="R33" s="37" t="s">
        <v>475</v>
      </c>
      <c r="S33" s="29">
        <v>25</v>
      </c>
      <c r="T33" s="29">
        <v>0</v>
      </c>
      <c r="U33" s="35">
        <v>100</v>
      </c>
      <c r="V33" s="37" t="s">
        <v>754</v>
      </c>
      <c r="W33" s="37">
        <v>1</v>
      </c>
      <c r="X33" s="37" t="s">
        <v>809</v>
      </c>
      <c r="Y33" s="43" t="s">
        <v>810</v>
      </c>
      <c r="Z33" s="37" t="b">
        <v>0</v>
      </c>
      <c r="AA33" s="37" t="s">
        <v>757</v>
      </c>
      <c r="AB33" s="37" t="s">
        <v>758</v>
      </c>
      <c r="AC33" s="37">
        <v>600.83000000000004</v>
      </c>
      <c r="AD33" s="35" t="b">
        <v>1</v>
      </c>
      <c r="AE33" s="37" t="s">
        <v>770</v>
      </c>
      <c r="AF33" s="37"/>
      <c r="AG33" s="37"/>
      <c r="AH33" s="37" t="s">
        <v>771</v>
      </c>
      <c r="AI33" s="53" t="b">
        <v>1</v>
      </c>
      <c r="AJ33" s="52" t="s">
        <v>518</v>
      </c>
      <c r="AK33" s="46" t="b">
        <v>0</v>
      </c>
      <c r="AL33" s="46" t="b">
        <v>0</v>
      </c>
      <c r="AM33" s="37">
        <v>0</v>
      </c>
      <c r="AN33" s="37" t="b">
        <v>0</v>
      </c>
      <c r="AO33" s="37"/>
      <c r="AP33" s="37"/>
      <c r="AQ33" s="46" t="b">
        <v>0</v>
      </c>
      <c r="AR33" s="37" t="b">
        <v>0</v>
      </c>
      <c r="AS33" s="37" t="b">
        <v>0</v>
      </c>
      <c r="AT33" s="37"/>
      <c r="AU33" s="44"/>
      <c r="AV33" s="44"/>
      <c r="AW33" s="44" t="s">
        <v>811</v>
      </c>
      <c r="AX33" s="37" t="s">
        <v>761</v>
      </c>
      <c r="AY33" s="37" t="s">
        <v>762</v>
      </c>
      <c r="AZ33" s="37">
        <v>0</v>
      </c>
      <c r="BA33" s="37"/>
      <c r="BB33" s="37">
        <v>21</v>
      </c>
      <c r="BC33" s="37">
        <v>12</v>
      </c>
      <c r="BD33" s="37">
        <v>14</v>
      </c>
      <c r="BE33" s="37" t="b">
        <v>0</v>
      </c>
      <c r="BF33" s="35" t="b">
        <v>1</v>
      </c>
      <c r="BG33" s="37">
        <v>30</v>
      </c>
      <c r="BH33" s="37">
        <v>0</v>
      </c>
      <c r="BI33" s="37">
        <v>0</v>
      </c>
      <c r="BJ33" s="37">
        <v>0</v>
      </c>
      <c r="BK33" s="37">
        <v>0</v>
      </c>
      <c r="BL33" s="37">
        <v>0</v>
      </c>
      <c r="BM33" s="37">
        <v>0</v>
      </c>
      <c r="BN33" s="37" t="s">
        <v>775</v>
      </c>
      <c r="BO33" s="37" t="s">
        <v>481</v>
      </c>
      <c r="BP33" s="37">
        <v>0</v>
      </c>
      <c r="BQ33" s="37">
        <v>0</v>
      </c>
      <c r="BR33" s="37">
        <v>0</v>
      </c>
      <c r="BS33" s="37">
        <v>0</v>
      </c>
      <c r="BT33" s="37"/>
      <c r="BU33" s="37">
        <v>0</v>
      </c>
      <c r="BV33" s="37" t="b">
        <v>1</v>
      </c>
      <c r="BW33" s="37">
        <v>1.861E-3</v>
      </c>
      <c r="BX33" s="37">
        <v>100</v>
      </c>
      <c r="BY33" s="37">
        <v>16</v>
      </c>
      <c r="BZ33" s="37" t="b">
        <v>0</v>
      </c>
      <c r="CA33" s="37" t="s">
        <v>82</v>
      </c>
      <c r="CB33" s="37"/>
      <c r="CC33" s="37"/>
      <c r="CD33" s="37"/>
      <c r="CE33" s="37" t="s">
        <v>763</v>
      </c>
      <c r="CF33" s="37"/>
      <c r="CG33" s="37" t="b">
        <v>0</v>
      </c>
      <c r="CH33" s="37" t="b">
        <v>0</v>
      </c>
      <c r="CI33" s="37">
        <v>367</v>
      </c>
      <c r="CJ33" s="37">
        <v>2356</v>
      </c>
      <c r="CK33" s="37" t="s">
        <v>806</v>
      </c>
      <c r="CL33" s="37"/>
      <c r="CM33" s="52">
        <v>1</v>
      </c>
      <c r="CN33" s="52" t="b">
        <v>0</v>
      </c>
      <c r="CO33" t="str">
        <f>IFERROR(HYPERLINK("#Main!A"&amp;MATCH(A33,Main!A:A,0),"Open"),HYPERLINK("#Main!A1","Open"))</f>
        <v>Open</v>
      </c>
    </row>
    <row r="34" spans="1:94" ht="45" customHeight="1" x14ac:dyDescent="0.25">
      <c r="A34" s="33" t="s">
        <v>528</v>
      </c>
      <c r="B34" s="35">
        <v>200</v>
      </c>
      <c r="C34" s="28" t="s">
        <v>768</v>
      </c>
      <c r="D34" s="49"/>
      <c r="E34" s="28" t="s">
        <v>478</v>
      </c>
      <c r="F34" s="28"/>
      <c r="G34" s="35" t="s">
        <v>477</v>
      </c>
      <c r="H34" s="49">
        <v>48.03</v>
      </c>
      <c r="I34" s="49">
        <v>18551.55</v>
      </c>
      <c r="J34" s="51" t="s">
        <v>528</v>
      </c>
      <c r="K34" s="51" t="s">
        <v>528</v>
      </c>
      <c r="L34" s="28" t="s">
        <v>769</v>
      </c>
      <c r="M34" s="28" t="s">
        <v>335</v>
      </c>
      <c r="N34" s="29" t="s">
        <v>2</v>
      </c>
      <c r="O34" s="28"/>
      <c r="P34" s="28" t="s">
        <v>479</v>
      </c>
      <c r="Q34" s="28" t="s">
        <v>484</v>
      </c>
      <c r="R34" s="28" t="s">
        <v>475</v>
      </c>
      <c r="S34" s="29">
        <v>18.75</v>
      </c>
      <c r="T34" s="29">
        <v>0</v>
      </c>
      <c r="U34" s="32">
        <v>75</v>
      </c>
      <c r="V34" s="28" t="s">
        <v>754</v>
      </c>
      <c r="W34" s="28">
        <v>0</v>
      </c>
      <c r="X34" s="28"/>
      <c r="Y34" s="31"/>
      <c r="Z34" s="28" t="b">
        <v>0</v>
      </c>
      <c r="AA34" s="28" t="s">
        <v>757</v>
      </c>
      <c r="AB34" s="28" t="s">
        <v>758</v>
      </c>
      <c r="AC34" s="28">
        <v>264.23</v>
      </c>
      <c r="AD34" s="35" t="b">
        <v>1</v>
      </c>
      <c r="AE34" s="28" t="s">
        <v>770</v>
      </c>
      <c r="AF34" s="28"/>
      <c r="AG34" s="28"/>
      <c r="AH34" s="28" t="s">
        <v>771</v>
      </c>
      <c r="AI34" s="53" t="b">
        <v>1</v>
      </c>
      <c r="AJ34" s="51" t="s">
        <v>528</v>
      </c>
      <c r="AK34" s="35" t="b">
        <v>1</v>
      </c>
      <c r="AL34" s="46" t="b">
        <v>0</v>
      </c>
      <c r="AM34" s="28">
        <v>0</v>
      </c>
      <c r="AN34" s="28" t="b">
        <v>0</v>
      </c>
      <c r="AO34" s="28"/>
      <c r="AP34" s="28"/>
      <c r="AQ34" s="46" t="b">
        <v>0</v>
      </c>
      <c r="AR34" s="28" t="b">
        <v>0</v>
      </c>
      <c r="AS34" s="28" t="b">
        <v>0</v>
      </c>
      <c r="AT34" s="28"/>
      <c r="AU34" s="41"/>
      <c r="AV34" s="41"/>
      <c r="AW34" s="41" t="s">
        <v>812</v>
      </c>
      <c r="AX34" s="28" t="s">
        <v>761</v>
      </c>
      <c r="AY34" s="28" t="s">
        <v>762</v>
      </c>
      <c r="AZ34" s="28">
        <v>0</v>
      </c>
      <c r="BA34" s="28"/>
      <c r="BB34" s="28">
        <v>30</v>
      </c>
      <c r="BC34" s="28">
        <v>14</v>
      </c>
      <c r="BD34" s="28">
        <v>4</v>
      </c>
      <c r="BE34" s="28" t="b">
        <v>0</v>
      </c>
      <c r="BF34" s="35" t="b">
        <v>1</v>
      </c>
      <c r="BG34" s="28">
        <v>48</v>
      </c>
      <c r="BH34" s="28">
        <v>49</v>
      </c>
      <c r="BI34" s="28">
        <v>19.97</v>
      </c>
      <c r="BJ34" s="28">
        <v>3.0000000000000001E-3</v>
      </c>
      <c r="BK34" s="28">
        <v>0.17</v>
      </c>
      <c r="BL34" s="28">
        <v>19.97</v>
      </c>
      <c r="BM34" s="28">
        <v>3.0000000000000001E-3</v>
      </c>
      <c r="BN34" s="28" t="s">
        <v>775</v>
      </c>
      <c r="BO34" s="28" t="s">
        <v>481</v>
      </c>
      <c r="BP34" s="28">
        <v>0</v>
      </c>
      <c r="BQ34" s="28">
        <v>0</v>
      </c>
      <c r="BR34" s="28">
        <v>0</v>
      </c>
      <c r="BS34" s="28">
        <v>0</v>
      </c>
      <c r="BT34" s="28"/>
      <c r="BU34" s="28">
        <v>0</v>
      </c>
      <c r="BV34" s="28" t="b">
        <v>1</v>
      </c>
      <c r="BW34" s="28">
        <v>1.861E-3</v>
      </c>
      <c r="BX34" s="28">
        <v>40</v>
      </c>
      <c r="BY34" s="28">
        <v>4</v>
      </c>
      <c r="BZ34" s="28" t="b">
        <v>0</v>
      </c>
      <c r="CA34" s="28" t="s">
        <v>82</v>
      </c>
      <c r="CB34" s="28"/>
      <c r="CC34" s="28"/>
      <c r="CD34" s="28"/>
      <c r="CE34" s="28" t="s">
        <v>763</v>
      </c>
      <c r="CF34" s="28"/>
      <c r="CG34" s="28" t="b">
        <v>0</v>
      </c>
      <c r="CH34" s="28" t="b">
        <v>0</v>
      </c>
      <c r="CI34" s="28">
        <v>489</v>
      </c>
      <c r="CJ34" s="28">
        <v>2145</v>
      </c>
      <c r="CK34" s="28"/>
      <c r="CL34" s="28"/>
      <c r="CM34" s="51">
        <v>2</v>
      </c>
      <c r="CN34" s="51" t="b">
        <v>0</v>
      </c>
      <c r="CO34" s="34" t="str">
        <f>IFERROR(HYPERLINK("#Main!A"&amp;MATCH(A34,Main!A:A,0),"Open"),HYPERLINK("#Main!A1","Open"))</f>
        <v>Open</v>
      </c>
      <c r="CP34" s="34"/>
    </row>
    <row r="35" spans="1:94" ht="30" customHeight="1" x14ac:dyDescent="0.25">
      <c r="A35" s="30" t="s">
        <v>531</v>
      </c>
      <c r="B35" s="35">
        <v>200</v>
      </c>
      <c r="C35" s="37" t="s">
        <v>768</v>
      </c>
      <c r="D35" s="50"/>
      <c r="E35" s="37" t="s">
        <v>478</v>
      </c>
      <c r="F35" s="37"/>
      <c r="G35" s="35" t="s">
        <v>477</v>
      </c>
      <c r="H35" s="50">
        <v>75.83</v>
      </c>
      <c r="I35" s="50">
        <v>18010.93</v>
      </c>
      <c r="J35" s="52" t="s">
        <v>531</v>
      </c>
      <c r="K35" s="52" t="s">
        <v>531</v>
      </c>
      <c r="L35" s="37" t="s">
        <v>769</v>
      </c>
      <c r="M35" s="37" t="s">
        <v>335</v>
      </c>
      <c r="N35" s="29" t="s">
        <v>2</v>
      </c>
      <c r="O35" s="37"/>
      <c r="P35" s="37" t="s">
        <v>479</v>
      </c>
      <c r="Q35" s="37" t="s">
        <v>484</v>
      </c>
      <c r="R35" s="37" t="s">
        <v>475</v>
      </c>
      <c r="S35" s="29">
        <v>25</v>
      </c>
      <c r="T35" s="29">
        <v>0</v>
      </c>
      <c r="U35" s="35">
        <v>100</v>
      </c>
      <c r="V35" s="37" t="s">
        <v>754</v>
      </c>
      <c r="W35" s="37">
        <v>0</v>
      </c>
      <c r="X35" s="37"/>
      <c r="Y35" s="43"/>
      <c r="Z35" s="37" t="b">
        <v>0</v>
      </c>
      <c r="AA35" s="37" t="s">
        <v>757</v>
      </c>
      <c r="AB35" s="37" t="s">
        <v>758</v>
      </c>
      <c r="AC35" s="37">
        <v>399.4</v>
      </c>
      <c r="AD35" s="35" t="b">
        <v>1</v>
      </c>
      <c r="AE35" s="37" t="s">
        <v>770</v>
      </c>
      <c r="AF35" s="37"/>
      <c r="AG35" s="37"/>
      <c r="AH35" s="37" t="s">
        <v>771</v>
      </c>
      <c r="AI35" s="53" t="b">
        <v>1</v>
      </c>
      <c r="AJ35" s="52" t="s">
        <v>531</v>
      </c>
      <c r="AK35" s="35" t="b">
        <v>1</v>
      </c>
      <c r="AL35" s="46" t="b">
        <v>0</v>
      </c>
      <c r="AM35" s="37">
        <v>0</v>
      </c>
      <c r="AN35" s="37" t="b">
        <v>0</v>
      </c>
      <c r="AO35" s="37"/>
      <c r="AP35" s="37"/>
      <c r="AQ35" s="46" t="b">
        <v>0</v>
      </c>
      <c r="AR35" s="37" t="b">
        <v>0</v>
      </c>
      <c r="AS35" s="37" t="b">
        <v>0</v>
      </c>
      <c r="AT35" s="37"/>
      <c r="AU35" s="44"/>
      <c r="AV35" s="44"/>
      <c r="AW35" s="44" t="s">
        <v>813</v>
      </c>
      <c r="AX35" s="37" t="s">
        <v>761</v>
      </c>
      <c r="AY35" s="37" t="s">
        <v>762</v>
      </c>
      <c r="AZ35" s="37">
        <v>0</v>
      </c>
      <c r="BA35" s="37"/>
      <c r="BB35" s="37">
        <v>42</v>
      </c>
      <c r="BC35" s="37">
        <v>20</v>
      </c>
      <c r="BD35" s="37">
        <v>4</v>
      </c>
      <c r="BE35" s="37" t="b">
        <v>0</v>
      </c>
      <c r="BF35" s="35" t="b">
        <v>1</v>
      </c>
      <c r="BG35" s="37">
        <v>40</v>
      </c>
      <c r="BH35" s="37">
        <v>27</v>
      </c>
      <c r="BI35" s="37">
        <v>25.164000000000001</v>
      </c>
      <c r="BJ35" s="37">
        <v>1E-3</v>
      </c>
      <c r="BK35" s="37">
        <v>0.17699999999999999</v>
      </c>
      <c r="BL35" s="37">
        <v>25.164000000000001</v>
      </c>
      <c r="BM35" s="37">
        <v>1E-3</v>
      </c>
      <c r="BN35" s="37" t="s">
        <v>775</v>
      </c>
      <c r="BO35" s="37" t="s">
        <v>481</v>
      </c>
      <c r="BP35" s="37">
        <v>0</v>
      </c>
      <c r="BQ35" s="37">
        <v>0</v>
      </c>
      <c r="BR35" s="37">
        <v>0</v>
      </c>
      <c r="BS35" s="37">
        <v>0</v>
      </c>
      <c r="BT35" s="37"/>
      <c r="BU35" s="37">
        <v>0</v>
      </c>
      <c r="BV35" s="37" t="b">
        <v>1</v>
      </c>
      <c r="BW35" s="37">
        <v>1.861E-3</v>
      </c>
      <c r="BX35" s="37">
        <v>100</v>
      </c>
      <c r="BY35" s="37">
        <v>16</v>
      </c>
      <c r="BZ35" s="37" t="b">
        <v>0</v>
      </c>
      <c r="CA35" s="37" t="s">
        <v>82</v>
      </c>
      <c r="CB35" s="37"/>
      <c r="CC35" s="37"/>
      <c r="CD35" s="37"/>
      <c r="CE35" s="37" t="s">
        <v>763</v>
      </c>
      <c r="CF35" s="37"/>
      <c r="CG35" s="37" t="b">
        <v>0</v>
      </c>
      <c r="CH35" s="37" t="b">
        <v>0</v>
      </c>
      <c r="CI35" s="37">
        <v>396</v>
      </c>
      <c r="CJ35" s="37">
        <v>4352</v>
      </c>
      <c r="CK35" s="37"/>
      <c r="CL35" s="37"/>
      <c r="CM35" s="52">
        <v>2</v>
      </c>
      <c r="CN35" s="52" t="b">
        <v>0</v>
      </c>
      <c r="CO35" t="str">
        <f>IFERROR(HYPERLINK("#Main!A"&amp;MATCH(A35,Main!A:A,0),"Open"),HYPERLINK("#Main!A1","Open"))</f>
        <v>Open</v>
      </c>
    </row>
    <row r="36" spans="1:94" ht="30" customHeight="1" x14ac:dyDescent="0.25">
      <c r="A36" s="33" t="s">
        <v>534</v>
      </c>
      <c r="B36" s="35">
        <v>200</v>
      </c>
      <c r="C36" s="28" t="s">
        <v>768</v>
      </c>
      <c r="D36" s="49"/>
      <c r="E36" s="28" t="s">
        <v>478</v>
      </c>
      <c r="F36" s="28"/>
      <c r="G36" s="35" t="s">
        <v>477</v>
      </c>
      <c r="H36" s="49">
        <v>116.7</v>
      </c>
      <c r="I36" s="49">
        <v>18006.41</v>
      </c>
      <c r="J36" s="51" t="s">
        <v>534</v>
      </c>
      <c r="K36" s="51" t="s">
        <v>534</v>
      </c>
      <c r="L36" s="28" t="s">
        <v>769</v>
      </c>
      <c r="M36" s="28" t="s">
        <v>335</v>
      </c>
      <c r="N36" s="29" t="s">
        <v>2</v>
      </c>
      <c r="O36" s="28"/>
      <c r="P36" s="28" t="s">
        <v>479</v>
      </c>
      <c r="Q36" s="28" t="s">
        <v>484</v>
      </c>
      <c r="R36" s="28" t="s">
        <v>475</v>
      </c>
      <c r="S36" s="29">
        <v>25</v>
      </c>
      <c r="T36" s="29">
        <v>0</v>
      </c>
      <c r="U36" s="35">
        <v>100</v>
      </c>
      <c r="V36" s="28" t="s">
        <v>754</v>
      </c>
      <c r="W36" s="28">
        <v>0</v>
      </c>
      <c r="X36" s="28"/>
      <c r="Y36" s="31"/>
      <c r="Z36" s="28" t="b">
        <v>0</v>
      </c>
      <c r="AA36" s="28" t="s">
        <v>757</v>
      </c>
      <c r="AB36" s="28" t="s">
        <v>758</v>
      </c>
      <c r="AC36" s="28">
        <v>398.24</v>
      </c>
      <c r="AD36" s="35" t="b">
        <v>1</v>
      </c>
      <c r="AE36" s="28" t="s">
        <v>770</v>
      </c>
      <c r="AF36" s="28"/>
      <c r="AG36" s="28"/>
      <c r="AH36" s="28" t="s">
        <v>771</v>
      </c>
      <c r="AI36" s="53" t="b">
        <v>1</v>
      </c>
      <c r="AJ36" s="51" t="s">
        <v>534</v>
      </c>
      <c r="AK36" s="35" t="b">
        <v>1</v>
      </c>
      <c r="AL36" s="46" t="b">
        <v>0</v>
      </c>
      <c r="AM36" s="28">
        <v>0</v>
      </c>
      <c r="AN36" s="28" t="b">
        <v>0</v>
      </c>
      <c r="AO36" s="28"/>
      <c r="AP36" s="28"/>
      <c r="AQ36" s="46" t="b">
        <v>0</v>
      </c>
      <c r="AR36" s="28" t="b">
        <v>0</v>
      </c>
      <c r="AS36" s="28" t="b">
        <v>0</v>
      </c>
      <c r="AT36" s="28"/>
      <c r="AU36" s="41"/>
      <c r="AV36" s="41"/>
      <c r="AW36" s="41" t="s">
        <v>814</v>
      </c>
      <c r="AX36" s="28" t="s">
        <v>761</v>
      </c>
      <c r="AY36" s="28" t="s">
        <v>762</v>
      </c>
      <c r="AZ36" s="28">
        <v>0</v>
      </c>
      <c r="BA36" s="28"/>
      <c r="BB36" s="28">
        <v>42</v>
      </c>
      <c r="BC36" s="28">
        <v>20</v>
      </c>
      <c r="BD36" s="28">
        <v>4</v>
      </c>
      <c r="BE36" s="28" t="b">
        <v>0</v>
      </c>
      <c r="BF36" s="35" t="b">
        <v>1</v>
      </c>
      <c r="BG36" s="28">
        <v>27</v>
      </c>
      <c r="BH36" s="28">
        <v>35</v>
      </c>
      <c r="BI36" s="28">
        <v>18.577999999999999</v>
      </c>
      <c r="BJ36" s="28">
        <v>7.0000000000000001E-3</v>
      </c>
      <c r="BK36" s="28">
        <v>0.17299999999999999</v>
      </c>
      <c r="BL36" s="28">
        <v>18.577999999999999</v>
      </c>
      <c r="BM36" s="28">
        <v>7.0000000000000001E-3</v>
      </c>
      <c r="BN36" s="28" t="s">
        <v>775</v>
      </c>
      <c r="BO36" s="28" t="s">
        <v>481</v>
      </c>
      <c r="BP36" s="28">
        <v>0</v>
      </c>
      <c r="BQ36" s="28">
        <v>0</v>
      </c>
      <c r="BR36" s="28">
        <v>0</v>
      </c>
      <c r="BS36" s="28">
        <v>0</v>
      </c>
      <c r="BT36" s="28"/>
      <c r="BU36" s="28">
        <v>0</v>
      </c>
      <c r="BV36" s="28" t="b">
        <v>1</v>
      </c>
      <c r="BW36" s="28">
        <v>1.861E-3</v>
      </c>
      <c r="BX36" s="28">
        <v>100</v>
      </c>
      <c r="BY36" s="28">
        <v>16</v>
      </c>
      <c r="BZ36" s="28" t="b">
        <v>0</v>
      </c>
      <c r="CA36" s="28" t="s">
        <v>82</v>
      </c>
      <c r="CB36" s="28"/>
      <c r="CC36" s="28"/>
      <c r="CD36" s="28"/>
      <c r="CE36" s="28" t="s">
        <v>763</v>
      </c>
      <c r="CF36" s="28"/>
      <c r="CG36" s="28" t="b">
        <v>0</v>
      </c>
      <c r="CH36" s="28" t="b">
        <v>0</v>
      </c>
      <c r="CI36" s="28">
        <v>388</v>
      </c>
      <c r="CJ36" s="28">
        <v>3571</v>
      </c>
      <c r="CK36" s="28"/>
      <c r="CL36" s="28"/>
      <c r="CM36" s="51">
        <v>2</v>
      </c>
      <c r="CN36" s="51" t="b">
        <v>0</v>
      </c>
      <c r="CO36" s="34" t="str">
        <f>IFERROR(HYPERLINK("#Main!A"&amp;MATCH(A36,Main!A:A,0),"Open"),HYPERLINK("#Main!A1","Open"))</f>
        <v>Open</v>
      </c>
      <c r="CP36" s="34"/>
    </row>
    <row r="37" spans="1:94" ht="30" customHeight="1" x14ac:dyDescent="0.25">
      <c r="A37" s="30" t="s">
        <v>537</v>
      </c>
      <c r="B37" s="35">
        <v>200</v>
      </c>
      <c r="C37" s="37" t="s">
        <v>768</v>
      </c>
      <c r="D37" s="50"/>
      <c r="E37" s="37" t="s">
        <v>478</v>
      </c>
      <c r="F37" s="37"/>
      <c r="G37" s="35" t="s">
        <v>477</v>
      </c>
      <c r="H37" s="50">
        <v>62.69</v>
      </c>
      <c r="I37" s="50">
        <v>18173.71</v>
      </c>
      <c r="J37" s="52" t="s">
        <v>537</v>
      </c>
      <c r="K37" s="52" t="s">
        <v>537</v>
      </c>
      <c r="L37" s="37" t="s">
        <v>769</v>
      </c>
      <c r="M37" s="37" t="s">
        <v>335</v>
      </c>
      <c r="N37" s="29" t="s">
        <v>2</v>
      </c>
      <c r="O37" s="37"/>
      <c r="P37" s="37" t="s">
        <v>479</v>
      </c>
      <c r="Q37" s="37" t="s">
        <v>484</v>
      </c>
      <c r="R37" s="37" t="s">
        <v>475</v>
      </c>
      <c r="S37" s="29">
        <v>18.75</v>
      </c>
      <c r="T37" s="29">
        <v>0</v>
      </c>
      <c r="U37" s="32">
        <v>75</v>
      </c>
      <c r="V37" s="37" t="s">
        <v>754</v>
      </c>
      <c r="W37" s="37">
        <v>0</v>
      </c>
      <c r="X37" s="37"/>
      <c r="Y37" s="43"/>
      <c r="Z37" s="37" t="b">
        <v>0</v>
      </c>
      <c r="AA37" s="37" t="s">
        <v>757</v>
      </c>
      <c r="AB37" s="37" t="s">
        <v>758</v>
      </c>
      <c r="AC37" s="37">
        <v>286.74</v>
      </c>
      <c r="AD37" s="35" t="b">
        <v>1</v>
      </c>
      <c r="AE37" s="37" t="s">
        <v>770</v>
      </c>
      <c r="AF37" s="37"/>
      <c r="AG37" s="37"/>
      <c r="AH37" s="37" t="s">
        <v>771</v>
      </c>
      <c r="AI37" s="53" t="b">
        <v>1</v>
      </c>
      <c r="AJ37" s="52" t="s">
        <v>537</v>
      </c>
      <c r="AK37" s="35" t="b">
        <v>1</v>
      </c>
      <c r="AL37" s="46" t="b">
        <v>0</v>
      </c>
      <c r="AM37" s="37">
        <v>0</v>
      </c>
      <c r="AN37" s="37" t="b">
        <v>0</v>
      </c>
      <c r="AO37" s="37"/>
      <c r="AP37" s="37"/>
      <c r="AQ37" s="46" t="b">
        <v>0</v>
      </c>
      <c r="AR37" s="37" t="b">
        <v>0</v>
      </c>
      <c r="AS37" s="37" t="b">
        <v>0</v>
      </c>
      <c r="AT37" s="37"/>
      <c r="AU37" s="44"/>
      <c r="AV37" s="44"/>
      <c r="AW37" s="44" t="s">
        <v>815</v>
      </c>
      <c r="AX37" s="37" t="s">
        <v>761</v>
      </c>
      <c r="AY37" s="37" t="s">
        <v>762</v>
      </c>
      <c r="AZ37" s="37">
        <v>0</v>
      </c>
      <c r="BA37" s="37"/>
      <c r="BB37" s="37">
        <v>45</v>
      </c>
      <c r="BC37" s="37">
        <v>23</v>
      </c>
      <c r="BD37" s="37">
        <v>4</v>
      </c>
      <c r="BE37" s="37" t="b">
        <v>0</v>
      </c>
      <c r="BF37" s="35" t="b">
        <v>1</v>
      </c>
      <c r="BG37" s="37">
        <v>45</v>
      </c>
      <c r="BH37" s="37">
        <v>29</v>
      </c>
      <c r="BI37" s="37">
        <v>12.06</v>
      </c>
      <c r="BJ37" s="37">
        <v>3.0000000000000001E-3</v>
      </c>
      <c r="BK37" s="37">
        <v>0.17499999999999999</v>
      </c>
      <c r="BL37" s="37">
        <v>12.06</v>
      </c>
      <c r="BM37" s="37">
        <v>3.0000000000000001E-3</v>
      </c>
      <c r="BN37" s="37" t="s">
        <v>775</v>
      </c>
      <c r="BO37" s="37" t="s">
        <v>481</v>
      </c>
      <c r="BP37" s="37">
        <v>0</v>
      </c>
      <c r="BQ37" s="37">
        <v>0</v>
      </c>
      <c r="BR37" s="37">
        <v>0</v>
      </c>
      <c r="BS37" s="37">
        <v>0</v>
      </c>
      <c r="BT37" s="37">
        <v>2</v>
      </c>
      <c r="BU37" s="37">
        <v>21</v>
      </c>
      <c r="BV37" s="37" t="b">
        <v>0</v>
      </c>
      <c r="BW37" s="37">
        <v>8.3590000000000001E-3</v>
      </c>
      <c r="BX37" s="37">
        <v>40</v>
      </c>
      <c r="BY37" s="37">
        <v>4</v>
      </c>
      <c r="BZ37" s="37" t="b">
        <v>0</v>
      </c>
      <c r="CA37" s="37" t="s">
        <v>82</v>
      </c>
      <c r="CB37" s="37"/>
      <c r="CC37" s="37"/>
      <c r="CD37" s="37"/>
      <c r="CE37" s="37" t="s">
        <v>776</v>
      </c>
      <c r="CF37" s="37"/>
      <c r="CG37" s="37" t="b">
        <v>0</v>
      </c>
      <c r="CH37" s="37" t="b">
        <v>0</v>
      </c>
      <c r="CI37" s="37">
        <v>187</v>
      </c>
      <c r="CJ37" s="37">
        <v>936</v>
      </c>
      <c r="CK37" s="37"/>
      <c r="CL37" s="37"/>
      <c r="CM37" s="52">
        <v>2</v>
      </c>
      <c r="CN37" s="52" t="b">
        <v>0</v>
      </c>
      <c r="CO37" t="str">
        <f>IFERROR(HYPERLINK("#Main!A"&amp;MATCH(A37,Main!A:A,0),"Open"),HYPERLINK("#Main!A1","Open"))</f>
        <v>Open</v>
      </c>
    </row>
    <row r="38" spans="1:94" ht="45" customHeight="1" x14ac:dyDescent="0.25">
      <c r="A38" s="33" t="s">
        <v>540</v>
      </c>
      <c r="B38" s="35">
        <v>200</v>
      </c>
      <c r="C38" s="28" t="s">
        <v>768</v>
      </c>
      <c r="D38" s="49"/>
      <c r="E38" s="28" t="s">
        <v>478</v>
      </c>
      <c r="F38" s="28"/>
      <c r="G38" s="35" t="s">
        <v>477</v>
      </c>
      <c r="H38" s="49">
        <v>62.7</v>
      </c>
      <c r="I38" s="49">
        <v>18172.939999999999</v>
      </c>
      <c r="J38" s="51" t="s">
        <v>540</v>
      </c>
      <c r="K38" s="51" t="s">
        <v>540</v>
      </c>
      <c r="L38" s="28" t="s">
        <v>769</v>
      </c>
      <c r="M38" s="28" t="s">
        <v>335</v>
      </c>
      <c r="N38" s="29" t="s">
        <v>2</v>
      </c>
      <c r="O38" s="28"/>
      <c r="P38" s="28" t="s">
        <v>479</v>
      </c>
      <c r="Q38" s="28" t="s">
        <v>484</v>
      </c>
      <c r="R38" s="28" t="s">
        <v>475</v>
      </c>
      <c r="S38" s="29">
        <v>18.75</v>
      </c>
      <c r="T38" s="29">
        <v>0</v>
      </c>
      <c r="U38" s="32">
        <v>75</v>
      </c>
      <c r="V38" s="28" t="s">
        <v>754</v>
      </c>
      <c r="W38" s="28">
        <v>0</v>
      </c>
      <c r="X38" s="28"/>
      <c r="Y38" s="31"/>
      <c r="Z38" s="28" t="b">
        <v>0</v>
      </c>
      <c r="AA38" s="28" t="s">
        <v>757</v>
      </c>
      <c r="AB38" s="28" t="s">
        <v>758</v>
      </c>
      <c r="AC38" s="28">
        <v>293.23</v>
      </c>
      <c r="AD38" s="35" t="b">
        <v>1</v>
      </c>
      <c r="AE38" s="28" t="s">
        <v>770</v>
      </c>
      <c r="AF38" s="28"/>
      <c r="AG38" s="28"/>
      <c r="AH38" s="28" t="s">
        <v>771</v>
      </c>
      <c r="AI38" s="53" t="b">
        <v>1</v>
      </c>
      <c r="AJ38" s="51" t="s">
        <v>540</v>
      </c>
      <c r="AK38" s="35" t="b">
        <v>1</v>
      </c>
      <c r="AL38" s="46" t="b">
        <v>0</v>
      </c>
      <c r="AM38" s="28">
        <v>0</v>
      </c>
      <c r="AN38" s="28" t="b">
        <v>0</v>
      </c>
      <c r="AO38" s="28"/>
      <c r="AP38" s="28"/>
      <c r="AQ38" s="46" t="b">
        <v>0</v>
      </c>
      <c r="AR38" s="28" t="b">
        <v>0</v>
      </c>
      <c r="AS38" s="28" t="b">
        <v>0</v>
      </c>
      <c r="AT38" s="28"/>
      <c r="AU38" s="41"/>
      <c r="AV38" s="41"/>
      <c r="AW38" s="41" t="s">
        <v>816</v>
      </c>
      <c r="AX38" s="28" t="s">
        <v>761</v>
      </c>
      <c r="AY38" s="28" t="s">
        <v>762</v>
      </c>
      <c r="AZ38" s="28">
        <v>0</v>
      </c>
      <c r="BA38" s="28"/>
      <c r="BB38" s="28">
        <v>16</v>
      </c>
      <c r="BC38" s="28">
        <v>9</v>
      </c>
      <c r="BD38" s="28">
        <v>4</v>
      </c>
      <c r="BE38" s="28" t="b">
        <v>0</v>
      </c>
      <c r="BF38" s="35" t="b">
        <v>1</v>
      </c>
      <c r="BG38" s="28">
        <v>32</v>
      </c>
      <c r="BH38" s="28">
        <v>28</v>
      </c>
      <c r="BI38" s="28">
        <v>123.768</v>
      </c>
      <c r="BJ38" s="28">
        <v>3.0000000000000001E-3</v>
      </c>
      <c r="BK38" s="28">
        <v>0.17599999999999999</v>
      </c>
      <c r="BL38" s="28">
        <v>123.768</v>
      </c>
      <c r="BM38" s="28">
        <v>3.0000000000000001E-3</v>
      </c>
      <c r="BN38" s="28" t="s">
        <v>775</v>
      </c>
      <c r="BO38" s="28" t="s">
        <v>481</v>
      </c>
      <c r="BP38" s="28">
        <v>0</v>
      </c>
      <c r="BQ38" s="28">
        <v>0</v>
      </c>
      <c r="BR38" s="28">
        <v>0</v>
      </c>
      <c r="BS38" s="28">
        <v>0</v>
      </c>
      <c r="BT38" s="28"/>
      <c r="BU38" s="28">
        <v>0</v>
      </c>
      <c r="BV38" s="28" t="b">
        <v>1</v>
      </c>
      <c r="BW38" s="28">
        <v>1.861E-3</v>
      </c>
      <c r="BX38" s="28">
        <v>40</v>
      </c>
      <c r="BY38" s="28">
        <v>4</v>
      </c>
      <c r="BZ38" s="28" t="b">
        <v>0</v>
      </c>
      <c r="CA38" s="28" t="s">
        <v>82</v>
      </c>
      <c r="CB38" s="28"/>
      <c r="CC38" s="28"/>
      <c r="CD38" s="28"/>
      <c r="CE38" s="28" t="s">
        <v>763</v>
      </c>
      <c r="CF38" s="28"/>
      <c r="CG38" s="28" t="b">
        <v>0</v>
      </c>
      <c r="CH38" s="28" t="b">
        <v>0</v>
      </c>
      <c r="CI38" s="28">
        <v>468</v>
      </c>
      <c r="CJ38" s="28">
        <v>1723</v>
      </c>
      <c r="CK38" s="28"/>
      <c r="CL38" s="28"/>
      <c r="CM38" s="51">
        <v>2</v>
      </c>
      <c r="CN38" s="51" t="b">
        <v>0</v>
      </c>
      <c r="CO38" s="34" t="str">
        <f>IFERROR(HYPERLINK("#Main!A"&amp;MATCH(A38,Main!A:A,0),"Open"),HYPERLINK("#Main!A1","Open"))</f>
        <v>Open</v>
      </c>
      <c r="CP38" s="34"/>
    </row>
    <row r="39" spans="1:94" ht="30" customHeight="1" x14ac:dyDescent="0.25">
      <c r="A39" s="30" t="s">
        <v>543</v>
      </c>
      <c r="B39" s="35">
        <v>200</v>
      </c>
      <c r="C39" s="37" t="s">
        <v>768</v>
      </c>
      <c r="D39" s="50"/>
      <c r="E39" s="37" t="s">
        <v>478</v>
      </c>
      <c r="F39" s="37"/>
      <c r="G39" s="35" t="s">
        <v>477</v>
      </c>
      <c r="H39" s="50">
        <v>66.45</v>
      </c>
      <c r="I39" s="50">
        <v>19796.259999999998</v>
      </c>
      <c r="J39" s="52" t="s">
        <v>543</v>
      </c>
      <c r="K39" s="52" t="s">
        <v>543</v>
      </c>
      <c r="L39" s="37" t="s">
        <v>769</v>
      </c>
      <c r="M39" s="37" t="s">
        <v>335</v>
      </c>
      <c r="N39" s="29" t="s">
        <v>2</v>
      </c>
      <c r="O39" s="37"/>
      <c r="P39" s="37" t="s">
        <v>479</v>
      </c>
      <c r="Q39" s="37" t="s">
        <v>484</v>
      </c>
      <c r="R39" s="37" t="s">
        <v>475</v>
      </c>
      <c r="S39" s="29">
        <v>25</v>
      </c>
      <c r="T39" s="29">
        <v>0</v>
      </c>
      <c r="U39" s="35">
        <v>100</v>
      </c>
      <c r="V39" s="37" t="s">
        <v>754</v>
      </c>
      <c r="W39" s="37">
        <v>0</v>
      </c>
      <c r="X39" s="37"/>
      <c r="Y39" s="43"/>
      <c r="Z39" s="37" t="b">
        <v>0</v>
      </c>
      <c r="AA39" s="37" t="s">
        <v>757</v>
      </c>
      <c r="AB39" s="37" t="s">
        <v>758</v>
      </c>
      <c r="AC39" s="37">
        <v>405.93</v>
      </c>
      <c r="AD39" s="35" t="b">
        <v>1</v>
      </c>
      <c r="AE39" s="37" t="s">
        <v>770</v>
      </c>
      <c r="AF39" s="37"/>
      <c r="AG39" s="37"/>
      <c r="AH39" s="37" t="s">
        <v>771</v>
      </c>
      <c r="AI39" s="53" t="b">
        <v>1</v>
      </c>
      <c r="AJ39" s="52" t="s">
        <v>543</v>
      </c>
      <c r="AK39" s="35" t="b">
        <v>1</v>
      </c>
      <c r="AL39" s="46" t="b">
        <v>0</v>
      </c>
      <c r="AM39" s="37">
        <v>0</v>
      </c>
      <c r="AN39" s="37" t="b">
        <v>0</v>
      </c>
      <c r="AO39" s="37"/>
      <c r="AP39" s="37"/>
      <c r="AQ39" s="46" t="b">
        <v>0</v>
      </c>
      <c r="AR39" s="37" t="b">
        <v>0</v>
      </c>
      <c r="AS39" s="37" t="b">
        <v>0</v>
      </c>
      <c r="AT39" s="37"/>
      <c r="AU39" s="44"/>
      <c r="AV39" s="44"/>
      <c r="AW39" s="44" t="s">
        <v>817</v>
      </c>
      <c r="AX39" s="37" t="s">
        <v>761</v>
      </c>
      <c r="AY39" s="37" t="s">
        <v>762</v>
      </c>
      <c r="AZ39" s="37">
        <v>0</v>
      </c>
      <c r="BA39" s="37"/>
      <c r="BB39" s="37">
        <v>42</v>
      </c>
      <c r="BC39" s="37">
        <v>20</v>
      </c>
      <c r="BD39" s="37">
        <v>17</v>
      </c>
      <c r="BE39" s="37" t="b">
        <v>0</v>
      </c>
      <c r="BF39" s="35" t="b">
        <v>1</v>
      </c>
      <c r="BG39" s="37">
        <v>17</v>
      </c>
      <c r="BH39" s="37">
        <v>46</v>
      </c>
      <c r="BI39" s="37">
        <v>24.268999999999998</v>
      </c>
      <c r="BJ39" s="37">
        <v>1E-3</v>
      </c>
      <c r="BK39" s="37">
        <v>0.17699999999999999</v>
      </c>
      <c r="BL39" s="37">
        <v>24.268999999999998</v>
      </c>
      <c r="BM39" s="37">
        <v>1E-3</v>
      </c>
      <c r="BN39" s="37" t="s">
        <v>775</v>
      </c>
      <c r="BO39" s="37" t="s">
        <v>481</v>
      </c>
      <c r="BP39" s="37">
        <v>0</v>
      </c>
      <c r="BQ39" s="37">
        <v>0</v>
      </c>
      <c r="BR39" s="37">
        <v>0</v>
      </c>
      <c r="BS39" s="37">
        <v>0</v>
      </c>
      <c r="BT39" s="37">
        <v>2</v>
      </c>
      <c r="BU39" s="37">
        <v>21</v>
      </c>
      <c r="BV39" s="37" t="b">
        <v>0</v>
      </c>
      <c r="BW39" s="37">
        <v>8.3590000000000001E-3</v>
      </c>
      <c r="BX39" s="37">
        <v>40</v>
      </c>
      <c r="BY39" s="37">
        <v>4</v>
      </c>
      <c r="BZ39" s="37" t="b">
        <v>0</v>
      </c>
      <c r="CA39" s="37" t="s">
        <v>82</v>
      </c>
      <c r="CB39" s="37"/>
      <c r="CC39" s="37"/>
      <c r="CD39" s="37"/>
      <c r="CE39" s="37" t="s">
        <v>776</v>
      </c>
      <c r="CF39" s="37"/>
      <c r="CG39" s="37" t="b">
        <v>0</v>
      </c>
      <c r="CH39" s="37" t="b">
        <v>0</v>
      </c>
      <c r="CI39" s="37">
        <v>324</v>
      </c>
      <c r="CJ39" s="37">
        <v>2306</v>
      </c>
      <c r="CK39" s="37"/>
      <c r="CL39" s="37"/>
      <c r="CM39" s="52">
        <v>2</v>
      </c>
      <c r="CN39" s="52" t="b">
        <v>0</v>
      </c>
      <c r="CO39" t="str">
        <f>IFERROR(HYPERLINK("#Main!A"&amp;MATCH(A39,Main!A:A,0),"Open"),HYPERLINK("#Main!A1","Open"))</f>
        <v>Open</v>
      </c>
    </row>
    <row r="40" spans="1:94" ht="30" customHeight="1" x14ac:dyDescent="0.25">
      <c r="A40" s="33" t="s">
        <v>546</v>
      </c>
      <c r="B40" s="35">
        <v>200</v>
      </c>
      <c r="C40" s="28" t="s">
        <v>768</v>
      </c>
      <c r="D40" s="49"/>
      <c r="E40" s="28" t="s">
        <v>478</v>
      </c>
      <c r="F40" s="28"/>
      <c r="G40" s="35" t="s">
        <v>477</v>
      </c>
      <c r="H40" s="49">
        <v>78.150000000000006</v>
      </c>
      <c r="I40" s="49">
        <v>18158.73</v>
      </c>
      <c r="J40" s="51" t="s">
        <v>546</v>
      </c>
      <c r="K40" s="51" t="s">
        <v>546</v>
      </c>
      <c r="L40" s="28" t="s">
        <v>769</v>
      </c>
      <c r="M40" s="28" t="s">
        <v>335</v>
      </c>
      <c r="N40" s="29" t="s">
        <v>2</v>
      </c>
      <c r="O40" s="28"/>
      <c r="P40" s="28" t="s">
        <v>479</v>
      </c>
      <c r="Q40" s="28" t="s">
        <v>484</v>
      </c>
      <c r="R40" s="28" t="s">
        <v>475</v>
      </c>
      <c r="S40" s="29">
        <v>25</v>
      </c>
      <c r="T40" s="29">
        <v>0</v>
      </c>
      <c r="U40" s="35">
        <v>100</v>
      </c>
      <c r="V40" s="28" t="s">
        <v>754</v>
      </c>
      <c r="W40" s="28">
        <v>0</v>
      </c>
      <c r="X40" s="28"/>
      <c r="Y40" s="31"/>
      <c r="Z40" s="28" t="b">
        <v>0</v>
      </c>
      <c r="AA40" s="28" t="s">
        <v>757</v>
      </c>
      <c r="AB40" s="28" t="s">
        <v>758</v>
      </c>
      <c r="AC40" s="28">
        <v>475.65</v>
      </c>
      <c r="AD40" s="35" t="b">
        <v>1</v>
      </c>
      <c r="AE40" s="28" t="s">
        <v>770</v>
      </c>
      <c r="AF40" s="28"/>
      <c r="AG40" s="28"/>
      <c r="AH40" s="28" t="s">
        <v>771</v>
      </c>
      <c r="AI40" s="53" t="b">
        <v>1</v>
      </c>
      <c r="AJ40" s="51" t="s">
        <v>546</v>
      </c>
      <c r="AK40" s="35" t="b">
        <v>1</v>
      </c>
      <c r="AL40" s="46" t="b">
        <v>0</v>
      </c>
      <c r="AM40" s="28">
        <v>0</v>
      </c>
      <c r="AN40" s="28" t="b">
        <v>0</v>
      </c>
      <c r="AO40" s="28"/>
      <c r="AP40" s="28"/>
      <c r="AQ40" s="46" t="b">
        <v>0</v>
      </c>
      <c r="AR40" s="28" t="b">
        <v>0</v>
      </c>
      <c r="AS40" s="28" t="b">
        <v>0</v>
      </c>
      <c r="AT40" s="28"/>
      <c r="AU40" s="41"/>
      <c r="AV40" s="41"/>
      <c r="AW40" s="41" t="s">
        <v>818</v>
      </c>
      <c r="AX40" s="28" t="s">
        <v>761</v>
      </c>
      <c r="AY40" s="28" t="s">
        <v>762</v>
      </c>
      <c r="AZ40" s="28">
        <v>0</v>
      </c>
      <c r="BA40" s="28"/>
      <c r="BB40" s="28">
        <v>18</v>
      </c>
      <c r="BC40" s="28">
        <v>10</v>
      </c>
      <c r="BD40" s="28">
        <v>3</v>
      </c>
      <c r="BE40" s="28" t="b">
        <v>0</v>
      </c>
      <c r="BF40" s="35" t="b">
        <v>1</v>
      </c>
      <c r="BG40" s="28">
        <v>34</v>
      </c>
      <c r="BH40" s="28">
        <v>29</v>
      </c>
      <c r="BI40" s="28">
        <v>20.7</v>
      </c>
      <c r="BJ40" s="28">
        <v>0</v>
      </c>
      <c r="BK40" s="28">
        <v>0.17100000000000001</v>
      </c>
      <c r="BL40" s="28">
        <v>20.7</v>
      </c>
      <c r="BM40" s="28">
        <v>0</v>
      </c>
      <c r="BN40" s="28" t="s">
        <v>775</v>
      </c>
      <c r="BO40" s="28" t="s">
        <v>481</v>
      </c>
      <c r="BP40" s="28">
        <v>0</v>
      </c>
      <c r="BQ40" s="28">
        <v>0</v>
      </c>
      <c r="BR40" s="28">
        <v>0</v>
      </c>
      <c r="BS40" s="28">
        <v>0</v>
      </c>
      <c r="BT40" s="28"/>
      <c r="BU40" s="28">
        <v>0</v>
      </c>
      <c r="BV40" s="28" t="b">
        <v>1</v>
      </c>
      <c r="BW40" s="28">
        <v>1.861E-3</v>
      </c>
      <c r="BX40" s="28">
        <v>100</v>
      </c>
      <c r="BY40" s="28">
        <v>17</v>
      </c>
      <c r="BZ40" s="28" t="b">
        <v>0</v>
      </c>
      <c r="CA40" s="28" t="s">
        <v>82</v>
      </c>
      <c r="CB40" s="28"/>
      <c r="CC40" s="28"/>
      <c r="CD40" s="28"/>
      <c r="CE40" s="28" t="s">
        <v>763</v>
      </c>
      <c r="CF40" s="28"/>
      <c r="CG40" s="28" t="b">
        <v>0</v>
      </c>
      <c r="CH40" s="28" t="b">
        <v>0</v>
      </c>
      <c r="CI40" s="28">
        <v>345</v>
      </c>
      <c r="CJ40" s="28">
        <v>2380</v>
      </c>
      <c r="CK40" s="28"/>
      <c r="CL40" s="28"/>
      <c r="CM40" s="51">
        <v>2</v>
      </c>
      <c r="CN40" s="51" t="b">
        <v>0</v>
      </c>
      <c r="CO40" s="34" t="str">
        <f>IFERROR(HYPERLINK("#Main!A"&amp;MATCH(A40,Main!A:A,0),"Open"),HYPERLINK("#Main!A1","Open"))</f>
        <v>Open</v>
      </c>
      <c r="CP40" s="34"/>
    </row>
    <row r="41" spans="1:94" ht="30" customHeight="1" x14ac:dyDescent="0.25">
      <c r="A41" s="30" t="s">
        <v>549</v>
      </c>
      <c r="B41" s="35">
        <v>200</v>
      </c>
      <c r="C41" s="37" t="s">
        <v>768</v>
      </c>
      <c r="D41" s="50"/>
      <c r="E41" s="37" t="s">
        <v>478</v>
      </c>
      <c r="F41" s="37"/>
      <c r="G41" s="35" t="s">
        <v>477</v>
      </c>
      <c r="H41" s="50">
        <v>88.96</v>
      </c>
      <c r="I41" s="50">
        <v>18089.5</v>
      </c>
      <c r="J41" s="52" t="s">
        <v>549</v>
      </c>
      <c r="K41" s="52" t="s">
        <v>549</v>
      </c>
      <c r="L41" s="37" t="s">
        <v>769</v>
      </c>
      <c r="M41" s="37" t="s">
        <v>335</v>
      </c>
      <c r="N41" s="29" t="s">
        <v>2</v>
      </c>
      <c r="O41" s="37"/>
      <c r="P41" s="37" t="s">
        <v>479</v>
      </c>
      <c r="Q41" s="37" t="s">
        <v>484</v>
      </c>
      <c r="R41" s="37" t="s">
        <v>475</v>
      </c>
      <c r="S41" s="29">
        <v>18.75</v>
      </c>
      <c r="T41" s="29">
        <v>0</v>
      </c>
      <c r="U41" s="32">
        <v>75</v>
      </c>
      <c r="V41" s="37" t="s">
        <v>754</v>
      </c>
      <c r="W41" s="37">
        <v>0</v>
      </c>
      <c r="X41" s="37"/>
      <c r="Y41" s="43"/>
      <c r="Z41" s="37" t="b">
        <v>0</v>
      </c>
      <c r="AA41" s="37" t="s">
        <v>757</v>
      </c>
      <c r="AB41" s="37" t="s">
        <v>758</v>
      </c>
      <c r="AC41" s="37">
        <v>266.24</v>
      </c>
      <c r="AD41" s="35" t="b">
        <v>1</v>
      </c>
      <c r="AE41" s="37" t="s">
        <v>770</v>
      </c>
      <c r="AF41" s="37"/>
      <c r="AG41" s="37"/>
      <c r="AH41" s="37" t="s">
        <v>771</v>
      </c>
      <c r="AI41" s="53" t="b">
        <v>1</v>
      </c>
      <c r="AJ41" s="52" t="s">
        <v>549</v>
      </c>
      <c r="AK41" s="35" t="b">
        <v>1</v>
      </c>
      <c r="AL41" s="46" t="b">
        <v>0</v>
      </c>
      <c r="AM41" s="37">
        <v>0</v>
      </c>
      <c r="AN41" s="37" t="b">
        <v>0</v>
      </c>
      <c r="AO41" s="37"/>
      <c r="AP41" s="37"/>
      <c r="AQ41" s="46" t="b">
        <v>0</v>
      </c>
      <c r="AR41" s="37" t="b">
        <v>0</v>
      </c>
      <c r="AS41" s="37" t="b">
        <v>0</v>
      </c>
      <c r="AT41" s="37"/>
      <c r="AU41" s="44"/>
      <c r="AV41" s="44"/>
      <c r="AW41" s="44" t="s">
        <v>819</v>
      </c>
      <c r="AX41" s="37" t="s">
        <v>761</v>
      </c>
      <c r="AY41" s="37" t="s">
        <v>762</v>
      </c>
      <c r="AZ41" s="37">
        <v>0</v>
      </c>
      <c r="BA41" s="37"/>
      <c r="BB41" s="37">
        <v>16</v>
      </c>
      <c r="BC41" s="37">
        <v>9</v>
      </c>
      <c r="BD41" s="37">
        <v>4</v>
      </c>
      <c r="BE41" s="37" t="b">
        <v>0</v>
      </c>
      <c r="BF41" s="35" t="b">
        <v>1</v>
      </c>
      <c r="BG41" s="37">
        <v>30</v>
      </c>
      <c r="BH41" s="37">
        <v>39</v>
      </c>
      <c r="BI41" s="37">
        <v>16.286999999999999</v>
      </c>
      <c r="BJ41" s="37">
        <v>0</v>
      </c>
      <c r="BK41" s="37">
        <v>0.34499999999999997</v>
      </c>
      <c r="BL41" s="37">
        <v>16.286999999999999</v>
      </c>
      <c r="BM41" s="37">
        <v>0</v>
      </c>
      <c r="BN41" s="37" t="s">
        <v>775</v>
      </c>
      <c r="BO41" s="37" t="s">
        <v>481</v>
      </c>
      <c r="BP41" s="37">
        <v>0</v>
      </c>
      <c r="BQ41" s="37">
        <v>0</v>
      </c>
      <c r="BR41" s="37">
        <v>0</v>
      </c>
      <c r="BS41" s="37">
        <v>0</v>
      </c>
      <c r="BT41" s="37"/>
      <c r="BU41" s="37">
        <v>0</v>
      </c>
      <c r="BV41" s="37" t="b">
        <v>1</v>
      </c>
      <c r="BW41" s="37">
        <v>1.861E-3</v>
      </c>
      <c r="BX41" s="37">
        <v>40</v>
      </c>
      <c r="BY41" s="37">
        <v>4</v>
      </c>
      <c r="BZ41" s="37" t="b">
        <v>0</v>
      </c>
      <c r="CA41" s="37" t="s">
        <v>82</v>
      </c>
      <c r="CB41" s="37"/>
      <c r="CC41" s="37"/>
      <c r="CD41" s="37"/>
      <c r="CE41" s="37" t="s">
        <v>763</v>
      </c>
      <c r="CF41" s="37"/>
      <c r="CG41" s="37" t="b">
        <v>0</v>
      </c>
      <c r="CH41" s="37" t="b">
        <v>0</v>
      </c>
      <c r="CI41" s="37">
        <v>417</v>
      </c>
      <c r="CJ41" s="37">
        <v>1395</v>
      </c>
      <c r="CK41" s="37"/>
      <c r="CL41" s="37"/>
      <c r="CM41" s="52">
        <v>2</v>
      </c>
      <c r="CN41" s="52" t="b">
        <v>0</v>
      </c>
      <c r="CO41" t="str">
        <f>IFERROR(HYPERLINK("#Main!A"&amp;MATCH(A41,Main!A:A,0),"Open"),HYPERLINK("#Main!A1","Open"))</f>
        <v>Open</v>
      </c>
    </row>
    <row r="42" spans="1:94" ht="30" customHeight="1" x14ac:dyDescent="0.25">
      <c r="A42" s="33" t="s">
        <v>552</v>
      </c>
      <c r="B42" s="35">
        <v>200</v>
      </c>
      <c r="C42" s="28" t="s">
        <v>768</v>
      </c>
      <c r="D42" s="49"/>
      <c r="E42" s="28" t="s">
        <v>478</v>
      </c>
      <c r="F42" s="28"/>
      <c r="G42" s="35" t="s">
        <v>477</v>
      </c>
      <c r="H42" s="49">
        <v>72.150000000000006</v>
      </c>
      <c r="I42" s="49">
        <v>18104.86</v>
      </c>
      <c r="J42" s="51" t="s">
        <v>552</v>
      </c>
      <c r="K42" s="51" t="s">
        <v>552</v>
      </c>
      <c r="L42" s="28" t="s">
        <v>769</v>
      </c>
      <c r="M42" s="28" t="s">
        <v>335</v>
      </c>
      <c r="N42" s="29" t="s">
        <v>2</v>
      </c>
      <c r="O42" s="28"/>
      <c r="P42" s="28" t="s">
        <v>479</v>
      </c>
      <c r="Q42" s="28" t="s">
        <v>484</v>
      </c>
      <c r="R42" s="28" t="s">
        <v>475</v>
      </c>
      <c r="S42" s="29">
        <v>11.25</v>
      </c>
      <c r="T42" s="29">
        <v>0</v>
      </c>
      <c r="U42" s="29">
        <v>45</v>
      </c>
      <c r="V42" s="28" t="s">
        <v>754</v>
      </c>
      <c r="W42" s="28">
        <v>0</v>
      </c>
      <c r="X42" s="28"/>
      <c r="Y42" s="31"/>
      <c r="Z42" s="28" t="b">
        <v>0</v>
      </c>
      <c r="AA42" s="28" t="s">
        <v>757</v>
      </c>
      <c r="AB42" s="28" t="s">
        <v>758</v>
      </c>
      <c r="AC42" s="28">
        <v>284.25</v>
      </c>
      <c r="AD42" s="35" t="b">
        <v>1</v>
      </c>
      <c r="AE42" s="28" t="s">
        <v>770</v>
      </c>
      <c r="AF42" s="28"/>
      <c r="AG42" s="28"/>
      <c r="AH42" s="28" t="s">
        <v>771</v>
      </c>
      <c r="AI42" s="53" t="b">
        <v>1</v>
      </c>
      <c r="AJ42" s="51" t="s">
        <v>552</v>
      </c>
      <c r="AK42" s="35" t="b">
        <v>1</v>
      </c>
      <c r="AL42" s="46" t="b">
        <v>0</v>
      </c>
      <c r="AM42" s="28">
        <v>0</v>
      </c>
      <c r="AN42" s="28" t="b">
        <v>0</v>
      </c>
      <c r="AO42" s="28"/>
      <c r="AP42" s="28"/>
      <c r="AQ42" s="46" t="b">
        <v>0</v>
      </c>
      <c r="AR42" s="28" t="b">
        <v>0</v>
      </c>
      <c r="AS42" s="28" t="b">
        <v>0</v>
      </c>
      <c r="AT42" s="28"/>
      <c r="AU42" s="41"/>
      <c r="AV42" s="41"/>
      <c r="AW42" s="41" t="s">
        <v>820</v>
      </c>
      <c r="AX42" s="28" t="s">
        <v>761</v>
      </c>
      <c r="AY42" s="28" t="s">
        <v>762</v>
      </c>
      <c r="AZ42" s="28">
        <v>0</v>
      </c>
      <c r="BA42" s="28"/>
      <c r="BB42" s="28">
        <v>31</v>
      </c>
      <c r="BC42" s="28">
        <v>14</v>
      </c>
      <c r="BD42" s="28">
        <v>2</v>
      </c>
      <c r="BE42" s="28" t="b">
        <v>0</v>
      </c>
      <c r="BF42" s="35" t="b">
        <v>1</v>
      </c>
      <c r="BG42" s="28">
        <v>51</v>
      </c>
      <c r="BH42" s="28">
        <v>33</v>
      </c>
      <c r="BI42" s="28">
        <v>10.269</v>
      </c>
      <c r="BJ42" s="28">
        <v>0.10100000000000001</v>
      </c>
      <c r="BK42" s="28">
        <v>0.17399999999999999</v>
      </c>
      <c r="BL42" s="28">
        <v>10.269</v>
      </c>
      <c r="BM42" s="28">
        <v>0.10100000000000001</v>
      </c>
      <c r="BN42" s="28" t="s">
        <v>775</v>
      </c>
      <c r="BO42" s="28" t="s">
        <v>481</v>
      </c>
      <c r="BP42" s="28">
        <v>0</v>
      </c>
      <c r="BQ42" s="28">
        <v>0</v>
      </c>
      <c r="BR42" s="28">
        <v>0</v>
      </c>
      <c r="BS42" s="28">
        <v>0</v>
      </c>
      <c r="BT42" s="28"/>
      <c r="BU42" s="28">
        <v>0</v>
      </c>
      <c r="BV42" s="28" t="b">
        <v>1</v>
      </c>
      <c r="BW42" s="28">
        <v>1.861E-3</v>
      </c>
      <c r="BX42" s="28">
        <v>30</v>
      </c>
      <c r="BY42" s="28">
        <v>3</v>
      </c>
      <c r="BZ42" s="28" t="b">
        <v>0</v>
      </c>
      <c r="CA42" s="28" t="s">
        <v>82</v>
      </c>
      <c r="CB42" s="28"/>
      <c r="CC42" s="28"/>
      <c r="CD42" s="28"/>
      <c r="CE42" s="28" t="s">
        <v>763</v>
      </c>
      <c r="CF42" s="28"/>
      <c r="CG42" s="28" t="b">
        <v>0</v>
      </c>
      <c r="CH42" s="28" t="b">
        <v>0</v>
      </c>
      <c r="CI42" s="28">
        <v>352</v>
      </c>
      <c r="CJ42" s="28">
        <v>2213</v>
      </c>
      <c r="CK42" s="28"/>
      <c r="CL42" s="28"/>
      <c r="CM42" s="51">
        <v>1</v>
      </c>
      <c r="CN42" s="51" t="b">
        <v>0</v>
      </c>
      <c r="CO42" s="34" t="str">
        <f>IFERROR(HYPERLINK("#Main!A"&amp;MATCH(A42,Main!A:A,0),"Open"),HYPERLINK("#Main!A1","Open"))</f>
        <v>Open</v>
      </c>
      <c r="CP42" s="34"/>
    </row>
    <row r="43" spans="1:94" ht="30" customHeight="1" x14ac:dyDescent="0.25">
      <c r="A43" s="30" t="s">
        <v>555</v>
      </c>
      <c r="B43" s="35">
        <v>200</v>
      </c>
      <c r="C43" s="37" t="s">
        <v>768</v>
      </c>
      <c r="D43" s="50"/>
      <c r="E43" s="37" t="s">
        <v>478</v>
      </c>
      <c r="F43" s="37"/>
      <c r="G43" s="35" t="s">
        <v>477</v>
      </c>
      <c r="H43" s="50">
        <v>61.54</v>
      </c>
      <c r="I43" s="50">
        <v>18244.62</v>
      </c>
      <c r="J43" s="52" t="s">
        <v>555</v>
      </c>
      <c r="K43" s="52" t="s">
        <v>555</v>
      </c>
      <c r="L43" s="37" t="s">
        <v>769</v>
      </c>
      <c r="M43" s="37" t="s">
        <v>335</v>
      </c>
      <c r="N43" s="29" t="s">
        <v>2</v>
      </c>
      <c r="O43" s="37"/>
      <c r="P43" s="37" t="s">
        <v>479</v>
      </c>
      <c r="Q43" s="37" t="s">
        <v>484</v>
      </c>
      <c r="R43" s="37" t="s">
        <v>475</v>
      </c>
      <c r="S43" s="29">
        <v>6.25</v>
      </c>
      <c r="T43" s="29">
        <v>0</v>
      </c>
      <c r="U43" s="29">
        <v>25</v>
      </c>
      <c r="V43" s="37" t="s">
        <v>754</v>
      </c>
      <c r="W43" s="37">
        <v>0</v>
      </c>
      <c r="X43" s="37"/>
      <c r="Y43" s="43"/>
      <c r="Z43" s="37" t="b">
        <v>0</v>
      </c>
      <c r="AA43" s="37" t="s">
        <v>757</v>
      </c>
      <c r="AB43" s="37" t="s">
        <v>758</v>
      </c>
      <c r="AC43" s="37">
        <v>243.53</v>
      </c>
      <c r="AD43" s="35" t="b">
        <v>1</v>
      </c>
      <c r="AE43" s="37" t="s">
        <v>770</v>
      </c>
      <c r="AF43" s="37"/>
      <c r="AG43" s="37"/>
      <c r="AH43" s="37" t="s">
        <v>771</v>
      </c>
      <c r="AI43" s="53" t="b">
        <v>1</v>
      </c>
      <c r="AJ43" s="52" t="s">
        <v>555</v>
      </c>
      <c r="AK43" s="35" t="b">
        <v>1</v>
      </c>
      <c r="AL43" s="46" t="b">
        <v>0</v>
      </c>
      <c r="AM43" s="37">
        <v>0</v>
      </c>
      <c r="AN43" s="37" t="b">
        <v>0</v>
      </c>
      <c r="AO43" s="37"/>
      <c r="AP43" s="37"/>
      <c r="AQ43" s="46" t="b">
        <v>0</v>
      </c>
      <c r="AR43" s="37" t="b">
        <v>0</v>
      </c>
      <c r="AS43" s="37" t="b">
        <v>0</v>
      </c>
      <c r="AT43" s="37"/>
      <c r="AU43" s="44"/>
      <c r="AV43" s="44"/>
      <c r="AW43" s="44" t="s">
        <v>821</v>
      </c>
      <c r="AX43" s="37" t="s">
        <v>761</v>
      </c>
      <c r="AY43" s="37" t="s">
        <v>762</v>
      </c>
      <c r="AZ43" s="37">
        <v>0</v>
      </c>
      <c r="BA43" s="37"/>
      <c r="BB43" s="37">
        <v>31</v>
      </c>
      <c r="BC43" s="37">
        <v>14</v>
      </c>
      <c r="BD43" s="37">
        <v>2</v>
      </c>
      <c r="BE43" s="37" t="b">
        <v>0</v>
      </c>
      <c r="BF43" s="35" t="b">
        <v>1</v>
      </c>
      <c r="BG43" s="37">
        <v>55</v>
      </c>
      <c r="BH43" s="37">
        <v>33</v>
      </c>
      <c r="BI43" s="37">
        <v>4.9669999999999996</v>
      </c>
      <c r="BJ43" s="37">
        <v>5.6000000000000001E-2</v>
      </c>
      <c r="BK43" s="37">
        <v>0.16800000000000001</v>
      </c>
      <c r="BL43" s="37">
        <v>4.9669999999999996</v>
      </c>
      <c r="BM43" s="37">
        <v>5.6000000000000001E-2</v>
      </c>
      <c r="BN43" s="37" t="s">
        <v>775</v>
      </c>
      <c r="BO43" s="37" t="s">
        <v>481</v>
      </c>
      <c r="BP43" s="37">
        <v>0</v>
      </c>
      <c r="BQ43" s="37">
        <v>0</v>
      </c>
      <c r="BR43" s="37">
        <v>0</v>
      </c>
      <c r="BS43" s="37">
        <v>0</v>
      </c>
      <c r="BT43" s="37"/>
      <c r="BU43" s="37">
        <v>0</v>
      </c>
      <c r="BV43" s="37" t="b">
        <v>1</v>
      </c>
      <c r="BW43" s="37">
        <v>1.861E-3</v>
      </c>
      <c r="BX43" s="37">
        <v>30</v>
      </c>
      <c r="BY43" s="37">
        <v>3</v>
      </c>
      <c r="BZ43" s="37" t="b">
        <v>0</v>
      </c>
      <c r="CA43" s="37" t="s">
        <v>82</v>
      </c>
      <c r="CB43" s="37"/>
      <c r="CC43" s="37"/>
      <c r="CD43" s="37"/>
      <c r="CE43" s="37" t="s">
        <v>763</v>
      </c>
      <c r="CF43" s="37"/>
      <c r="CG43" s="37" t="b">
        <v>0</v>
      </c>
      <c r="CH43" s="37" t="b">
        <v>0</v>
      </c>
      <c r="CI43" s="37">
        <v>432</v>
      </c>
      <c r="CJ43" s="37">
        <v>0</v>
      </c>
      <c r="CK43" s="37"/>
      <c r="CL43" s="37"/>
      <c r="CM43" s="52">
        <v>1</v>
      </c>
      <c r="CN43" s="52" t="b">
        <v>0</v>
      </c>
      <c r="CO43" t="str">
        <f>IFERROR(HYPERLINK("#Main!A"&amp;MATCH(A43,Main!A:A,0),"Open"),HYPERLINK("#Main!A1","Open"))</f>
        <v>Open</v>
      </c>
    </row>
    <row r="44" spans="1:94" ht="30" customHeight="1" x14ac:dyDescent="0.25">
      <c r="A44" s="33" t="s">
        <v>557</v>
      </c>
      <c r="B44" s="35">
        <v>200</v>
      </c>
      <c r="C44" s="28" t="s">
        <v>768</v>
      </c>
      <c r="D44" s="49"/>
      <c r="E44" s="28" t="s">
        <v>478</v>
      </c>
      <c r="F44" s="28"/>
      <c r="G44" s="35" t="s">
        <v>477</v>
      </c>
      <c r="H44" s="49">
        <v>73.930000000000007</v>
      </c>
      <c r="I44" s="49">
        <v>18120.330000000002</v>
      </c>
      <c r="J44" s="51" t="s">
        <v>557</v>
      </c>
      <c r="K44" s="51" t="s">
        <v>557</v>
      </c>
      <c r="L44" s="28" t="s">
        <v>769</v>
      </c>
      <c r="M44" s="28" t="s">
        <v>335</v>
      </c>
      <c r="N44" s="29" t="s">
        <v>2</v>
      </c>
      <c r="O44" s="28"/>
      <c r="P44" s="28" t="s">
        <v>479</v>
      </c>
      <c r="Q44" s="28" t="s">
        <v>484</v>
      </c>
      <c r="R44" s="28" t="s">
        <v>475</v>
      </c>
      <c r="S44" s="29">
        <v>11.25</v>
      </c>
      <c r="T44" s="29">
        <v>0</v>
      </c>
      <c r="U44" s="29">
        <v>45</v>
      </c>
      <c r="V44" s="28" t="s">
        <v>754</v>
      </c>
      <c r="W44" s="28">
        <v>0</v>
      </c>
      <c r="X44" s="28"/>
      <c r="Y44" s="31"/>
      <c r="Z44" s="28" t="b">
        <v>0</v>
      </c>
      <c r="AA44" s="28" t="s">
        <v>757</v>
      </c>
      <c r="AB44" s="28" t="s">
        <v>758</v>
      </c>
      <c r="AC44" s="28">
        <v>205.72</v>
      </c>
      <c r="AD44" s="35" t="b">
        <v>1</v>
      </c>
      <c r="AE44" s="28" t="s">
        <v>770</v>
      </c>
      <c r="AF44" s="28"/>
      <c r="AG44" s="28"/>
      <c r="AH44" s="28" t="s">
        <v>771</v>
      </c>
      <c r="AI44" s="53" t="b">
        <v>1</v>
      </c>
      <c r="AJ44" s="51" t="s">
        <v>557</v>
      </c>
      <c r="AK44" s="35" t="b">
        <v>1</v>
      </c>
      <c r="AL44" s="46" t="b">
        <v>0</v>
      </c>
      <c r="AM44" s="28">
        <v>0</v>
      </c>
      <c r="AN44" s="28" t="b">
        <v>0</v>
      </c>
      <c r="AO44" s="28"/>
      <c r="AP44" s="28"/>
      <c r="AQ44" s="46" t="b">
        <v>0</v>
      </c>
      <c r="AR44" s="28" t="b">
        <v>0</v>
      </c>
      <c r="AS44" s="28" t="b">
        <v>0</v>
      </c>
      <c r="AT44" s="28"/>
      <c r="AU44" s="41"/>
      <c r="AV44" s="41"/>
      <c r="AW44" s="41" t="s">
        <v>822</v>
      </c>
      <c r="AX44" s="28" t="s">
        <v>761</v>
      </c>
      <c r="AY44" s="28" t="s">
        <v>762</v>
      </c>
      <c r="AZ44" s="28">
        <v>0</v>
      </c>
      <c r="BA44" s="28"/>
      <c r="BB44" s="28">
        <v>2</v>
      </c>
      <c r="BC44" s="28">
        <v>1</v>
      </c>
      <c r="BD44" s="28">
        <v>0</v>
      </c>
      <c r="BE44" s="28" t="b">
        <v>0</v>
      </c>
      <c r="BF44" s="35" t="b">
        <v>1</v>
      </c>
      <c r="BG44" s="28">
        <v>60</v>
      </c>
      <c r="BH44" s="28">
        <v>41</v>
      </c>
      <c r="BI44" s="28">
        <v>8.9659999999999993</v>
      </c>
      <c r="BJ44" s="28">
        <v>0</v>
      </c>
      <c r="BK44" s="28">
        <v>8.9999999999999993E-3</v>
      </c>
      <c r="BL44" s="28">
        <v>8.9659999999999993</v>
      </c>
      <c r="BM44" s="28">
        <v>0</v>
      </c>
      <c r="BN44" s="28" t="s">
        <v>775</v>
      </c>
      <c r="BO44" s="28" t="s">
        <v>481</v>
      </c>
      <c r="BP44" s="28">
        <v>0</v>
      </c>
      <c r="BQ44" s="28">
        <v>0</v>
      </c>
      <c r="BR44" s="28">
        <v>0</v>
      </c>
      <c r="BS44" s="28">
        <v>0</v>
      </c>
      <c r="BT44" s="28"/>
      <c r="BU44" s="28">
        <v>0</v>
      </c>
      <c r="BV44" s="28" t="b">
        <v>1</v>
      </c>
      <c r="BW44" s="28">
        <v>1.861E-3</v>
      </c>
      <c r="BX44" s="28">
        <v>30</v>
      </c>
      <c r="BY44" s="28">
        <v>3</v>
      </c>
      <c r="BZ44" s="28" t="b">
        <v>1</v>
      </c>
      <c r="CA44" s="28" t="s">
        <v>82</v>
      </c>
      <c r="CB44" s="28"/>
      <c r="CC44" s="28"/>
      <c r="CD44" s="28"/>
      <c r="CE44" s="28" t="s">
        <v>763</v>
      </c>
      <c r="CF44" s="28"/>
      <c r="CG44" s="28" t="b">
        <v>0</v>
      </c>
      <c r="CH44" s="28" t="b">
        <v>0</v>
      </c>
      <c r="CI44" s="28">
        <v>439</v>
      </c>
      <c r="CJ44" s="28">
        <v>725</v>
      </c>
      <c r="CK44" s="28"/>
      <c r="CL44" s="28"/>
      <c r="CM44" s="51">
        <v>1</v>
      </c>
      <c r="CN44" s="51" t="b">
        <v>0</v>
      </c>
      <c r="CO44" s="34" t="str">
        <f>IFERROR(HYPERLINK("#Main!A"&amp;MATCH(A44,Main!A:A,0),"Open"),HYPERLINK("#Main!A1","Open"))</f>
        <v>Open</v>
      </c>
      <c r="CP44" s="34"/>
    </row>
    <row r="45" spans="1:94" ht="30" customHeight="1" x14ac:dyDescent="0.25">
      <c r="A45" s="30" t="s">
        <v>560</v>
      </c>
      <c r="B45" s="35">
        <v>200</v>
      </c>
      <c r="C45" s="37" t="s">
        <v>768</v>
      </c>
      <c r="D45" s="50"/>
      <c r="E45" s="37" t="s">
        <v>478</v>
      </c>
      <c r="F45" s="37"/>
      <c r="G45" s="35" t="s">
        <v>477</v>
      </c>
      <c r="H45" s="50">
        <v>75.47</v>
      </c>
      <c r="I45" s="50">
        <v>18016.13</v>
      </c>
      <c r="J45" s="52" t="s">
        <v>560</v>
      </c>
      <c r="K45" s="52" t="s">
        <v>560</v>
      </c>
      <c r="L45" s="37" t="s">
        <v>769</v>
      </c>
      <c r="M45" s="37" t="s">
        <v>335</v>
      </c>
      <c r="N45" s="29" t="s">
        <v>2</v>
      </c>
      <c r="O45" s="37"/>
      <c r="P45" s="37" t="s">
        <v>479</v>
      </c>
      <c r="Q45" s="37" t="s">
        <v>484</v>
      </c>
      <c r="R45" s="37" t="s">
        <v>475</v>
      </c>
      <c r="S45" s="29">
        <v>17.5</v>
      </c>
      <c r="T45" s="29">
        <v>0</v>
      </c>
      <c r="U45" s="32">
        <v>70</v>
      </c>
      <c r="V45" s="37" t="s">
        <v>754</v>
      </c>
      <c r="W45" s="37">
        <v>0</v>
      </c>
      <c r="X45" s="37"/>
      <c r="Y45" s="43"/>
      <c r="Z45" s="37" t="b">
        <v>0</v>
      </c>
      <c r="AA45" s="37" t="s">
        <v>757</v>
      </c>
      <c r="AB45" s="37" t="s">
        <v>758</v>
      </c>
      <c r="AC45" s="37">
        <v>342.34</v>
      </c>
      <c r="AD45" s="35" t="b">
        <v>1</v>
      </c>
      <c r="AE45" s="37" t="s">
        <v>770</v>
      </c>
      <c r="AF45" s="37"/>
      <c r="AG45" s="37"/>
      <c r="AH45" s="37" t="s">
        <v>771</v>
      </c>
      <c r="AI45" s="53" t="b">
        <v>1</v>
      </c>
      <c r="AJ45" s="52" t="s">
        <v>560</v>
      </c>
      <c r="AK45" s="35" t="b">
        <v>1</v>
      </c>
      <c r="AL45" s="46" t="b">
        <v>0</v>
      </c>
      <c r="AM45" s="37">
        <v>0</v>
      </c>
      <c r="AN45" s="37" t="b">
        <v>0</v>
      </c>
      <c r="AO45" s="37"/>
      <c r="AP45" s="37"/>
      <c r="AQ45" s="46" t="b">
        <v>0</v>
      </c>
      <c r="AR45" s="37" t="b">
        <v>0</v>
      </c>
      <c r="AS45" s="37" t="b">
        <v>0</v>
      </c>
      <c r="AT45" s="37"/>
      <c r="AU45" s="44"/>
      <c r="AV45" s="44"/>
      <c r="AW45" s="44" t="s">
        <v>823</v>
      </c>
      <c r="AX45" s="37" t="s">
        <v>761</v>
      </c>
      <c r="AY45" s="37" t="s">
        <v>762</v>
      </c>
      <c r="AZ45" s="37">
        <v>0</v>
      </c>
      <c r="BA45" s="37"/>
      <c r="BB45" s="37">
        <v>31</v>
      </c>
      <c r="BC45" s="37">
        <v>14</v>
      </c>
      <c r="BD45" s="37">
        <v>2</v>
      </c>
      <c r="BE45" s="37" t="b">
        <v>0</v>
      </c>
      <c r="BF45" s="35" t="b">
        <v>1</v>
      </c>
      <c r="BG45" s="37">
        <v>46</v>
      </c>
      <c r="BH45" s="37">
        <v>28</v>
      </c>
      <c r="BI45" s="37">
        <v>10.125999999999999</v>
      </c>
      <c r="BJ45" s="37">
        <v>6.2E-2</v>
      </c>
      <c r="BK45" s="37">
        <v>0.17699999999999999</v>
      </c>
      <c r="BL45" s="37">
        <v>10.125999999999999</v>
      </c>
      <c r="BM45" s="37">
        <v>6.2E-2</v>
      </c>
      <c r="BN45" s="37" t="s">
        <v>775</v>
      </c>
      <c r="BO45" s="37" t="s">
        <v>481</v>
      </c>
      <c r="BP45" s="37">
        <v>0</v>
      </c>
      <c r="BQ45" s="37">
        <v>0</v>
      </c>
      <c r="BR45" s="37">
        <v>0</v>
      </c>
      <c r="BS45" s="37">
        <v>0</v>
      </c>
      <c r="BT45" s="37"/>
      <c r="BU45" s="37">
        <v>0</v>
      </c>
      <c r="BV45" s="37" t="b">
        <v>1</v>
      </c>
      <c r="BW45" s="37">
        <v>1.861E-3</v>
      </c>
      <c r="BX45" s="37">
        <v>70</v>
      </c>
      <c r="BY45" s="37">
        <v>5</v>
      </c>
      <c r="BZ45" s="37" t="b">
        <v>0</v>
      </c>
      <c r="CA45" s="37" t="s">
        <v>82</v>
      </c>
      <c r="CB45" s="37"/>
      <c r="CC45" s="37"/>
      <c r="CD45" s="37"/>
      <c r="CE45" s="37" t="s">
        <v>763</v>
      </c>
      <c r="CF45" s="37"/>
      <c r="CG45" s="37" t="b">
        <v>0</v>
      </c>
      <c r="CH45" s="37" t="b">
        <v>0</v>
      </c>
      <c r="CI45" s="37">
        <v>417</v>
      </c>
      <c r="CJ45" s="37">
        <v>2207</v>
      </c>
      <c r="CK45" s="37"/>
      <c r="CL45" s="37"/>
      <c r="CM45" s="52">
        <v>1</v>
      </c>
      <c r="CN45" s="52" t="b">
        <v>0</v>
      </c>
      <c r="CO45" t="str">
        <f>IFERROR(HYPERLINK("#Main!A"&amp;MATCH(A45,Main!A:A,0),"Open"),HYPERLINK("#Main!A1","Open"))</f>
        <v>Open</v>
      </c>
    </row>
    <row r="46" spans="1:94" ht="30" customHeight="1" x14ac:dyDescent="0.25">
      <c r="A46" s="33" t="s">
        <v>563</v>
      </c>
      <c r="B46" s="35">
        <v>200</v>
      </c>
      <c r="C46" s="28" t="s">
        <v>768</v>
      </c>
      <c r="D46" s="49"/>
      <c r="E46" s="28" t="s">
        <v>478</v>
      </c>
      <c r="F46" s="28"/>
      <c r="G46" s="35" t="s">
        <v>477</v>
      </c>
      <c r="H46" s="49">
        <v>74.790000000000006</v>
      </c>
      <c r="I46" s="49">
        <v>18039.46</v>
      </c>
      <c r="J46" s="51" t="s">
        <v>563</v>
      </c>
      <c r="K46" s="51" t="s">
        <v>563</v>
      </c>
      <c r="L46" s="28" t="s">
        <v>769</v>
      </c>
      <c r="M46" s="28" t="s">
        <v>335</v>
      </c>
      <c r="N46" s="29" t="s">
        <v>2</v>
      </c>
      <c r="O46" s="28"/>
      <c r="P46" s="28" t="s">
        <v>479</v>
      </c>
      <c r="Q46" s="28" t="s">
        <v>484</v>
      </c>
      <c r="R46" s="28" t="s">
        <v>475</v>
      </c>
      <c r="S46" s="29">
        <v>25</v>
      </c>
      <c r="T46" s="29">
        <v>0</v>
      </c>
      <c r="U46" s="35">
        <v>100</v>
      </c>
      <c r="V46" s="28" t="s">
        <v>754</v>
      </c>
      <c r="W46" s="28">
        <v>0</v>
      </c>
      <c r="X46" s="28"/>
      <c r="Y46" s="31"/>
      <c r="Z46" s="28" t="b">
        <v>0</v>
      </c>
      <c r="AA46" s="28" t="s">
        <v>757</v>
      </c>
      <c r="AB46" s="28" t="s">
        <v>758</v>
      </c>
      <c r="AC46" s="28">
        <v>366</v>
      </c>
      <c r="AD46" s="35" t="b">
        <v>1</v>
      </c>
      <c r="AE46" s="28" t="s">
        <v>770</v>
      </c>
      <c r="AF46" s="28"/>
      <c r="AG46" s="28"/>
      <c r="AH46" s="28" t="s">
        <v>771</v>
      </c>
      <c r="AI46" s="53" t="b">
        <v>1</v>
      </c>
      <c r="AJ46" s="51" t="s">
        <v>563</v>
      </c>
      <c r="AK46" s="35" t="b">
        <v>1</v>
      </c>
      <c r="AL46" s="46" t="b">
        <v>0</v>
      </c>
      <c r="AM46" s="28">
        <v>0</v>
      </c>
      <c r="AN46" s="28" t="b">
        <v>0</v>
      </c>
      <c r="AO46" s="28"/>
      <c r="AP46" s="28"/>
      <c r="AQ46" s="46" t="b">
        <v>0</v>
      </c>
      <c r="AR46" s="28" t="b">
        <v>0</v>
      </c>
      <c r="AS46" s="28" t="b">
        <v>0</v>
      </c>
      <c r="AT46" s="28"/>
      <c r="AU46" s="41"/>
      <c r="AV46" s="41"/>
      <c r="AW46" s="41" t="s">
        <v>824</v>
      </c>
      <c r="AX46" s="28" t="s">
        <v>761</v>
      </c>
      <c r="AY46" s="28" t="s">
        <v>762</v>
      </c>
      <c r="AZ46" s="28">
        <v>0</v>
      </c>
      <c r="BA46" s="28"/>
      <c r="BB46" s="28">
        <v>16</v>
      </c>
      <c r="BC46" s="28">
        <v>9</v>
      </c>
      <c r="BD46" s="28">
        <v>21</v>
      </c>
      <c r="BE46" s="28" t="b">
        <v>0</v>
      </c>
      <c r="BF46" s="35" t="b">
        <v>1</v>
      </c>
      <c r="BG46" s="28">
        <v>24</v>
      </c>
      <c r="BH46" s="28">
        <v>18</v>
      </c>
      <c r="BI46" s="28">
        <v>10.48</v>
      </c>
      <c r="BJ46" s="28">
        <v>0.56899999999999995</v>
      </c>
      <c r="BK46" s="28">
        <v>0.20300000000000001</v>
      </c>
      <c r="BL46" s="28">
        <v>10.48</v>
      </c>
      <c r="BM46" s="28">
        <v>0.56899999999999995</v>
      </c>
      <c r="BN46" s="28" t="s">
        <v>775</v>
      </c>
      <c r="BO46" s="28" t="s">
        <v>481</v>
      </c>
      <c r="BP46" s="28">
        <v>0</v>
      </c>
      <c r="BQ46" s="28">
        <v>0</v>
      </c>
      <c r="BR46" s="28">
        <v>0</v>
      </c>
      <c r="BS46" s="28">
        <v>0</v>
      </c>
      <c r="BT46" s="28"/>
      <c r="BU46" s="28">
        <v>0</v>
      </c>
      <c r="BV46" s="28" t="b">
        <v>1</v>
      </c>
      <c r="BW46" s="28">
        <v>1.861E-3</v>
      </c>
      <c r="BX46" s="28">
        <v>100</v>
      </c>
      <c r="BY46" s="28">
        <v>16</v>
      </c>
      <c r="BZ46" s="28" t="b">
        <v>1</v>
      </c>
      <c r="CA46" s="28" t="s">
        <v>82</v>
      </c>
      <c r="CB46" s="28"/>
      <c r="CC46" s="28"/>
      <c r="CD46" s="28"/>
      <c r="CE46" s="28" t="s">
        <v>763</v>
      </c>
      <c r="CF46" s="28"/>
      <c r="CG46" s="28" t="b">
        <v>0</v>
      </c>
      <c r="CH46" s="28" t="b">
        <v>0</v>
      </c>
      <c r="CI46" s="28">
        <v>424</v>
      </c>
      <c r="CJ46" s="28">
        <v>6677</v>
      </c>
      <c r="CK46" s="28"/>
      <c r="CL46" s="28"/>
      <c r="CM46" s="51">
        <v>1</v>
      </c>
      <c r="CN46" s="51" t="b">
        <v>0</v>
      </c>
      <c r="CO46" s="34" t="str">
        <f>IFERROR(HYPERLINK("#Main!A"&amp;MATCH(A46,Main!A:A,0),"Open"),HYPERLINK("#Main!A1","Open"))</f>
        <v>Open</v>
      </c>
      <c r="CP46" s="34"/>
    </row>
    <row r="47" spans="1:94" ht="30" customHeight="1" x14ac:dyDescent="0.25">
      <c r="A47" s="30" t="s">
        <v>566</v>
      </c>
      <c r="B47" s="35">
        <v>200</v>
      </c>
      <c r="C47" s="37" t="s">
        <v>768</v>
      </c>
      <c r="D47" s="50"/>
      <c r="E47" s="37" t="s">
        <v>478</v>
      </c>
      <c r="F47" s="37"/>
      <c r="G47" s="35" t="s">
        <v>477</v>
      </c>
      <c r="H47" s="50">
        <v>71.56</v>
      </c>
      <c r="I47" s="50">
        <v>18161.75</v>
      </c>
      <c r="J47" s="52" t="s">
        <v>566</v>
      </c>
      <c r="K47" s="52" t="s">
        <v>566</v>
      </c>
      <c r="L47" s="37" t="s">
        <v>769</v>
      </c>
      <c r="M47" s="37" t="s">
        <v>335</v>
      </c>
      <c r="N47" s="29" t="s">
        <v>2</v>
      </c>
      <c r="O47" s="37"/>
      <c r="P47" s="37" t="s">
        <v>479</v>
      </c>
      <c r="Q47" s="37" t="s">
        <v>484</v>
      </c>
      <c r="R47" s="37" t="s">
        <v>475</v>
      </c>
      <c r="S47" s="29">
        <v>25</v>
      </c>
      <c r="T47" s="29">
        <v>0</v>
      </c>
      <c r="U47" s="35">
        <v>100</v>
      </c>
      <c r="V47" s="37" t="s">
        <v>754</v>
      </c>
      <c r="W47" s="37">
        <v>0</v>
      </c>
      <c r="X47" s="37"/>
      <c r="Y47" s="43"/>
      <c r="Z47" s="37" t="b">
        <v>0</v>
      </c>
      <c r="AA47" s="37" t="s">
        <v>757</v>
      </c>
      <c r="AB47" s="37" t="s">
        <v>758</v>
      </c>
      <c r="AC47" s="37">
        <v>484.48</v>
      </c>
      <c r="AD47" s="35" t="b">
        <v>1</v>
      </c>
      <c r="AE47" s="37" t="s">
        <v>770</v>
      </c>
      <c r="AF47" s="37"/>
      <c r="AG47" s="37"/>
      <c r="AH47" s="37" t="s">
        <v>771</v>
      </c>
      <c r="AI47" s="53" t="b">
        <v>1</v>
      </c>
      <c r="AJ47" s="52" t="s">
        <v>566</v>
      </c>
      <c r="AK47" s="35" t="b">
        <v>1</v>
      </c>
      <c r="AL47" s="46" t="b">
        <v>0</v>
      </c>
      <c r="AM47" s="37">
        <v>0</v>
      </c>
      <c r="AN47" s="37" t="b">
        <v>0</v>
      </c>
      <c r="AO47" s="37"/>
      <c r="AP47" s="37"/>
      <c r="AQ47" s="46" t="b">
        <v>0</v>
      </c>
      <c r="AR47" s="37" t="b">
        <v>0</v>
      </c>
      <c r="AS47" s="37" t="b">
        <v>0</v>
      </c>
      <c r="AT47" s="37"/>
      <c r="AU47" s="44"/>
      <c r="AV47" s="44"/>
      <c r="AW47" s="44" t="s">
        <v>825</v>
      </c>
      <c r="AX47" s="37" t="s">
        <v>761</v>
      </c>
      <c r="AY47" s="37" t="s">
        <v>762</v>
      </c>
      <c r="AZ47" s="37">
        <v>0</v>
      </c>
      <c r="BA47" s="37"/>
      <c r="BB47" s="37">
        <v>43</v>
      </c>
      <c r="BC47" s="37">
        <v>21</v>
      </c>
      <c r="BD47" s="37">
        <v>24</v>
      </c>
      <c r="BE47" s="37" t="b">
        <v>0</v>
      </c>
      <c r="BF47" s="35" t="b">
        <v>1</v>
      </c>
      <c r="BG47" s="37">
        <v>32</v>
      </c>
      <c r="BH47" s="37">
        <v>27</v>
      </c>
      <c r="BI47" s="37">
        <v>21.818999999999999</v>
      </c>
      <c r="BJ47" s="37">
        <v>0</v>
      </c>
      <c r="BK47" s="37">
        <v>0.17299999999999999</v>
      </c>
      <c r="BL47" s="37">
        <v>21.818999999999999</v>
      </c>
      <c r="BM47" s="37">
        <v>0</v>
      </c>
      <c r="BN47" s="37" t="s">
        <v>775</v>
      </c>
      <c r="BO47" s="37" t="s">
        <v>481</v>
      </c>
      <c r="BP47" s="37">
        <v>0</v>
      </c>
      <c r="BQ47" s="37">
        <v>0</v>
      </c>
      <c r="BR47" s="37">
        <v>0</v>
      </c>
      <c r="BS47" s="37">
        <v>0</v>
      </c>
      <c r="BT47" s="37">
        <v>2</v>
      </c>
      <c r="BU47" s="37">
        <v>21</v>
      </c>
      <c r="BV47" s="37" t="b">
        <v>0</v>
      </c>
      <c r="BW47" s="37">
        <v>8.3590000000000001E-3</v>
      </c>
      <c r="BX47" s="37">
        <v>100</v>
      </c>
      <c r="BY47" s="37">
        <v>16</v>
      </c>
      <c r="BZ47" s="37" t="b">
        <v>0</v>
      </c>
      <c r="CA47" s="37" t="s">
        <v>82</v>
      </c>
      <c r="CB47" s="37"/>
      <c r="CC47" s="37"/>
      <c r="CD47" s="37"/>
      <c r="CE47" s="37" t="s">
        <v>776</v>
      </c>
      <c r="CF47" s="37"/>
      <c r="CG47" s="37" t="b">
        <v>0</v>
      </c>
      <c r="CH47" s="37" t="b">
        <v>0</v>
      </c>
      <c r="CI47" s="37">
        <v>338</v>
      </c>
      <c r="CJ47" s="37">
        <v>998</v>
      </c>
      <c r="CK47" s="37"/>
      <c r="CL47" s="37"/>
      <c r="CM47" s="52">
        <v>1</v>
      </c>
      <c r="CN47" s="52" t="b">
        <v>0</v>
      </c>
      <c r="CO47" t="str">
        <f>IFERROR(HYPERLINK("#Main!A"&amp;MATCH(A47,Main!A:A,0),"Open"),HYPERLINK("#Main!A1","Open"))</f>
        <v>Open</v>
      </c>
    </row>
    <row r="48" spans="1:94" ht="30" customHeight="1" x14ac:dyDescent="0.25">
      <c r="A48" s="33" t="s">
        <v>570</v>
      </c>
      <c r="B48" s="35">
        <v>200</v>
      </c>
      <c r="C48" s="28" t="s">
        <v>768</v>
      </c>
      <c r="D48" s="49"/>
      <c r="E48" s="28" t="s">
        <v>478</v>
      </c>
      <c r="F48" s="28"/>
      <c r="G48" s="35" t="s">
        <v>477</v>
      </c>
      <c r="H48" s="49">
        <v>74.83</v>
      </c>
      <c r="I48" s="49">
        <v>18028.53</v>
      </c>
      <c r="J48" s="51" t="s">
        <v>570</v>
      </c>
      <c r="K48" s="51" t="s">
        <v>570</v>
      </c>
      <c r="L48" s="28" t="s">
        <v>769</v>
      </c>
      <c r="M48" s="28" t="s">
        <v>335</v>
      </c>
      <c r="N48" s="29" t="s">
        <v>2</v>
      </c>
      <c r="O48" s="28"/>
      <c r="P48" s="28" t="s">
        <v>479</v>
      </c>
      <c r="Q48" s="28" t="s">
        <v>484</v>
      </c>
      <c r="R48" s="28" t="s">
        <v>475</v>
      </c>
      <c r="S48" s="29">
        <v>25</v>
      </c>
      <c r="T48" s="29">
        <v>0</v>
      </c>
      <c r="U48" s="35">
        <v>100</v>
      </c>
      <c r="V48" s="28" t="s">
        <v>754</v>
      </c>
      <c r="W48" s="28">
        <v>0</v>
      </c>
      <c r="X48" s="28"/>
      <c r="Y48" s="31"/>
      <c r="Z48" s="28" t="b">
        <v>0</v>
      </c>
      <c r="AA48" s="28" t="s">
        <v>757</v>
      </c>
      <c r="AB48" s="28" t="s">
        <v>758</v>
      </c>
      <c r="AC48" s="28">
        <v>367.27</v>
      </c>
      <c r="AD48" s="35" t="b">
        <v>1</v>
      </c>
      <c r="AE48" s="28" t="s">
        <v>770</v>
      </c>
      <c r="AF48" s="28"/>
      <c r="AG48" s="28"/>
      <c r="AH48" s="28" t="s">
        <v>771</v>
      </c>
      <c r="AI48" s="53" t="b">
        <v>1</v>
      </c>
      <c r="AJ48" s="51" t="s">
        <v>570</v>
      </c>
      <c r="AK48" s="35" t="b">
        <v>1</v>
      </c>
      <c r="AL48" s="46" t="b">
        <v>0</v>
      </c>
      <c r="AM48" s="28">
        <v>0</v>
      </c>
      <c r="AN48" s="28" t="b">
        <v>0</v>
      </c>
      <c r="AO48" s="28"/>
      <c r="AP48" s="28"/>
      <c r="AQ48" s="46" t="b">
        <v>0</v>
      </c>
      <c r="AR48" s="28" t="b">
        <v>0</v>
      </c>
      <c r="AS48" s="28" t="b">
        <v>0</v>
      </c>
      <c r="AT48" s="28"/>
      <c r="AU48" s="41"/>
      <c r="AV48" s="41"/>
      <c r="AW48" s="41" t="s">
        <v>826</v>
      </c>
      <c r="AX48" s="28" t="s">
        <v>761</v>
      </c>
      <c r="AY48" s="28" t="s">
        <v>762</v>
      </c>
      <c r="AZ48" s="28">
        <v>0</v>
      </c>
      <c r="BA48" s="28"/>
      <c r="BB48" s="28">
        <v>16</v>
      </c>
      <c r="BC48" s="28">
        <v>9</v>
      </c>
      <c r="BD48" s="28">
        <v>21</v>
      </c>
      <c r="BE48" s="28" t="b">
        <v>0</v>
      </c>
      <c r="BF48" s="35" t="b">
        <v>1</v>
      </c>
      <c r="BG48" s="28">
        <v>27</v>
      </c>
      <c r="BH48" s="28">
        <v>12</v>
      </c>
      <c r="BI48" s="28">
        <v>8.9429999999999996</v>
      </c>
      <c r="BJ48" s="28">
        <v>0.54</v>
      </c>
      <c r="BK48" s="28">
        <v>0.02</v>
      </c>
      <c r="BL48" s="28">
        <v>8.9429999999999996</v>
      </c>
      <c r="BM48" s="28">
        <v>0.54</v>
      </c>
      <c r="BN48" s="28" t="s">
        <v>775</v>
      </c>
      <c r="BO48" s="28" t="s">
        <v>481</v>
      </c>
      <c r="BP48" s="28">
        <v>0</v>
      </c>
      <c r="BQ48" s="28">
        <v>0</v>
      </c>
      <c r="BR48" s="28">
        <v>0</v>
      </c>
      <c r="BS48" s="28">
        <v>0</v>
      </c>
      <c r="BT48" s="28">
        <v>3</v>
      </c>
      <c r="BU48" s="28">
        <v>1</v>
      </c>
      <c r="BV48" s="28" t="b">
        <v>0</v>
      </c>
      <c r="BW48" s="28">
        <v>2.3259999999999999E-3</v>
      </c>
      <c r="BX48" s="28">
        <v>100</v>
      </c>
      <c r="BY48" s="28">
        <v>16</v>
      </c>
      <c r="BZ48" s="28" t="b">
        <v>1</v>
      </c>
      <c r="CA48" s="28" t="s">
        <v>82</v>
      </c>
      <c r="CB48" s="28"/>
      <c r="CC48" s="28"/>
      <c r="CD48" s="28"/>
      <c r="CE48" s="28" t="s">
        <v>781</v>
      </c>
      <c r="CF48" s="28"/>
      <c r="CG48" s="28" t="b">
        <v>0</v>
      </c>
      <c r="CH48" s="28" t="b">
        <v>0</v>
      </c>
      <c r="CI48" s="28">
        <v>410</v>
      </c>
      <c r="CJ48" s="28">
        <v>2331</v>
      </c>
      <c r="CK48" s="28"/>
      <c r="CL48" s="28"/>
      <c r="CM48" s="51">
        <v>1</v>
      </c>
      <c r="CN48" s="51" t="b">
        <v>0</v>
      </c>
      <c r="CO48" s="34" t="str">
        <f>IFERROR(HYPERLINK("#Main!A"&amp;MATCH(A48,Main!A:A,0),"Open"),HYPERLINK("#Main!A1","Open"))</f>
        <v>Open</v>
      </c>
      <c r="CP48" s="34"/>
    </row>
    <row r="49" spans="1:94" ht="30" customHeight="1" x14ac:dyDescent="0.25">
      <c r="A49" s="30" t="s">
        <v>573</v>
      </c>
      <c r="B49" s="35">
        <v>200</v>
      </c>
      <c r="C49" s="37" t="s">
        <v>768</v>
      </c>
      <c r="D49" s="50"/>
      <c r="E49" s="37" t="s">
        <v>478</v>
      </c>
      <c r="F49" s="37"/>
      <c r="G49" s="35" t="s">
        <v>477</v>
      </c>
      <c r="H49" s="50">
        <v>73.790000000000006</v>
      </c>
      <c r="I49" s="50">
        <v>19220.439999999999</v>
      </c>
      <c r="J49" s="52" t="s">
        <v>573</v>
      </c>
      <c r="K49" s="52" t="s">
        <v>573</v>
      </c>
      <c r="L49" s="37" t="s">
        <v>769</v>
      </c>
      <c r="M49" s="37" t="s">
        <v>335</v>
      </c>
      <c r="N49" s="29" t="s">
        <v>2</v>
      </c>
      <c r="O49" s="37"/>
      <c r="P49" s="37" t="s">
        <v>479</v>
      </c>
      <c r="Q49" s="37" t="s">
        <v>484</v>
      </c>
      <c r="R49" s="37" t="s">
        <v>475</v>
      </c>
      <c r="S49" s="29">
        <v>25</v>
      </c>
      <c r="T49" s="29">
        <v>0</v>
      </c>
      <c r="U49" s="35">
        <v>100</v>
      </c>
      <c r="V49" s="37" t="s">
        <v>754</v>
      </c>
      <c r="W49" s="37">
        <v>0</v>
      </c>
      <c r="X49" s="37"/>
      <c r="Y49" s="43"/>
      <c r="Z49" s="37" t="b">
        <v>0</v>
      </c>
      <c r="AA49" s="37" t="s">
        <v>757</v>
      </c>
      <c r="AB49" s="37" t="s">
        <v>758</v>
      </c>
      <c r="AC49" s="37">
        <v>511.9</v>
      </c>
      <c r="AD49" s="35" t="b">
        <v>1</v>
      </c>
      <c r="AE49" s="37" t="s">
        <v>770</v>
      </c>
      <c r="AF49" s="37"/>
      <c r="AG49" s="37"/>
      <c r="AH49" s="37" t="s">
        <v>771</v>
      </c>
      <c r="AI49" s="53" t="b">
        <v>1</v>
      </c>
      <c r="AJ49" s="52" t="s">
        <v>573</v>
      </c>
      <c r="AK49" s="35" t="b">
        <v>1</v>
      </c>
      <c r="AL49" s="46" t="b">
        <v>0</v>
      </c>
      <c r="AM49" s="37">
        <v>0</v>
      </c>
      <c r="AN49" s="37" t="b">
        <v>0</v>
      </c>
      <c r="AO49" s="37"/>
      <c r="AP49" s="37"/>
      <c r="AQ49" s="46" t="b">
        <v>0</v>
      </c>
      <c r="AR49" s="37" t="b">
        <v>0</v>
      </c>
      <c r="AS49" s="37" t="b">
        <v>0</v>
      </c>
      <c r="AT49" s="37"/>
      <c r="AU49" s="44"/>
      <c r="AV49" s="44"/>
      <c r="AW49" s="44" t="s">
        <v>827</v>
      </c>
      <c r="AX49" s="37" t="s">
        <v>761</v>
      </c>
      <c r="AY49" s="37" t="s">
        <v>762</v>
      </c>
      <c r="AZ49" s="37">
        <v>0</v>
      </c>
      <c r="BA49" s="37"/>
      <c r="BB49" s="37">
        <v>41</v>
      </c>
      <c r="BC49" s="37">
        <v>19</v>
      </c>
      <c r="BD49" s="37">
        <v>2</v>
      </c>
      <c r="BE49" s="37" t="b">
        <v>0</v>
      </c>
      <c r="BF49" s="35" t="b">
        <v>1</v>
      </c>
      <c r="BG49" s="37">
        <v>49</v>
      </c>
      <c r="BH49" s="37">
        <v>26</v>
      </c>
      <c r="BI49" s="37">
        <v>9.2100000000000009</v>
      </c>
      <c r="BJ49" s="37">
        <v>1E-3</v>
      </c>
      <c r="BK49" s="37">
        <v>8.0000000000000002E-3</v>
      </c>
      <c r="BL49" s="37">
        <v>9.2100000000000009</v>
      </c>
      <c r="BM49" s="37">
        <v>1E-3</v>
      </c>
      <c r="BN49" s="37" t="s">
        <v>775</v>
      </c>
      <c r="BO49" s="37" t="s">
        <v>481</v>
      </c>
      <c r="BP49" s="37">
        <v>0</v>
      </c>
      <c r="BQ49" s="37">
        <v>0</v>
      </c>
      <c r="BR49" s="37">
        <v>0</v>
      </c>
      <c r="BS49" s="37">
        <v>0</v>
      </c>
      <c r="BT49" s="37">
        <v>2</v>
      </c>
      <c r="BU49" s="37">
        <v>3</v>
      </c>
      <c r="BV49" s="37" t="b">
        <v>0</v>
      </c>
      <c r="BW49" s="37">
        <v>5.0340000000000003E-3</v>
      </c>
      <c r="BX49" s="37">
        <v>100</v>
      </c>
      <c r="BY49" s="37">
        <v>16</v>
      </c>
      <c r="BZ49" s="37" t="b">
        <v>0</v>
      </c>
      <c r="CA49" s="37" t="s">
        <v>82</v>
      </c>
      <c r="CB49" s="37"/>
      <c r="CC49" s="37"/>
      <c r="CD49" s="37"/>
      <c r="CE49" s="37" t="s">
        <v>786</v>
      </c>
      <c r="CF49" s="37"/>
      <c r="CG49" s="37" t="b">
        <v>0</v>
      </c>
      <c r="CH49" s="37" t="b">
        <v>0</v>
      </c>
      <c r="CI49" s="37">
        <v>352</v>
      </c>
      <c r="CJ49" s="37">
        <v>967</v>
      </c>
      <c r="CK49" s="37" t="s">
        <v>828</v>
      </c>
      <c r="CL49" s="37"/>
      <c r="CM49" s="52">
        <v>1</v>
      </c>
      <c r="CN49" s="52" t="b">
        <v>0</v>
      </c>
      <c r="CO49" t="str">
        <f>IFERROR(HYPERLINK("#Main!A"&amp;MATCH(A49,Main!A:A,0),"Open"),HYPERLINK("#Main!A1","Open"))</f>
        <v>Open</v>
      </c>
    </row>
    <row r="50" spans="1:94" ht="30" customHeight="1" x14ac:dyDescent="0.25">
      <c r="A50" s="33" t="s">
        <v>577</v>
      </c>
      <c r="B50" s="35">
        <v>200</v>
      </c>
      <c r="C50" s="28" t="s">
        <v>768</v>
      </c>
      <c r="D50" s="49"/>
      <c r="E50" s="28" t="s">
        <v>478</v>
      </c>
      <c r="F50" s="28"/>
      <c r="G50" s="35" t="s">
        <v>477</v>
      </c>
      <c r="H50" s="49">
        <v>74.11</v>
      </c>
      <c r="I50" s="49">
        <v>19363.599999999999</v>
      </c>
      <c r="J50" s="51" t="s">
        <v>577</v>
      </c>
      <c r="K50" s="51" t="s">
        <v>577</v>
      </c>
      <c r="L50" s="28" t="s">
        <v>769</v>
      </c>
      <c r="M50" s="28" t="s">
        <v>335</v>
      </c>
      <c r="N50" s="29" t="s">
        <v>2</v>
      </c>
      <c r="O50" s="28"/>
      <c r="P50" s="28" t="s">
        <v>479</v>
      </c>
      <c r="Q50" s="28" t="s">
        <v>484</v>
      </c>
      <c r="R50" s="28" t="s">
        <v>475</v>
      </c>
      <c r="S50" s="29">
        <v>25</v>
      </c>
      <c r="T50" s="29">
        <v>0</v>
      </c>
      <c r="U50" s="35">
        <v>100</v>
      </c>
      <c r="V50" s="28" t="s">
        <v>754</v>
      </c>
      <c r="W50" s="28">
        <v>0</v>
      </c>
      <c r="X50" s="28"/>
      <c r="Y50" s="31"/>
      <c r="Z50" s="28" t="b">
        <v>0</v>
      </c>
      <c r="AA50" s="28" t="s">
        <v>757</v>
      </c>
      <c r="AB50" s="28" t="s">
        <v>758</v>
      </c>
      <c r="AC50" s="28">
        <v>496.72</v>
      </c>
      <c r="AD50" s="35" t="b">
        <v>1</v>
      </c>
      <c r="AE50" s="28" t="s">
        <v>770</v>
      </c>
      <c r="AF50" s="28"/>
      <c r="AG50" s="28"/>
      <c r="AH50" s="28" t="s">
        <v>771</v>
      </c>
      <c r="AI50" s="53" t="b">
        <v>1</v>
      </c>
      <c r="AJ50" s="51" t="s">
        <v>577</v>
      </c>
      <c r="AK50" s="35" t="b">
        <v>1</v>
      </c>
      <c r="AL50" s="46" t="b">
        <v>0</v>
      </c>
      <c r="AM50" s="28">
        <v>0</v>
      </c>
      <c r="AN50" s="28" t="b">
        <v>0</v>
      </c>
      <c r="AO50" s="28"/>
      <c r="AP50" s="28"/>
      <c r="AQ50" s="46" t="b">
        <v>0</v>
      </c>
      <c r="AR50" s="28" t="b">
        <v>0</v>
      </c>
      <c r="AS50" s="28" t="b">
        <v>0</v>
      </c>
      <c r="AT50" s="28"/>
      <c r="AU50" s="41"/>
      <c r="AV50" s="41"/>
      <c r="AW50" s="41" t="s">
        <v>829</v>
      </c>
      <c r="AX50" s="28" t="s">
        <v>761</v>
      </c>
      <c r="AY50" s="28" t="s">
        <v>762</v>
      </c>
      <c r="AZ50" s="28">
        <v>0</v>
      </c>
      <c r="BA50" s="28"/>
      <c r="BB50" s="28">
        <v>34</v>
      </c>
      <c r="BC50" s="28">
        <v>16</v>
      </c>
      <c r="BD50" s="28">
        <v>4</v>
      </c>
      <c r="BE50" s="28" t="b">
        <v>0</v>
      </c>
      <c r="BF50" s="35" t="b">
        <v>1</v>
      </c>
      <c r="BG50" s="28">
        <v>40</v>
      </c>
      <c r="BH50" s="28">
        <v>39</v>
      </c>
      <c r="BI50" s="28">
        <v>10.68</v>
      </c>
      <c r="BJ50" s="28">
        <v>1E-3</v>
      </c>
      <c r="BK50" s="28">
        <v>0.17100000000000001</v>
      </c>
      <c r="BL50" s="28">
        <v>10.68</v>
      </c>
      <c r="BM50" s="28">
        <v>1E-3</v>
      </c>
      <c r="BN50" s="28" t="s">
        <v>775</v>
      </c>
      <c r="BO50" s="28" t="s">
        <v>481</v>
      </c>
      <c r="BP50" s="28">
        <v>0</v>
      </c>
      <c r="BQ50" s="28">
        <v>0</v>
      </c>
      <c r="BR50" s="28">
        <v>0</v>
      </c>
      <c r="BS50" s="28">
        <v>0</v>
      </c>
      <c r="BT50" s="28"/>
      <c r="BU50" s="28">
        <v>0</v>
      </c>
      <c r="BV50" s="28" t="b">
        <v>1</v>
      </c>
      <c r="BW50" s="28">
        <v>1.861E-3</v>
      </c>
      <c r="BX50" s="28">
        <v>100</v>
      </c>
      <c r="BY50" s="28">
        <v>16</v>
      </c>
      <c r="BZ50" s="28" t="b">
        <v>0</v>
      </c>
      <c r="CA50" s="28" t="s">
        <v>82</v>
      </c>
      <c r="CB50" s="28"/>
      <c r="CC50" s="28"/>
      <c r="CD50" s="28"/>
      <c r="CE50" s="28" t="s">
        <v>763</v>
      </c>
      <c r="CF50" s="28"/>
      <c r="CG50" s="28" t="b">
        <v>0</v>
      </c>
      <c r="CH50" s="28" t="b">
        <v>0</v>
      </c>
      <c r="CI50" s="28">
        <v>367</v>
      </c>
      <c r="CJ50" s="28">
        <v>967</v>
      </c>
      <c r="CK50" s="28" t="s">
        <v>828</v>
      </c>
      <c r="CL50" s="28"/>
      <c r="CM50" s="51">
        <v>1</v>
      </c>
      <c r="CN50" s="51" t="b">
        <v>0</v>
      </c>
      <c r="CO50" s="34" t="str">
        <f>IFERROR(HYPERLINK("#Main!A"&amp;MATCH(A50,Main!A:A,0),"Open"),HYPERLINK("#Main!A1","Open"))</f>
        <v>Open</v>
      </c>
      <c r="CP50" s="34"/>
    </row>
    <row r="51" spans="1:94" ht="30" customHeight="1" x14ac:dyDescent="0.25">
      <c r="A51" s="30" t="s">
        <v>579</v>
      </c>
      <c r="B51" s="35">
        <v>200</v>
      </c>
      <c r="C51" s="37" t="s">
        <v>768</v>
      </c>
      <c r="D51" s="50"/>
      <c r="E51" s="37" t="s">
        <v>478</v>
      </c>
      <c r="F51" s="37"/>
      <c r="G51" s="35" t="s">
        <v>477</v>
      </c>
      <c r="H51" s="50">
        <v>171.53</v>
      </c>
      <c r="I51" s="50">
        <v>19912.34</v>
      </c>
      <c r="J51" s="52" t="s">
        <v>579</v>
      </c>
      <c r="K51" s="52" t="s">
        <v>579</v>
      </c>
      <c r="L51" s="37" t="s">
        <v>769</v>
      </c>
      <c r="M51" s="37" t="s">
        <v>335</v>
      </c>
      <c r="N51" s="29" t="s">
        <v>2</v>
      </c>
      <c r="O51" s="37"/>
      <c r="P51" s="37" t="s">
        <v>479</v>
      </c>
      <c r="Q51" s="37" t="s">
        <v>484</v>
      </c>
      <c r="R51" s="37" t="s">
        <v>475</v>
      </c>
      <c r="S51" s="29">
        <v>25</v>
      </c>
      <c r="T51" s="29">
        <v>0</v>
      </c>
      <c r="U51" s="35">
        <v>100</v>
      </c>
      <c r="V51" s="37" t="s">
        <v>754</v>
      </c>
      <c r="W51" s="37">
        <v>0</v>
      </c>
      <c r="X51" s="37"/>
      <c r="Y51" s="43"/>
      <c r="Z51" s="37" t="b">
        <v>0</v>
      </c>
      <c r="AA51" s="37" t="s">
        <v>757</v>
      </c>
      <c r="AB51" s="37" t="s">
        <v>758</v>
      </c>
      <c r="AC51" s="37">
        <v>543.99</v>
      </c>
      <c r="AD51" s="35" t="b">
        <v>1</v>
      </c>
      <c r="AE51" s="37" t="s">
        <v>770</v>
      </c>
      <c r="AF51" s="37"/>
      <c r="AG51" s="37"/>
      <c r="AH51" s="37" t="s">
        <v>771</v>
      </c>
      <c r="AI51" s="53" t="b">
        <v>1</v>
      </c>
      <c r="AJ51" s="52" t="s">
        <v>579</v>
      </c>
      <c r="AK51" s="35" t="b">
        <v>1</v>
      </c>
      <c r="AL51" s="46" t="b">
        <v>0</v>
      </c>
      <c r="AM51" s="37">
        <v>0</v>
      </c>
      <c r="AN51" s="37" t="b">
        <v>0</v>
      </c>
      <c r="AO51" s="37"/>
      <c r="AP51" s="37"/>
      <c r="AQ51" s="46" t="b">
        <v>0</v>
      </c>
      <c r="AR51" s="37" t="b">
        <v>0</v>
      </c>
      <c r="AS51" s="37" t="b">
        <v>0</v>
      </c>
      <c r="AT51" s="37"/>
      <c r="AU51" s="44"/>
      <c r="AV51" s="44"/>
      <c r="AW51" s="44" t="s">
        <v>830</v>
      </c>
      <c r="AX51" s="37" t="s">
        <v>761</v>
      </c>
      <c r="AY51" s="37" t="s">
        <v>762</v>
      </c>
      <c r="AZ51" s="37">
        <v>0</v>
      </c>
      <c r="BA51" s="37"/>
      <c r="BB51" s="37">
        <v>62</v>
      </c>
      <c r="BC51" s="37">
        <v>15</v>
      </c>
      <c r="BD51" s="37">
        <v>6</v>
      </c>
      <c r="BE51" s="37" t="b">
        <v>0</v>
      </c>
      <c r="BF51" s="35" t="b">
        <v>1</v>
      </c>
      <c r="BG51" s="37">
        <v>51</v>
      </c>
      <c r="BH51" s="37">
        <v>40</v>
      </c>
      <c r="BI51" s="37">
        <v>8.2409999999999997</v>
      </c>
      <c r="BJ51" s="37">
        <v>1E-3</v>
      </c>
      <c r="BK51" s="37">
        <v>0.23400000000000001</v>
      </c>
      <c r="BL51" s="37">
        <v>8.2409999999999997</v>
      </c>
      <c r="BM51" s="37">
        <v>1E-3</v>
      </c>
      <c r="BN51" s="37" t="s">
        <v>775</v>
      </c>
      <c r="BO51" s="37" t="s">
        <v>481</v>
      </c>
      <c r="BP51" s="37">
        <v>0</v>
      </c>
      <c r="BQ51" s="37">
        <v>0</v>
      </c>
      <c r="BR51" s="37">
        <v>0</v>
      </c>
      <c r="BS51" s="37">
        <v>0</v>
      </c>
      <c r="BT51" s="37"/>
      <c r="BU51" s="37">
        <v>0</v>
      </c>
      <c r="BV51" s="37" t="b">
        <v>1</v>
      </c>
      <c r="BW51" s="37">
        <v>1.861E-3</v>
      </c>
      <c r="BX51" s="37">
        <v>100</v>
      </c>
      <c r="BY51" s="37">
        <v>16</v>
      </c>
      <c r="BZ51" s="37" t="b">
        <v>0</v>
      </c>
      <c r="CA51" s="37" t="s">
        <v>82</v>
      </c>
      <c r="CB51" s="37"/>
      <c r="CC51" s="37"/>
      <c r="CD51" s="37"/>
      <c r="CE51" s="37" t="s">
        <v>763</v>
      </c>
      <c r="CF51" s="37"/>
      <c r="CG51" s="37" t="b">
        <v>0</v>
      </c>
      <c r="CH51" s="37" t="b">
        <v>0</v>
      </c>
      <c r="CI51" s="37">
        <v>360</v>
      </c>
      <c r="CJ51" s="37">
        <v>3261</v>
      </c>
      <c r="CK51" s="37"/>
      <c r="CL51" s="37"/>
      <c r="CM51" s="52">
        <v>1</v>
      </c>
      <c r="CN51" s="52" t="b">
        <v>0</v>
      </c>
      <c r="CO51" t="str">
        <f>IFERROR(HYPERLINK("#Main!A"&amp;MATCH(A51,Main!A:A,0),"Open"),HYPERLINK("#Main!A1","Open"))</f>
        <v>Open</v>
      </c>
    </row>
    <row r="52" spans="1:94" ht="30" customHeight="1" x14ac:dyDescent="0.25">
      <c r="A52" s="33" t="s">
        <v>582</v>
      </c>
      <c r="B52" s="35">
        <v>200</v>
      </c>
      <c r="C52" s="28" t="s">
        <v>768</v>
      </c>
      <c r="D52" s="49"/>
      <c r="E52" s="28" t="s">
        <v>478</v>
      </c>
      <c r="F52" s="28"/>
      <c r="G52" s="35" t="s">
        <v>477</v>
      </c>
      <c r="H52" s="49">
        <v>49.91</v>
      </c>
      <c r="I52" s="49">
        <v>18168.64</v>
      </c>
      <c r="J52" s="51" t="s">
        <v>582</v>
      </c>
      <c r="K52" s="51" t="s">
        <v>582</v>
      </c>
      <c r="L52" s="28" t="s">
        <v>769</v>
      </c>
      <c r="M52" s="28" t="s">
        <v>335</v>
      </c>
      <c r="N52" s="29" t="s">
        <v>2</v>
      </c>
      <c r="O52" s="28"/>
      <c r="P52" s="28" t="s">
        <v>479</v>
      </c>
      <c r="Q52" s="28" t="s">
        <v>484</v>
      </c>
      <c r="R52" s="28" t="s">
        <v>475</v>
      </c>
      <c r="S52" s="29">
        <v>17.5</v>
      </c>
      <c r="T52" s="29">
        <v>0</v>
      </c>
      <c r="U52" s="32">
        <v>70</v>
      </c>
      <c r="V52" s="28" t="s">
        <v>754</v>
      </c>
      <c r="W52" s="28">
        <v>0</v>
      </c>
      <c r="X52" s="28"/>
      <c r="Y52" s="31"/>
      <c r="Z52" s="28" t="b">
        <v>0</v>
      </c>
      <c r="AA52" s="28" t="s">
        <v>757</v>
      </c>
      <c r="AB52" s="28" t="s">
        <v>758</v>
      </c>
      <c r="AC52" s="28">
        <v>451.33</v>
      </c>
      <c r="AD52" s="35" t="b">
        <v>1</v>
      </c>
      <c r="AE52" s="28" t="s">
        <v>770</v>
      </c>
      <c r="AF52" s="28"/>
      <c r="AG52" s="28"/>
      <c r="AH52" s="28" t="s">
        <v>771</v>
      </c>
      <c r="AI52" s="53" t="b">
        <v>1</v>
      </c>
      <c r="AJ52" s="51" t="s">
        <v>582</v>
      </c>
      <c r="AK52" s="35" t="b">
        <v>1</v>
      </c>
      <c r="AL52" s="46" t="b">
        <v>0</v>
      </c>
      <c r="AM52" s="28">
        <v>0</v>
      </c>
      <c r="AN52" s="28" t="b">
        <v>0</v>
      </c>
      <c r="AO52" s="28"/>
      <c r="AP52" s="28"/>
      <c r="AQ52" s="46" t="b">
        <v>0</v>
      </c>
      <c r="AR52" s="28" t="b">
        <v>0</v>
      </c>
      <c r="AS52" s="28" t="b">
        <v>0</v>
      </c>
      <c r="AT52" s="28"/>
      <c r="AU52" s="41"/>
      <c r="AV52" s="41"/>
      <c r="AW52" s="41" t="s">
        <v>831</v>
      </c>
      <c r="AX52" s="28" t="s">
        <v>761</v>
      </c>
      <c r="AY52" s="28" t="s">
        <v>762</v>
      </c>
      <c r="AZ52" s="28">
        <v>0</v>
      </c>
      <c r="BA52" s="28"/>
      <c r="BB52" s="28">
        <v>31</v>
      </c>
      <c r="BC52" s="28">
        <v>14</v>
      </c>
      <c r="BD52" s="28">
        <v>2</v>
      </c>
      <c r="BE52" s="28" t="b">
        <v>0</v>
      </c>
      <c r="BF52" s="35" t="b">
        <v>1</v>
      </c>
      <c r="BG52" s="28">
        <v>50</v>
      </c>
      <c r="BH52" s="28">
        <v>30</v>
      </c>
      <c r="BI52" s="28">
        <v>7.1580000000000004</v>
      </c>
      <c r="BJ52" s="28">
        <v>1E-3</v>
      </c>
      <c r="BK52" s="28">
        <v>0.17399999999999999</v>
      </c>
      <c r="BL52" s="28">
        <v>7.1580000000000004</v>
      </c>
      <c r="BM52" s="28">
        <v>1E-3</v>
      </c>
      <c r="BN52" s="28" t="s">
        <v>775</v>
      </c>
      <c r="BO52" s="28" t="s">
        <v>481</v>
      </c>
      <c r="BP52" s="28">
        <v>0</v>
      </c>
      <c r="BQ52" s="28">
        <v>0</v>
      </c>
      <c r="BR52" s="28">
        <v>0</v>
      </c>
      <c r="BS52" s="28">
        <v>0</v>
      </c>
      <c r="BT52" s="28">
        <v>1</v>
      </c>
      <c r="BU52" s="28">
        <v>59</v>
      </c>
      <c r="BV52" s="28" t="b">
        <v>0</v>
      </c>
      <c r="BW52" s="28">
        <v>5.8172000000000001E-2</v>
      </c>
      <c r="BX52" s="28">
        <v>100</v>
      </c>
      <c r="BY52" s="28">
        <v>16</v>
      </c>
      <c r="BZ52" s="28" t="b">
        <v>0</v>
      </c>
      <c r="CA52" s="28" t="s">
        <v>82</v>
      </c>
      <c r="CB52" s="28"/>
      <c r="CC52" s="28"/>
      <c r="CD52" s="28"/>
      <c r="CE52" s="28" t="s">
        <v>776</v>
      </c>
      <c r="CF52" s="28"/>
      <c r="CG52" s="28" t="b">
        <v>0</v>
      </c>
      <c r="CH52" s="28" t="b">
        <v>0</v>
      </c>
      <c r="CI52" s="28">
        <v>532</v>
      </c>
      <c r="CJ52" s="28">
        <v>2480</v>
      </c>
      <c r="CK52" s="28"/>
      <c r="CL52" s="28"/>
      <c r="CM52" s="51">
        <v>1</v>
      </c>
      <c r="CN52" s="51" t="b">
        <v>0</v>
      </c>
      <c r="CO52" s="34" t="str">
        <f>IFERROR(HYPERLINK("#Main!A"&amp;MATCH(A52,Main!A:A,0),"Open"),HYPERLINK("#Main!A1","Open"))</f>
        <v>Open</v>
      </c>
      <c r="CP52" s="34"/>
    </row>
    <row r="53" spans="1:94" ht="30" customHeight="1" x14ac:dyDescent="0.25">
      <c r="A53" s="30" t="s">
        <v>585</v>
      </c>
      <c r="B53" s="35">
        <v>200</v>
      </c>
      <c r="C53" s="37" t="s">
        <v>768</v>
      </c>
      <c r="D53" s="50"/>
      <c r="E53" s="37" t="s">
        <v>478</v>
      </c>
      <c r="F53" s="37"/>
      <c r="G53" s="35" t="s">
        <v>477</v>
      </c>
      <c r="H53" s="50">
        <v>37.020000000000003</v>
      </c>
      <c r="I53" s="50">
        <v>18134.47</v>
      </c>
      <c r="J53" s="52" t="s">
        <v>585</v>
      </c>
      <c r="K53" s="52" t="s">
        <v>585</v>
      </c>
      <c r="L53" s="37" t="s">
        <v>769</v>
      </c>
      <c r="M53" s="37" t="s">
        <v>335</v>
      </c>
      <c r="N53" s="29" t="s">
        <v>2</v>
      </c>
      <c r="O53" s="37"/>
      <c r="P53" s="37" t="s">
        <v>479</v>
      </c>
      <c r="Q53" s="37" t="s">
        <v>484</v>
      </c>
      <c r="R53" s="37" t="s">
        <v>475</v>
      </c>
      <c r="S53" s="29">
        <v>25</v>
      </c>
      <c r="T53" s="29">
        <v>0</v>
      </c>
      <c r="U53" s="35">
        <v>100</v>
      </c>
      <c r="V53" s="37" t="s">
        <v>754</v>
      </c>
      <c r="W53" s="37">
        <v>0</v>
      </c>
      <c r="X53" s="37"/>
      <c r="Y53" s="43"/>
      <c r="Z53" s="37" t="b">
        <v>0</v>
      </c>
      <c r="AA53" s="37" t="s">
        <v>757</v>
      </c>
      <c r="AB53" s="37" t="s">
        <v>758</v>
      </c>
      <c r="AC53" s="37">
        <v>303.05</v>
      </c>
      <c r="AD53" s="35" t="b">
        <v>1</v>
      </c>
      <c r="AE53" s="37" t="s">
        <v>770</v>
      </c>
      <c r="AF53" s="37"/>
      <c r="AG53" s="37"/>
      <c r="AH53" s="37" t="s">
        <v>771</v>
      </c>
      <c r="AI53" s="53" t="b">
        <v>1</v>
      </c>
      <c r="AJ53" s="52" t="s">
        <v>585</v>
      </c>
      <c r="AK53" s="35" t="b">
        <v>1</v>
      </c>
      <c r="AL53" s="46" t="b">
        <v>0</v>
      </c>
      <c r="AM53" s="37">
        <v>0</v>
      </c>
      <c r="AN53" s="37" t="b">
        <v>0</v>
      </c>
      <c r="AO53" s="37"/>
      <c r="AP53" s="37"/>
      <c r="AQ53" s="46" t="b">
        <v>0</v>
      </c>
      <c r="AR53" s="37" t="b">
        <v>0</v>
      </c>
      <c r="AS53" s="37" t="b">
        <v>0</v>
      </c>
      <c r="AT53" s="37"/>
      <c r="AU53" s="44"/>
      <c r="AV53" s="44"/>
      <c r="AW53" s="44" t="s">
        <v>832</v>
      </c>
      <c r="AX53" s="37" t="s">
        <v>761</v>
      </c>
      <c r="AY53" s="37" t="s">
        <v>762</v>
      </c>
      <c r="AZ53" s="37">
        <v>0</v>
      </c>
      <c r="BA53" s="37"/>
      <c r="BB53" s="37">
        <v>33</v>
      </c>
      <c r="BC53" s="37">
        <v>16</v>
      </c>
      <c r="BD53" s="37">
        <v>2</v>
      </c>
      <c r="BE53" s="37" t="b">
        <v>0</v>
      </c>
      <c r="BF53" s="35" t="b">
        <v>1</v>
      </c>
      <c r="BG53" s="37">
        <v>53</v>
      </c>
      <c r="BH53" s="37">
        <v>44</v>
      </c>
      <c r="BI53" s="37">
        <v>7.26</v>
      </c>
      <c r="BJ53" s="37">
        <v>1E-3</v>
      </c>
      <c r="BK53" s="37">
        <v>6.0000000000000001E-3</v>
      </c>
      <c r="BL53" s="37">
        <v>7.26</v>
      </c>
      <c r="BM53" s="37">
        <v>1E-3</v>
      </c>
      <c r="BN53" s="37" t="s">
        <v>775</v>
      </c>
      <c r="BO53" s="37" t="s">
        <v>481</v>
      </c>
      <c r="BP53" s="37">
        <v>0</v>
      </c>
      <c r="BQ53" s="37">
        <v>0</v>
      </c>
      <c r="BR53" s="37">
        <v>0</v>
      </c>
      <c r="BS53" s="37">
        <v>0</v>
      </c>
      <c r="BT53" s="37">
        <v>1</v>
      </c>
      <c r="BU53" s="37">
        <v>59</v>
      </c>
      <c r="BV53" s="37" t="b">
        <v>0</v>
      </c>
      <c r="BW53" s="37">
        <v>5.8172000000000001E-2</v>
      </c>
      <c r="BX53" s="37">
        <v>50</v>
      </c>
      <c r="BY53" s="37">
        <v>3</v>
      </c>
      <c r="BZ53" s="37" t="b">
        <v>0</v>
      </c>
      <c r="CA53" s="37" t="s">
        <v>82</v>
      </c>
      <c r="CB53" s="37"/>
      <c r="CC53" s="37"/>
      <c r="CD53" s="37"/>
      <c r="CE53" s="37" t="s">
        <v>776</v>
      </c>
      <c r="CF53" s="37"/>
      <c r="CG53" s="37" t="b">
        <v>0</v>
      </c>
      <c r="CH53" s="37" t="b">
        <v>0</v>
      </c>
      <c r="CI53" s="37">
        <v>453</v>
      </c>
      <c r="CJ53" s="37">
        <v>830</v>
      </c>
      <c r="CK53" s="37"/>
      <c r="CL53" s="37"/>
      <c r="CM53" s="52">
        <v>1</v>
      </c>
      <c r="CN53" s="52" t="b">
        <v>0</v>
      </c>
      <c r="CO53" t="str">
        <f>IFERROR(HYPERLINK("#Main!A"&amp;MATCH(A53,Main!A:A,0),"Open"),HYPERLINK("#Main!A1","Open"))</f>
        <v>Open</v>
      </c>
    </row>
    <row r="54" spans="1:94" ht="30" customHeight="1" x14ac:dyDescent="0.25">
      <c r="A54" s="33" t="s">
        <v>588</v>
      </c>
      <c r="B54" s="35">
        <v>200</v>
      </c>
      <c r="C54" s="28" t="s">
        <v>768</v>
      </c>
      <c r="D54" s="49"/>
      <c r="E54" s="28" t="s">
        <v>478</v>
      </c>
      <c r="F54" s="28"/>
      <c r="G54" s="35" t="s">
        <v>477</v>
      </c>
      <c r="H54" s="49">
        <v>85.33</v>
      </c>
      <c r="I54" s="49">
        <v>18140.490000000002</v>
      </c>
      <c r="J54" s="51" t="s">
        <v>588</v>
      </c>
      <c r="K54" s="51" t="s">
        <v>588</v>
      </c>
      <c r="L54" s="28" t="s">
        <v>769</v>
      </c>
      <c r="M54" s="28" t="s">
        <v>335</v>
      </c>
      <c r="N54" s="29" t="s">
        <v>2</v>
      </c>
      <c r="O54" s="28"/>
      <c r="P54" s="28" t="s">
        <v>479</v>
      </c>
      <c r="Q54" s="28" t="s">
        <v>484</v>
      </c>
      <c r="R54" s="28" t="s">
        <v>475</v>
      </c>
      <c r="S54" s="29">
        <v>18.75</v>
      </c>
      <c r="T54" s="29">
        <v>0</v>
      </c>
      <c r="U54" s="32">
        <v>75</v>
      </c>
      <c r="V54" s="28" t="s">
        <v>754</v>
      </c>
      <c r="W54" s="28">
        <v>0</v>
      </c>
      <c r="X54" s="28"/>
      <c r="Y54" s="31"/>
      <c r="Z54" s="28" t="b">
        <v>0</v>
      </c>
      <c r="AA54" s="28" t="s">
        <v>757</v>
      </c>
      <c r="AB54" s="28" t="s">
        <v>758</v>
      </c>
      <c r="AC54" s="28">
        <v>432.74</v>
      </c>
      <c r="AD54" s="35" t="b">
        <v>1</v>
      </c>
      <c r="AE54" s="28" t="s">
        <v>770</v>
      </c>
      <c r="AF54" s="28"/>
      <c r="AG54" s="28"/>
      <c r="AH54" s="28" t="s">
        <v>771</v>
      </c>
      <c r="AI54" s="53" t="b">
        <v>1</v>
      </c>
      <c r="AJ54" s="51" t="s">
        <v>588</v>
      </c>
      <c r="AK54" s="35" t="b">
        <v>1</v>
      </c>
      <c r="AL54" s="46" t="b">
        <v>0</v>
      </c>
      <c r="AM54" s="28">
        <v>0</v>
      </c>
      <c r="AN54" s="28" t="b">
        <v>0</v>
      </c>
      <c r="AO54" s="28"/>
      <c r="AP54" s="28"/>
      <c r="AQ54" s="46" t="b">
        <v>0</v>
      </c>
      <c r="AR54" s="28" t="b">
        <v>0</v>
      </c>
      <c r="AS54" s="28" t="b">
        <v>0</v>
      </c>
      <c r="AT54" s="28"/>
      <c r="AU54" s="41"/>
      <c r="AV54" s="41"/>
      <c r="AW54" s="41" t="s">
        <v>833</v>
      </c>
      <c r="AX54" s="28" t="s">
        <v>761</v>
      </c>
      <c r="AY54" s="28" t="s">
        <v>762</v>
      </c>
      <c r="AZ54" s="28">
        <v>0</v>
      </c>
      <c r="BA54" s="28"/>
      <c r="BB54" s="28">
        <v>57</v>
      </c>
      <c r="BC54" s="28">
        <v>14</v>
      </c>
      <c r="BD54" s="28">
        <v>3</v>
      </c>
      <c r="BE54" s="28" t="b">
        <v>0</v>
      </c>
      <c r="BF54" s="35" t="b">
        <v>1</v>
      </c>
      <c r="BG54" s="28">
        <v>51</v>
      </c>
      <c r="BH54" s="28">
        <v>45</v>
      </c>
      <c r="BI54" s="28">
        <v>14.959</v>
      </c>
      <c r="BJ54" s="28">
        <v>1E-3</v>
      </c>
      <c r="BK54" s="28">
        <v>0.17</v>
      </c>
      <c r="BL54" s="28">
        <v>14.959</v>
      </c>
      <c r="BM54" s="28">
        <v>1E-3</v>
      </c>
      <c r="BN54" s="28" t="s">
        <v>775</v>
      </c>
      <c r="BO54" s="28" t="s">
        <v>481</v>
      </c>
      <c r="BP54" s="28">
        <v>0</v>
      </c>
      <c r="BQ54" s="28">
        <v>0</v>
      </c>
      <c r="BR54" s="28">
        <v>0</v>
      </c>
      <c r="BS54" s="28">
        <v>0</v>
      </c>
      <c r="BT54" s="28"/>
      <c r="BU54" s="28">
        <v>0</v>
      </c>
      <c r="BV54" s="28" t="b">
        <v>1</v>
      </c>
      <c r="BW54" s="28">
        <v>1.861E-3</v>
      </c>
      <c r="BX54" s="28">
        <v>30</v>
      </c>
      <c r="BY54" s="28">
        <v>3</v>
      </c>
      <c r="BZ54" s="28" t="b">
        <v>0</v>
      </c>
      <c r="CA54" s="28" t="s">
        <v>82</v>
      </c>
      <c r="CB54" s="28"/>
      <c r="CC54" s="28"/>
      <c r="CD54" s="28"/>
      <c r="CE54" s="28" t="s">
        <v>763</v>
      </c>
      <c r="CF54" s="28"/>
      <c r="CG54" s="28" t="b">
        <v>0</v>
      </c>
      <c r="CH54" s="28" t="b">
        <v>0</v>
      </c>
      <c r="CI54" s="28">
        <v>590</v>
      </c>
      <c r="CJ54" s="28">
        <v>1302</v>
      </c>
      <c r="CK54" s="28"/>
      <c r="CL54" s="28"/>
      <c r="CM54" s="51">
        <v>1</v>
      </c>
      <c r="CN54" s="51" t="b">
        <v>0</v>
      </c>
      <c r="CO54" s="34" t="str">
        <f>IFERROR(HYPERLINK("#Main!A"&amp;MATCH(A54,Main!A:A,0),"Open"),HYPERLINK("#Main!A1","Open"))</f>
        <v>Open</v>
      </c>
      <c r="CP54" s="34"/>
    </row>
    <row r="55" spans="1:94" ht="30" customHeight="1" x14ac:dyDescent="0.25">
      <c r="A55" s="30" t="s">
        <v>591</v>
      </c>
      <c r="B55" s="35">
        <v>200</v>
      </c>
      <c r="C55" s="37" t="s">
        <v>768</v>
      </c>
      <c r="D55" s="50"/>
      <c r="E55" s="37" t="s">
        <v>478</v>
      </c>
      <c r="F55" s="37"/>
      <c r="G55" s="35" t="s">
        <v>477</v>
      </c>
      <c r="H55" s="50">
        <v>43.19</v>
      </c>
      <c r="I55" s="50">
        <v>17998.96</v>
      </c>
      <c r="J55" s="52" t="s">
        <v>591</v>
      </c>
      <c r="K55" s="52" t="s">
        <v>591</v>
      </c>
      <c r="L55" s="37" t="s">
        <v>769</v>
      </c>
      <c r="M55" s="37" t="s">
        <v>335</v>
      </c>
      <c r="N55" s="29" t="s">
        <v>2</v>
      </c>
      <c r="O55" s="37"/>
      <c r="P55" s="37" t="s">
        <v>479</v>
      </c>
      <c r="Q55" s="37" t="s">
        <v>484</v>
      </c>
      <c r="R55" s="37" t="s">
        <v>475</v>
      </c>
      <c r="S55" s="29">
        <v>18.75</v>
      </c>
      <c r="T55" s="29">
        <v>0</v>
      </c>
      <c r="U55" s="32">
        <v>75</v>
      </c>
      <c r="V55" s="37" t="s">
        <v>754</v>
      </c>
      <c r="W55" s="37">
        <v>0</v>
      </c>
      <c r="X55" s="37"/>
      <c r="Y55" s="43"/>
      <c r="Z55" s="37" t="b">
        <v>0</v>
      </c>
      <c r="AA55" s="37" t="s">
        <v>757</v>
      </c>
      <c r="AB55" s="37" t="s">
        <v>758</v>
      </c>
      <c r="AC55" s="37">
        <v>432.44</v>
      </c>
      <c r="AD55" s="35" t="b">
        <v>1</v>
      </c>
      <c r="AE55" s="37" t="s">
        <v>770</v>
      </c>
      <c r="AF55" s="37"/>
      <c r="AG55" s="37"/>
      <c r="AH55" s="37" t="s">
        <v>771</v>
      </c>
      <c r="AI55" s="53" t="b">
        <v>1</v>
      </c>
      <c r="AJ55" s="52" t="s">
        <v>591</v>
      </c>
      <c r="AK55" s="35" t="b">
        <v>1</v>
      </c>
      <c r="AL55" s="46" t="b">
        <v>0</v>
      </c>
      <c r="AM55" s="37">
        <v>0</v>
      </c>
      <c r="AN55" s="37" t="b">
        <v>0</v>
      </c>
      <c r="AO55" s="37"/>
      <c r="AP55" s="37"/>
      <c r="AQ55" s="46" t="b">
        <v>0</v>
      </c>
      <c r="AR55" s="37" t="b">
        <v>0</v>
      </c>
      <c r="AS55" s="37" t="b">
        <v>0</v>
      </c>
      <c r="AT55" s="37"/>
      <c r="AU55" s="44"/>
      <c r="AV55" s="44"/>
      <c r="AW55" s="44" t="s">
        <v>834</v>
      </c>
      <c r="AX55" s="37" t="s">
        <v>761</v>
      </c>
      <c r="AY55" s="37" t="s">
        <v>762</v>
      </c>
      <c r="AZ55" s="37">
        <v>0</v>
      </c>
      <c r="BA55" s="37"/>
      <c r="BB55" s="37">
        <v>57</v>
      </c>
      <c r="BC55" s="37">
        <v>14</v>
      </c>
      <c r="BD55" s="37">
        <v>3</v>
      </c>
      <c r="BE55" s="37" t="b">
        <v>0</v>
      </c>
      <c r="BF55" s="35" t="b">
        <v>1</v>
      </c>
      <c r="BG55" s="37">
        <v>44</v>
      </c>
      <c r="BH55" s="37">
        <v>45</v>
      </c>
      <c r="BI55" s="37">
        <v>13.657</v>
      </c>
      <c r="BJ55" s="37">
        <v>1E-3</v>
      </c>
      <c r="BK55" s="37">
        <v>0.17199999999999999</v>
      </c>
      <c r="BL55" s="37">
        <v>13.657</v>
      </c>
      <c r="BM55" s="37">
        <v>1E-3</v>
      </c>
      <c r="BN55" s="37" t="s">
        <v>775</v>
      </c>
      <c r="BO55" s="37" t="s">
        <v>481</v>
      </c>
      <c r="BP55" s="37">
        <v>0</v>
      </c>
      <c r="BQ55" s="37">
        <v>0</v>
      </c>
      <c r="BR55" s="37">
        <v>0</v>
      </c>
      <c r="BS55" s="37">
        <v>0</v>
      </c>
      <c r="BT55" s="37"/>
      <c r="BU55" s="37">
        <v>0</v>
      </c>
      <c r="BV55" s="37" t="b">
        <v>1</v>
      </c>
      <c r="BW55" s="37">
        <v>1.861E-3</v>
      </c>
      <c r="BX55" s="37">
        <v>30</v>
      </c>
      <c r="BY55" s="37">
        <v>3</v>
      </c>
      <c r="BZ55" s="37" t="b">
        <v>0</v>
      </c>
      <c r="CA55" s="37" t="s">
        <v>82</v>
      </c>
      <c r="CB55" s="37"/>
      <c r="CC55" s="37"/>
      <c r="CD55" s="37"/>
      <c r="CE55" s="37" t="s">
        <v>763</v>
      </c>
      <c r="CF55" s="37"/>
      <c r="CG55" s="37" t="b">
        <v>0</v>
      </c>
      <c r="CH55" s="37" t="b">
        <v>0</v>
      </c>
      <c r="CI55" s="37">
        <v>540</v>
      </c>
      <c r="CJ55" s="37">
        <v>1196</v>
      </c>
      <c r="CK55" s="37"/>
      <c r="CL55" s="37"/>
      <c r="CM55" s="52">
        <v>1</v>
      </c>
      <c r="CN55" s="52" t="b">
        <v>0</v>
      </c>
      <c r="CO55" t="str">
        <f>IFERROR(HYPERLINK("#Main!A"&amp;MATCH(A55,Main!A:A,0),"Open"),HYPERLINK("#Main!A1","Open"))</f>
        <v>Open</v>
      </c>
    </row>
    <row r="56" spans="1:94" ht="30" customHeight="1" x14ac:dyDescent="0.25">
      <c r="A56" s="33" t="s">
        <v>594</v>
      </c>
      <c r="B56" s="35">
        <v>200</v>
      </c>
      <c r="C56" s="28" t="s">
        <v>768</v>
      </c>
      <c r="D56" s="49"/>
      <c r="E56" s="28" t="s">
        <v>478</v>
      </c>
      <c r="F56" s="28"/>
      <c r="G56" s="35" t="s">
        <v>477</v>
      </c>
      <c r="H56" s="49">
        <v>81.040000000000006</v>
      </c>
      <c r="I56" s="49">
        <v>18234.11</v>
      </c>
      <c r="J56" s="51" t="s">
        <v>594</v>
      </c>
      <c r="K56" s="51" t="s">
        <v>594</v>
      </c>
      <c r="L56" s="28" t="s">
        <v>769</v>
      </c>
      <c r="M56" s="28" t="s">
        <v>335</v>
      </c>
      <c r="N56" s="29" t="s">
        <v>2</v>
      </c>
      <c r="O56" s="28"/>
      <c r="P56" s="28" t="s">
        <v>479</v>
      </c>
      <c r="Q56" s="28" t="s">
        <v>484</v>
      </c>
      <c r="R56" s="28" t="s">
        <v>475</v>
      </c>
      <c r="S56" s="29">
        <v>11.25</v>
      </c>
      <c r="T56" s="29">
        <v>0</v>
      </c>
      <c r="U56" s="29">
        <v>45</v>
      </c>
      <c r="V56" s="28" t="s">
        <v>754</v>
      </c>
      <c r="W56" s="28">
        <v>0</v>
      </c>
      <c r="X56" s="28"/>
      <c r="Y56" s="31"/>
      <c r="Z56" s="28" t="b">
        <v>0</v>
      </c>
      <c r="AA56" s="28" t="s">
        <v>757</v>
      </c>
      <c r="AB56" s="28" t="s">
        <v>758</v>
      </c>
      <c r="AC56" s="28">
        <v>253.86</v>
      </c>
      <c r="AD56" s="35" t="b">
        <v>1</v>
      </c>
      <c r="AE56" s="28" t="s">
        <v>770</v>
      </c>
      <c r="AF56" s="28"/>
      <c r="AG56" s="28"/>
      <c r="AH56" s="28" t="s">
        <v>771</v>
      </c>
      <c r="AI56" s="53" t="b">
        <v>1</v>
      </c>
      <c r="AJ56" s="51" t="s">
        <v>594</v>
      </c>
      <c r="AK56" s="35" t="b">
        <v>1</v>
      </c>
      <c r="AL56" s="46" t="b">
        <v>0</v>
      </c>
      <c r="AM56" s="28">
        <v>0</v>
      </c>
      <c r="AN56" s="28" t="b">
        <v>0</v>
      </c>
      <c r="AO56" s="28"/>
      <c r="AP56" s="28"/>
      <c r="AQ56" s="46" t="b">
        <v>0</v>
      </c>
      <c r="AR56" s="28" t="b">
        <v>0</v>
      </c>
      <c r="AS56" s="28" t="b">
        <v>0</v>
      </c>
      <c r="AT56" s="28"/>
      <c r="AU56" s="41"/>
      <c r="AV56" s="41"/>
      <c r="AW56" s="41" t="s">
        <v>835</v>
      </c>
      <c r="AX56" s="28" t="s">
        <v>761</v>
      </c>
      <c r="AY56" s="28" t="s">
        <v>762</v>
      </c>
      <c r="AZ56" s="28">
        <v>0</v>
      </c>
      <c r="BA56" s="28"/>
      <c r="BB56" s="28">
        <v>32</v>
      </c>
      <c r="BC56" s="28">
        <v>15</v>
      </c>
      <c r="BD56" s="28">
        <v>2</v>
      </c>
      <c r="BE56" s="28" t="b">
        <v>0</v>
      </c>
      <c r="BF56" s="35" t="b">
        <v>1</v>
      </c>
      <c r="BG56" s="28">
        <v>57</v>
      </c>
      <c r="BH56" s="28">
        <v>42</v>
      </c>
      <c r="BI56" s="28">
        <v>5.6020000000000003</v>
      </c>
      <c r="BJ56" s="28">
        <v>2E-3</v>
      </c>
      <c r="BK56" s="28">
        <v>0.20499999999999999</v>
      </c>
      <c r="BL56" s="28">
        <v>5.6020000000000003</v>
      </c>
      <c r="BM56" s="28">
        <v>2E-3</v>
      </c>
      <c r="BN56" s="28" t="s">
        <v>775</v>
      </c>
      <c r="BO56" s="28" t="s">
        <v>481</v>
      </c>
      <c r="BP56" s="28">
        <v>0</v>
      </c>
      <c r="BQ56" s="28">
        <v>0</v>
      </c>
      <c r="BR56" s="28">
        <v>0</v>
      </c>
      <c r="BS56" s="28">
        <v>0</v>
      </c>
      <c r="BT56" s="28"/>
      <c r="BU56" s="28">
        <v>0</v>
      </c>
      <c r="BV56" s="28" t="b">
        <v>1</v>
      </c>
      <c r="BW56" s="28">
        <v>1.861E-3</v>
      </c>
      <c r="BX56" s="28">
        <v>30</v>
      </c>
      <c r="BY56" s="28">
        <v>3</v>
      </c>
      <c r="BZ56" s="28" t="b">
        <v>0</v>
      </c>
      <c r="CA56" s="28" t="s">
        <v>82</v>
      </c>
      <c r="CB56" s="28"/>
      <c r="CC56" s="28"/>
      <c r="CD56" s="28"/>
      <c r="CE56" s="28" t="s">
        <v>763</v>
      </c>
      <c r="CF56" s="28"/>
      <c r="CG56" s="28" t="b">
        <v>0</v>
      </c>
      <c r="CH56" s="28" t="b">
        <v>0</v>
      </c>
      <c r="CI56" s="28">
        <v>525</v>
      </c>
      <c r="CJ56" s="28">
        <v>570</v>
      </c>
      <c r="CK56" s="28"/>
      <c r="CL56" s="28"/>
      <c r="CM56" s="51">
        <v>1</v>
      </c>
      <c r="CN56" s="51" t="b">
        <v>0</v>
      </c>
      <c r="CO56" s="34" t="str">
        <f>IFERROR(HYPERLINK("#Main!A"&amp;MATCH(A56,Main!A:A,0),"Open"),HYPERLINK("#Main!A1","Open"))</f>
        <v>Open</v>
      </c>
      <c r="CP56" s="34"/>
    </row>
    <row r="57" spans="1:94" ht="30" customHeight="1" x14ac:dyDescent="0.25">
      <c r="A57" s="30" t="s">
        <v>597</v>
      </c>
      <c r="B57" s="35">
        <v>200</v>
      </c>
      <c r="C57" s="37" t="s">
        <v>768</v>
      </c>
      <c r="D57" s="50"/>
      <c r="E57" s="37" t="s">
        <v>478</v>
      </c>
      <c r="F57" s="37"/>
      <c r="G57" s="29" t="s">
        <v>598</v>
      </c>
      <c r="H57" s="50">
        <v>4036.26</v>
      </c>
      <c r="I57" s="50">
        <v>11053.39</v>
      </c>
      <c r="J57" s="52" t="s">
        <v>836</v>
      </c>
      <c r="K57" s="52" t="s">
        <v>836</v>
      </c>
      <c r="L57" s="37" t="s">
        <v>769</v>
      </c>
      <c r="M57" s="37" t="s">
        <v>335</v>
      </c>
      <c r="N57" s="29" t="s">
        <v>2</v>
      </c>
      <c r="O57" s="37"/>
      <c r="P57" s="37" t="s">
        <v>479</v>
      </c>
      <c r="Q57" s="37" t="s">
        <v>480</v>
      </c>
      <c r="R57" s="37" t="s">
        <v>475</v>
      </c>
      <c r="S57" s="29">
        <v>11.25</v>
      </c>
      <c r="T57" s="29">
        <v>0</v>
      </c>
      <c r="U57" s="29">
        <v>45</v>
      </c>
      <c r="V57" s="37" t="s">
        <v>754</v>
      </c>
      <c r="W57" s="37">
        <v>1</v>
      </c>
      <c r="X57" s="37" t="s">
        <v>837</v>
      </c>
      <c r="Y57" s="43" t="s">
        <v>838</v>
      </c>
      <c r="Z57" s="37" t="b">
        <v>0</v>
      </c>
      <c r="AA57" s="37" t="s">
        <v>757</v>
      </c>
      <c r="AB57" s="37" t="s">
        <v>758</v>
      </c>
      <c r="AC57" s="37">
        <v>493.08</v>
      </c>
      <c r="AD57" s="35" t="b">
        <v>1</v>
      </c>
      <c r="AE57" s="37" t="s">
        <v>839</v>
      </c>
      <c r="AF57" s="37"/>
      <c r="AG57" s="37"/>
      <c r="AH57" s="37" t="s">
        <v>840</v>
      </c>
      <c r="AI57" s="53" t="b">
        <v>1</v>
      </c>
      <c r="AJ57" s="52" t="s">
        <v>836</v>
      </c>
      <c r="AK57" s="46" t="b">
        <v>0</v>
      </c>
      <c r="AL57" s="46" t="b">
        <v>0</v>
      </c>
      <c r="AM57" s="37">
        <v>0</v>
      </c>
      <c r="AN57" s="37" t="b">
        <v>0</v>
      </c>
      <c r="AO57" s="37"/>
      <c r="AP57" s="37"/>
      <c r="AQ57" s="46" t="b">
        <v>0</v>
      </c>
      <c r="AR57" s="37" t="b">
        <v>0</v>
      </c>
      <c r="AS57" s="37" t="b">
        <v>0</v>
      </c>
      <c r="AT57" s="37"/>
      <c r="AU57" s="44"/>
      <c r="AV57" s="44"/>
      <c r="AW57" s="44" t="s">
        <v>841</v>
      </c>
      <c r="AX57" s="37" t="s">
        <v>761</v>
      </c>
      <c r="AY57" s="37" t="s">
        <v>762</v>
      </c>
      <c r="AZ57" s="37">
        <v>0</v>
      </c>
      <c r="BA57" s="37"/>
      <c r="BB57" s="37">
        <v>58</v>
      </c>
      <c r="BC57" s="37">
        <v>15</v>
      </c>
      <c r="BD57" s="37">
        <v>3</v>
      </c>
      <c r="BE57" s="37" t="b">
        <v>0</v>
      </c>
      <c r="BF57" s="35" t="b">
        <v>1</v>
      </c>
      <c r="BG57" s="37">
        <v>0</v>
      </c>
      <c r="BH57" s="37">
        <v>0</v>
      </c>
      <c r="BI57" s="37">
        <v>0</v>
      </c>
      <c r="BJ57" s="37">
        <v>0</v>
      </c>
      <c r="BK57" s="37">
        <v>0</v>
      </c>
      <c r="BL57" s="37">
        <v>0</v>
      </c>
      <c r="BM57" s="37"/>
      <c r="BN57" s="37" t="s">
        <v>481</v>
      </c>
      <c r="BO57" s="37" t="s">
        <v>481</v>
      </c>
      <c r="BP57" s="37">
        <v>0</v>
      </c>
      <c r="BQ57" s="37">
        <v>0</v>
      </c>
      <c r="BR57" s="37">
        <v>0</v>
      </c>
      <c r="BS57" s="37">
        <v>0</v>
      </c>
      <c r="BT57" s="37"/>
      <c r="BU57" s="37">
        <v>0</v>
      </c>
      <c r="BV57" s="37" t="b">
        <v>1</v>
      </c>
      <c r="BW57" s="37">
        <v>1.861E-3</v>
      </c>
      <c r="BX57" s="37">
        <v>30</v>
      </c>
      <c r="BY57" s="37">
        <v>3</v>
      </c>
      <c r="BZ57" s="37" t="b">
        <v>0</v>
      </c>
      <c r="CA57" s="37" t="s">
        <v>82</v>
      </c>
      <c r="CB57" s="37"/>
      <c r="CC57" s="37"/>
      <c r="CD57" s="37"/>
      <c r="CE57" s="37" t="s">
        <v>763</v>
      </c>
      <c r="CF57" s="37"/>
      <c r="CG57" s="37" t="b">
        <v>0</v>
      </c>
      <c r="CH57" s="37" t="b">
        <v>0</v>
      </c>
      <c r="CI57" s="37">
        <v>273</v>
      </c>
      <c r="CJ57" s="37">
        <v>272</v>
      </c>
      <c r="CK57" s="37"/>
      <c r="CL57" s="37"/>
      <c r="CM57" s="52">
        <v>1</v>
      </c>
      <c r="CN57" s="52" t="b">
        <v>0</v>
      </c>
      <c r="CO57" t="str">
        <f>IFERROR(HYPERLINK("#Main!A"&amp;MATCH(A57,Main!A:A,0),"Open"),HYPERLINK("#Main!A1","Open"))</f>
        <v>Open</v>
      </c>
    </row>
    <row r="58" spans="1:94" ht="30" customHeight="1" x14ac:dyDescent="0.25">
      <c r="A58" s="33" t="s">
        <v>601</v>
      </c>
      <c r="B58" s="35">
        <v>200</v>
      </c>
      <c r="C58" s="28" t="s">
        <v>768</v>
      </c>
      <c r="D58" s="49"/>
      <c r="E58" s="28" t="s">
        <v>478</v>
      </c>
      <c r="F58" s="28"/>
      <c r="G58" s="35" t="s">
        <v>477</v>
      </c>
      <c r="H58" s="49">
        <v>57.64</v>
      </c>
      <c r="I58" s="49">
        <v>18055.28</v>
      </c>
      <c r="J58" s="51" t="s">
        <v>601</v>
      </c>
      <c r="K58" s="51" t="s">
        <v>601</v>
      </c>
      <c r="L58" s="28" t="s">
        <v>769</v>
      </c>
      <c r="M58" s="28" t="s">
        <v>335</v>
      </c>
      <c r="N58" s="29" t="s">
        <v>2</v>
      </c>
      <c r="O58" s="28"/>
      <c r="P58" s="28" t="s">
        <v>479</v>
      </c>
      <c r="Q58" s="28" t="s">
        <v>484</v>
      </c>
      <c r="R58" s="28" t="s">
        <v>475</v>
      </c>
      <c r="S58" s="29">
        <v>25</v>
      </c>
      <c r="T58" s="29">
        <v>0</v>
      </c>
      <c r="U58" s="35">
        <v>100</v>
      </c>
      <c r="V58" s="28" t="s">
        <v>754</v>
      </c>
      <c r="W58" s="28">
        <v>0</v>
      </c>
      <c r="X58" s="28"/>
      <c r="Y58" s="31"/>
      <c r="Z58" s="28" t="b">
        <v>0</v>
      </c>
      <c r="AA58" s="28" t="s">
        <v>757</v>
      </c>
      <c r="AB58" s="28" t="s">
        <v>758</v>
      </c>
      <c r="AC58" s="28">
        <v>594.91</v>
      </c>
      <c r="AD58" s="35" t="b">
        <v>1</v>
      </c>
      <c r="AE58" s="28" t="s">
        <v>770</v>
      </c>
      <c r="AF58" s="28"/>
      <c r="AG58" s="28"/>
      <c r="AH58" s="28" t="s">
        <v>771</v>
      </c>
      <c r="AI58" s="53" t="b">
        <v>1</v>
      </c>
      <c r="AJ58" s="51" t="s">
        <v>601</v>
      </c>
      <c r="AK58" s="35" t="b">
        <v>1</v>
      </c>
      <c r="AL58" s="46" t="b">
        <v>0</v>
      </c>
      <c r="AM58" s="28">
        <v>0</v>
      </c>
      <c r="AN58" s="28" t="b">
        <v>0</v>
      </c>
      <c r="AO58" s="28"/>
      <c r="AP58" s="28"/>
      <c r="AQ58" s="46" t="b">
        <v>0</v>
      </c>
      <c r="AR58" s="28" t="b">
        <v>0</v>
      </c>
      <c r="AS58" s="28" t="b">
        <v>0</v>
      </c>
      <c r="AT58" s="28"/>
      <c r="AU58" s="41"/>
      <c r="AV58" s="41"/>
      <c r="AW58" s="41" t="s">
        <v>842</v>
      </c>
      <c r="AX58" s="28" t="s">
        <v>761</v>
      </c>
      <c r="AY58" s="28" t="s">
        <v>762</v>
      </c>
      <c r="AZ58" s="28">
        <v>0</v>
      </c>
      <c r="BA58" s="28"/>
      <c r="BB58" s="28">
        <v>42</v>
      </c>
      <c r="BC58" s="28">
        <v>20</v>
      </c>
      <c r="BD58" s="28">
        <v>6</v>
      </c>
      <c r="BE58" s="28" t="b">
        <v>0</v>
      </c>
      <c r="BF58" s="35" t="b">
        <v>1</v>
      </c>
      <c r="BG58" s="28">
        <v>37</v>
      </c>
      <c r="BH58" s="28">
        <v>37</v>
      </c>
      <c r="BI58" s="28">
        <v>24.283999999999999</v>
      </c>
      <c r="BJ58" s="28">
        <v>6.5000000000000002E-2</v>
      </c>
      <c r="BK58" s="28">
        <v>0.17299999999999999</v>
      </c>
      <c r="BL58" s="28">
        <v>24.283999999999999</v>
      </c>
      <c r="BM58" s="28">
        <v>6.5000000000000002E-2</v>
      </c>
      <c r="BN58" s="28" t="s">
        <v>775</v>
      </c>
      <c r="BO58" s="28" t="s">
        <v>481</v>
      </c>
      <c r="BP58" s="28">
        <v>0</v>
      </c>
      <c r="BQ58" s="28">
        <v>0</v>
      </c>
      <c r="BR58" s="28">
        <v>0</v>
      </c>
      <c r="BS58" s="28">
        <v>0</v>
      </c>
      <c r="BT58" s="28">
        <v>2</v>
      </c>
      <c r="BU58" s="28">
        <v>21</v>
      </c>
      <c r="BV58" s="28" t="b">
        <v>0</v>
      </c>
      <c r="BW58" s="28">
        <v>8.3590000000000001E-3</v>
      </c>
      <c r="BX58" s="28">
        <v>40</v>
      </c>
      <c r="BY58" s="28">
        <v>4</v>
      </c>
      <c r="BZ58" s="28" t="b">
        <v>0</v>
      </c>
      <c r="CA58" s="28" t="s">
        <v>82</v>
      </c>
      <c r="CB58" s="28"/>
      <c r="CC58" s="28"/>
      <c r="CD58" s="28"/>
      <c r="CE58" s="28" t="s">
        <v>776</v>
      </c>
      <c r="CF58" s="28"/>
      <c r="CG58" s="28" t="b">
        <v>0</v>
      </c>
      <c r="CH58" s="28" t="b">
        <v>0</v>
      </c>
      <c r="CI58" s="28">
        <v>223</v>
      </c>
      <c r="CJ58" s="28">
        <v>992</v>
      </c>
      <c r="CK58" s="28"/>
      <c r="CL58" s="28"/>
      <c r="CM58" s="51">
        <v>1</v>
      </c>
      <c r="CN58" s="51" t="b">
        <v>0</v>
      </c>
      <c r="CO58" s="34" t="str">
        <f>IFERROR(HYPERLINK("#Main!A"&amp;MATCH(A58,Main!A:A,0),"Open"),HYPERLINK("#Main!A1","Open"))</f>
        <v>Open</v>
      </c>
      <c r="CP58" s="34"/>
    </row>
    <row r="59" spans="1:94" ht="30" customHeight="1" x14ac:dyDescent="0.25">
      <c r="A59" s="30" t="s">
        <v>604</v>
      </c>
      <c r="B59" s="35">
        <v>200</v>
      </c>
      <c r="C59" s="37" t="s">
        <v>768</v>
      </c>
      <c r="D59" s="50"/>
      <c r="E59" s="37" t="s">
        <v>478</v>
      </c>
      <c r="F59" s="37"/>
      <c r="G59" s="35" t="s">
        <v>477</v>
      </c>
      <c r="H59" s="50">
        <v>86.1</v>
      </c>
      <c r="I59" s="50">
        <v>18374.53</v>
      </c>
      <c r="J59" s="52" t="s">
        <v>604</v>
      </c>
      <c r="K59" s="52" t="s">
        <v>604</v>
      </c>
      <c r="L59" s="37" t="s">
        <v>769</v>
      </c>
      <c r="M59" s="37" t="s">
        <v>335</v>
      </c>
      <c r="N59" s="29" t="s">
        <v>2</v>
      </c>
      <c r="O59" s="37"/>
      <c r="P59" s="37" t="s">
        <v>479</v>
      </c>
      <c r="Q59" s="37" t="s">
        <v>484</v>
      </c>
      <c r="R59" s="37" t="s">
        <v>475</v>
      </c>
      <c r="S59" s="29">
        <v>25</v>
      </c>
      <c r="T59" s="29">
        <v>0</v>
      </c>
      <c r="U59" s="35">
        <v>100</v>
      </c>
      <c r="V59" s="37" t="s">
        <v>754</v>
      </c>
      <c r="W59" s="37">
        <v>0</v>
      </c>
      <c r="X59" s="37"/>
      <c r="Y59" s="43"/>
      <c r="Z59" s="37" t="b">
        <v>0</v>
      </c>
      <c r="AA59" s="37" t="s">
        <v>757</v>
      </c>
      <c r="AB59" s="37" t="s">
        <v>758</v>
      </c>
      <c r="AC59" s="37">
        <v>392.89</v>
      </c>
      <c r="AD59" s="35" t="b">
        <v>1</v>
      </c>
      <c r="AE59" s="37" t="s">
        <v>770</v>
      </c>
      <c r="AF59" s="37"/>
      <c r="AG59" s="37"/>
      <c r="AH59" s="37" t="s">
        <v>771</v>
      </c>
      <c r="AI59" s="53" t="b">
        <v>1</v>
      </c>
      <c r="AJ59" s="52" t="s">
        <v>604</v>
      </c>
      <c r="AK59" s="35" t="b">
        <v>1</v>
      </c>
      <c r="AL59" s="46" t="b">
        <v>0</v>
      </c>
      <c r="AM59" s="37">
        <v>0</v>
      </c>
      <c r="AN59" s="37" t="b">
        <v>0</v>
      </c>
      <c r="AO59" s="37"/>
      <c r="AP59" s="37"/>
      <c r="AQ59" s="46" t="b">
        <v>0</v>
      </c>
      <c r="AR59" s="37" t="b">
        <v>0</v>
      </c>
      <c r="AS59" s="37" t="b">
        <v>0</v>
      </c>
      <c r="AT59" s="37"/>
      <c r="AU59" s="44"/>
      <c r="AV59" s="44"/>
      <c r="AW59" s="44" t="s">
        <v>843</v>
      </c>
      <c r="AX59" s="37" t="s">
        <v>761</v>
      </c>
      <c r="AY59" s="37" t="s">
        <v>762</v>
      </c>
      <c r="AZ59" s="37">
        <v>0</v>
      </c>
      <c r="BA59" s="37"/>
      <c r="BB59" s="37">
        <v>32</v>
      </c>
      <c r="BC59" s="37">
        <v>15</v>
      </c>
      <c r="BD59" s="37">
        <v>2</v>
      </c>
      <c r="BE59" s="37" t="b">
        <v>0</v>
      </c>
      <c r="BF59" s="35" t="b">
        <v>1</v>
      </c>
      <c r="BG59" s="37">
        <v>46</v>
      </c>
      <c r="BH59" s="37">
        <v>29</v>
      </c>
      <c r="BI59" s="37">
        <v>11.528</v>
      </c>
      <c r="BJ59" s="37">
        <v>2.3E-2</v>
      </c>
      <c r="BK59" s="37">
        <v>0.17299999999999999</v>
      </c>
      <c r="BL59" s="37">
        <v>11.528</v>
      </c>
      <c r="BM59" s="37">
        <v>2.3E-2</v>
      </c>
      <c r="BN59" s="37" t="s">
        <v>775</v>
      </c>
      <c r="BO59" s="37" t="s">
        <v>481</v>
      </c>
      <c r="BP59" s="37">
        <v>0</v>
      </c>
      <c r="BQ59" s="37">
        <v>0</v>
      </c>
      <c r="BR59" s="37">
        <v>0</v>
      </c>
      <c r="BS59" s="37">
        <v>0</v>
      </c>
      <c r="BT59" s="37"/>
      <c r="BU59" s="37">
        <v>0</v>
      </c>
      <c r="BV59" s="37" t="b">
        <v>1</v>
      </c>
      <c r="BW59" s="37">
        <v>1.861E-3</v>
      </c>
      <c r="BX59" s="37">
        <v>100</v>
      </c>
      <c r="BY59" s="37">
        <v>16</v>
      </c>
      <c r="BZ59" s="37" t="b">
        <v>0</v>
      </c>
      <c r="CA59" s="37" t="s">
        <v>82</v>
      </c>
      <c r="CB59" s="37"/>
      <c r="CC59" s="37"/>
      <c r="CD59" s="37"/>
      <c r="CE59" s="37" t="s">
        <v>763</v>
      </c>
      <c r="CF59" s="37"/>
      <c r="CG59" s="37" t="b">
        <v>0</v>
      </c>
      <c r="CH59" s="37" t="b">
        <v>0</v>
      </c>
      <c r="CI59" s="37">
        <v>453</v>
      </c>
      <c r="CJ59" s="37">
        <v>4960</v>
      </c>
      <c r="CK59" s="37"/>
      <c r="CL59" s="37"/>
      <c r="CM59" s="52">
        <v>1</v>
      </c>
      <c r="CN59" s="52" t="b">
        <v>0</v>
      </c>
      <c r="CO59" t="str">
        <f>IFERROR(HYPERLINK("#Main!A"&amp;MATCH(A59,Main!A:A,0),"Open"),HYPERLINK("#Main!A1","Open"))</f>
        <v>Open</v>
      </c>
    </row>
    <row r="60" spans="1:94" ht="30" customHeight="1" x14ac:dyDescent="0.25">
      <c r="A60" s="33" t="s">
        <v>608</v>
      </c>
      <c r="B60" s="35">
        <v>200</v>
      </c>
      <c r="C60" s="28" t="s">
        <v>768</v>
      </c>
      <c r="D60" s="49"/>
      <c r="E60" s="28" t="s">
        <v>478</v>
      </c>
      <c r="F60" s="28"/>
      <c r="G60" s="35" t="s">
        <v>477</v>
      </c>
      <c r="H60" s="49">
        <v>76.03</v>
      </c>
      <c r="I60" s="49">
        <v>17980.52</v>
      </c>
      <c r="J60" s="51" t="s">
        <v>608</v>
      </c>
      <c r="K60" s="51" t="s">
        <v>608</v>
      </c>
      <c r="L60" s="28" t="s">
        <v>769</v>
      </c>
      <c r="M60" s="28" t="s">
        <v>335</v>
      </c>
      <c r="N60" s="29" t="s">
        <v>2</v>
      </c>
      <c r="O60" s="28"/>
      <c r="P60" s="28" t="s">
        <v>479</v>
      </c>
      <c r="Q60" s="28" t="s">
        <v>484</v>
      </c>
      <c r="R60" s="28" t="s">
        <v>475</v>
      </c>
      <c r="S60" s="29">
        <v>25</v>
      </c>
      <c r="T60" s="29">
        <v>0</v>
      </c>
      <c r="U60" s="35">
        <v>100</v>
      </c>
      <c r="V60" s="28" t="s">
        <v>754</v>
      </c>
      <c r="W60" s="28">
        <v>0</v>
      </c>
      <c r="X60" s="28"/>
      <c r="Y60" s="31"/>
      <c r="Z60" s="28" t="b">
        <v>0</v>
      </c>
      <c r="AA60" s="28" t="s">
        <v>757</v>
      </c>
      <c r="AB60" s="28" t="s">
        <v>758</v>
      </c>
      <c r="AC60" s="28">
        <v>348.69</v>
      </c>
      <c r="AD60" s="35" t="b">
        <v>1</v>
      </c>
      <c r="AE60" s="28" t="s">
        <v>770</v>
      </c>
      <c r="AF60" s="28"/>
      <c r="AG60" s="28"/>
      <c r="AH60" s="28" t="s">
        <v>771</v>
      </c>
      <c r="AI60" s="53" t="b">
        <v>1</v>
      </c>
      <c r="AJ60" s="51" t="s">
        <v>608</v>
      </c>
      <c r="AK60" s="35" t="b">
        <v>1</v>
      </c>
      <c r="AL60" s="46" t="b">
        <v>0</v>
      </c>
      <c r="AM60" s="28">
        <v>0</v>
      </c>
      <c r="AN60" s="28" t="b">
        <v>0</v>
      </c>
      <c r="AO60" s="28"/>
      <c r="AP60" s="28"/>
      <c r="AQ60" s="46" t="b">
        <v>0</v>
      </c>
      <c r="AR60" s="28" t="b">
        <v>0</v>
      </c>
      <c r="AS60" s="28" t="b">
        <v>0</v>
      </c>
      <c r="AT60" s="28"/>
      <c r="AU60" s="41"/>
      <c r="AV60" s="41"/>
      <c r="AW60" s="41" t="s">
        <v>844</v>
      </c>
      <c r="AX60" s="28" t="s">
        <v>761</v>
      </c>
      <c r="AY60" s="28" t="s">
        <v>762</v>
      </c>
      <c r="AZ60" s="28">
        <v>0</v>
      </c>
      <c r="BA60" s="28"/>
      <c r="BB60" s="28">
        <v>31</v>
      </c>
      <c r="BC60" s="28">
        <v>14</v>
      </c>
      <c r="BD60" s="28">
        <v>2</v>
      </c>
      <c r="BE60" s="28" t="b">
        <v>0</v>
      </c>
      <c r="BF60" s="35" t="b">
        <v>1</v>
      </c>
      <c r="BG60" s="28">
        <v>61</v>
      </c>
      <c r="BH60" s="28">
        <v>36</v>
      </c>
      <c r="BI60" s="28">
        <v>5.407</v>
      </c>
      <c r="BJ60" s="28">
        <v>3.0000000000000001E-3</v>
      </c>
      <c r="BK60" s="28">
        <v>0.59499999999999997</v>
      </c>
      <c r="BL60" s="28">
        <v>5.407</v>
      </c>
      <c r="BM60" s="28">
        <v>3.0000000000000001E-3</v>
      </c>
      <c r="BN60" s="28" t="s">
        <v>775</v>
      </c>
      <c r="BO60" s="28" t="s">
        <v>481</v>
      </c>
      <c r="BP60" s="28">
        <v>0</v>
      </c>
      <c r="BQ60" s="28">
        <v>0</v>
      </c>
      <c r="BR60" s="28">
        <v>0</v>
      </c>
      <c r="BS60" s="28">
        <v>0</v>
      </c>
      <c r="BT60" s="28">
        <v>1</v>
      </c>
      <c r="BU60" s="28">
        <v>59</v>
      </c>
      <c r="BV60" s="28" t="b">
        <v>0</v>
      </c>
      <c r="BW60" s="28">
        <v>5.8172000000000001E-2</v>
      </c>
      <c r="BX60" s="28">
        <v>100</v>
      </c>
      <c r="BY60" s="28">
        <v>16</v>
      </c>
      <c r="BZ60" s="28" t="b">
        <v>0</v>
      </c>
      <c r="CA60" s="28" t="s">
        <v>82</v>
      </c>
      <c r="CB60" s="28"/>
      <c r="CC60" s="28"/>
      <c r="CD60" s="28"/>
      <c r="CE60" s="28" t="s">
        <v>776</v>
      </c>
      <c r="CF60" s="28"/>
      <c r="CG60" s="28" t="b">
        <v>0</v>
      </c>
      <c r="CH60" s="28" t="b">
        <v>0</v>
      </c>
      <c r="CI60" s="28">
        <v>316</v>
      </c>
      <c r="CJ60" s="28">
        <v>489</v>
      </c>
      <c r="CK60" s="28"/>
      <c r="CL60" s="28"/>
      <c r="CM60" s="51">
        <v>1</v>
      </c>
      <c r="CN60" s="51" t="b">
        <v>0</v>
      </c>
      <c r="CO60" s="34" t="str">
        <f>IFERROR(HYPERLINK("#Main!A"&amp;MATCH(A60,Main!A:A,0),"Open"),HYPERLINK("#Main!A1","Open"))</f>
        <v>Open</v>
      </c>
      <c r="CP60" s="34"/>
    </row>
    <row r="61" spans="1:94" ht="30" customHeight="1" x14ac:dyDescent="0.25">
      <c r="A61" s="30" t="s">
        <v>611</v>
      </c>
      <c r="B61" s="35">
        <v>200</v>
      </c>
      <c r="C61" s="37" t="s">
        <v>768</v>
      </c>
      <c r="D61" s="50"/>
      <c r="E61" s="37" t="s">
        <v>478</v>
      </c>
      <c r="F61" s="37"/>
      <c r="G61" s="35" t="s">
        <v>477</v>
      </c>
      <c r="H61" s="50">
        <v>56.8</v>
      </c>
      <c r="I61" s="50">
        <v>18025.23</v>
      </c>
      <c r="J61" s="52" t="s">
        <v>611</v>
      </c>
      <c r="K61" s="52" t="s">
        <v>611</v>
      </c>
      <c r="L61" s="37" t="s">
        <v>769</v>
      </c>
      <c r="M61" s="37" t="s">
        <v>335</v>
      </c>
      <c r="N61" s="29" t="s">
        <v>2</v>
      </c>
      <c r="O61" s="37"/>
      <c r="P61" s="37" t="s">
        <v>479</v>
      </c>
      <c r="Q61" s="37" t="s">
        <v>484</v>
      </c>
      <c r="R61" s="37" t="s">
        <v>475</v>
      </c>
      <c r="S61" s="29">
        <v>11.25</v>
      </c>
      <c r="T61" s="29">
        <v>0</v>
      </c>
      <c r="U61" s="29">
        <v>45</v>
      </c>
      <c r="V61" s="37" t="s">
        <v>754</v>
      </c>
      <c r="W61" s="37">
        <v>0</v>
      </c>
      <c r="X61" s="37"/>
      <c r="Y61" s="43"/>
      <c r="Z61" s="37" t="b">
        <v>0</v>
      </c>
      <c r="AA61" s="37" t="s">
        <v>757</v>
      </c>
      <c r="AB61" s="37" t="s">
        <v>758</v>
      </c>
      <c r="AC61" s="37">
        <v>312.68</v>
      </c>
      <c r="AD61" s="35" t="b">
        <v>1</v>
      </c>
      <c r="AE61" s="37" t="s">
        <v>770</v>
      </c>
      <c r="AF61" s="37"/>
      <c r="AG61" s="37"/>
      <c r="AH61" s="37" t="s">
        <v>771</v>
      </c>
      <c r="AI61" s="53" t="b">
        <v>1</v>
      </c>
      <c r="AJ61" s="52" t="s">
        <v>611</v>
      </c>
      <c r="AK61" s="35" t="b">
        <v>1</v>
      </c>
      <c r="AL61" s="46" t="b">
        <v>0</v>
      </c>
      <c r="AM61" s="37">
        <v>0</v>
      </c>
      <c r="AN61" s="37" t="b">
        <v>0</v>
      </c>
      <c r="AO61" s="37"/>
      <c r="AP61" s="37"/>
      <c r="AQ61" s="46" t="b">
        <v>0</v>
      </c>
      <c r="AR61" s="37" t="b">
        <v>0</v>
      </c>
      <c r="AS61" s="37" t="b">
        <v>0</v>
      </c>
      <c r="AT61" s="37"/>
      <c r="AU61" s="44"/>
      <c r="AV61" s="44"/>
      <c r="AW61" s="44" t="s">
        <v>845</v>
      </c>
      <c r="AX61" s="37" t="s">
        <v>761</v>
      </c>
      <c r="AY61" s="37" t="s">
        <v>762</v>
      </c>
      <c r="AZ61" s="37">
        <v>0</v>
      </c>
      <c r="BA61" s="37"/>
      <c r="BB61" s="37">
        <v>34</v>
      </c>
      <c r="BC61" s="37">
        <v>17</v>
      </c>
      <c r="BD61" s="37">
        <v>2</v>
      </c>
      <c r="BE61" s="37" t="b">
        <v>0</v>
      </c>
      <c r="BF61" s="35" t="b">
        <v>1</v>
      </c>
      <c r="BG61" s="37">
        <v>53</v>
      </c>
      <c r="BH61" s="37">
        <v>33</v>
      </c>
      <c r="BI61" s="37">
        <v>9.2460000000000004</v>
      </c>
      <c r="BJ61" s="37">
        <v>1E-3</v>
      </c>
      <c r="BK61" s="37">
        <v>0.20200000000000001</v>
      </c>
      <c r="BL61" s="37">
        <v>9.2460000000000004</v>
      </c>
      <c r="BM61" s="37">
        <v>1E-3</v>
      </c>
      <c r="BN61" s="37" t="s">
        <v>775</v>
      </c>
      <c r="BO61" s="37" t="s">
        <v>481</v>
      </c>
      <c r="BP61" s="37">
        <v>0</v>
      </c>
      <c r="BQ61" s="37">
        <v>0</v>
      </c>
      <c r="BR61" s="37">
        <v>0</v>
      </c>
      <c r="BS61" s="37">
        <v>0</v>
      </c>
      <c r="BT61" s="37"/>
      <c r="BU61" s="37">
        <v>0</v>
      </c>
      <c r="BV61" s="37" t="b">
        <v>1</v>
      </c>
      <c r="BW61" s="37">
        <v>1.861E-3</v>
      </c>
      <c r="BX61" s="37">
        <v>30</v>
      </c>
      <c r="BY61" s="37">
        <v>3</v>
      </c>
      <c r="BZ61" s="37" t="b">
        <v>0</v>
      </c>
      <c r="CA61" s="37" t="s">
        <v>82</v>
      </c>
      <c r="CB61" s="37"/>
      <c r="CC61" s="37"/>
      <c r="CD61" s="37"/>
      <c r="CE61" s="37" t="s">
        <v>763</v>
      </c>
      <c r="CF61" s="37"/>
      <c r="CG61" s="37" t="b">
        <v>0</v>
      </c>
      <c r="CH61" s="37" t="b">
        <v>0</v>
      </c>
      <c r="CI61" s="37">
        <v>367</v>
      </c>
      <c r="CJ61" s="37">
        <v>620</v>
      </c>
      <c r="CK61" s="37"/>
      <c r="CL61" s="37"/>
      <c r="CM61" s="52">
        <v>1</v>
      </c>
      <c r="CN61" s="52" t="b">
        <v>0</v>
      </c>
      <c r="CO61" t="str">
        <f>IFERROR(HYPERLINK("#Main!A"&amp;MATCH(A61,Main!A:A,0),"Open"),HYPERLINK("#Main!A1","Open"))</f>
        <v>Open</v>
      </c>
    </row>
    <row r="62" spans="1:94" ht="30" customHeight="1" x14ac:dyDescent="0.25">
      <c r="A62" s="33" t="s">
        <v>615</v>
      </c>
      <c r="B62" s="35">
        <v>200</v>
      </c>
      <c r="C62" s="28" t="s">
        <v>768</v>
      </c>
      <c r="D62" s="49"/>
      <c r="E62" s="28" t="s">
        <v>478</v>
      </c>
      <c r="F62" s="28"/>
      <c r="G62" s="35" t="s">
        <v>477</v>
      </c>
      <c r="H62" s="49">
        <v>52.13</v>
      </c>
      <c r="I62" s="49">
        <v>18116.810000000001</v>
      </c>
      <c r="J62" s="51" t="s">
        <v>615</v>
      </c>
      <c r="K62" s="51" t="s">
        <v>615</v>
      </c>
      <c r="L62" s="28" t="s">
        <v>769</v>
      </c>
      <c r="M62" s="28" t="s">
        <v>335</v>
      </c>
      <c r="N62" s="29" t="s">
        <v>2</v>
      </c>
      <c r="O62" s="28"/>
      <c r="P62" s="28" t="s">
        <v>479</v>
      </c>
      <c r="Q62" s="28" t="s">
        <v>484</v>
      </c>
      <c r="R62" s="28" t="s">
        <v>475</v>
      </c>
      <c r="S62" s="29">
        <v>11.25</v>
      </c>
      <c r="T62" s="29">
        <v>0</v>
      </c>
      <c r="U62" s="29">
        <v>45</v>
      </c>
      <c r="V62" s="28" t="s">
        <v>754</v>
      </c>
      <c r="W62" s="28">
        <v>0</v>
      </c>
      <c r="X62" s="28"/>
      <c r="Y62" s="31"/>
      <c r="Z62" s="28" t="b">
        <v>0</v>
      </c>
      <c r="AA62" s="28" t="s">
        <v>757</v>
      </c>
      <c r="AB62" s="28" t="s">
        <v>758</v>
      </c>
      <c r="AC62" s="28">
        <v>252.42</v>
      </c>
      <c r="AD62" s="35" t="b">
        <v>1</v>
      </c>
      <c r="AE62" s="28" t="s">
        <v>770</v>
      </c>
      <c r="AF62" s="28"/>
      <c r="AG62" s="28"/>
      <c r="AH62" s="28" t="s">
        <v>771</v>
      </c>
      <c r="AI62" s="53" t="b">
        <v>1</v>
      </c>
      <c r="AJ62" s="51" t="s">
        <v>615</v>
      </c>
      <c r="AK62" s="35" t="b">
        <v>1</v>
      </c>
      <c r="AL62" s="46" t="b">
        <v>0</v>
      </c>
      <c r="AM62" s="28">
        <v>0</v>
      </c>
      <c r="AN62" s="28" t="b">
        <v>0</v>
      </c>
      <c r="AO62" s="28"/>
      <c r="AP62" s="28"/>
      <c r="AQ62" s="46" t="b">
        <v>0</v>
      </c>
      <c r="AR62" s="28" t="b">
        <v>0</v>
      </c>
      <c r="AS62" s="28" t="b">
        <v>0</v>
      </c>
      <c r="AT62" s="28"/>
      <c r="AU62" s="41"/>
      <c r="AV62" s="41"/>
      <c r="AW62" s="41" t="s">
        <v>846</v>
      </c>
      <c r="AX62" s="28" t="s">
        <v>761</v>
      </c>
      <c r="AY62" s="28" t="s">
        <v>762</v>
      </c>
      <c r="AZ62" s="28">
        <v>0</v>
      </c>
      <c r="BA62" s="28"/>
      <c r="BB62" s="28">
        <v>32</v>
      </c>
      <c r="BC62" s="28">
        <v>15</v>
      </c>
      <c r="BD62" s="28">
        <v>2</v>
      </c>
      <c r="BE62" s="28" t="b">
        <v>0</v>
      </c>
      <c r="BF62" s="35" t="b">
        <v>1</v>
      </c>
      <c r="BG62" s="28">
        <v>63</v>
      </c>
      <c r="BH62" s="28">
        <v>39</v>
      </c>
      <c r="BI62" s="28">
        <v>11.297000000000001</v>
      </c>
      <c r="BJ62" s="28">
        <v>2E-3</v>
      </c>
      <c r="BK62" s="28">
        <v>0.16900000000000001</v>
      </c>
      <c r="BL62" s="28">
        <v>11.297000000000001</v>
      </c>
      <c r="BM62" s="28">
        <v>2E-3</v>
      </c>
      <c r="BN62" s="28" t="s">
        <v>775</v>
      </c>
      <c r="BO62" s="28" t="s">
        <v>481</v>
      </c>
      <c r="BP62" s="28">
        <v>0</v>
      </c>
      <c r="BQ62" s="28">
        <v>0</v>
      </c>
      <c r="BR62" s="28">
        <v>0</v>
      </c>
      <c r="BS62" s="28">
        <v>0</v>
      </c>
      <c r="BT62" s="28"/>
      <c r="BU62" s="28">
        <v>0</v>
      </c>
      <c r="BV62" s="28" t="b">
        <v>1</v>
      </c>
      <c r="BW62" s="28">
        <v>1.861E-3</v>
      </c>
      <c r="BX62" s="28">
        <v>30</v>
      </c>
      <c r="BY62" s="28">
        <v>3</v>
      </c>
      <c r="BZ62" s="28" t="b">
        <v>0</v>
      </c>
      <c r="CA62" s="28" t="s">
        <v>82</v>
      </c>
      <c r="CB62" s="28"/>
      <c r="CC62" s="28"/>
      <c r="CD62" s="28"/>
      <c r="CE62" s="28" t="s">
        <v>763</v>
      </c>
      <c r="CF62" s="28"/>
      <c r="CG62" s="28" t="b">
        <v>0</v>
      </c>
      <c r="CH62" s="28" t="b">
        <v>0</v>
      </c>
      <c r="CI62" s="28">
        <v>417</v>
      </c>
      <c r="CJ62" s="28">
        <v>421</v>
      </c>
      <c r="CK62" s="28"/>
      <c r="CL62" s="28"/>
      <c r="CM62" s="51">
        <v>1</v>
      </c>
      <c r="CN62" s="51" t="b">
        <v>0</v>
      </c>
      <c r="CO62" s="34" t="str">
        <f>IFERROR(HYPERLINK("#Main!A"&amp;MATCH(A62,Main!A:A,0),"Open"),HYPERLINK("#Main!A1","Open"))</f>
        <v>Open</v>
      </c>
      <c r="CP62" s="34"/>
    </row>
    <row r="63" spans="1:94" ht="30" customHeight="1" x14ac:dyDescent="0.25">
      <c r="A63" s="30" t="s">
        <v>618</v>
      </c>
      <c r="B63" s="35">
        <v>200</v>
      </c>
      <c r="C63" s="37" t="s">
        <v>768</v>
      </c>
      <c r="D63" s="50"/>
      <c r="E63" s="37" t="s">
        <v>478</v>
      </c>
      <c r="F63" s="37"/>
      <c r="G63" s="35" t="s">
        <v>477</v>
      </c>
      <c r="H63" s="50">
        <v>60.35</v>
      </c>
      <c r="I63" s="50">
        <v>18207.96</v>
      </c>
      <c r="J63" s="52" t="s">
        <v>618</v>
      </c>
      <c r="K63" s="52" t="s">
        <v>618</v>
      </c>
      <c r="L63" s="37" t="s">
        <v>769</v>
      </c>
      <c r="M63" s="37" t="s">
        <v>335</v>
      </c>
      <c r="N63" s="29" t="s">
        <v>2</v>
      </c>
      <c r="O63" s="37"/>
      <c r="P63" s="37" t="s">
        <v>479</v>
      </c>
      <c r="Q63" s="37" t="s">
        <v>484</v>
      </c>
      <c r="R63" s="37" t="s">
        <v>475</v>
      </c>
      <c r="S63" s="29">
        <v>17.5</v>
      </c>
      <c r="T63" s="29">
        <v>0</v>
      </c>
      <c r="U63" s="32">
        <v>70</v>
      </c>
      <c r="V63" s="37" t="s">
        <v>754</v>
      </c>
      <c r="W63" s="37">
        <v>0</v>
      </c>
      <c r="X63" s="37"/>
      <c r="Y63" s="43"/>
      <c r="Z63" s="37" t="b">
        <v>0</v>
      </c>
      <c r="AA63" s="37" t="s">
        <v>757</v>
      </c>
      <c r="AB63" s="37" t="s">
        <v>758</v>
      </c>
      <c r="AC63" s="37">
        <v>366.49</v>
      </c>
      <c r="AD63" s="35" t="b">
        <v>1</v>
      </c>
      <c r="AE63" s="37" t="s">
        <v>770</v>
      </c>
      <c r="AF63" s="37"/>
      <c r="AG63" s="37"/>
      <c r="AH63" s="37" t="s">
        <v>771</v>
      </c>
      <c r="AI63" s="53" t="b">
        <v>1</v>
      </c>
      <c r="AJ63" s="52" t="s">
        <v>618</v>
      </c>
      <c r="AK63" s="35" t="b">
        <v>1</v>
      </c>
      <c r="AL63" s="46" t="b">
        <v>0</v>
      </c>
      <c r="AM63" s="37">
        <v>0</v>
      </c>
      <c r="AN63" s="37" t="b">
        <v>0</v>
      </c>
      <c r="AO63" s="37"/>
      <c r="AP63" s="37"/>
      <c r="AQ63" s="46" t="b">
        <v>0</v>
      </c>
      <c r="AR63" s="37" t="b">
        <v>0</v>
      </c>
      <c r="AS63" s="37" t="b">
        <v>0</v>
      </c>
      <c r="AT63" s="37"/>
      <c r="AU63" s="44"/>
      <c r="AV63" s="44"/>
      <c r="AW63" s="44" t="s">
        <v>847</v>
      </c>
      <c r="AX63" s="37" t="s">
        <v>761</v>
      </c>
      <c r="AY63" s="37" t="s">
        <v>762</v>
      </c>
      <c r="AZ63" s="37">
        <v>0</v>
      </c>
      <c r="BA63" s="37"/>
      <c r="BB63" s="37">
        <v>32</v>
      </c>
      <c r="BC63" s="37">
        <v>14</v>
      </c>
      <c r="BD63" s="37">
        <v>3</v>
      </c>
      <c r="BE63" s="37" t="b">
        <v>0</v>
      </c>
      <c r="BF63" s="35" t="b">
        <v>1</v>
      </c>
      <c r="BG63" s="37">
        <v>49</v>
      </c>
      <c r="BH63" s="37">
        <v>31</v>
      </c>
      <c r="BI63" s="37">
        <v>7.42</v>
      </c>
      <c r="BJ63" s="37">
        <v>1E-3</v>
      </c>
      <c r="BK63" s="37">
        <v>0.17399999999999999</v>
      </c>
      <c r="BL63" s="37">
        <v>7.42</v>
      </c>
      <c r="BM63" s="37">
        <v>1E-3</v>
      </c>
      <c r="BN63" s="37" t="s">
        <v>775</v>
      </c>
      <c r="BO63" s="37" t="s">
        <v>481</v>
      </c>
      <c r="BP63" s="37">
        <v>0</v>
      </c>
      <c r="BQ63" s="37">
        <v>0</v>
      </c>
      <c r="BR63" s="37">
        <v>0</v>
      </c>
      <c r="BS63" s="37">
        <v>0</v>
      </c>
      <c r="BT63" s="37">
        <v>1</v>
      </c>
      <c r="BU63" s="37">
        <v>59</v>
      </c>
      <c r="BV63" s="37" t="b">
        <v>0</v>
      </c>
      <c r="BW63" s="37">
        <v>5.8172000000000001E-2</v>
      </c>
      <c r="BX63" s="37">
        <v>100</v>
      </c>
      <c r="BY63" s="37">
        <v>16</v>
      </c>
      <c r="BZ63" s="37" t="b">
        <v>0</v>
      </c>
      <c r="CA63" s="37" t="s">
        <v>82</v>
      </c>
      <c r="CB63" s="37"/>
      <c r="CC63" s="37"/>
      <c r="CD63" s="37"/>
      <c r="CE63" s="37" t="s">
        <v>776</v>
      </c>
      <c r="CF63" s="37"/>
      <c r="CG63" s="37" t="b">
        <v>0</v>
      </c>
      <c r="CH63" s="37" t="b">
        <v>0</v>
      </c>
      <c r="CI63" s="37">
        <v>309</v>
      </c>
      <c r="CJ63" s="37">
        <v>2132</v>
      </c>
      <c r="CK63" s="37"/>
      <c r="CL63" s="37"/>
      <c r="CM63" s="52">
        <v>1</v>
      </c>
      <c r="CN63" s="52" t="b">
        <v>0</v>
      </c>
      <c r="CO63" t="str">
        <f>IFERROR(HYPERLINK("#Main!A"&amp;MATCH(A63,Main!A:A,0),"Open"),HYPERLINK("#Main!A1","Open"))</f>
        <v>Open</v>
      </c>
    </row>
    <row r="64" spans="1:94" ht="30" customHeight="1" x14ac:dyDescent="0.25">
      <c r="A64" s="33" t="s">
        <v>621</v>
      </c>
      <c r="B64" s="35">
        <v>200</v>
      </c>
      <c r="C64" s="28" t="s">
        <v>768</v>
      </c>
      <c r="D64" s="49"/>
      <c r="E64" s="28" t="s">
        <v>478</v>
      </c>
      <c r="F64" s="28"/>
      <c r="G64" s="35" t="s">
        <v>477</v>
      </c>
      <c r="H64" s="49">
        <v>65.53</v>
      </c>
      <c r="I64" s="49">
        <v>18048.669999999998</v>
      </c>
      <c r="J64" s="51" t="s">
        <v>621</v>
      </c>
      <c r="K64" s="51" t="s">
        <v>621</v>
      </c>
      <c r="L64" s="28" t="s">
        <v>769</v>
      </c>
      <c r="M64" s="28" t="s">
        <v>335</v>
      </c>
      <c r="N64" s="29" t="s">
        <v>2</v>
      </c>
      <c r="O64" s="28"/>
      <c r="P64" s="28" t="s">
        <v>479</v>
      </c>
      <c r="Q64" s="28" t="s">
        <v>484</v>
      </c>
      <c r="R64" s="28" t="s">
        <v>475</v>
      </c>
      <c r="S64" s="29">
        <v>11.25</v>
      </c>
      <c r="T64" s="29">
        <v>0</v>
      </c>
      <c r="U64" s="29">
        <v>45</v>
      </c>
      <c r="V64" s="28" t="s">
        <v>754</v>
      </c>
      <c r="W64" s="28">
        <v>0</v>
      </c>
      <c r="X64" s="28"/>
      <c r="Y64" s="31"/>
      <c r="Z64" s="28" t="b">
        <v>0</v>
      </c>
      <c r="AA64" s="28" t="s">
        <v>757</v>
      </c>
      <c r="AB64" s="28" t="s">
        <v>758</v>
      </c>
      <c r="AC64" s="28">
        <v>259.49</v>
      </c>
      <c r="AD64" s="35" t="b">
        <v>1</v>
      </c>
      <c r="AE64" s="28" t="s">
        <v>770</v>
      </c>
      <c r="AF64" s="28"/>
      <c r="AG64" s="28"/>
      <c r="AH64" s="28" t="s">
        <v>771</v>
      </c>
      <c r="AI64" s="53" t="b">
        <v>1</v>
      </c>
      <c r="AJ64" s="51" t="s">
        <v>621</v>
      </c>
      <c r="AK64" s="35" t="b">
        <v>1</v>
      </c>
      <c r="AL64" s="46" t="b">
        <v>0</v>
      </c>
      <c r="AM64" s="28">
        <v>0</v>
      </c>
      <c r="AN64" s="28" t="b">
        <v>0</v>
      </c>
      <c r="AO64" s="28"/>
      <c r="AP64" s="28"/>
      <c r="AQ64" s="46" t="b">
        <v>0</v>
      </c>
      <c r="AR64" s="28" t="b">
        <v>0</v>
      </c>
      <c r="AS64" s="28" t="b">
        <v>0</v>
      </c>
      <c r="AT64" s="28"/>
      <c r="AU64" s="41"/>
      <c r="AV64" s="41"/>
      <c r="AW64" s="41" t="s">
        <v>848</v>
      </c>
      <c r="AX64" s="28" t="s">
        <v>761</v>
      </c>
      <c r="AY64" s="28" t="s">
        <v>762</v>
      </c>
      <c r="AZ64" s="28">
        <v>0</v>
      </c>
      <c r="BA64" s="28"/>
      <c r="BB64" s="28">
        <v>34</v>
      </c>
      <c r="BC64" s="28">
        <v>17</v>
      </c>
      <c r="BD64" s="28">
        <v>2</v>
      </c>
      <c r="BE64" s="28" t="b">
        <v>0</v>
      </c>
      <c r="BF64" s="35" t="b">
        <v>1</v>
      </c>
      <c r="BG64" s="28">
        <v>64</v>
      </c>
      <c r="BH64" s="28">
        <v>30</v>
      </c>
      <c r="BI64" s="28">
        <v>8.3059999999999992</v>
      </c>
      <c r="BJ64" s="28">
        <v>1E-3</v>
      </c>
      <c r="BK64" s="28">
        <v>0.17</v>
      </c>
      <c r="BL64" s="28">
        <v>8.3059999999999992</v>
      </c>
      <c r="BM64" s="28">
        <v>1E-3</v>
      </c>
      <c r="BN64" s="28" t="s">
        <v>775</v>
      </c>
      <c r="BO64" s="28" t="s">
        <v>481</v>
      </c>
      <c r="BP64" s="28">
        <v>0</v>
      </c>
      <c r="BQ64" s="28">
        <v>0</v>
      </c>
      <c r="BR64" s="28">
        <v>0</v>
      </c>
      <c r="BS64" s="28">
        <v>0</v>
      </c>
      <c r="BT64" s="28"/>
      <c r="BU64" s="28">
        <v>0</v>
      </c>
      <c r="BV64" s="28" t="b">
        <v>1</v>
      </c>
      <c r="BW64" s="28">
        <v>1.861E-3</v>
      </c>
      <c r="BX64" s="28">
        <v>30</v>
      </c>
      <c r="BY64" s="28">
        <v>3</v>
      </c>
      <c r="BZ64" s="28" t="b">
        <v>0</v>
      </c>
      <c r="CA64" s="28" t="s">
        <v>82</v>
      </c>
      <c r="CB64" s="28"/>
      <c r="CC64" s="28"/>
      <c r="CD64" s="28"/>
      <c r="CE64" s="28" t="s">
        <v>763</v>
      </c>
      <c r="CF64" s="28"/>
      <c r="CG64" s="28" t="b">
        <v>0</v>
      </c>
      <c r="CH64" s="28" t="b">
        <v>0</v>
      </c>
      <c r="CI64" s="28">
        <v>424</v>
      </c>
      <c r="CJ64" s="28">
        <v>1339</v>
      </c>
      <c r="CK64" s="28"/>
      <c r="CL64" s="28"/>
      <c r="CM64" s="51">
        <v>1</v>
      </c>
      <c r="CN64" s="51" t="b">
        <v>0</v>
      </c>
      <c r="CO64" s="34" t="str">
        <f>IFERROR(HYPERLINK("#Main!A"&amp;MATCH(A64,Main!A:A,0),"Open"),HYPERLINK("#Main!A1","Open"))</f>
        <v>Open</v>
      </c>
      <c r="CP64" s="34"/>
    </row>
    <row r="65" spans="1:94" ht="30" customHeight="1" x14ac:dyDescent="0.25">
      <c r="A65" s="30" t="s">
        <v>624</v>
      </c>
      <c r="B65" s="35">
        <v>200</v>
      </c>
      <c r="C65" s="37" t="s">
        <v>768</v>
      </c>
      <c r="D65" s="50"/>
      <c r="E65" s="37" t="s">
        <v>478</v>
      </c>
      <c r="F65" s="37"/>
      <c r="G65" s="35" t="s">
        <v>477</v>
      </c>
      <c r="H65" s="50">
        <v>67.13</v>
      </c>
      <c r="I65" s="50">
        <v>18017.14</v>
      </c>
      <c r="J65" s="52" t="s">
        <v>624</v>
      </c>
      <c r="K65" s="52" t="s">
        <v>624</v>
      </c>
      <c r="L65" s="37" t="s">
        <v>769</v>
      </c>
      <c r="M65" s="37" t="s">
        <v>335</v>
      </c>
      <c r="N65" s="29" t="s">
        <v>2</v>
      </c>
      <c r="O65" s="37"/>
      <c r="P65" s="37" t="s">
        <v>479</v>
      </c>
      <c r="Q65" s="37" t="s">
        <v>484</v>
      </c>
      <c r="R65" s="37" t="s">
        <v>475</v>
      </c>
      <c r="S65" s="29">
        <v>6.25</v>
      </c>
      <c r="T65" s="29">
        <v>0</v>
      </c>
      <c r="U65" s="29">
        <v>25</v>
      </c>
      <c r="V65" s="37" t="s">
        <v>754</v>
      </c>
      <c r="W65" s="37">
        <v>0</v>
      </c>
      <c r="X65" s="37"/>
      <c r="Y65" s="43"/>
      <c r="Z65" s="37" t="b">
        <v>0</v>
      </c>
      <c r="AA65" s="37" t="s">
        <v>757</v>
      </c>
      <c r="AB65" s="37" t="s">
        <v>758</v>
      </c>
      <c r="AC65" s="37">
        <v>257.98</v>
      </c>
      <c r="AD65" s="35" t="b">
        <v>1</v>
      </c>
      <c r="AE65" s="37" t="s">
        <v>770</v>
      </c>
      <c r="AF65" s="37"/>
      <c r="AG65" s="37"/>
      <c r="AH65" s="37" t="s">
        <v>771</v>
      </c>
      <c r="AI65" s="53" t="b">
        <v>1</v>
      </c>
      <c r="AJ65" s="52" t="s">
        <v>624</v>
      </c>
      <c r="AK65" s="35" t="b">
        <v>1</v>
      </c>
      <c r="AL65" s="46" t="b">
        <v>0</v>
      </c>
      <c r="AM65" s="37">
        <v>0</v>
      </c>
      <c r="AN65" s="37" t="b">
        <v>0</v>
      </c>
      <c r="AO65" s="37"/>
      <c r="AP65" s="37"/>
      <c r="AQ65" s="46" t="b">
        <v>0</v>
      </c>
      <c r="AR65" s="37" t="b">
        <v>0</v>
      </c>
      <c r="AS65" s="37" t="b">
        <v>0</v>
      </c>
      <c r="AT65" s="37"/>
      <c r="AU65" s="44"/>
      <c r="AV65" s="44"/>
      <c r="AW65" s="44" t="s">
        <v>849</v>
      </c>
      <c r="AX65" s="37" t="s">
        <v>761</v>
      </c>
      <c r="AY65" s="37" t="s">
        <v>762</v>
      </c>
      <c r="AZ65" s="37">
        <v>0</v>
      </c>
      <c r="BA65" s="37"/>
      <c r="BB65" s="37">
        <v>31</v>
      </c>
      <c r="BC65" s="37">
        <v>14</v>
      </c>
      <c r="BD65" s="37">
        <v>2</v>
      </c>
      <c r="BE65" s="37" t="b">
        <v>0</v>
      </c>
      <c r="BF65" s="35" t="b">
        <v>1</v>
      </c>
      <c r="BG65" s="37">
        <v>66</v>
      </c>
      <c r="BH65" s="37">
        <v>34</v>
      </c>
      <c r="BI65" s="37">
        <v>6.0140000000000002</v>
      </c>
      <c r="BJ65" s="37">
        <v>2.4E-2</v>
      </c>
      <c r="BK65" s="37">
        <v>0.20899999999999999</v>
      </c>
      <c r="BL65" s="37">
        <v>6.0140000000000002</v>
      </c>
      <c r="BM65" s="37">
        <v>2.4E-2</v>
      </c>
      <c r="BN65" s="37" t="s">
        <v>775</v>
      </c>
      <c r="BO65" s="37" t="s">
        <v>481</v>
      </c>
      <c r="BP65" s="37">
        <v>0</v>
      </c>
      <c r="BQ65" s="37">
        <v>0</v>
      </c>
      <c r="BR65" s="37">
        <v>0</v>
      </c>
      <c r="BS65" s="37">
        <v>0</v>
      </c>
      <c r="BT65" s="37"/>
      <c r="BU65" s="37">
        <v>0</v>
      </c>
      <c r="BV65" s="37" t="b">
        <v>1</v>
      </c>
      <c r="BW65" s="37">
        <v>1.861E-3</v>
      </c>
      <c r="BX65" s="37">
        <v>30</v>
      </c>
      <c r="BY65" s="37">
        <v>3</v>
      </c>
      <c r="BZ65" s="37" t="b">
        <v>0</v>
      </c>
      <c r="CA65" s="37" t="s">
        <v>82</v>
      </c>
      <c r="CB65" s="37"/>
      <c r="CC65" s="37"/>
      <c r="CD65" s="37"/>
      <c r="CE65" s="37" t="s">
        <v>763</v>
      </c>
      <c r="CF65" s="37"/>
      <c r="CG65" s="37" t="b">
        <v>0</v>
      </c>
      <c r="CH65" s="37" t="b">
        <v>0</v>
      </c>
      <c r="CI65" s="37">
        <v>360</v>
      </c>
      <c r="CJ65" s="37">
        <v>0</v>
      </c>
      <c r="CK65" s="37"/>
      <c r="CL65" s="37"/>
      <c r="CM65" s="52">
        <v>1</v>
      </c>
      <c r="CN65" s="52" t="b">
        <v>0</v>
      </c>
      <c r="CO65" t="str">
        <f>IFERROR(HYPERLINK("#Main!A"&amp;MATCH(A65,Main!A:A,0),"Open"),HYPERLINK("#Main!A1","Open"))</f>
        <v>Open</v>
      </c>
    </row>
    <row r="66" spans="1:94" ht="30" customHeight="1" x14ac:dyDescent="0.25">
      <c r="A66" s="33" t="s">
        <v>626</v>
      </c>
      <c r="B66" s="35">
        <v>200</v>
      </c>
      <c r="C66" s="28" t="s">
        <v>768</v>
      </c>
      <c r="D66" s="49"/>
      <c r="E66" s="28" t="s">
        <v>478</v>
      </c>
      <c r="F66" s="28"/>
      <c r="G66" s="35" t="s">
        <v>477</v>
      </c>
      <c r="H66" s="49">
        <v>81.540000000000006</v>
      </c>
      <c r="I66" s="49">
        <v>18184.7</v>
      </c>
      <c r="J66" s="51" t="s">
        <v>626</v>
      </c>
      <c r="K66" s="51" t="s">
        <v>626</v>
      </c>
      <c r="L66" s="28" t="s">
        <v>769</v>
      </c>
      <c r="M66" s="28" t="s">
        <v>335</v>
      </c>
      <c r="N66" s="29" t="s">
        <v>2</v>
      </c>
      <c r="O66" s="28"/>
      <c r="P66" s="28" t="s">
        <v>479</v>
      </c>
      <c r="Q66" s="28" t="s">
        <v>484</v>
      </c>
      <c r="R66" s="28" t="s">
        <v>475</v>
      </c>
      <c r="S66" s="29">
        <v>25</v>
      </c>
      <c r="T66" s="29">
        <v>0</v>
      </c>
      <c r="U66" s="35">
        <v>100</v>
      </c>
      <c r="V66" s="28" t="s">
        <v>754</v>
      </c>
      <c r="W66" s="28">
        <v>0</v>
      </c>
      <c r="X66" s="28"/>
      <c r="Y66" s="31"/>
      <c r="Z66" s="28" t="b">
        <v>0</v>
      </c>
      <c r="AA66" s="28" t="s">
        <v>757</v>
      </c>
      <c r="AB66" s="28" t="s">
        <v>758</v>
      </c>
      <c r="AC66" s="28">
        <v>484.79</v>
      </c>
      <c r="AD66" s="35" t="b">
        <v>1</v>
      </c>
      <c r="AE66" s="28" t="s">
        <v>770</v>
      </c>
      <c r="AF66" s="28"/>
      <c r="AG66" s="28"/>
      <c r="AH66" s="28" t="s">
        <v>771</v>
      </c>
      <c r="AI66" s="53" t="b">
        <v>1</v>
      </c>
      <c r="AJ66" s="51" t="s">
        <v>626</v>
      </c>
      <c r="AK66" s="35" t="b">
        <v>1</v>
      </c>
      <c r="AL66" s="46" t="b">
        <v>0</v>
      </c>
      <c r="AM66" s="28">
        <v>0</v>
      </c>
      <c r="AN66" s="28" t="b">
        <v>0</v>
      </c>
      <c r="AO66" s="28"/>
      <c r="AP66" s="28"/>
      <c r="AQ66" s="46" t="b">
        <v>0</v>
      </c>
      <c r="AR66" s="28" t="b">
        <v>0</v>
      </c>
      <c r="AS66" s="28" t="b">
        <v>0</v>
      </c>
      <c r="AT66" s="28"/>
      <c r="AU66" s="41"/>
      <c r="AV66" s="41"/>
      <c r="AW66" s="41" t="s">
        <v>850</v>
      </c>
      <c r="AX66" s="28" t="s">
        <v>761</v>
      </c>
      <c r="AY66" s="28" t="s">
        <v>762</v>
      </c>
      <c r="AZ66" s="28">
        <v>0</v>
      </c>
      <c r="BA66" s="28"/>
      <c r="BB66" s="28">
        <v>32</v>
      </c>
      <c r="BC66" s="28">
        <v>15</v>
      </c>
      <c r="BD66" s="28">
        <v>4</v>
      </c>
      <c r="BE66" s="28" t="b">
        <v>0</v>
      </c>
      <c r="BF66" s="35" t="b">
        <v>1</v>
      </c>
      <c r="BG66" s="28">
        <v>56</v>
      </c>
      <c r="BH66" s="28">
        <v>0</v>
      </c>
      <c r="BI66" s="28">
        <v>0</v>
      </c>
      <c r="BJ66" s="28">
        <v>0</v>
      </c>
      <c r="BK66" s="28">
        <v>0</v>
      </c>
      <c r="BL66" s="28">
        <v>0</v>
      </c>
      <c r="BM66" s="28">
        <v>0</v>
      </c>
      <c r="BN66" s="28" t="s">
        <v>775</v>
      </c>
      <c r="BO66" s="28" t="s">
        <v>481</v>
      </c>
      <c r="BP66" s="28">
        <v>0</v>
      </c>
      <c r="BQ66" s="28">
        <v>0</v>
      </c>
      <c r="BR66" s="28">
        <v>0</v>
      </c>
      <c r="BS66" s="28">
        <v>0</v>
      </c>
      <c r="BT66" s="28"/>
      <c r="BU66" s="28">
        <v>0</v>
      </c>
      <c r="BV66" s="28" t="b">
        <v>1</v>
      </c>
      <c r="BW66" s="28">
        <v>1.861E-3</v>
      </c>
      <c r="BX66" s="28">
        <v>100</v>
      </c>
      <c r="BY66" s="28">
        <v>16</v>
      </c>
      <c r="BZ66" s="28" t="b">
        <v>0</v>
      </c>
      <c r="CA66" s="28" t="s">
        <v>82</v>
      </c>
      <c r="CB66" s="28"/>
      <c r="CC66" s="28"/>
      <c r="CD66" s="28"/>
      <c r="CE66" s="28" t="s">
        <v>763</v>
      </c>
      <c r="CF66" s="28"/>
      <c r="CG66" s="28" t="b">
        <v>0</v>
      </c>
      <c r="CH66" s="28" t="b">
        <v>0</v>
      </c>
      <c r="CI66" s="28">
        <v>360</v>
      </c>
      <c r="CJ66" s="28">
        <v>2281</v>
      </c>
      <c r="CK66" s="28"/>
      <c r="CL66" s="28"/>
      <c r="CM66" s="51">
        <v>1</v>
      </c>
      <c r="CN66" s="51" t="b">
        <v>0</v>
      </c>
      <c r="CO66" s="34" t="str">
        <f>IFERROR(HYPERLINK("#Main!A"&amp;MATCH(A66,Main!A:A,0),"Open"),HYPERLINK("#Main!A1","Open"))</f>
        <v>Open</v>
      </c>
      <c r="CP66" s="34"/>
    </row>
    <row r="67" spans="1:94" ht="30" customHeight="1" x14ac:dyDescent="0.25">
      <c r="A67" s="30" t="s">
        <v>629</v>
      </c>
      <c r="B67" s="35">
        <v>200</v>
      </c>
      <c r="C67" s="37" t="s">
        <v>768</v>
      </c>
      <c r="D67" s="50"/>
      <c r="E67" s="37" t="s">
        <v>478</v>
      </c>
      <c r="F67" s="37"/>
      <c r="G67" s="35" t="s">
        <v>477</v>
      </c>
      <c r="H67" s="50">
        <v>57.83</v>
      </c>
      <c r="I67" s="50">
        <v>17914.78</v>
      </c>
      <c r="J67" s="52" t="s">
        <v>629</v>
      </c>
      <c r="K67" s="52" t="s">
        <v>629</v>
      </c>
      <c r="L67" s="37" t="s">
        <v>769</v>
      </c>
      <c r="M67" s="37" t="s">
        <v>335</v>
      </c>
      <c r="N67" s="29" t="s">
        <v>2</v>
      </c>
      <c r="O67" s="37"/>
      <c r="P67" s="37" t="s">
        <v>479</v>
      </c>
      <c r="Q67" s="37" t="s">
        <v>484</v>
      </c>
      <c r="R67" s="37" t="s">
        <v>475</v>
      </c>
      <c r="S67" s="29">
        <v>11.25</v>
      </c>
      <c r="T67" s="29">
        <v>0</v>
      </c>
      <c r="U67" s="29">
        <v>45</v>
      </c>
      <c r="V67" s="37" t="s">
        <v>754</v>
      </c>
      <c r="W67" s="37">
        <v>0</v>
      </c>
      <c r="X67" s="37"/>
      <c r="Y67" s="43"/>
      <c r="Z67" s="37" t="b">
        <v>0</v>
      </c>
      <c r="AA67" s="37" t="s">
        <v>757</v>
      </c>
      <c r="AB67" s="37" t="s">
        <v>758</v>
      </c>
      <c r="AC67" s="37">
        <v>251.06</v>
      </c>
      <c r="AD67" s="35" t="b">
        <v>1</v>
      </c>
      <c r="AE67" s="37" t="s">
        <v>770</v>
      </c>
      <c r="AF67" s="37"/>
      <c r="AG67" s="37"/>
      <c r="AH67" s="37" t="s">
        <v>771</v>
      </c>
      <c r="AI67" s="53" t="b">
        <v>1</v>
      </c>
      <c r="AJ67" s="52" t="s">
        <v>629</v>
      </c>
      <c r="AK67" s="35" t="b">
        <v>1</v>
      </c>
      <c r="AL67" s="46" t="b">
        <v>0</v>
      </c>
      <c r="AM67" s="37">
        <v>0</v>
      </c>
      <c r="AN67" s="37" t="b">
        <v>0</v>
      </c>
      <c r="AO67" s="37"/>
      <c r="AP67" s="37"/>
      <c r="AQ67" s="46" t="b">
        <v>0</v>
      </c>
      <c r="AR67" s="37" t="b">
        <v>0</v>
      </c>
      <c r="AS67" s="37" t="b">
        <v>0</v>
      </c>
      <c r="AT67" s="37"/>
      <c r="AU67" s="44"/>
      <c r="AV67" s="44"/>
      <c r="AW67" s="44" t="s">
        <v>851</v>
      </c>
      <c r="AX67" s="37" t="s">
        <v>761</v>
      </c>
      <c r="AY67" s="37" t="s">
        <v>762</v>
      </c>
      <c r="AZ67" s="37">
        <v>0</v>
      </c>
      <c r="BA67" s="37"/>
      <c r="BB67" s="37">
        <v>31</v>
      </c>
      <c r="BC67" s="37">
        <v>14</v>
      </c>
      <c r="BD67" s="37">
        <v>2</v>
      </c>
      <c r="BE67" s="37" t="b">
        <v>0</v>
      </c>
      <c r="BF67" s="35" t="b">
        <v>1</v>
      </c>
      <c r="BG67" s="37">
        <v>63</v>
      </c>
      <c r="BH67" s="37">
        <v>43</v>
      </c>
      <c r="BI67" s="37">
        <v>8.74</v>
      </c>
      <c r="BJ67" s="37">
        <v>6.0000000000000001E-3</v>
      </c>
      <c r="BK67" s="37">
        <v>0.2</v>
      </c>
      <c r="BL67" s="37">
        <v>8.74</v>
      </c>
      <c r="BM67" s="37">
        <v>6.0000000000000001E-3</v>
      </c>
      <c r="BN67" s="37" t="s">
        <v>775</v>
      </c>
      <c r="BO67" s="37" t="s">
        <v>481</v>
      </c>
      <c r="BP67" s="37">
        <v>0</v>
      </c>
      <c r="BQ67" s="37">
        <v>0</v>
      </c>
      <c r="BR67" s="37">
        <v>0</v>
      </c>
      <c r="BS67" s="37">
        <v>0</v>
      </c>
      <c r="BT67" s="37"/>
      <c r="BU67" s="37">
        <v>0</v>
      </c>
      <c r="BV67" s="37" t="b">
        <v>1</v>
      </c>
      <c r="BW67" s="37">
        <v>1.861E-3</v>
      </c>
      <c r="BX67" s="37">
        <v>30</v>
      </c>
      <c r="BY67" s="37">
        <v>3</v>
      </c>
      <c r="BZ67" s="37" t="b">
        <v>0</v>
      </c>
      <c r="CA67" s="37" t="s">
        <v>82</v>
      </c>
      <c r="CB67" s="37"/>
      <c r="CC67" s="37"/>
      <c r="CD67" s="37"/>
      <c r="CE67" s="37" t="s">
        <v>763</v>
      </c>
      <c r="CF67" s="37"/>
      <c r="CG67" s="37" t="b">
        <v>0</v>
      </c>
      <c r="CH67" s="37" t="b">
        <v>0</v>
      </c>
      <c r="CI67" s="37">
        <v>475</v>
      </c>
      <c r="CJ67" s="37">
        <v>793</v>
      </c>
      <c r="CK67" s="37"/>
      <c r="CL67" s="37"/>
      <c r="CM67" s="52">
        <v>1</v>
      </c>
      <c r="CN67" s="52" t="b">
        <v>0</v>
      </c>
      <c r="CO67" t="str">
        <f>IFERROR(HYPERLINK("#Main!A"&amp;MATCH(A67,Main!A:A,0),"Open"),HYPERLINK("#Main!A1","Open"))</f>
        <v>Open</v>
      </c>
    </row>
    <row r="68" spans="1:94" ht="30" customHeight="1" x14ac:dyDescent="0.25">
      <c r="A68" s="33" t="s">
        <v>632</v>
      </c>
      <c r="B68" s="35">
        <v>200</v>
      </c>
      <c r="C68" s="28" t="s">
        <v>768</v>
      </c>
      <c r="D68" s="49"/>
      <c r="E68" s="28" t="s">
        <v>478</v>
      </c>
      <c r="F68" s="28"/>
      <c r="G68" s="35" t="s">
        <v>477</v>
      </c>
      <c r="H68" s="49">
        <v>130.28</v>
      </c>
      <c r="I68" s="49">
        <v>18017.330000000002</v>
      </c>
      <c r="J68" s="51" t="s">
        <v>632</v>
      </c>
      <c r="K68" s="51" t="s">
        <v>632</v>
      </c>
      <c r="L68" s="28" t="s">
        <v>769</v>
      </c>
      <c r="M68" s="28" t="s">
        <v>335</v>
      </c>
      <c r="N68" s="29" t="s">
        <v>2</v>
      </c>
      <c r="O68" s="28"/>
      <c r="P68" s="28" t="s">
        <v>479</v>
      </c>
      <c r="Q68" s="28" t="s">
        <v>484</v>
      </c>
      <c r="R68" s="28" t="s">
        <v>475</v>
      </c>
      <c r="S68" s="29">
        <v>18.75</v>
      </c>
      <c r="T68" s="29">
        <v>0</v>
      </c>
      <c r="U68" s="32">
        <v>75</v>
      </c>
      <c r="V68" s="28" t="s">
        <v>754</v>
      </c>
      <c r="W68" s="28">
        <v>0</v>
      </c>
      <c r="X68" s="28"/>
      <c r="Y68" s="31"/>
      <c r="Z68" s="28" t="b">
        <v>0</v>
      </c>
      <c r="AA68" s="28" t="s">
        <v>757</v>
      </c>
      <c r="AB68" s="28" t="s">
        <v>758</v>
      </c>
      <c r="AC68" s="28">
        <v>355.72</v>
      </c>
      <c r="AD68" s="35" t="b">
        <v>1</v>
      </c>
      <c r="AE68" s="28" t="s">
        <v>770</v>
      </c>
      <c r="AF68" s="28"/>
      <c r="AG68" s="28"/>
      <c r="AH68" s="28" t="s">
        <v>771</v>
      </c>
      <c r="AI68" s="53" t="b">
        <v>1</v>
      </c>
      <c r="AJ68" s="51" t="s">
        <v>632</v>
      </c>
      <c r="AK68" s="35" t="b">
        <v>1</v>
      </c>
      <c r="AL68" s="46" t="b">
        <v>0</v>
      </c>
      <c r="AM68" s="28">
        <v>0</v>
      </c>
      <c r="AN68" s="28" t="b">
        <v>0</v>
      </c>
      <c r="AO68" s="28"/>
      <c r="AP68" s="28"/>
      <c r="AQ68" s="46" t="b">
        <v>0</v>
      </c>
      <c r="AR68" s="28" t="b">
        <v>0</v>
      </c>
      <c r="AS68" s="28" t="b">
        <v>0</v>
      </c>
      <c r="AT68" s="28"/>
      <c r="AU68" s="41"/>
      <c r="AV68" s="41"/>
      <c r="AW68" s="41" t="s">
        <v>852</v>
      </c>
      <c r="AX68" s="28" t="s">
        <v>761</v>
      </c>
      <c r="AY68" s="28" t="s">
        <v>762</v>
      </c>
      <c r="AZ68" s="28">
        <v>0</v>
      </c>
      <c r="BA68" s="28"/>
      <c r="BB68" s="28">
        <v>38</v>
      </c>
      <c r="BC68" s="28">
        <v>16</v>
      </c>
      <c r="BD68" s="28">
        <v>6</v>
      </c>
      <c r="BE68" s="28" t="b">
        <v>0</v>
      </c>
      <c r="BF68" s="35" t="b">
        <v>1</v>
      </c>
      <c r="BG68" s="28">
        <v>48</v>
      </c>
      <c r="BH68" s="28">
        <v>44</v>
      </c>
      <c r="BI68" s="28">
        <v>20.053000000000001</v>
      </c>
      <c r="BJ68" s="28">
        <v>1E-3</v>
      </c>
      <c r="BK68" s="28">
        <v>0.16800000000000001</v>
      </c>
      <c r="BL68" s="28">
        <v>20.053000000000001</v>
      </c>
      <c r="BM68" s="28">
        <v>1E-3</v>
      </c>
      <c r="BN68" s="28" t="s">
        <v>775</v>
      </c>
      <c r="BO68" s="28" t="s">
        <v>481</v>
      </c>
      <c r="BP68" s="28">
        <v>0</v>
      </c>
      <c r="BQ68" s="28">
        <v>0</v>
      </c>
      <c r="BR68" s="28">
        <v>0</v>
      </c>
      <c r="BS68" s="28">
        <v>0</v>
      </c>
      <c r="BT68" s="28">
        <v>2</v>
      </c>
      <c r="BU68" s="28">
        <v>3</v>
      </c>
      <c r="BV68" s="28" t="b">
        <v>0</v>
      </c>
      <c r="BW68" s="28">
        <v>5.0340000000000003E-3</v>
      </c>
      <c r="BX68" s="28">
        <v>30</v>
      </c>
      <c r="BY68" s="28">
        <v>3</v>
      </c>
      <c r="BZ68" s="28" t="b">
        <v>0</v>
      </c>
      <c r="CA68" s="28" t="s">
        <v>82</v>
      </c>
      <c r="CB68" s="28"/>
      <c r="CC68" s="28"/>
      <c r="CD68" s="28"/>
      <c r="CE68" s="28" t="s">
        <v>786</v>
      </c>
      <c r="CF68" s="28"/>
      <c r="CG68" s="28" t="b">
        <v>0</v>
      </c>
      <c r="CH68" s="28" t="b">
        <v>0</v>
      </c>
      <c r="CI68" s="28">
        <v>475</v>
      </c>
      <c r="CJ68" s="28">
        <v>1897</v>
      </c>
      <c r="CK68" s="28"/>
      <c r="CL68" s="28"/>
      <c r="CM68" s="51">
        <v>1</v>
      </c>
      <c r="CN68" s="51" t="b">
        <v>0</v>
      </c>
      <c r="CO68" s="34" t="str">
        <f>IFERROR(HYPERLINK("#Main!A"&amp;MATCH(A68,Main!A:A,0),"Open"),HYPERLINK("#Main!A1","Open"))</f>
        <v>Open</v>
      </c>
      <c r="CP68" s="34"/>
    </row>
    <row r="69" spans="1:94" ht="31.5" x14ac:dyDescent="0.25">
      <c r="A69" s="30" t="s">
        <v>635</v>
      </c>
      <c r="B69" s="35">
        <v>200</v>
      </c>
      <c r="C69" s="37" t="s">
        <v>768</v>
      </c>
      <c r="D69" s="50"/>
      <c r="E69" s="37" t="s">
        <v>478</v>
      </c>
      <c r="F69" s="37"/>
      <c r="G69" s="35" t="s">
        <v>477</v>
      </c>
      <c r="H69" s="50">
        <v>118.92</v>
      </c>
      <c r="I69" s="50">
        <v>18011.080000000002</v>
      </c>
      <c r="J69" s="52" t="s">
        <v>635</v>
      </c>
      <c r="K69" s="52" t="s">
        <v>635</v>
      </c>
      <c r="L69" s="37" t="s">
        <v>769</v>
      </c>
      <c r="M69" s="37" t="s">
        <v>335</v>
      </c>
      <c r="N69" s="29" t="s">
        <v>2</v>
      </c>
      <c r="O69" s="37"/>
      <c r="P69" s="37" t="s">
        <v>479</v>
      </c>
      <c r="Q69" s="37" t="s">
        <v>484</v>
      </c>
      <c r="R69" s="37" t="s">
        <v>475</v>
      </c>
      <c r="S69" s="29">
        <v>25</v>
      </c>
      <c r="T69" s="29">
        <v>0</v>
      </c>
      <c r="U69" s="35">
        <v>100</v>
      </c>
      <c r="V69" s="37" t="s">
        <v>754</v>
      </c>
      <c r="W69" s="37">
        <v>0</v>
      </c>
      <c r="X69" s="37"/>
      <c r="Y69" s="43"/>
      <c r="Z69" s="37" t="b">
        <v>0</v>
      </c>
      <c r="AA69" s="37" t="s">
        <v>757</v>
      </c>
      <c r="AB69" s="37" t="s">
        <v>758</v>
      </c>
      <c r="AC69" s="37">
        <v>459.12</v>
      </c>
      <c r="AD69" s="35" t="b">
        <v>1</v>
      </c>
      <c r="AE69" s="37" t="s">
        <v>770</v>
      </c>
      <c r="AF69" s="37"/>
      <c r="AG69" s="37"/>
      <c r="AH69" s="37" t="s">
        <v>771</v>
      </c>
      <c r="AI69" s="53" t="b">
        <v>1</v>
      </c>
      <c r="AJ69" s="52" t="s">
        <v>635</v>
      </c>
      <c r="AK69" s="35" t="b">
        <v>1</v>
      </c>
      <c r="AL69" s="46" t="b">
        <v>0</v>
      </c>
      <c r="AM69" s="37">
        <v>0</v>
      </c>
      <c r="AN69" s="37" t="b">
        <v>0</v>
      </c>
      <c r="AO69" s="37"/>
      <c r="AP69" s="37"/>
      <c r="AQ69" s="46" t="b">
        <v>0</v>
      </c>
      <c r="AR69" s="37" t="b">
        <v>0</v>
      </c>
      <c r="AS69" s="37" t="b">
        <v>0</v>
      </c>
      <c r="AT69" s="37"/>
      <c r="AU69" s="44"/>
      <c r="AV69" s="44"/>
      <c r="AW69" s="44" t="s">
        <v>853</v>
      </c>
      <c r="AX69" s="37" t="s">
        <v>761</v>
      </c>
      <c r="AY69" s="37" t="s">
        <v>762</v>
      </c>
      <c r="AZ69" s="37">
        <v>0</v>
      </c>
      <c r="BA69" s="37"/>
      <c r="BB69" s="37">
        <v>31</v>
      </c>
      <c r="BC69" s="37">
        <v>14</v>
      </c>
      <c r="BD69" s="37">
        <v>17</v>
      </c>
      <c r="BE69" s="37" t="b">
        <v>0</v>
      </c>
      <c r="BF69" s="35" t="b">
        <v>1</v>
      </c>
      <c r="BG69" s="37">
        <v>50</v>
      </c>
      <c r="BH69" s="37">
        <v>29</v>
      </c>
      <c r="BI69" s="37">
        <v>9.5630000000000006</v>
      </c>
      <c r="BJ69" s="37">
        <v>2E-3</v>
      </c>
      <c r="BK69" s="37">
        <v>0.17399999999999999</v>
      </c>
      <c r="BL69" s="37">
        <v>9.5630000000000006</v>
      </c>
      <c r="BM69" s="37">
        <v>2E-3</v>
      </c>
      <c r="BN69" s="37" t="s">
        <v>775</v>
      </c>
      <c r="BO69" s="37" t="s">
        <v>481</v>
      </c>
      <c r="BP69" s="37">
        <v>0</v>
      </c>
      <c r="BQ69" s="37">
        <v>0</v>
      </c>
      <c r="BR69" s="37">
        <v>0</v>
      </c>
      <c r="BS69" s="37">
        <v>0</v>
      </c>
      <c r="BT69" s="37">
        <v>1</v>
      </c>
      <c r="BU69" s="37">
        <v>59</v>
      </c>
      <c r="BV69" s="37" t="b">
        <v>0</v>
      </c>
      <c r="BW69" s="37">
        <v>5.8172000000000001E-2</v>
      </c>
      <c r="BX69" s="37">
        <v>100</v>
      </c>
      <c r="BY69" s="37">
        <v>18</v>
      </c>
      <c r="BZ69" s="37" t="b">
        <v>0</v>
      </c>
      <c r="CA69" s="37" t="s">
        <v>82</v>
      </c>
      <c r="CB69" s="37"/>
      <c r="CC69" s="37"/>
      <c r="CD69" s="37"/>
      <c r="CE69" s="37" t="s">
        <v>776</v>
      </c>
      <c r="CF69" s="37"/>
      <c r="CG69" s="37" t="b">
        <v>0</v>
      </c>
      <c r="CH69" s="37" t="b">
        <v>0</v>
      </c>
      <c r="CI69" s="37">
        <v>295</v>
      </c>
      <c r="CJ69" s="37">
        <v>2294</v>
      </c>
      <c r="CK69" s="37"/>
      <c r="CL69" s="37"/>
      <c r="CM69" s="52">
        <v>1</v>
      </c>
      <c r="CN69" s="52" t="b">
        <v>0</v>
      </c>
      <c r="CO69" t="str">
        <f>IFERROR(HYPERLINK("#Main!A"&amp;MATCH(A69,Main!A:A,0),"Open"),HYPERLINK("#Main!A1","Open"))</f>
        <v>Open</v>
      </c>
    </row>
    <row r="70" spans="1:94" ht="30" customHeight="1" x14ac:dyDescent="0.25">
      <c r="A70" s="33" t="s">
        <v>638</v>
      </c>
      <c r="B70" s="35">
        <v>200</v>
      </c>
      <c r="C70" s="28" t="s">
        <v>768</v>
      </c>
      <c r="D70" s="49"/>
      <c r="E70" s="28" t="s">
        <v>478</v>
      </c>
      <c r="F70" s="28"/>
      <c r="G70" s="35" t="s">
        <v>477</v>
      </c>
      <c r="H70" s="49">
        <v>72.650000000000006</v>
      </c>
      <c r="I70" s="49">
        <v>18178.29</v>
      </c>
      <c r="J70" s="51" t="s">
        <v>638</v>
      </c>
      <c r="K70" s="51" t="s">
        <v>638</v>
      </c>
      <c r="L70" s="28" t="s">
        <v>769</v>
      </c>
      <c r="M70" s="28" t="s">
        <v>335</v>
      </c>
      <c r="N70" s="29" t="s">
        <v>2</v>
      </c>
      <c r="O70" s="28"/>
      <c r="P70" s="28" t="s">
        <v>479</v>
      </c>
      <c r="Q70" s="28" t="s">
        <v>484</v>
      </c>
      <c r="R70" s="28" t="s">
        <v>475</v>
      </c>
      <c r="S70" s="29">
        <v>18.75</v>
      </c>
      <c r="T70" s="29">
        <v>0</v>
      </c>
      <c r="U70" s="32">
        <v>75</v>
      </c>
      <c r="V70" s="28" t="s">
        <v>754</v>
      </c>
      <c r="W70" s="28">
        <v>0</v>
      </c>
      <c r="X70" s="28"/>
      <c r="Y70" s="31"/>
      <c r="Z70" s="28" t="b">
        <v>0</v>
      </c>
      <c r="AA70" s="28" t="s">
        <v>757</v>
      </c>
      <c r="AB70" s="28" t="s">
        <v>758</v>
      </c>
      <c r="AC70" s="28">
        <v>307.2</v>
      </c>
      <c r="AD70" s="35" t="b">
        <v>1</v>
      </c>
      <c r="AE70" s="28" t="s">
        <v>770</v>
      </c>
      <c r="AF70" s="28"/>
      <c r="AG70" s="28"/>
      <c r="AH70" s="28" t="s">
        <v>771</v>
      </c>
      <c r="AI70" s="53" t="b">
        <v>1</v>
      </c>
      <c r="AJ70" s="51" t="s">
        <v>638</v>
      </c>
      <c r="AK70" s="35" t="b">
        <v>1</v>
      </c>
      <c r="AL70" s="46" t="b">
        <v>0</v>
      </c>
      <c r="AM70" s="28">
        <v>0</v>
      </c>
      <c r="AN70" s="28" t="b">
        <v>0</v>
      </c>
      <c r="AO70" s="28"/>
      <c r="AP70" s="28"/>
      <c r="AQ70" s="46" t="b">
        <v>0</v>
      </c>
      <c r="AR70" s="28" t="b">
        <v>0</v>
      </c>
      <c r="AS70" s="28" t="b">
        <v>0</v>
      </c>
      <c r="AT70" s="28"/>
      <c r="AU70" s="41"/>
      <c r="AV70" s="41"/>
      <c r="AW70" s="41" t="s">
        <v>854</v>
      </c>
      <c r="AX70" s="28" t="s">
        <v>761</v>
      </c>
      <c r="AY70" s="28" t="s">
        <v>762</v>
      </c>
      <c r="AZ70" s="28">
        <v>0</v>
      </c>
      <c r="BA70" s="28"/>
      <c r="BB70" s="28">
        <v>78</v>
      </c>
      <c r="BC70" s="28">
        <v>32</v>
      </c>
      <c r="BD70" s="28">
        <v>2</v>
      </c>
      <c r="BE70" s="28" t="b">
        <v>0</v>
      </c>
      <c r="BF70" s="35" t="b">
        <v>1</v>
      </c>
      <c r="BG70" s="28">
        <v>55</v>
      </c>
      <c r="BH70" s="28">
        <v>46</v>
      </c>
      <c r="BI70" s="28">
        <v>6.0789999999999997</v>
      </c>
      <c r="BJ70" s="28">
        <v>0.08</v>
      </c>
      <c r="BK70" s="28">
        <v>0.17199999999999999</v>
      </c>
      <c r="BL70" s="28">
        <v>6.0789999999999997</v>
      </c>
      <c r="BM70" s="28">
        <v>0.08</v>
      </c>
      <c r="BN70" s="28" t="s">
        <v>775</v>
      </c>
      <c r="BO70" s="28" t="s">
        <v>481</v>
      </c>
      <c r="BP70" s="28">
        <v>0</v>
      </c>
      <c r="BQ70" s="28">
        <v>0</v>
      </c>
      <c r="BR70" s="28">
        <v>0</v>
      </c>
      <c r="BS70" s="28">
        <v>0</v>
      </c>
      <c r="BT70" s="28">
        <v>1</v>
      </c>
      <c r="BU70" s="28">
        <v>59</v>
      </c>
      <c r="BV70" s="28" t="b">
        <v>0</v>
      </c>
      <c r="BW70" s="28">
        <v>5.8172000000000001E-2</v>
      </c>
      <c r="BX70" s="28">
        <v>100</v>
      </c>
      <c r="BY70" s="28">
        <v>8</v>
      </c>
      <c r="BZ70" s="28" t="b">
        <v>0</v>
      </c>
      <c r="CA70" s="28" t="s">
        <v>82</v>
      </c>
      <c r="CB70" s="28"/>
      <c r="CC70" s="28"/>
      <c r="CD70" s="28"/>
      <c r="CE70" s="28" t="s">
        <v>776</v>
      </c>
      <c r="CF70" s="28"/>
      <c r="CG70" s="28" t="b">
        <v>0</v>
      </c>
      <c r="CH70" s="28" t="b">
        <v>0</v>
      </c>
      <c r="CI70" s="28">
        <v>338</v>
      </c>
      <c r="CJ70" s="28">
        <v>985</v>
      </c>
      <c r="CK70" s="28"/>
      <c r="CL70" s="28"/>
      <c r="CM70" s="51">
        <v>1</v>
      </c>
      <c r="CN70" s="51" t="b">
        <v>0</v>
      </c>
      <c r="CO70" s="34" t="str">
        <f>IFERROR(HYPERLINK("#Main!A"&amp;MATCH(A70,Main!A:A,0),"Open"),HYPERLINK("#Main!A1","Open"))</f>
        <v>Open</v>
      </c>
      <c r="CP70" s="34"/>
    </row>
    <row r="71" spans="1:94" ht="30" customHeight="1" x14ac:dyDescent="0.25">
      <c r="A71" s="30" t="s">
        <v>641</v>
      </c>
      <c r="B71" s="35">
        <v>200</v>
      </c>
      <c r="C71" s="37" t="s">
        <v>768</v>
      </c>
      <c r="D71" s="50"/>
      <c r="E71" s="37" t="s">
        <v>478</v>
      </c>
      <c r="F71" s="37"/>
      <c r="G71" s="35" t="s">
        <v>477</v>
      </c>
      <c r="H71" s="50">
        <v>90.26</v>
      </c>
      <c r="I71" s="50">
        <v>17982.89</v>
      </c>
      <c r="J71" s="52" t="s">
        <v>641</v>
      </c>
      <c r="K71" s="52" t="s">
        <v>641</v>
      </c>
      <c r="L71" s="37" t="s">
        <v>769</v>
      </c>
      <c r="M71" s="37" t="s">
        <v>335</v>
      </c>
      <c r="N71" s="29" t="s">
        <v>2</v>
      </c>
      <c r="O71" s="37"/>
      <c r="P71" s="37" t="s">
        <v>479</v>
      </c>
      <c r="Q71" s="37" t="s">
        <v>484</v>
      </c>
      <c r="R71" s="37" t="s">
        <v>475</v>
      </c>
      <c r="S71" s="29">
        <v>25</v>
      </c>
      <c r="T71" s="29">
        <v>0</v>
      </c>
      <c r="U71" s="35">
        <v>100</v>
      </c>
      <c r="V71" s="37" t="s">
        <v>754</v>
      </c>
      <c r="W71" s="37">
        <v>0</v>
      </c>
      <c r="X71" s="37"/>
      <c r="Y71" s="43"/>
      <c r="Z71" s="37" t="b">
        <v>0</v>
      </c>
      <c r="AA71" s="37" t="s">
        <v>757</v>
      </c>
      <c r="AB71" s="37" t="s">
        <v>758</v>
      </c>
      <c r="AC71" s="37">
        <v>249.45</v>
      </c>
      <c r="AD71" s="35" t="b">
        <v>1</v>
      </c>
      <c r="AE71" s="37" t="s">
        <v>770</v>
      </c>
      <c r="AF71" s="37"/>
      <c r="AG71" s="37"/>
      <c r="AH71" s="37" t="s">
        <v>771</v>
      </c>
      <c r="AI71" s="53" t="b">
        <v>1</v>
      </c>
      <c r="AJ71" s="52" t="s">
        <v>641</v>
      </c>
      <c r="AK71" s="35" t="b">
        <v>1</v>
      </c>
      <c r="AL71" s="46" t="b">
        <v>0</v>
      </c>
      <c r="AM71" s="37">
        <v>0</v>
      </c>
      <c r="AN71" s="37" t="b">
        <v>0</v>
      </c>
      <c r="AO71" s="37"/>
      <c r="AP71" s="37"/>
      <c r="AQ71" s="46" t="b">
        <v>0</v>
      </c>
      <c r="AR71" s="37" t="b">
        <v>0</v>
      </c>
      <c r="AS71" s="37" t="b">
        <v>0</v>
      </c>
      <c r="AT71" s="37"/>
      <c r="AU71" s="44"/>
      <c r="AV71" s="44"/>
      <c r="AW71" s="44" t="s">
        <v>855</v>
      </c>
      <c r="AX71" s="37" t="s">
        <v>761</v>
      </c>
      <c r="AY71" s="37" t="s">
        <v>762</v>
      </c>
      <c r="AZ71" s="37">
        <v>0</v>
      </c>
      <c r="BA71" s="37"/>
      <c r="BB71" s="37">
        <v>31</v>
      </c>
      <c r="BC71" s="37">
        <v>14</v>
      </c>
      <c r="BD71" s="37">
        <v>2</v>
      </c>
      <c r="BE71" s="37" t="b">
        <v>0</v>
      </c>
      <c r="BF71" s="35" t="b">
        <v>1</v>
      </c>
      <c r="BG71" s="37">
        <v>81</v>
      </c>
      <c r="BH71" s="37">
        <v>45</v>
      </c>
      <c r="BI71" s="37">
        <v>6.2460000000000004</v>
      </c>
      <c r="BJ71" s="37">
        <v>1E-3</v>
      </c>
      <c r="BK71" s="37">
        <v>0.17399999999999999</v>
      </c>
      <c r="BL71" s="37">
        <v>6.2460000000000004</v>
      </c>
      <c r="BM71" s="37">
        <v>1E-3</v>
      </c>
      <c r="BN71" s="37" t="s">
        <v>775</v>
      </c>
      <c r="BO71" s="37" t="s">
        <v>481</v>
      </c>
      <c r="BP71" s="37">
        <v>0</v>
      </c>
      <c r="BQ71" s="37">
        <v>0</v>
      </c>
      <c r="BR71" s="37">
        <v>0</v>
      </c>
      <c r="BS71" s="37">
        <v>0</v>
      </c>
      <c r="BT71" s="37">
        <v>1</v>
      </c>
      <c r="BU71" s="37">
        <v>80</v>
      </c>
      <c r="BV71" s="37" t="b">
        <v>0</v>
      </c>
      <c r="BW71" s="37">
        <v>6.5322000000000005E-2</v>
      </c>
      <c r="BX71" s="37">
        <v>60</v>
      </c>
      <c r="BY71" s="37">
        <v>4</v>
      </c>
      <c r="BZ71" s="37" t="b">
        <v>0</v>
      </c>
      <c r="CA71" s="37" t="s">
        <v>82</v>
      </c>
      <c r="CB71" s="37"/>
      <c r="CC71" s="37"/>
      <c r="CD71" s="37"/>
      <c r="CE71" s="37" t="s">
        <v>776</v>
      </c>
      <c r="CF71" s="37"/>
      <c r="CG71" s="37" t="b">
        <v>0</v>
      </c>
      <c r="CH71" s="37" t="b">
        <v>0</v>
      </c>
      <c r="CI71" s="37">
        <v>345</v>
      </c>
      <c r="CJ71" s="37">
        <v>2349</v>
      </c>
      <c r="CK71" s="37"/>
      <c r="CL71" s="37"/>
      <c r="CM71" s="52">
        <v>1</v>
      </c>
      <c r="CN71" s="52" t="b">
        <v>0</v>
      </c>
      <c r="CO71" t="str">
        <f>IFERROR(HYPERLINK("#Main!A"&amp;MATCH(A71,Main!A:A,0),"Open"),HYPERLINK("#Main!A1","Open"))</f>
        <v>Open</v>
      </c>
    </row>
    <row r="72" spans="1:94" ht="30" customHeight="1" x14ac:dyDescent="0.25">
      <c r="A72" s="33" t="s">
        <v>644</v>
      </c>
      <c r="B72" s="35">
        <v>200</v>
      </c>
      <c r="C72" s="28" t="s">
        <v>768</v>
      </c>
      <c r="D72" s="49"/>
      <c r="E72" s="28" t="s">
        <v>478</v>
      </c>
      <c r="F72" s="28"/>
      <c r="G72" s="35" t="s">
        <v>477</v>
      </c>
      <c r="H72" s="49">
        <v>60.54</v>
      </c>
      <c r="I72" s="49">
        <v>18091.64</v>
      </c>
      <c r="J72" s="51" t="s">
        <v>644</v>
      </c>
      <c r="K72" s="51" t="s">
        <v>644</v>
      </c>
      <c r="L72" s="28" t="s">
        <v>769</v>
      </c>
      <c r="M72" s="28" t="s">
        <v>335</v>
      </c>
      <c r="N72" s="29" t="s">
        <v>2</v>
      </c>
      <c r="O72" s="28"/>
      <c r="P72" s="28" t="s">
        <v>479</v>
      </c>
      <c r="Q72" s="28" t="s">
        <v>484</v>
      </c>
      <c r="R72" s="28" t="s">
        <v>475</v>
      </c>
      <c r="S72" s="29">
        <v>11.25</v>
      </c>
      <c r="T72" s="29">
        <v>0</v>
      </c>
      <c r="U72" s="29">
        <v>45</v>
      </c>
      <c r="V72" s="28" t="s">
        <v>754</v>
      </c>
      <c r="W72" s="28">
        <v>0</v>
      </c>
      <c r="X72" s="28"/>
      <c r="Y72" s="31"/>
      <c r="Z72" s="28" t="b">
        <v>0</v>
      </c>
      <c r="AA72" s="28" t="s">
        <v>757</v>
      </c>
      <c r="AB72" s="28" t="s">
        <v>758</v>
      </c>
      <c r="AC72" s="28">
        <v>299.39</v>
      </c>
      <c r="AD72" s="35" t="b">
        <v>1</v>
      </c>
      <c r="AE72" s="28" t="s">
        <v>770</v>
      </c>
      <c r="AF72" s="28"/>
      <c r="AG72" s="28"/>
      <c r="AH72" s="28" t="s">
        <v>771</v>
      </c>
      <c r="AI72" s="53" t="b">
        <v>1</v>
      </c>
      <c r="AJ72" s="51" t="s">
        <v>644</v>
      </c>
      <c r="AK72" s="35" t="b">
        <v>1</v>
      </c>
      <c r="AL72" s="46" t="b">
        <v>0</v>
      </c>
      <c r="AM72" s="28">
        <v>0</v>
      </c>
      <c r="AN72" s="28" t="b">
        <v>0</v>
      </c>
      <c r="AO72" s="28"/>
      <c r="AP72" s="28"/>
      <c r="AQ72" s="46" t="b">
        <v>0</v>
      </c>
      <c r="AR72" s="28" t="b">
        <v>0</v>
      </c>
      <c r="AS72" s="28" t="b">
        <v>0</v>
      </c>
      <c r="AT72" s="28"/>
      <c r="AU72" s="41"/>
      <c r="AV72" s="41"/>
      <c r="AW72" s="41" t="s">
        <v>856</v>
      </c>
      <c r="AX72" s="28" t="s">
        <v>761</v>
      </c>
      <c r="AY72" s="28" t="s">
        <v>762</v>
      </c>
      <c r="AZ72" s="28">
        <v>0</v>
      </c>
      <c r="BA72" s="28"/>
      <c r="BB72" s="28">
        <v>53</v>
      </c>
      <c r="BC72" s="28">
        <v>36</v>
      </c>
      <c r="BD72" s="28">
        <v>2</v>
      </c>
      <c r="BE72" s="28" t="b">
        <v>0</v>
      </c>
      <c r="BF72" s="35" t="b">
        <v>1</v>
      </c>
      <c r="BG72" s="28">
        <v>47</v>
      </c>
      <c r="BH72" s="28">
        <v>41</v>
      </c>
      <c r="BI72" s="28">
        <v>8.6920000000000002</v>
      </c>
      <c r="BJ72" s="28">
        <v>3.0000000000000001E-3</v>
      </c>
      <c r="BK72" s="28">
        <v>0.20200000000000001</v>
      </c>
      <c r="BL72" s="28">
        <v>8.6920000000000002</v>
      </c>
      <c r="BM72" s="28">
        <v>3.0000000000000001E-3</v>
      </c>
      <c r="BN72" s="28" t="s">
        <v>775</v>
      </c>
      <c r="BO72" s="28" t="s">
        <v>481</v>
      </c>
      <c r="BP72" s="28">
        <v>0</v>
      </c>
      <c r="BQ72" s="28">
        <v>0</v>
      </c>
      <c r="BR72" s="28">
        <v>0</v>
      </c>
      <c r="BS72" s="28">
        <v>0</v>
      </c>
      <c r="BT72" s="28"/>
      <c r="BU72" s="28">
        <v>0</v>
      </c>
      <c r="BV72" s="28" t="b">
        <v>1</v>
      </c>
      <c r="BW72" s="28">
        <v>1.861E-3</v>
      </c>
      <c r="BX72" s="28">
        <v>30</v>
      </c>
      <c r="BY72" s="28">
        <v>3</v>
      </c>
      <c r="BZ72" s="28" t="b">
        <v>0</v>
      </c>
      <c r="CA72" s="28" t="s">
        <v>82</v>
      </c>
      <c r="CB72" s="28"/>
      <c r="CC72" s="28"/>
      <c r="CD72" s="28"/>
      <c r="CE72" s="28" t="s">
        <v>763</v>
      </c>
      <c r="CF72" s="28"/>
      <c r="CG72" s="28" t="b">
        <v>0</v>
      </c>
      <c r="CH72" s="28" t="b">
        <v>0</v>
      </c>
      <c r="CI72" s="28">
        <v>424</v>
      </c>
      <c r="CJ72" s="28">
        <v>1630</v>
      </c>
      <c r="CK72" s="28"/>
      <c r="CL72" s="28"/>
      <c r="CM72" s="51">
        <v>1</v>
      </c>
      <c r="CN72" s="51" t="b">
        <v>0</v>
      </c>
      <c r="CO72" s="34" t="str">
        <f>IFERROR(HYPERLINK("#Main!A"&amp;MATCH(A72,Main!A:A,0),"Open"),HYPERLINK("#Main!A1","Open"))</f>
        <v>Open</v>
      </c>
      <c r="CP72" s="34"/>
    </row>
    <row r="73" spans="1:94" ht="30" customHeight="1" x14ac:dyDescent="0.25">
      <c r="A73" s="30" t="s">
        <v>647</v>
      </c>
      <c r="B73" s="35">
        <v>200</v>
      </c>
      <c r="C73" s="37" t="s">
        <v>768</v>
      </c>
      <c r="D73" s="50"/>
      <c r="E73" s="37" t="s">
        <v>478</v>
      </c>
      <c r="F73" s="37"/>
      <c r="G73" s="35" t="s">
        <v>477</v>
      </c>
      <c r="H73" s="50">
        <v>60.45</v>
      </c>
      <c r="I73" s="50">
        <v>18244.07</v>
      </c>
      <c r="J73" s="52" t="s">
        <v>647</v>
      </c>
      <c r="K73" s="52" t="s">
        <v>647</v>
      </c>
      <c r="L73" s="37" t="s">
        <v>769</v>
      </c>
      <c r="M73" s="37" t="s">
        <v>335</v>
      </c>
      <c r="N73" s="29" t="s">
        <v>2</v>
      </c>
      <c r="O73" s="37"/>
      <c r="P73" s="37" t="s">
        <v>479</v>
      </c>
      <c r="Q73" s="37" t="s">
        <v>484</v>
      </c>
      <c r="R73" s="37" t="s">
        <v>475</v>
      </c>
      <c r="S73" s="29">
        <v>18.75</v>
      </c>
      <c r="T73" s="29">
        <v>0</v>
      </c>
      <c r="U73" s="32">
        <v>75</v>
      </c>
      <c r="V73" s="37" t="s">
        <v>754</v>
      </c>
      <c r="W73" s="37">
        <v>0</v>
      </c>
      <c r="X73" s="37"/>
      <c r="Y73" s="43"/>
      <c r="Z73" s="37" t="b">
        <v>0</v>
      </c>
      <c r="AA73" s="37" t="s">
        <v>757</v>
      </c>
      <c r="AB73" s="37" t="s">
        <v>758</v>
      </c>
      <c r="AC73" s="37">
        <v>316.16000000000003</v>
      </c>
      <c r="AD73" s="35" t="b">
        <v>1</v>
      </c>
      <c r="AE73" s="37" t="s">
        <v>770</v>
      </c>
      <c r="AF73" s="37"/>
      <c r="AG73" s="37"/>
      <c r="AH73" s="37" t="s">
        <v>771</v>
      </c>
      <c r="AI73" s="53" t="b">
        <v>1</v>
      </c>
      <c r="AJ73" s="52" t="s">
        <v>647</v>
      </c>
      <c r="AK73" s="35" t="b">
        <v>1</v>
      </c>
      <c r="AL73" s="46" t="b">
        <v>0</v>
      </c>
      <c r="AM73" s="37">
        <v>0</v>
      </c>
      <c r="AN73" s="37" t="b">
        <v>0</v>
      </c>
      <c r="AO73" s="37"/>
      <c r="AP73" s="37"/>
      <c r="AQ73" s="46" t="b">
        <v>0</v>
      </c>
      <c r="AR73" s="37" t="b">
        <v>0</v>
      </c>
      <c r="AS73" s="37" t="b">
        <v>0</v>
      </c>
      <c r="AT73" s="37"/>
      <c r="AU73" s="44"/>
      <c r="AV73" s="44"/>
      <c r="AW73" s="44" t="s">
        <v>857</v>
      </c>
      <c r="AX73" s="37" t="s">
        <v>761</v>
      </c>
      <c r="AY73" s="37" t="s">
        <v>762</v>
      </c>
      <c r="AZ73" s="37">
        <v>0</v>
      </c>
      <c r="BA73" s="37"/>
      <c r="BB73" s="37">
        <v>31</v>
      </c>
      <c r="BC73" s="37">
        <v>14</v>
      </c>
      <c r="BD73" s="37">
        <v>2</v>
      </c>
      <c r="BE73" s="37" t="b">
        <v>0</v>
      </c>
      <c r="BF73" s="35" t="b">
        <v>1</v>
      </c>
      <c r="BG73" s="37">
        <v>50</v>
      </c>
      <c r="BH73" s="37">
        <v>0</v>
      </c>
      <c r="BI73" s="37">
        <v>0</v>
      </c>
      <c r="BJ73" s="37">
        <v>0</v>
      </c>
      <c r="BK73" s="37">
        <v>0</v>
      </c>
      <c r="BL73" s="37">
        <v>0</v>
      </c>
      <c r="BM73" s="37">
        <v>0</v>
      </c>
      <c r="BN73" s="37" t="s">
        <v>775</v>
      </c>
      <c r="BO73" s="37" t="s">
        <v>481</v>
      </c>
      <c r="BP73" s="37">
        <v>0</v>
      </c>
      <c r="BQ73" s="37">
        <v>0</v>
      </c>
      <c r="BR73" s="37">
        <v>0</v>
      </c>
      <c r="BS73" s="37">
        <v>0</v>
      </c>
      <c r="BT73" s="37">
        <v>1</v>
      </c>
      <c r="BU73" s="37">
        <v>80</v>
      </c>
      <c r="BV73" s="37" t="b">
        <v>0</v>
      </c>
      <c r="BW73" s="37">
        <v>6.5322000000000005E-2</v>
      </c>
      <c r="BX73" s="37">
        <v>50</v>
      </c>
      <c r="BY73" s="37">
        <v>3</v>
      </c>
      <c r="BZ73" s="37" t="b">
        <v>0</v>
      </c>
      <c r="CA73" s="37" t="s">
        <v>82</v>
      </c>
      <c r="CB73" s="37"/>
      <c r="CC73" s="37"/>
      <c r="CD73" s="37"/>
      <c r="CE73" s="37" t="s">
        <v>776</v>
      </c>
      <c r="CF73" s="37"/>
      <c r="CG73" s="37" t="b">
        <v>0</v>
      </c>
      <c r="CH73" s="37" t="b">
        <v>0</v>
      </c>
      <c r="CI73" s="37">
        <v>331</v>
      </c>
      <c r="CJ73" s="37">
        <v>992</v>
      </c>
      <c r="CK73" s="37"/>
      <c r="CL73" s="37"/>
      <c r="CM73" s="52">
        <v>1</v>
      </c>
      <c r="CN73" s="52" t="b">
        <v>0</v>
      </c>
      <c r="CO73" t="str">
        <f>IFERROR(HYPERLINK("#Main!A"&amp;MATCH(A73,Main!A:A,0),"Open"),HYPERLINK("#Main!A1","Open"))</f>
        <v>Open</v>
      </c>
    </row>
    <row r="74" spans="1:94" ht="30" customHeight="1" x14ac:dyDescent="0.25">
      <c r="A74" s="33" t="s">
        <v>650</v>
      </c>
      <c r="B74" s="35">
        <v>200</v>
      </c>
      <c r="C74" s="28" t="s">
        <v>768</v>
      </c>
      <c r="D74" s="49"/>
      <c r="E74" s="28" t="s">
        <v>478</v>
      </c>
      <c r="F74" s="28"/>
      <c r="G74" s="35" t="s">
        <v>477</v>
      </c>
      <c r="H74" s="49">
        <v>2800.17</v>
      </c>
      <c r="I74" s="49">
        <v>20858.37</v>
      </c>
      <c r="J74" s="51" t="s">
        <v>650</v>
      </c>
      <c r="K74" s="51" t="s">
        <v>650</v>
      </c>
      <c r="L74" s="28" t="s">
        <v>769</v>
      </c>
      <c r="M74" s="28" t="s">
        <v>335</v>
      </c>
      <c r="N74" s="29" t="s">
        <v>2</v>
      </c>
      <c r="O74" s="28"/>
      <c r="P74" s="28" t="s">
        <v>479</v>
      </c>
      <c r="Q74" s="28" t="s">
        <v>484</v>
      </c>
      <c r="R74" s="28" t="s">
        <v>475</v>
      </c>
      <c r="S74" s="29">
        <v>11.25</v>
      </c>
      <c r="T74" s="29">
        <v>0</v>
      </c>
      <c r="U74" s="29">
        <v>45</v>
      </c>
      <c r="V74" s="28" t="s">
        <v>754</v>
      </c>
      <c r="W74" s="28">
        <v>0</v>
      </c>
      <c r="X74" s="28"/>
      <c r="Y74" s="31"/>
      <c r="Z74" s="28" t="b">
        <v>0</v>
      </c>
      <c r="AA74" s="28" t="s">
        <v>757</v>
      </c>
      <c r="AB74" s="28" t="s">
        <v>758</v>
      </c>
      <c r="AC74" s="28">
        <v>349.12</v>
      </c>
      <c r="AD74" s="35" t="b">
        <v>1</v>
      </c>
      <c r="AE74" s="28" t="s">
        <v>770</v>
      </c>
      <c r="AF74" s="28"/>
      <c r="AG74" s="28"/>
      <c r="AH74" s="28" t="s">
        <v>771</v>
      </c>
      <c r="AI74" s="53" t="b">
        <v>1</v>
      </c>
      <c r="AJ74" s="51" t="s">
        <v>650</v>
      </c>
      <c r="AK74" s="35" t="b">
        <v>1</v>
      </c>
      <c r="AL74" s="46" t="b">
        <v>0</v>
      </c>
      <c r="AM74" s="28">
        <v>0</v>
      </c>
      <c r="AN74" s="28" t="b">
        <v>0</v>
      </c>
      <c r="AO74" s="28"/>
      <c r="AP74" s="28"/>
      <c r="AQ74" s="46" t="b">
        <v>0</v>
      </c>
      <c r="AR74" s="28" t="b">
        <v>0</v>
      </c>
      <c r="AS74" s="28" t="b">
        <v>0</v>
      </c>
      <c r="AT74" s="28"/>
      <c r="AU74" s="41"/>
      <c r="AV74" s="41"/>
      <c r="AW74" s="41" t="s">
        <v>858</v>
      </c>
      <c r="AX74" s="28" t="s">
        <v>761</v>
      </c>
      <c r="AY74" s="28" t="s">
        <v>762</v>
      </c>
      <c r="AZ74" s="28">
        <v>0</v>
      </c>
      <c r="BA74" s="28"/>
      <c r="BB74" s="28">
        <v>34</v>
      </c>
      <c r="BC74" s="28">
        <v>15</v>
      </c>
      <c r="BD74" s="28">
        <v>2</v>
      </c>
      <c r="BE74" s="28" t="b">
        <v>0</v>
      </c>
      <c r="BF74" s="35" t="b">
        <v>1</v>
      </c>
      <c r="BG74" s="28">
        <v>70</v>
      </c>
      <c r="BH74" s="28">
        <v>46</v>
      </c>
      <c r="BI74" s="28">
        <v>12.237</v>
      </c>
      <c r="BJ74" s="28">
        <v>1.7000000000000001E-2</v>
      </c>
      <c r="BK74" s="28">
        <v>0.17100000000000001</v>
      </c>
      <c r="BL74" s="28">
        <v>12.237</v>
      </c>
      <c r="BM74" s="28">
        <v>1.7000000000000001E-2</v>
      </c>
      <c r="BN74" s="28" t="s">
        <v>775</v>
      </c>
      <c r="BO74" s="28" t="s">
        <v>481</v>
      </c>
      <c r="BP74" s="28">
        <v>0</v>
      </c>
      <c r="BQ74" s="28">
        <v>0</v>
      </c>
      <c r="BR74" s="28">
        <v>0</v>
      </c>
      <c r="BS74" s="28">
        <v>0</v>
      </c>
      <c r="BT74" s="28"/>
      <c r="BU74" s="28">
        <v>0</v>
      </c>
      <c r="BV74" s="28" t="b">
        <v>1</v>
      </c>
      <c r="BW74" s="28">
        <v>1.861E-3</v>
      </c>
      <c r="BX74" s="28">
        <v>40</v>
      </c>
      <c r="BY74" s="28">
        <v>4</v>
      </c>
      <c r="BZ74" s="28" t="b">
        <v>0</v>
      </c>
      <c r="CA74" s="28" t="s">
        <v>82</v>
      </c>
      <c r="CB74" s="28"/>
      <c r="CC74" s="28"/>
      <c r="CD74" s="28"/>
      <c r="CE74" s="28" t="s">
        <v>763</v>
      </c>
      <c r="CF74" s="28"/>
      <c r="CG74" s="28" t="b">
        <v>0</v>
      </c>
      <c r="CH74" s="28" t="b">
        <v>0</v>
      </c>
      <c r="CI74" s="28">
        <v>302</v>
      </c>
      <c r="CJ74" s="28">
        <v>2585</v>
      </c>
      <c r="CK74" s="28" t="s">
        <v>795</v>
      </c>
      <c r="CL74" s="28"/>
      <c r="CM74" s="51">
        <v>1</v>
      </c>
      <c r="CN74" s="51" t="b">
        <v>0</v>
      </c>
      <c r="CO74" s="34" t="str">
        <f>IFERROR(HYPERLINK("#Main!A"&amp;MATCH(A74,Main!A:A,0),"Open"),HYPERLINK("#Main!A1","Open"))</f>
        <v>Open</v>
      </c>
      <c r="CP74" s="34"/>
    </row>
    <row r="75" spans="1:94" ht="30" customHeight="1" x14ac:dyDescent="0.25">
      <c r="A75" s="30" t="s">
        <v>652</v>
      </c>
      <c r="B75" s="35">
        <v>200</v>
      </c>
      <c r="C75" s="37" t="s">
        <v>768</v>
      </c>
      <c r="D75" s="50"/>
      <c r="E75" s="37" t="s">
        <v>478</v>
      </c>
      <c r="F75" s="37"/>
      <c r="G75" s="35" t="s">
        <v>477</v>
      </c>
      <c r="H75" s="50">
        <v>62.91</v>
      </c>
      <c r="I75" s="50">
        <v>18650.37</v>
      </c>
      <c r="J75" s="52" t="s">
        <v>652</v>
      </c>
      <c r="K75" s="52" t="s">
        <v>652</v>
      </c>
      <c r="L75" s="37" t="s">
        <v>769</v>
      </c>
      <c r="M75" s="37" t="s">
        <v>335</v>
      </c>
      <c r="N75" s="29" t="s">
        <v>2</v>
      </c>
      <c r="O75" s="37"/>
      <c r="P75" s="37" t="s">
        <v>479</v>
      </c>
      <c r="Q75" s="37" t="s">
        <v>484</v>
      </c>
      <c r="R75" s="37" t="s">
        <v>475</v>
      </c>
      <c r="S75" s="29">
        <v>25</v>
      </c>
      <c r="T75" s="29">
        <v>0</v>
      </c>
      <c r="U75" s="35">
        <v>100</v>
      </c>
      <c r="V75" s="37" t="s">
        <v>754</v>
      </c>
      <c r="W75" s="37">
        <v>0</v>
      </c>
      <c r="X75" s="37"/>
      <c r="Y75" s="43"/>
      <c r="Z75" s="37" t="b">
        <v>0</v>
      </c>
      <c r="AA75" s="37" t="s">
        <v>757</v>
      </c>
      <c r="AB75" s="37" t="s">
        <v>758</v>
      </c>
      <c r="AC75" s="37">
        <v>586.13</v>
      </c>
      <c r="AD75" s="35" t="b">
        <v>1</v>
      </c>
      <c r="AE75" s="37" t="s">
        <v>770</v>
      </c>
      <c r="AF75" s="37"/>
      <c r="AG75" s="37"/>
      <c r="AH75" s="37" t="s">
        <v>771</v>
      </c>
      <c r="AI75" s="53" t="b">
        <v>1</v>
      </c>
      <c r="AJ75" s="52" t="s">
        <v>652</v>
      </c>
      <c r="AK75" s="35" t="b">
        <v>1</v>
      </c>
      <c r="AL75" s="46" t="b">
        <v>0</v>
      </c>
      <c r="AM75" s="37">
        <v>0</v>
      </c>
      <c r="AN75" s="37" t="b">
        <v>0</v>
      </c>
      <c r="AO75" s="37"/>
      <c r="AP75" s="37"/>
      <c r="AQ75" s="46" t="b">
        <v>0</v>
      </c>
      <c r="AR75" s="37" t="b">
        <v>0</v>
      </c>
      <c r="AS75" s="37" t="b">
        <v>0</v>
      </c>
      <c r="AT75" s="37"/>
      <c r="AU75" s="44"/>
      <c r="AV75" s="44"/>
      <c r="AW75" s="44" t="s">
        <v>859</v>
      </c>
      <c r="AX75" s="37" t="s">
        <v>761</v>
      </c>
      <c r="AY75" s="37" t="s">
        <v>762</v>
      </c>
      <c r="AZ75" s="37">
        <v>0</v>
      </c>
      <c r="BA75" s="37"/>
      <c r="BB75" s="37">
        <v>42</v>
      </c>
      <c r="BC75" s="37">
        <v>20</v>
      </c>
      <c r="BD75" s="37">
        <v>57</v>
      </c>
      <c r="BE75" s="37" t="b">
        <v>0</v>
      </c>
      <c r="BF75" s="35" t="b">
        <v>1</v>
      </c>
      <c r="BG75" s="37">
        <v>53</v>
      </c>
      <c r="BH75" s="37">
        <v>35</v>
      </c>
      <c r="BI75" s="37">
        <v>22.300999999999998</v>
      </c>
      <c r="BJ75" s="37">
        <v>6.7000000000000004E-2</v>
      </c>
      <c r="BK75" s="37">
        <v>0.17199999999999999</v>
      </c>
      <c r="BL75" s="37">
        <v>22.300999999999998</v>
      </c>
      <c r="BM75" s="37">
        <v>6.7000000000000004E-2</v>
      </c>
      <c r="BN75" s="37" t="s">
        <v>775</v>
      </c>
      <c r="BO75" s="37" t="s">
        <v>481</v>
      </c>
      <c r="BP75" s="37">
        <v>0</v>
      </c>
      <c r="BQ75" s="37">
        <v>0</v>
      </c>
      <c r="BR75" s="37">
        <v>0</v>
      </c>
      <c r="BS75" s="37">
        <v>0</v>
      </c>
      <c r="BT75" s="37">
        <v>2</v>
      </c>
      <c r="BU75" s="37">
        <v>21</v>
      </c>
      <c r="BV75" s="37" t="b">
        <v>0</v>
      </c>
      <c r="BW75" s="37">
        <v>8.3590000000000001E-3</v>
      </c>
      <c r="BX75" s="37">
        <v>60</v>
      </c>
      <c r="BY75" s="37">
        <v>4</v>
      </c>
      <c r="BZ75" s="37" t="b">
        <v>0</v>
      </c>
      <c r="CA75" s="37" t="s">
        <v>82</v>
      </c>
      <c r="CB75" s="37"/>
      <c r="CC75" s="37"/>
      <c r="CD75" s="37"/>
      <c r="CE75" s="37" t="s">
        <v>776</v>
      </c>
      <c r="CF75" s="37"/>
      <c r="CG75" s="37" t="b">
        <v>0</v>
      </c>
      <c r="CH75" s="37" t="b">
        <v>0</v>
      </c>
      <c r="CI75" s="37">
        <v>244</v>
      </c>
      <c r="CJ75" s="37">
        <v>992</v>
      </c>
      <c r="CK75" s="37"/>
      <c r="CL75" s="37"/>
      <c r="CM75" s="52">
        <v>1</v>
      </c>
      <c r="CN75" s="52" t="b">
        <v>0</v>
      </c>
      <c r="CO75" t="str">
        <f>IFERROR(HYPERLINK("#Main!A"&amp;MATCH(A75,Main!A:A,0),"Open"),HYPERLINK("#Main!A1","Open"))</f>
        <v>Open</v>
      </c>
    </row>
    <row r="76" spans="1:94" ht="30" customHeight="1" x14ac:dyDescent="0.25">
      <c r="A76" s="33" t="s">
        <v>655</v>
      </c>
      <c r="B76" s="35">
        <v>200</v>
      </c>
      <c r="C76" s="28" t="s">
        <v>768</v>
      </c>
      <c r="D76" s="49"/>
      <c r="E76" s="28" t="s">
        <v>478</v>
      </c>
      <c r="F76" s="28"/>
      <c r="G76" s="35" t="s">
        <v>477</v>
      </c>
      <c r="H76" s="49">
        <v>58.6</v>
      </c>
      <c r="I76" s="49">
        <v>17957.25</v>
      </c>
      <c r="J76" s="51" t="s">
        <v>655</v>
      </c>
      <c r="K76" s="51" t="s">
        <v>655</v>
      </c>
      <c r="L76" s="28" t="s">
        <v>769</v>
      </c>
      <c r="M76" s="28" t="s">
        <v>335</v>
      </c>
      <c r="N76" s="29" t="s">
        <v>2</v>
      </c>
      <c r="O76" s="28"/>
      <c r="P76" s="28" t="s">
        <v>479</v>
      </c>
      <c r="Q76" s="28" t="s">
        <v>484</v>
      </c>
      <c r="R76" s="28" t="s">
        <v>475</v>
      </c>
      <c r="S76" s="29">
        <v>25</v>
      </c>
      <c r="T76" s="29">
        <v>0</v>
      </c>
      <c r="U76" s="35">
        <v>100</v>
      </c>
      <c r="V76" s="28" t="s">
        <v>754</v>
      </c>
      <c r="W76" s="28">
        <v>0</v>
      </c>
      <c r="X76" s="28"/>
      <c r="Y76" s="31"/>
      <c r="Z76" s="28" t="b">
        <v>0</v>
      </c>
      <c r="AA76" s="28" t="s">
        <v>757</v>
      </c>
      <c r="AB76" s="28" t="s">
        <v>758</v>
      </c>
      <c r="AC76" s="28">
        <v>272.29000000000002</v>
      </c>
      <c r="AD76" s="35" t="b">
        <v>1</v>
      </c>
      <c r="AE76" s="28" t="s">
        <v>770</v>
      </c>
      <c r="AF76" s="28"/>
      <c r="AG76" s="28"/>
      <c r="AH76" s="28" t="s">
        <v>771</v>
      </c>
      <c r="AI76" s="53" t="b">
        <v>1</v>
      </c>
      <c r="AJ76" s="51" t="s">
        <v>655</v>
      </c>
      <c r="AK76" s="35" t="b">
        <v>1</v>
      </c>
      <c r="AL76" s="46" t="b">
        <v>0</v>
      </c>
      <c r="AM76" s="28">
        <v>0</v>
      </c>
      <c r="AN76" s="28" t="b">
        <v>0</v>
      </c>
      <c r="AO76" s="28"/>
      <c r="AP76" s="28"/>
      <c r="AQ76" s="46" t="b">
        <v>0</v>
      </c>
      <c r="AR76" s="28" t="b">
        <v>0</v>
      </c>
      <c r="AS76" s="28" t="b">
        <v>0</v>
      </c>
      <c r="AT76" s="28"/>
      <c r="AU76" s="41"/>
      <c r="AV76" s="41"/>
      <c r="AW76" s="41" t="s">
        <v>860</v>
      </c>
      <c r="AX76" s="28" t="s">
        <v>761</v>
      </c>
      <c r="AY76" s="28" t="s">
        <v>762</v>
      </c>
      <c r="AZ76" s="28">
        <v>0</v>
      </c>
      <c r="BA76" s="28"/>
      <c r="BB76" s="28">
        <v>31</v>
      </c>
      <c r="BC76" s="28">
        <v>14</v>
      </c>
      <c r="BD76" s="28">
        <v>2</v>
      </c>
      <c r="BE76" s="28" t="b">
        <v>0</v>
      </c>
      <c r="BF76" s="35" t="b">
        <v>1</v>
      </c>
      <c r="BG76" s="28">
        <v>54</v>
      </c>
      <c r="BH76" s="28">
        <v>28</v>
      </c>
      <c r="BI76" s="28">
        <v>6.8789999999999996</v>
      </c>
      <c r="BJ76" s="28">
        <v>1E-3</v>
      </c>
      <c r="BK76" s="28">
        <v>0.16900000000000001</v>
      </c>
      <c r="BL76" s="28">
        <v>6.8789999999999996</v>
      </c>
      <c r="BM76" s="28">
        <v>1E-3</v>
      </c>
      <c r="BN76" s="28" t="s">
        <v>775</v>
      </c>
      <c r="BO76" s="28" t="s">
        <v>481</v>
      </c>
      <c r="BP76" s="28">
        <v>0</v>
      </c>
      <c r="BQ76" s="28">
        <v>0</v>
      </c>
      <c r="BR76" s="28">
        <v>0</v>
      </c>
      <c r="BS76" s="28">
        <v>0</v>
      </c>
      <c r="BT76" s="28">
        <v>1</v>
      </c>
      <c r="BU76" s="28">
        <v>59</v>
      </c>
      <c r="BV76" s="28" t="b">
        <v>0</v>
      </c>
      <c r="BW76" s="28">
        <v>5.8172000000000001E-2</v>
      </c>
      <c r="BX76" s="28">
        <v>30</v>
      </c>
      <c r="BY76" s="28">
        <v>3</v>
      </c>
      <c r="BZ76" s="28" t="b">
        <v>0</v>
      </c>
      <c r="CA76" s="28" t="s">
        <v>82</v>
      </c>
      <c r="CB76" s="28"/>
      <c r="CC76" s="28"/>
      <c r="CD76" s="28"/>
      <c r="CE76" s="28" t="s">
        <v>776</v>
      </c>
      <c r="CF76" s="28"/>
      <c r="CG76" s="28" t="b">
        <v>0</v>
      </c>
      <c r="CH76" s="28" t="b">
        <v>0</v>
      </c>
      <c r="CI76" s="28">
        <v>345</v>
      </c>
      <c r="CJ76" s="28">
        <v>2430</v>
      </c>
      <c r="CK76" s="28"/>
      <c r="CL76" s="28"/>
      <c r="CM76" s="51">
        <v>1</v>
      </c>
      <c r="CN76" s="51" t="b">
        <v>0</v>
      </c>
      <c r="CO76" s="34" t="str">
        <f>IFERROR(HYPERLINK("#Main!A"&amp;MATCH(A76,Main!A:A,0),"Open"),HYPERLINK("#Main!A1","Open"))</f>
        <v>Open</v>
      </c>
      <c r="CP76" s="34"/>
    </row>
    <row r="77" spans="1:94" ht="30" customHeight="1" x14ac:dyDescent="0.25">
      <c r="A77" s="30" t="s">
        <v>658</v>
      </c>
      <c r="B77" s="35">
        <v>200</v>
      </c>
      <c r="C77" s="37" t="s">
        <v>768</v>
      </c>
      <c r="D77" s="50"/>
      <c r="E77" s="37" t="s">
        <v>478</v>
      </c>
      <c r="F77" s="37"/>
      <c r="G77" s="35" t="s">
        <v>477</v>
      </c>
      <c r="H77" s="50">
        <v>76.989999999999995</v>
      </c>
      <c r="I77" s="50">
        <v>18128.07</v>
      </c>
      <c r="J77" s="52" t="s">
        <v>658</v>
      </c>
      <c r="K77" s="52" t="s">
        <v>658</v>
      </c>
      <c r="L77" s="37" t="s">
        <v>769</v>
      </c>
      <c r="M77" s="37" t="s">
        <v>335</v>
      </c>
      <c r="N77" s="29" t="s">
        <v>2</v>
      </c>
      <c r="O77" s="37"/>
      <c r="P77" s="37" t="s">
        <v>479</v>
      </c>
      <c r="Q77" s="37" t="s">
        <v>484</v>
      </c>
      <c r="R77" s="37" t="s">
        <v>475</v>
      </c>
      <c r="S77" s="29">
        <v>17.5</v>
      </c>
      <c r="T77" s="29">
        <v>0</v>
      </c>
      <c r="U77" s="32">
        <v>70</v>
      </c>
      <c r="V77" s="37" t="s">
        <v>754</v>
      </c>
      <c r="W77" s="37">
        <v>0</v>
      </c>
      <c r="X77" s="37"/>
      <c r="Y77" s="43"/>
      <c r="Z77" s="37" t="b">
        <v>0</v>
      </c>
      <c r="AA77" s="37" t="s">
        <v>757</v>
      </c>
      <c r="AB77" s="37" t="s">
        <v>758</v>
      </c>
      <c r="AC77" s="37">
        <v>349.93</v>
      </c>
      <c r="AD77" s="35" t="b">
        <v>1</v>
      </c>
      <c r="AE77" s="37" t="s">
        <v>770</v>
      </c>
      <c r="AF77" s="37"/>
      <c r="AG77" s="37"/>
      <c r="AH77" s="37" t="s">
        <v>771</v>
      </c>
      <c r="AI77" s="53" t="b">
        <v>1</v>
      </c>
      <c r="AJ77" s="52" t="s">
        <v>658</v>
      </c>
      <c r="AK77" s="35" t="b">
        <v>1</v>
      </c>
      <c r="AL77" s="46" t="b">
        <v>0</v>
      </c>
      <c r="AM77" s="37">
        <v>0</v>
      </c>
      <c r="AN77" s="37" t="b">
        <v>0</v>
      </c>
      <c r="AO77" s="37"/>
      <c r="AP77" s="37"/>
      <c r="AQ77" s="46" t="b">
        <v>0</v>
      </c>
      <c r="AR77" s="37" t="b">
        <v>0</v>
      </c>
      <c r="AS77" s="37" t="b">
        <v>0</v>
      </c>
      <c r="AT77" s="37"/>
      <c r="AU77" s="44"/>
      <c r="AV77" s="44"/>
      <c r="AW77" s="44" t="s">
        <v>861</v>
      </c>
      <c r="AX77" s="37" t="s">
        <v>761</v>
      </c>
      <c r="AY77" s="37" t="s">
        <v>762</v>
      </c>
      <c r="AZ77" s="37">
        <v>0</v>
      </c>
      <c r="BA77" s="37"/>
      <c r="BB77" s="37">
        <v>31</v>
      </c>
      <c r="BC77" s="37">
        <v>14</v>
      </c>
      <c r="BD77" s="37">
        <v>2</v>
      </c>
      <c r="BE77" s="37" t="b">
        <v>0</v>
      </c>
      <c r="BF77" s="35" t="b">
        <v>1</v>
      </c>
      <c r="BG77" s="37">
        <v>43</v>
      </c>
      <c r="BH77" s="37">
        <v>44</v>
      </c>
      <c r="BI77" s="37">
        <v>5.819</v>
      </c>
      <c r="BJ77" s="37">
        <v>1E-3</v>
      </c>
      <c r="BK77" s="37">
        <v>0.20699999999999999</v>
      </c>
      <c r="BL77" s="37">
        <v>5.819</v>
      </c>
      <c r="BM77" s="37">
        <v>1E-3</v>
      </c>
      <c r="BN77" s="37" t="s">
        <v>775</v>
      </c>
      <c r="BO77" s="37" t="s">
        <v>481</v>
      </c>
      <c r="BP77" s="37">
        <v>0</v>
      </c>
      <c r="BQ77" s="37">
        <v>0</v>
      </c>
      <c r="BR77" s="37">
        <v>0</v>
      </c>
      <c r="BS77" s="37">
        <v>0</v>
      </c>
      <c r="BT77" s="37">
        <v>1</v>
      </c>
      <c r="BU77" s="37">
        <v>3</v>
      </c>
      <c r="BV77" s="37" t="b">
        <v>0</v>
      </c>
      <c r="BW77" s="37">
        <v>8.9929999999999993E-3</v>
      </c>
      <c r="BX77" s="37">
        <v>100</v>
      </c>
      <c r="BY77" s="37">
        <v>16</v>
      </c>
      <c r="BZ77" s="37" t="b">
        <v>0</v>
      </c>
      <c r="CA77" s="37" t="s">
        <v>82</v>
      </c>
      <c r="CB77" s="37"/>
      <c r="CC77" s="37"/>
      <c r="CD77" s="37"/>
      <c r="CE77" s="37" t="s">
        <v>786</v>
      </c>
      <c r="CF77" s="37"/>
      <c r="CG77" s="37" t="b">
        <v>0</v>
      </c>
      <c r="CH77" s="37" t="b">
        <v>0</v>
      </c>
      <c r="CI77" s="37">
        <v>309</v>
      </c>
      <c r="CJ77" s="37">
        <v>7291</v>
      </c>
      <c r="CK77" s="37"/>
      <c r="CL77" s="37"/>
      <c r="CM77" s="52">
        <v>1</v>
      </c>
      <c r="CN77" s="52" t="b">
        <v>0</v>
      </c>
      <c r="CO77" t="str">
        <f>IFERROR(HYPERLINK("#Main!A"&amp;MATCH(A77,Main!A:A,0),"Open"),HYPERLINK("#Main!A1","Open"))</f>
        <v>Open</v>
      </c>
    </row>
    <row r="78" spans="1:94" ht="30" customHeight="1" x14ac:dyDescent="0.25">
      <c r="A78" s="33" t="s">
        <v>661</v>
      </c>
      <c r="B78" s="35">
        <v>200</v>
      </c>
      <c r="C78" s="28" t="s">
        <v>768</v>
      </c>
      <c r="D78" s="49"/>
      <c r="E78" s="28" t="s">
        <v>478</v>
      </c>
      <c r="F78" s="28"/>
      <c r="G78" s="35" t="s">
        <v>477</v>
      </c>
      <c r="H78" s="49">
        <v>2545.66</v>
      </c>
      <c r="I78" s="49">
        <v>20540.41</v>
      </c>
      <c r="J78" s="51" t="s">
        <v>661</v>
      </c>
      <c r="K78" s="51" t="s">
        <v>661</v>
      </c>
      <c r="L78" s="28" t="s">
        <v>769</v>
      </c>
      <c r="M78" s="28" t="s">
        <v>335</v>
      </c>
      <c r="N78" s="29" t="s">
        <v>2</v>
      </c>
      <c r="O78" s="28"/>
      <c r="P78" s="28" t="s">
        <v>479</v>
      </c>
      <c r="Q78" s="28" t="s">
        <v>484</v>
      </c>
      <c r="R78" s="28" t="s">
        <v>475</v>
      </c>
      <c r="S78" s="29">
        <v>11.25</v>
      </c>
      <c r="T78" s="29">
        <v>0</v>
      </c>
      <c r="U78" s="29">
        <v>45</v>
      </c>
      <c r="V78" s="28" t="s">
        <v>754</v>
      </c>
      <c r="W78" s="28">
        <v>0</v>
      </c>
      <c r="X78" s="28"/>
      <c r="Y78" s="31"/>
      <c r="Z78" s="28" t="b">
        <v>0</v>
      </c>
      <c r="AA78" s="28" t="s">
        <v>757</v>
      </c>
      <c r="AB78" s="28" t="s">
        <v>758</v>
      </c>
      <c r="AC78" s="28">
        <v>270.81</v>
      </c>
      <c r="AD78" s="35" t="b">
        <v>1</v>
      </c>
      <c r="AE78" s="28" t="s">
        <v>770</v>
      </c>
      <c r="AF78" s="28"/>
      <c r="AG78" s="28"/>
      <c r="AH78" s="28" t="s">
        <v>771</v>
      </c>
      <c r="AI78" s="53" t="b">
        <v>1</v>
      </c>
      <c r="AJ78" s="51" t="s">
        <v>661</v>
      </c>
      <c r="AK78" s="35" t="b">
        <v>1</v>
      </c>
      <c r="AL78" s="46" t="b">
        <v>0</v>
      </c>
      <c r="AM78" s="28">
        <v>0</v>
      </c>
      <c r="AN78" s="28" t="b">
        <v>0</v>
      </c>
      <c r="AO78" s="28"/>
      <c r="AP78" s="28"/>
      <c r="AQ78" s="46" t="b">
        <v>0</v>
      </c>
      <c r="AR78" s="28" t="b">
        <v>0</v>
      </c>
      <c r="AS78" s="28" t="b">
        <v>0</v>
      </c>
      <c r="AT78" s="28"/>
      <c r="AU78" s="41"/>
      <c r="AV78" s="41"/>
      <c r="AW78" s="41" t="s">
        <v>862</v>
      </c>
      <c r="AX78" s="28" t="s">
        <v>761</v>
      </c>
      <c r="AY78" s="28" t="s">
        <v>762</v>
      </c>
      <c r="AZ78" s="28">
        <v>0</v>
      </c>
      <c r="BA78" s="28"/>
      <c r="BB78" s="28">
        <v>43</v>
      </c>
      <c r="BC78" s="28">
        <v>16</v>
      </c>
      <c r="BD78" s="28">
        <v>2</v>
      </c>
      <c r="BE78" s="28" t="b">
        <v>0</v>
      </c>
      <c r="BF78" s="35" t="b">
        <v>1</v>
      </c>
      <c r="BG78" s="28">
        <v>53</v>
      </c>
      <c r="BH78" s="28">
        <v>35</v>
      </c>
      <c r="BI78" s="28">
        <v>9.9499999999999993</v>
      </c>
      <c r="BJ78" s="28">
        <v>1E-3</v>
      </c>
      <c r="BK78" s="28">
        <v>0.20599999999999999</v>
      </c>
      <c r="BL78" s="28">
        <v>9.9499999999999993</v>
      </c>
      <c r="BM78" s="28">
        <v>1E-3</v>
      </c>
      <c r="BN78" s="28" t="s">
        <v>775</v>
      </c>
      <c r="BO78" s="28" t="s">
        <v>481</v>
      </c>
      <c r="BP78" s="28">
        <v>0</v>
      </c>
      <c r="BQ78" s="28">
        <v>0</v>
      </c>
      <c r="BR78" s="28">
        <v>0</v>
      </c>
      <c r="BS78" s="28">
        <v>0</v>
      </c>
      <c r="BT78" s="28"/>
      <c r="BU78" s="28">
        <v>0</v>
      </c>
      <c r="BV78" s="28" t="b">
        <v>1</v>
      </c>
      <c r="BW78" s="28">
        <v>1.861E-3</v>
      </c>
      <c r="BX78" s="28">
        <v>30</v>
      </c>
      <c r="BY78" s="28">
        <v>3</v>
      </c>
      <c r="BZ78" s="28" t="b">
        <v>0</v>
      </c>
      <c r="CA78" s="28" t="s">
        <v>82</v>
      </c>
      <c r="CB78" s="28"/>
      <c r="CC78" s="28"/>
      <c r="CD78" s="28"/>
      <c r="CE78" s="28" t="s">
        <v>763</v>
      </c>
      <c r="CF78" s="28"/>
      <c r="CG78" s="28" t="b">
        <v>0</v>
      </c>
      <c r="CH78" s="28" t="b">
        <v>0</v>
      </c>
      <c r="CI78" s="28">
        <v>352</v>
      </c>
      <c r="CJ78" s="28">
        <v>2300</v>
      </c>
      <c r="CK78" s="28"/>
      <c r="CL78" s="28"/>
      <c r="CM78" s="51">
        <v>1</v>
      </c>
      <c r="CN78" s="51" t="b">
        <v>0</v>
      </c>
      <c r="CO78" s="34" t="str">
        <f>IFERROR(HYPERLINK("#Main!A"&amp;MATCH(A78,Main!A:A,0),"Open"),HYPERLINK("#Main!A1","Open"))</f>
        <v>Open</v>
      </c>
      <c r="CP78" s="34"/>
    </row>
    <row r="79" spans="1:94" ht="30" customHeight="1" x14ac:dyDescent="0.25">
      <c r="A79" s="30" t="s">
        <v>664</v>
      </c>
      <c r="B79" s="35">
        <v>200</v>
      </c>
      <c r="C79" s="37" t="s">
        <v>768</v>
      </c>
      <c r="D79" s="50"/>
      <c r="E79" s="37" t="s">
        <v>478</v>
      </c>
      <c r="F79" s="37"/>
      <c r="G79" s="35" t="s">
        <v>477</v>
      </c>
      <c r="H79" s="50">
        <v>2522.58</v>
      </c>
      <c r="I79" s="50">
        <v>20576.28</v>
      </c>
      <c r="J79" s="52" t="s">
        <v>664</v>
      </c>
      <c r="K79" s="52" t="s">
        <v>664</v>
      </c>
      <c r="L79" s="37" t="s">
        <v>769</v>
      </c>
      <c r="M79" s="37" t="s">
        <v>335</v>
      </c>
      <c r="N79" s="29" t="s">
        <v>2</v>
      </c>
      <c r="O79" s="37"/>
      <c r="P79" s="37" t="s">
        <v>479</v>
      </c>
      <c r="Q79" s="37" t="s">
        <v>484</v>
      </c>
      <c r="R79" s="37" t="s">
        <v>475</v>
      </c>
      <c r="S79" s="29">
        <v>11.25</v>
      </c>
      <c r="T79" s="29">
        <v>0</v>
      </c>
      <c r="U79" s="29">
        <v>45</v>
      </c>
      <c r="V79" s="37" t="s">
        <v>754</v>
      </c>
      <c r="W79" s="37">
        <v>0</v>
      </c>
      <c r="X79" s="37"/>
      <c r="Y79" s="43"/>
      <c r="Z79" s="37" t="b">
        <v>0</v>
      </c>
      <c r="AA79" s="37" t="s">
        <v>757</v>
      </c>
      <c r="AB79" s="37" t="s">
        <v>758</v>
      </c>
      <c r="AC79" s="37">
        <v>413.72</v>
      </c>
      <c r="AD79" s="35" t="b">
        <v>1</v>
      </c>
      <c r="AE79" s="37" t="s">
        <v>770</v>
      </c>
      <c r="AF79" s="37"/>
      <c r="AG79" s="37"/>
      <c r="AH79" s="37" t="s">
        <v>771</v>
      </c>
      <c r="AI79" s="53" t="b">
        <v>1</v>
      </c>
      <c r="AJ79" s="52" t="s">
        <v>664</v>
      </c>
      <c r="AK79" s="35" t="b">
        <v>1</v>
      </c>
      <c r="AL79" s="46" t="b">
        <v>0</v>
      </c>
      <c r="AM79" s="37">
        <v>0</v>
      </c>
      <c r="AN79" s="37" t="b">
        <v>0</v>
      </c>
      <c r="AO79" s="37"/>
      <c r="AP79" s="37"/>
      <c r="AQ79" s="46" t="b">
        <v>0</v>
      </c>
      <c r="AR79" s="37" t="b">
        <v>0</v>
      </c>
      <c r="AS79" s="37" t="b">
        <v>0</v>
      </c>
      <c r="AT79" s="37"/>
      <c r="AU79" s="44"/>
      <c r="AV79" s="44"/>
      <c r="AW79" s="44" t="s">
        <v>863</v>
      </c>
      <c r="AX79" s="37" t="s">
        <v>761</v>
      </c>
      <c r="AY79" s="37" t="s">
        <v>762</v>
      </c>
      <c r="AZ79" s="37">
        <v>0</v>
      </c>
      <c r="BA79" s="37"/>
      <c r="BB79" s="37">
        <v>47</v>
      </c>
      <c r="BC79" s="37">
        <v>22</v>
      </c>
      <c r="BD79" s="37">
        <v>2</v>
      </c>
      <c r="BE79" s="37" t="b">
        <v>0</v>
      </c>
      <c r="BF79" s="35" t="b">
        <v>1</v>
      </c>
      <c r="BG79" s="37">
        <v>53</v>
      </c>
      <c r="BH79" s="37">
        <v>46</v>
      </c>
      <c r="BI79" s="37">
        <v>5.6710000000000003</v>
      </c>
      <c r="BJ79" s="37">
        <v>0.156</v>
      </c>
      <c r="BK79" s="37">
        <v>0.26100000000000001</v>
      </c>
      <c r="BL79" s="37">
        <v>5.6710000000000003</v>
      </c>
      <c r="BM79" s="37">
        <v>0.156</v>
      </c>
      <c r="BN79" s="37" t="s">
        <v>775</v>
      </c>
      <c r="BO79" s="37" t="s">
        <v>481</v>
      </c>
      <c r="BP79" s="37">
        <v>0</v>
      </c>
      <c r="BQ79" s="37">
        <v>0</v>
      </c>
      <c r="BR79" s="37">
        <v>0</v>
      </c>
      <c r="BS79" s="37">
        <v>0</v>
      </c>
      <c r="BT79" s="37"/>
      <c r="BU79" s="37">
        <v>0</v>
      </c>
      <c r="BV79" s="37" t="b">
        <v>1</v>
      </c>
      <c r="BW79" s="37">
        <v>1.861E-3</v>
      </c>
      <c r="BX79" s="37">
        <v>30</v>
      </c>
      <c r="BY79" s="37">
        <v>3</v>
      </c>
      <c r="BZ79" s="37" t="b">
        <v>0</v>
      </c>
      <c r="CA79" s="37" t="s">
        <v>82</v>
      </c>
      <c r="CB79" s="37"/>
      <c r="CC79" s="37"/>
      <c r="CD79" s="37"/>
      <c r="CE79" s="37" t="s">
        <v>763</v>
      </c>
      <c r="CF79" s="37"/>
      <c r="CG79" s="37" t="b">
        <v>0</v>
      </c>
      <c r="CH79" s="37" t="b">
        <v>0</v>
      </c>
      <c r="CI79" s="37">
        <v>367</v>
      </c>
      <c r="CJ79" s="37">
        <v>1897</v>
      </c>
      <c r="CK79" s="37"/>
      <c r="CL79" s="37"/>
      <c r="CM79" s="52">
        <v>1</v>
      </c>
      <c r="CN79" s="52" t="b">
        <v>0</v>
      </c>
      <c r="CO79" t="str">
        <f>IFERROR(HYPERLINK("#Main!A"&amp;MATCH(A79,Main!A:A,0),"Open"),HYPERLINK("#Main!A1","Open"))</f>
        <v>Open</v>
      </c>
    </row>
    <row r="80" spans="1:94" ht="30" customHeight="1" x14ac:dyDescent="0.25">
      <c r="A80" s="33" t="s">
        <v>667</v>
      </c>
      <c r="B80" s="35">
        <v>200</v>
      </c>
      <c r="C80" s="28" t="s">
        <v>768</v>
      </c>
      <c r="D80" s="49"/>
      <c r="E80" s="28" t="s">
        <v>478</v>
      </c>
      <c r="F80" s="28"/>
      <c r="G80" s="35" t="s">
        <v>477</v>
      </c>
      <c r="H80" s="49">
        <v>2497.08</v>
      </c>
      <c r="I80" s="49">
        <v>20394.89</v>
      </c>
      <c r="J80" s="51" t="s">
        <v>667</v>
      </c>
      <c r="K80" s="51" t="s">
        <v>667</v>
      </c>
      <c r="L80" s="28" t="s">
        <v>769</v>
      </c>
      <c r="M80" s="28" t="s">
        <v>335</v>
      </c>
      <c r="N80" s="29" t="s">
        <v>2</v>
      </c>
      <c r="O80" s="28"/>
      <c r="P80" s="28" t="s">
        <v>479</v>
      </c>
      <c r="Q80" s="28" t="s">
        <v>484</v>
      </c>
      <c r="R80" s="28" t="s">
        <v>475</v>
      </c>
      <c r="S80" s="29">
        <v>11.25</v>
      </c>
      <c r="T80" s="29">
        <v>0</v>
      </c>
      <c r="U80" s="29">
        <v>45</v>
      </c>
      <c r="V80" s="28" t="s">
        <v>754</v>
      </c>
      <c r="W80" s="28">
        <v>0</v>
      </c>
      <c r="X80" s="28"/>
      <c r="Y80" s="31"/>
      <c r="Z80" s="28" t="b">
        <v>0</v>
      </c>
      <c r="AA80" s="28" t="s">
        <v>757</v>
      </c>
      <c r="AB80" s="28" t="s">
        <v>758</v>
      </c>
      <c r="AC80" s="28">
        <v>286.27999999999997</v>
      </c>
      <c r="AD80" s="35" t="b">
        <v>1</v>
      </c>
      <c r="AE80" s="28" t="s">
        <v>770</v>
      </c>
      <c r="AF80" s="28"/>
      <c r="AG80" s="28"/>
      <c r="AH80" s="28" t="s">
        <v>771</v>
      </c>
      <c r="AI80" s="53" t="b">
        <v>1</v>
      </c>
      <c r="AJ80" s="51" t="s">
        <v>667</v>
      </c>
      <c r="AK80" s="35" t="b">
        <v>1</v>
      </c>
      <c r="AL80" s="46" t="b">
        <v>0</v>
      </c>
      <c r="AM80" s="28">
        <v>0</v>
      </c>
      <c r="AN80" s="28" t="b">
        <v>0</v>
      </c>
      <c r="AO80" s="28"/>
      <c r="AP80" s="28"/>
      <c r="AQ80" s="46" t="b">
        <v>0</v>
      </c>
      <c r="AR80" s="28" t="b">
        <v>0</v>
      </c>
      <c r="AS80" s="28" t="b">
        <v>0</v>
      </c>
      <c r="AT80" s="28"/>
      <c r="AU80" s="41"/>
      <c r="AV80" s="41"/>
      <c r="AW80" s="41" t="s">
        <v>864</v>
      </c>
      <c r="AX80" s="28" t="s">
        <v>761</v>
      </c>
      <c r="AY80" s="28" t="s">
        <v>762</v>
      </c>
      <c r="AZ80" s="28">
        <v>0</v>
      </c>
      <c r="BA80" s="28"/>
      <c r="BB80" s="28">
        <v>59</v>
      </c>
      <c r="BC80" s="28">
        <v>16</v>
      </c>
      <c r="BD80" s="28">
        <v>3</v>
      </c>
      <c r="BE80" s="28" t="b">
        <v>0</v>
      </c>
      <c r="BF80" s="35" t="b">
        <v>1</v>
      </c>
      <c r="BG80" s="28">
        <v>41</v>
      </c>
      <c r="BH80" s="28">
        <v>40</v>
      </c>
      <c r="BI80" s="28">
        <v>15.02</v>
      </c>
      <c r="BJ80" s="28">
        <v>6.6000000000000003E-2</v>
      </c>
      <c r="BK80" s="28">
        <v>0.17799999999999999</v>
      </c>
      <c r="BL80" s="28">
        <v>15.02</v>
      </c>
      <c r="BM80" s="28">
        <v>6.6000000000000003E-2</v>
      </c>
      <c r="BN80" s="28" t="s">
        <v>775</v>
      </c>
      <c r="BO80" s="28" t="s">
        <v>481</v>
      </c>
      <c r="BP80" s="28">
        <v>0</v>
      </c>
      <c r="BQ80" s="28">
        <v>0</v>
      </c>
      <c r="BR80" s="28">
        <v>0</v>
      </c>
      <c r="BS80" s="28">
        <v>0</v>
      </c>
      <c r="BT80" s="28"/>
      <c r="BU80" s="28">
        <v>0</v>
      </c>
      <c r="BV80" s="28" t="b">
        <v>1</v>
      </c>
      <c r="BW80" s="28">
        <v>1.861E-3</v>
      </c>
      <c r="BX80" s="28">
        <v>30</v>
      </c>
      <c r="BY80" s="28">
        <v>3</v>
      </c>
      <c r="BZ80" s="28" t="b">
        <v>0</v>
      </c>
      <c r="CA80" s="28" t="s">
        <v>82</v>
      </c>
      <c r="CB80" s="28"/>
      <c r="CC80" s="28"/>
      <c r="CD80" s="28"/>
      <c r="CE80" s="28" t="s">
        <v>763</v>
      </c>
      <c r="CF80" s="28"/>
      <c r="CG80" s="28" t="b">
        <v>0</v>
      </c>
      <c r="CH80" s="28" t="b">
        <v>0</v>
      </c>
      <c r="CI80" s="28">
        <v>561</v>
      </c>
      <c r="CJ80" s="28">
        <v>1190</v>
      </c>
      <c r="CK80" s="28"/>
      <c r="CL80" s="28"/>
      <c r="CM80" s="51">
        <v>1</v>
      </c>
      <c r="CN80" s="51" t="b">
        <v>0</v>
      </c>
      <c r="CO80" s="34" t="str">
        <f>IFERROR(HYPERLINK("#Main!A"&amp;MATCH(A80,Main!A:A,0),"Open"),HYPERLINK("#Main!A1","Open"))</f>
        <v>Open</v>
      </c>
      <c r="CP80" s="34"/>
    </row>
    <row r="81" spans="1:94" ht="30" customHeight="1" x14ac:dyDescent="0.25">
      <c r="A81" s="30" t="s">
        <v>670</v>
      </c>
      <c r="B81" s="35">
        <v>200</v>
      </c>
      <c r="C81" s="37" t="s">
        <v>768</v>
      </c>
      <c r="D81" s="50"/>
      <c r="E81" s="37" t="s">
        <v>478</v>
      </c>
      <c r="F81" s="37"/>
      <c r="G81" s="35" t="s">
        <v>477</v>
      </c>
      <c r="H81" s="50">
        <v>2580.96</v>
      </c>
      <c r="I81" s="50">
        <v>20583.990000000002</v>
      </c>
      <c r="J81" s="52" t="s">
        <v>670</v>
      </c>
      <c r="K81" s="52" t="s">
        <v>670</v>
      </c>
      <c r="L81" s="37" t="s">
        <v>769</v>
      </c>
      <c r="M81" s="37" t="s">
        <v>335</v>
      </c>
      <c r="N81" s="29" t="s">
        <v>2</v>
      </c>
      <c r="O81" s="37"/>
      <c r="P81" s="37" t="s">
        <v>479</v>
      </c>
      <c r="Q81" s="37" t="s">
        <v>484</v>
      </c>
      <c r="R81" s="37" t="s">
        <v>475</v>
      </c>
      <c r="S81" s="29">
        <v>11.25</v>
      </c>
      <c r="T81" s="29">
        <v>0</v>
      </c>
      <c r="U81" s="29">
        <v>45</v>
      </c>
      <c r="V81" s="37" t="s">
        <v>754</v>
      </c>
      <c r="W81" s="37">
        <v>0</v>
      </c>
      <c r="X81" s="37"/>
      <c r="Y81" s="43"/>
      <c r="Z81" s="37" t="b">
        <v>0</v>
      </c>
      <c r="AA81" s="37" t="s">
        <v>757</v>
      </c>
      <c r="AB81" s="37" t="s">
        <v>758</v>
      </c>
      <c r="AC81" s="37">
        <v>281.66000000000003</v>
      </c>
      <c r="AD81" s="35" t="b">
        <v>1</v>
      </c>
      <c r="AE81" s="37" t="s">
        <v>770</v>
      </c>
      <c r="AF81" s="37"/>
      <c r="AG81" s="37"/>
      <c r="AH81" s="37" t="s">
        <v>771</v>
      </c>
      <c r="AI81" s="53" t="b">
        <v>1</v>
      </c>
      <c r="AJ81" s="52" t="s">
        <v>670</v>
      </c>
      <c r="AK81" s="35" t="b">
        <v>1</v>
      </c>
      <c r="AL81" s="46" t="b">
        <v>0</v>
      </c>
      <c r="AM81" s="37">
        <v>0</v>
      </c>
      <c r="AN81" s="37" t="b">
        <v>0</v>
      </c>
      <c r="AO81" s="37"/>
      <c r="AP81" s="37"/>
      <c r="AQ81" s="46" t="b">
        <v>0</v>
      </c>
      <c r="AR81" s="37" t="b">
        <v>0</v>
      </c>
      <c r="AS81" s="37" t="b">
        <v>0</v>
      </c>
      <c r="AT81" s="37"/>
      <c r="AU81" s="44"/>
      <c r="AV81" s="44"/>
      <c r="AW81" s="44" t="s">
        <v>865</v>
      </c>
      <c r="AX81" s="37" t="s">
        <v>761</v>
      </c>
      <c r="AY81" s="37" t="s">
        <v>762</v>
      </c>
      <c r="AZ81" s="37">
        <v>0</v>
      </c>
      <c r="BA81" s="37"/>
      <c r="BB81" s="37">
        <v>57</v>
      </c>
      <c r="BC81" s="37">
        <v>14</v>
      </c>
      <c r="BD81" s="37">
        <v>4</v>
      </c>
      <c r="BE81" s="37" t="b">
        <v>0</v>
      </c>
      <c r="BF81" s="35" t="b">
        <v>1</v>
      </c>
      <c r="BG81" s="37">
        <v>53</v>
      </c>
      <c r="BH81" s="37">
        <v>32</v>
      </c>
      <c r="BI81" s="37">
        <v>10.472</v>
      </c>
      <c r="BJ81" s="37">
        <v>7.8E-2</v>
      </c>
      <c r="BK81" s="37">
        <v>0.17199999999999999</v>
      </c>
      <c r="BL81" s="37">
        <v>10.472</v>
      </c>
      <c r="BM81" s="37">
        <v>7.8E-2</v>
      </c>
      <c r="BN81" s="37" t="s">
        <v>775</v>
      </c>
      <c r="BO81" s="37" t="s">
        <v>481</v>
      </c>
      <c r="BP81" s="37">
        <v>0</v>
      </c>
      <c r="BQ81" s="37">
        <v>0</v>
      </c>
      <c r="BR81" s="37">
        <v>0</v>
      </c>
      <c r="BS81" s="37">
        <v>0</v>
      </c>
      <c r="BT81" s="37"/>
      <c r="BU81" s="37">
        <v>0</v>
      </c>
      <c r="BV81" s="37" t="b">
        <v>1</v>
      </c>
      <c r="BW81" s="37">
        <v>1.861E-3</v>
      </c>
      <c r="BX81" s="37">
        <v>40</v>
      </c>
      <c r="BY81" s="37">
        <v>4</v>
      </c>
      <c r="BZ81" s="37" t="b">
        <v>0</v>
      </c>
      <c r="CA81" s="37" t="s">
        <v>82</v>
      </c>
      <c r="CB81" s="37"/>
      <c r="CC81" s="37"/>
      <c r="CD81" s="37"/>
      <c r="CE81" s="37" t="s">
        <v>763</v>
      </c>
      <c r="CF81" s="37"/>
      <c r="CG81" s="37" t="b">
        <v>0</v>
      </c>
      <c r="CH81" s="37" t="b">
        <v>0</v>
      </c>
      <c r="CI81" s="37">
        <v>604</v>
      </c>
      <c r="CJ81" s="37">
        <v>657</v>
      </c>
      <c r="CK81" s="37"/>
      <c r="CL81" s="37"/>
      <c r="CM81" s="52">
        <v>1</v>
      </c>
      <c r="CN81" s="52" t="b">
        <v>0</v>
      </c>
      <c r="CO81" t="str">
        <f>IFERROR(HYPERLINK("#Main!A"&amp;MATCH(A81,Main!A:A,0),"Open"),HYPERLINK("#Main!A1","Open"))</f>
        <v>Open</v>
      </c>
    </row>
    <row r="82" spans="1:94" ht="30" customHeight="1" x14ac:dyDescent="0.25">
      <c r="A82" s="33" t="s">
        <v>673</v>
      </c>
      <c r="B82" s="35">
        <v>200</v>
      </c>
      <c r="C82" s="28" t="s">
        <v>768</v>
      </c>
      <c r="D82" s="49"/>
      <c r="E82" s="28" t="s">
        <v>478</v>
      </c>
      <c r="F82" s="28"/>
      <c r="G82" s="35" t="s">
        <v>477</v>
      </c>
      <c r="H82" s="49">
        <v>2499.52</v>
      </c>
      <c r="I82" s="49">
        <v>20533.990000000002</v>
      </c>
      <c r="J82" s="51" t="s">
        <v>673</v>
      </c>
      <c r="K82" s="51" t="s">
        <v>673</v>
      </c>
      <c r="L82" s="28" t="s">
        <v>769</v>
      </c>
      <c r="M82" s="28" t="s">
        <v>335</v>
      </c>
      <c r="N82" s="29" t="s">
        <v>2</v>
      </c>
      <c r="O82" s="28"/>
      <c r="P82" s="28" t="s">
        <v>479</v>
      </c>
      <c r="Q82" s="28" t="s">
        <v>484</v>
      </c>
      <c r="R82" s="28" t="s">
        <v>475</v>
      </c>
      <c r="S82" s="29">
        <v>11.25</v>
      </c>
      <c r="T82" s="29">
        <v>0</v>
      </c>
      <c r="U82" s="29">
        <v>45</v>
      </c>
      <c r="V82" s="28" t="s">
        <v>754</v>
      </c>
      <c r="W82" s="28">
        <v>0</v>
      </c>
      <c r="X82" s="28"/>
      <c r="Y82" s="31"/>
      <c r="Z82" s="28" t="b">
        <v>0</v>
      </c>
      <c r="AA82" s="28" t="s">
        <v>757</v>
      </c>
      <c r="AB82" s="28" t="s">
        <v>758</v>
      </c>
      <c r="AC82" s="28">
        <v>264.44</v>
      </c>
      <c r="AD82" s="35" t="b">
        <v>1</v>
      </c>
      <c r="AE82" s="28" t="s">
        <v>770</v>
      </c>
      <c r="AF82" s="28"/>
      <c r="AG82" s="28"/>
      <c r="AH82" s="28" t="s">
        <v>771</v>
      </c>
      <c r="AI82" s="53" t="b">
        <v>1</v>
      </c>
      <c r="AJ82" s="51" t="s">
        <v>673</v>
      </c>
      <c r="AK82" s="35" t="b">
        <v>1</v>
      </c>
      <c r="AL82" s="46" t="b">
        <v>0</v>
      </c>
      <c r="AM82" s="28">
        <v>0</v>
      </c>
      <c r="AN82" s="28" t="b">
        <v>0</v>
      </c>
      <c r="AO82" s="28"/>
      <c r="AP82" s="28"/>
      <c r="AQ82" s="46" t="b">
        <v>0</v>
      </c>
      <c r="AR82" s="28" t="b">
        <v>0</v>
      </c>
      <c r="AS82" s="28" t="b">
        <v>0</v>
      </c>
      <c r="AT82" s="28"/>
      <c r="AU82" s="41"/>
      <c r="AV82" s="41"/>
      <c r="AW82" s="41" t="s">
        <v>866</v>
      </c>
      <c r="AX82" s="28" t="s">
        <v>761</v>
      </c>
      <c r="AY82" s="28" t="s">
        <v>762</v>
      </c>
      <c r="AZ82" s="28">
        <v>0</v>
      </c>
      <c r="BA82" s="28"/>
      <c r="BB82" s="28">
        <v>31</v>
      </c>
      <c r="BC82" s="28">
        <v>14</v>
      </c>
      <c r="BD82" s="28">
        <v>2</v>
      </c>
      <c r="BE82" s="28" t="b">
        <v>0</v>
      </c>
      <c r="BF82" s="35" t="b">
        <v>1</v>
      </c>
      <c r="BG82" s="28">
        <v>41</v>
      </c>
      <c r="BH82" s="28">
        <v>50</v>
      </c>
      <c r="BI82" s="28">
        <v>14.302</v>
      </c>
      <c r="BJ82" s="28">
        <v>2.5999999999999999E-2</v>
      </c>
      <c r="BK82" s="28">
        <v>0.21</v>
      </c>
      <c r="BL82" s="28">
        <v>14.302</v>
      </c>
      <c r="BM82" s="28">
        <v>2.5999999999999999E-2</v>
      </c>
      <c r="BN82" s="28" t="s">
        <v>775</v>
      </c>
      <c r="BO82" s="28" t="s">
        <v>481</v>
      </c>
      <c r="BP82" s="28">
        <v>0</v>
      </c>
      <c r="BQ82" s="28">
        <v>0</v>
      </c>
      <c r="BR82" s="28">
        <v>0</v>
      </c>
      <c r="BS82" s="28">
        <v>0</v>
      </c>
      <c r="BT82" s="28"/>
      <c r="BU82" s="28">
        <v>0</v>
      </c>
      <c r="BV82" s="28" t="b">
        <v>1</v>
      </c>
      <c r="BW82" s="28">
        <v>1.861E-3</v>
      </c>
      <c r="BX82" s="28">
        <v>50</v>
      </c>
      <c r="BY82" s="28">
        <v>3</v>
      </c>
      <c r="BZ82" s="28" t="b">
        <v>0</v>
      </c>
      <c r="CA82" s="28" t="s">
        <v>82</v>
      </c>
      <c r="CB82" s="28"/>
      <c r="CC82" s="28"/>
      <c r="CD82" s="28"/>
      <c r="CE82" s="28" t="s">
        <v>763</v>
      </c>
      <c r="CF82" s="28"/>
      <c r="CG82" s="28" t="b">
        <v>0</v>
      </c>
      <c r="CH82" s="28" t="b">
        <v>0</v>
      </c>
      <c r="CI82" s="28">
        <v>424</v>
      </c>
      <c r="CJ82" s="28">
        <v>2139</v>
      </c>
      <c r="CK82" s="28"/>
      <c r="CL82" s="28"/>
      <c r="CM82" s="51">
        <v>1</v>
      </c>
      <c r="CN82" s="51" t="b">
        <v>0</v>
      </c>
      <c r="CO82" s="34" t="str">
        <f>IFERROR(HYPERLINK("#Main!A"&amp;MATCH(A82,Main!A:A,0),"Open"),HYPERLINK("#Main!A1","Open"))</f>
        <v>Open</v>
      </c>
      <c r="CP82" s="34"/>
    </row>
    <row r="83" spans="1:94" ht="30" customHeight="1" x14ac:dyDescent="0.25">
      <c r="A83" s="30" t="s">
        <v>677</v>
      </c>
      <c r="B83" s="35">
        <v>200</v>
      </c>
      <c r="C83" s="37" t="s">
        <v>768</v>
      </c>
      <c r="D83" s="50"/>
      <c r="E83" s="37" t="s">
        <v>478</v>
      </c>
      <c r="F83" s="37"/>
      <c r="G83" s="35" t="s">
        <v>477</v>
      </c>
      <c r="H83" s="50">
        <v>2729.66</v>
      </c>
      <c r="I83" s="50">
        <v>20871.63</v>
      </c>
      <c r="J83" s="52" t="s">
        <v>677</v>
      </c>
      <c r="K83" s="52" t="s">
        <v>677</v>
      </c>
      <c r="L83" s="37" t="s">
        <v>769</v>
      </c>
      <c r="M83" s="37" t="s">
        <v>335</v>
      </c>
      <c r="N83" s="29" t="s">
        <v>2</v>
      </c>
      <c r="O83" s="37"/>
      <c r="P83" s="37" t="s">
        <v>479</v>
      </c>
      <c r="Q83" s="37" t="s">
        <v>484</v>
      </c>
      <c r="R83" s="37" t="s">
        <v>475</v>
      </c>
      <c r="S83" s="29">
        <v>11.25</v>
      </c>
      <c r="T83" s="29">
        <v>0</v>
      </c>
      <c r="U83" s="29">
        <v>45</v>
      </c>
      <c r="V83" s="37" t="s">
        <v>754</v>
      </c>
      <c r="W83" s="37">
        <v>0</v>
      </c>
      <c r="X83" s="37"/>
      <c r="Y83" s="43"/>
      <c r="Z83" s="37" t="b">
        <v>0</v>
      </c>
      <c r="AA83" s="37" t="s">
        <v>757</v>
      </c>
      <c r="AB83" s="37" t="s">
        <v>758</v>
      </c>
      <c r="AC83" s="37">
        <v>286.38</v>
      </c>
      <c r="AD83" s="35" t="b">
        <v>1</v>
      </c>
      <c r="AE83" s="37" t="s">
        <v>770</v>
      </c>
      <c r="AF83" s="37"/>
      <c r="AG83" s="37"/>
      <c r="AH83" s="37" t="s">
        <v>771</v>
      </c>
      <c r="AI83" s="53" t="b">
        <v>1</v>
      </c>
      <c r="AJ83" s="52" t="s">
        <v>677</v>
      </c>
      <c r="AK83" s="35" t="b">
        <v>1</v>
      </c>
      <c r="AL83" s="46" t="b">
        <v>0</v>
      </c>
      <c r="AM83" s="37">
        <v>0</v>
      </c>
      <c r="AN83" s="37" t="b">
        <v>0</v>
      </c>
      <c r="AO83" s="37"/>
      <c r="AP83" s="37"/>
      <c r="AQ83" s="46" t="b">
        <v>0</v>
      </c>
      <c r="AR83" s="37" t="b">
        <v>0</v>
      </c>
      <c r="AS83" s="37" t="b">
        <v>0</v>
      </c>
      <c r="AT83" s="37"/>
      <c r="AU83" s="44"/>
      <c r="AV83" s="44"/>
      <c r="AW83" s="44" t="s">
        <v>867</v>
      </c>
      <c r="AX83" s="37" t="s">
        <v>761</v>
      </c>
      <c r="AY83" s="37" t="s">
        <v>762</v>
      </c>
      <c r="AZ83" s="37">
        <v>0</v>
      </c>
      <c r="BA83" s="37"/>
      <c r="BB83" s="37">
        <v>60</v>
      </c>
      <c r="BC83" s="37">
        <v>17</v>
      </c>
      <c r="BD83" s="37">
        <v>3</v>
      </c>
      <c r="BE83" s="37" t="b">
        <v>0</v>
      </c>
      <c r="BF83" s="35" t="b">
        <v>1</v>
      </c>
      <c r="BG83" s="37">
        <v>50</v>
      </c>
      <c r="BH83" s="37">
        <v>37</v>
      </c>
      <c r="BI83" s="37">
        <v>11.099</v>
      </c>
      <c r="BJ83" s="37">
        <v>0.13300000000000001</v>
      </c>
      <c r="BK83" s="37">
        <v>0.20399999999999999</v>
      </c>
      <c r="BL83" s="37">
        <v>11.099</v>
      </c>
      <c r="BM83" s="37">
        <v>0.13300000000000001</v>
      </c>
      <c r="BN83" s="37" t="s">
        <v>775</v>
      </c>
      <c r="BO83" s="37" t="s">
        <v>481</v>
      </c>
      <c r="BP83" s="37">
        <v>0</v>
      </c>
      <c r="BQ83" s="37">
        <v>0</v>
      </c>
      <c r="BR83" s="37">
        <v>0</v>
      </c>
      <c r="BS83" s="37">
        <v>0</v>
      </c>
      <c r="BT83" s="37"/>
      <c r="BU83" s="37">
        <v>0</v>
      </c>
      <c r="BV83" s="37" t="b">
        <v>1</v>
      </c>
      <c r="BW83" s="37">
        <v>1.861E-3</v>
      </c>
      <c r="BX83" s="37">
        <v>30</v>
      </c>
      <c r="BY83" s="37">
        <v>3</v>
      </c>
      <c r="BZ83" s="37" t="b">
        <v>0</v>
      </c>
      <c r="CA83" s="37" t="s">
        <v>82</v>
      </c>
      <c r="CB83" s="37"/>
      <c r="CC83" s="37"/>
      <c r="CD83" s="37"/>
      <c r="CE83" s="37" t="s">
        <v>763</v>
      </c>
      <c r="CF83" s="37"/>
      <c r="CG83" s="37" t="b">
        <v>0</v>
      </c>
      <c r="CH83" s="37" t="b">
        <v>0</v>
      </c>
      <c r="CI83" s="37">
        <v>482</v>
      </c>
      <c r="CJ83" s="37">
        <v>347</v>
      </c>
      <c r="CK83" s="37"/>
      <c r="CL83" s="37"/>
      <c r="CM83" s="52">
        <v>1</v>
      </c>
      <c r="CN83" s="52" t="b">
        <v>0</v>
      </c>
      <c r="CO83" t="str">
        <f>IFERROR(HYPERLINK("#Main!A"&amp;MATCH(A83,Main!A:A,0),"Open"),HYPERLINK("#Main!A1","Open"))</f>
        <v>Open</v>
      </c>
    </row>
    <row r="84" spans="1:94" ht="30" customHeight="1" x14ac:dyDescent="0.25">
      <c r="A84" s="33" t="s">
        <v>680</v>
      </c>
      <c r="B84" s="35">
        <v>200</v>
      </c>
      <c r="C84" s="28" t="s">
        <v>768</v>
      </c>
      <c r="D84" s="49"/>
      <c r="E84" s="28" t="s">
        <v>478</v>
      </c>
      <c r="F84" s="28"/>
      <c r="G84" s="35" t="s">
        <v>477</v>
      </c>
      <c r="H84" s="49">
        <v>2545.94</v>
      </c>
      <c r="I84" s="49">
        <v>20658.97</v>
      </c>
      <c r="J84" s="51" t="s">
        <v>680</v>
      </c>
      <c r="K84" s="51" t="s">
        <v>680</v>
      </c>
      <c r="L84" s="28" t="s">
        <v>769</v>
      </c>
      <c r="M84" s="28" t="s">
        <v>335</v>
      </c>
      <c r="N84" s="29" t="s">
        <v>2</v>
      </c>
      <c r="O84" s="28"/>
      <c r="P84" s="28" t="s">
        <v>479</v>
      </c>
      <c r="Q84" s="28" t="s">
        <v>484</v>
      </c>
      <c r="R84" s="28" t="s">
        <v>475</v>
      </c>
      <c r="S84" s="29">
        <v>11.25</v>
      </c>
      <c r="T84" s="29">
        <v>0</v>
      </c>
      <c r="U84" s="29">
        <v>45</v>
      </c>
      <c r="V84" s="28" t="s">
        <v>754</v>
      </c>
      <c r="W84" s="28">
        <v>0</v>
      </c>
      <c r="X84" s="28"/>
      <c r="Y84" s="31"/>
      <c r="Z84" s="28" t="b">
        <v>0</v>
      </c>
      <c r="AA84" s="28" t="s">
        <v>757</v>
      </c>
      <c r="AB84" s="28" t="s">
        <v>758</v>
      </c>
      <c r="AC84" s="28">
        <v>257.70999999999998</v>
      </c>
      <c r="AD84" s="35" t="b">
        <v>1</v>
      </c>
      <c r="AE84" s="28" t="s">
        <v>770</v>
      </c>
      <c r="AF84" s="28"/>
      <c r="AG84" s="28"/>
      <c r="AH84" s="28" t="s">
        <v>771</v>
      </c>
      <c r="AI84" s="53" t="b">
        <v>1</v>
      </c>
      <c r="AJ84" s="51" t="s">
        <v>680</v>
      </c>
      <c r="AK84" s="35" t="b">
        <v>1</v>
      </c>
      <c r="AL84" s="46" t="b">
        <v>0</v>
      </c>
      <c r="AM84" s="28">
        <v>0</v>
      </c>
      <c r="AN84" s="28" t="b">
        <v>0</v>
      </c>
      <c r="AO84" s="28"/>
      <c r="AP84" s="28"/>
      <c r="AQ84" s="46" t="b">
        <v>0</v>
      </c>
      <c r="AR84" s="28" t="b">
        <v>0</v>
      </c>
      <c r="AS84" s="28" t="b">
        <v>0</v>
      </c>
      <c r="AT84" s="28"/>
      <c r="AU84" s="41"/>
      <c r="AV84" s="41"/>
      <c r="AW84" s="41" t="s">
        <v>868</v>
      </c>
      <c r="AX84" s="28" t="s">
        <v>761</v>
      </c>
      <c r="AY84" s="28" t="s">
        <v>762</v>
      </c>
      <c r="AZ84" s="28">
        <v>0</v>
      </c>
      <c r="BA84" s="28"/>
      <c r="BB84" s="28">
        <v>34</v>
      </c>
      <c r="BC84" s="28">
        <v>17</v>
      </c>
      <c r="BD84" s="28">
        <v>2</v>
      </c>
      <c r="BE84" s="28" t="b">
        <v>0</v>
      </c>
      <c r="BF84" s="35" t="b">
        <v>1</v>
      </c>
      <c r="BG84" s="28">
        <v>62</v>
      </c>
      <c r="BH84" s="28">
        <v>37</v>
      </c>
      <c r="BI84" s="28">
        <v>10.039999999999999</v>
      </c>
      <c r="BJ84" s="28">
        <v>1E-3</v>
      </c>
      <c r="BK84" s="28">
        <v>0.16800000000000001</v>
      </c>
      <c r="BL84" s="28">
        <v>10.039999999999999</v>
      </c>
      <c r="BM84" s="28">
        <v>1E-3</v>
      </c>
      <c r="BN84" s="28" t="s">
        <v>775</v>
      </c>
      <c r="BO84" s="28" t="s">
        <v>481</v>
      </c>
      <c r="BP84" s="28">
        <v>0</v>
      </c>
      <c r="BQ84" s="28">
        <v>0</v>
      </c>
      <c r="BR84" s="28">
        <v>0</v>
      </c>
      <c r="BS84" s="28">
        <v>0</v>
      </c>
      <c r="BT84" s="28"/>
      <c r="BU84" s="28">
        <v>0</v>
      </c>
      <c r="BV84" s="28" t="b">
        <v>1</v>
      </c>
      <c r="BW84" s="28">
        <v>1.861E-3</v>
      </c>
      <c r="BX84" s="28">
        <v>30</v>
      </c>
      <c r="BY84" s="28">
        <v>3</v>
      </c>
      <c r="BZ84" s="28" t="b">
        <v>0</v>
      </c>
      <c r="CA84" s="28" t="s">
        <v>82</v>
      </c>
      <c r="CB84" s="28"/>
      <c r="CC84" s="28"/>
      <c r="CD84" s="28"/>
      <c r="CE84" s="28" t="s">
        <v>763</v>
      </c>
      <c r="CF84" s="28"/>
      <c r="CG84" s="28" t="b">
        <v>0</v>
      </c>
      <c r="CH84" s="28" t="b">
        <v>0</v>
      </c>
      <c r="CI84" s="28">
        <v>482</v>
      </c>
      <c r="CJ84" s="28">
        <v>347</v>
      </c>
      <c r="CK84" s="28"/>
      <c r="CL84" s="28"/>
      <c r="CM84" s="51">
        <v>1</v>
      </c>
      <c r="CN84" s="51" t="b">
        <v>0</v>
      </c>
      <c r="CO84" s="34" t="str">
        <f>IFERROR(HYPERLINK("#Main!A"&amp;MATCH(A84,Main!A:A,0),"Open"),HYPERLINK("#Main!A1","Open"))</f>
        <v>Open</v>
      </c>
      <c r="CP84" s="34"/>
    </row>
    <row r="85" spans="1:94" ht="30" customHeight="1" x14ac:dyDescent="0.25">
      <c r="A85" s="30" t="s">
        <v>683</v>
      </c>
      <c r="B85" s="35">
        <v>200</v>
      </c>
      <c r="C85" s="37" t="s">
        <v>768</v>
      </c>
      <c r="D85" s="50"/>
      <c r="E85" s="37" t="s">
        <v>478</v>
      </c>
      <c r="F85" s="37"/>
      <c r="G85" s="35" t="s">
        <v>477</v>
      </c>
      <c r="H85" s="50">
        <v>2540.46</v>
      </c>
      <c r="I85" s="50">
        <v>20545.84</v>
      </c>
      <c r="J85" s="52" t="s">
        <v>683</v>
      </c>
      <c r="K85" s="52" t="s">
        <v>683</v>
      </c>
      <c r="L85" s="37" t="s">
        <v>769</v>
      </c>
      <c r="M85" s="37" t="s">
        <v>335</v>
      </c>
      <c r="N85" s="29" t="s">
        <v>2</v>
      </c>
      <c r="O85" s="37"/>
      <c r="P85" s="37" t="s">
        <v>479</v>
      </c>
      <c r="Q85" s="37" t="s">
        <v>484</v>
      </c>
      <c r="R85" s="37" t="s">
        <v>475</v>
      </c>
      <c r="S85" s="29">
        <v>11.25</v>
      </c>
      <c r="T85" s="29">
        <v>0</v>
      </c>
      <c r="U85" s="29">
        <v>45</v>
      </c>
      <c r="V85" s="37" t="s">
        <v>754</v>
      </c>
      <c r="W85" s="37">
        <v>0</v>
      </c>
      <c r="X85" s="37"/>
      <c r="Y85" s="43"/>
      <c r="Z85" s="37" t="b">
        <v>0</v>
      </c>
      <c r="AA85" s="37" t="s">
        <v>757</v>
      </c>
      <c r="AB85" s="37" t="s">
        <v>758</v>
      </c>
      <c r="AC85" s="37">
        <v>266.07</v>
      </c>
      <c r="AD85" s="35" t="b">
        <v>1</v>
      </c>
      <c r="AE85" s="37" t="s">
        <v>770</v>
      </c>
      <c r="AF85" s="37"/>
      <c r="AG85" s="37"/>
      <c r="AH85" s="37" t="s">
        <v>771</v>
      </c>
      <c r="AI85" s="53" t="b">
        <v>1</v>
      </c>
      <c r="AJ85" s="52" t="s">
        <v>683</v>
      </c>
      <c r="AK85" s="35" t="b">
        <v>1</v>
      </c>
      <c r="AL85" s="46" t="b">
        <v>0</v>
      </c>
      <c r="AM85" s="37">
        <v>0</v>
      </c>
      <c r="AN85" s="37" t="b">
        <v>0</v>
      </c>
      <c r="AO85" s="37"/>
      <c r="AP85" s="37"/>
      <c r="AQ85" s="46" t="b">
        <v>0</v>
      </c>
      <c r="AR85" s="37" t="b">
        <v>0</v>
      </c>
      <c r="AS85" s="37" t="b">
        <v>0</v>
      </c>
      <c r="AT85" s="37"/>
      <c r="AU85" s="44"/>
      <c r="AV85" s="44"/>
      <c r="AW85" s="44" t="s">
        <v>869</v>
      </c>
      <c r="AX85" s="37" t="s">
        <v>761</v>
      </c>
      <c r="AY85" s="37" t="s">
        <v>762</v>
      </c>
      <c r="AZ85" s="37">
        <v>0</v>
      </c>
      <c r="BA85" s="37"/>
      <c r="BB85" s="37">
        <v>32</v>
      </c>
      <c r="BC85" s="37">
        <v>15</v>
      </c>
      <c r="BD85" s="37">
        <v>3</v>
      </c>
      <c r="BE85" s="37" t="b">
        <v>0</v>
      </c>
      <c r="BF85" s="35" t="b">
        <v>1</v>
      </c>
      <c r="BG85" s="37">
        <v>68</v>
      </c>
      <c r="BH85" s="37">
        <v>30</v>
      </c>
      <c r="BI85" s="37">
        <v>10.574999999999999</v>
      </c>
      <c r="BJ85" s="37">
        <v>2.1999999999999999E-2</v>
      </c>
      <c r="BK85" s="37">
        <v>0.20499999999999999</v>
      </c>
      <c r="BL85" s="37">
        <v>10.574999999999999</v>
      </c>
      <c r="BM85" s="37">
        <v>2.1999999999999999E-2</v>
      </c>
      <c r="BN85" s="37" t="s">
        <v>775</v>
      </c>
      <c r="BO85" s="37" t="s">
        <v>481</v>
      </c>
      <c r="BP85" s="37">
        <v>0</v>
      </c>
      <c r="BQ85" s="37">
        <v>0</v>
      </c>
      <c r="BR85" s="37">
        <v>0</v>
      </c>
      <c r="BS85" s="37">
        <v>0</v>
      </c>
      <c r="BT85" s="37"/>
      <c r="BU85" s="37">
        <v>0</v>
      </c>
      <c r="BV85" s="37" t="b">
        <v>1</v>
      </c>
      <c r="BW85" s="37">
        <v>1.861E-3</v>
      </c>
      <c r="BX85" s="37">
        <v>30</v>
      </c>
      <c r="BY85" s="37">
        <v>3</v>
      </c>
      <c r="BZ85" s="37" t="b">
        <v>0</v>
      </c>
      <c r="CA85" s="37" t="s">
        <v>82</v>
      </c>
      <c r="CB85" s="37"/>
      <c r="CC85" s="37"/>
      <c r="CD85" s="37"/>
      <c r="CE85" s="37" t="s">
        <v>763</v>
      </c>
      <c r="CF85" s="37"/>
      <c r="CG85" s="37" t="b">
        <v>0</v>
      </c>
      <c r="CH85" s="37" t="b">
        <v>0</v>
      </c>
      <c r="CI85" s="37">
        <v>352</v>
      </c>
      <c r="CJ85" s="37">
        <v>2182</v>
      </c>
      <c r="CK85" s="37"/>
      <c r="CL85" s="37"/>
      <c r="CM85" s="52">
        <v>1</v>
      </c>
      <c r="CN85" s="52" t="b">
        <v>0</v>
      </c>
      <c r="CO85" t="str">
        <f>IFERROR(HYPERLINK("#Main!A"&amp;MATCH(A85,Main!A:A,0),"Open"),HYPERLINK("#Main!A1","Open"))</f>
        <v>Open</v>
      </c>
    </row>
    <row r="86" spans="1:94" ht="30" customHeight="1" x14ac:dyDescent="0.25">
      <c r="A86" s="33" t="s">
        <v>686</v>
      </c>
      <c r="B86" s="35">
        <v>200</v>
      </c>
      <c r="C86" s="28" t="s">
        <v>768</v>
      </c>
      <c r="D86" s="49"/>
      <c r="E86" s="28" t="s">
        <v>478</v>
      </c>
      <c r="F86" s="28"/>
      <c r="G86" s="35" t="s">
        <v>477</v>
      </c>
      <c r="H86" s="49">
        <v>2688.09</v>
      </c>
      <c r="I86" s="49">
        <v>20675.61</v>
      </c>
      <c r="J86" s="51" t="s">
        <v>686</v>
      </c>
      <c r="K86" s="51" t="s">
        <v>686</v>
      </c>
      <c r="L86" s="28" t="s">
        <v>769</v>
      </c>
      <c r="M86" s="28" t="s">
        <v>335</v>
      </c>
      <c r="N86" s="29" t="s">
        <v>2</v>
      </c>
      <c r="O86" s="28"/>
      <c r="P86" s="28" t="s">
        <v>479</v>
      </c>
      <c r="Q86" s="28" t="s">
        <v>484</v>
      </c>
      <c r="R86" s="28" t="s">
        <v>475</v>
      </c>
      <c r="S86" s="29">
        <v>17.5</v>
      </c>
      <c r="T86" s="29">
        <v>0</v>
      </c>
      <c r="U86" s="32">
        <v>70</v>
      </c>
      <c r="V86" s="28" t="s">
        <v>754</v>
      </c>
      <c r="W86" s="28">
        <v>0</v>
      </c>
      <c r="X86" s="28"/>
      <c r="Y86" s="31"/>
      <c r="Z86" s="28" t="b">
        <v>0</v>
      </c>
      <c r="AA86" s="28" t="s">
        <v>757</v>
      </c>
      <c r="AB86" s="28" t="s">
        <v>758</v>
      </c>
      <c r="AC86" s="28">
        <v>373.15</v>
      </c>
      <c r="AD86" s="35" t="b">
        <v>1</v>
      </c>
      <c r="AE86" s="28" t="s">
        <v>770</v>
      </c>
      <c r="AF86" s="28"/>
      <c r="AG86" s="28"/>
      <c r="AH86" s="28" t="s">
        <v>771</v>
      </c>
      <c r="AI86" s="53" t="b">
        <v>1</v>
      </c>
      <c r="AJ86" s="51" t="s">
        <v>686</v>
      </c>
      <c r="AK86" s="35" t="b">
        <v>1</v>
      </c>
      <c r="AL86" s="46" t="b">
        <v>0</v>
      </c>
      <c r="AM86" s="28">
        <v>0</v>
      </c>
      <c r="AN86" s="28" t="b">
        <v>0</v>
      </c>
      <c r="AO86" s="28"/>
      <c r="AP86" s="28"/>
      <c r="AQ86" s="46" t="b">
        <v>0</v>
      </c>
      <c r="AR86" s="28" t="b">
        <v>0</v>
      </c>
      <c r="AS86" s="28" t="b">
        <v>0</v>
      </c>
      <c r="AT86" s="28"/>
      <c r="AU86" s="41"/>
      <c r="AV86" s="41"/>
      <c r="AW86" s="41" t="s">
        <v>870</v>
      </c>
      <c r="AX86" s="28" t="s">
        <v>761</v>
      </c>
      <c r="AY86" s="28" t="s">
        <v>762</v>
      </c>
      <c r="AZ86" s="28">
        <v>0</v>
      </c>
      <c r="BA86" s="28"/>
      <c r="BB86" s="28">
        <v>31</v>
      </c>
      <c r="BC86" s="28">
        <v>14</v>
      </c>
      <c r="BD86" s="28">
        <v>4</v>
      </c>
      <c r="BE86" s="28" t="b">
        <v>0</v>
      </c>
      <c r="BF86" s="35" t="b">
        <v>1</v>
      </c>
      <c r="BG86" s="28">
        <v>48</v>
      </c>
      <c r="BH86" s="28">
        <v>46</v>
      </c>
      <c r="BI86" s="28">
        <v>12.74</v>
      </c>
      <c r="BJ86" s="28">
        <v>6.6000000000000003E-2</v>
      </c>
      <c r="BK86" s="28">
        <v>0.17100000000000001</v>
      </c>
      <c r="BL86" s="28">
        <v>12.74</v>
      </c>
      <c r="BM86" s="28">
        <v>6.6000000000000003E-2</v>
      </c>
      <c r="BN86" s="28" t="s">
        <v>775</v>
      </c>
      <c r="BO86" s="28" t="s">
        <v>481</v>
      </c>
      <c r="BP86" s="28">
        <v>0</v>
      </c>
      <c r="BQ86" s="28">
        <v>0</v>
      </c>
      <c r="BR86" s="28">
        <v>0</v>
      </c>
      <c r="BS86" s="28">
        <v>0</v>
      </c>
      <c r="BT86" s="28"/>
      <c r="BU86" s="28">
        <v>0</v>
      </c>
      <c r="BV86" s="28" t="b">
        <v>1</v>
      </c>
      <c r="BW86" s="28">
        <v>1.861E-3</v>
      </c>
      <c r="BX86" s="28">
        <v>30</v>
      </c>
      <c r="BY86" s="28">
        <v>3</v>
      </c>
      <c r="BZ86" s="28" t="b">
        <v>0</v>
      </c>
      <c r="CA86" s="28" t="s">
        <v>82</v>
      </c>
      <c r="CB86" s="28"/>
      <c r="CC86" s="28"/>
      <c r="CD86" s="28"/>
      <c r="CE86" s="28" t="s">
        <v>763</v>
      </c>
      <c r="CF86" s="28"/>
      <c r="CG86" s="28" t="b">
        <v>0</v>
      </c>
      <c r="CH86" s="28" t="b">
        <v>0</v>
      </c>
      <c r="CI86" s="28">
        <v>367</v>
      </c>
      <c r="CJ86" s="28">
        <v>2151</v>
      </c>
      <c r="CK86" s="28"/>
      <c r="CL86" s="28"/>
      <c r="CM86" s="51">
        <v>1</v>
      </c>
      <c r="CN86" s="51" t="b">
        <v>0</v>
      </c>
      <c r="CO86" s="34" t="str">
        <f>IFERROR(HYPERLINK("#Main!A"&amp;MATCH(A86,Main!A:A,0),"Open"),HYPERLINK("#Main!A1","Open"))</f>
        <v>Open</v>
      </c>
      <c r="CP86" s="34"/>
    </row>
  </sheetData>
  <autoFilter ref="A1:CP86" xr:uid="{00000000-0009-0000-0000-000006000000}"/>
  <conditionalFormatting sqref="B2:B86">
    <cfRule type="cellIs" dxfId="49" priority="1" operator="equal">
      <formula>200</formula>
    </cfRule>
    <cfRule type="cellIs" dxfId="48" priority="2" operator="between">
      <formula>300</formula>
      <formula>399</formula>
    </cfRule>
    <cfRule type="cellIs" dxfId="47" priority="3" operator="greaterThanOrEqual">
      <formula>400</formula>
    </cfRule>
  </conditionalFormatting>
  <conditionalFormatting sqref="D2:D86">
    <cfRule type="colorScale" priority="6">
      <colorScale>
        <cfvo type="min"/>
        <cfvo type="percentile" val="50"/>
        <cfvo type="max"/>
        <color rgb="FFF8696B"/>
        <color rgb="FFFFEB84"/>
        <color rgb="FF63BE7B"/>
      </colorScale>
    </cfRule>
  </conditionalFormatting>
  <conditionalFormatting sqref="E2:E86">
    <cfRule type="expression" dxfId="46" priority="9" stopIfTrue="1">
      <formula>LOWER(E2)="critical"</formula>
    </cfRule>
    <cfRule type="expression" dxfId="45" priority="10" stopIfTrue="1">
      <formula>LOWER(E2)="warning"</formula>
    </cfRule>
    <cfRule type="expression" dxfId="44" priority="11" stopIfTrue="1">
      <formula>OR(LOWER(E2)="pass",LOWER(E2)="observation")</formula>
    </cfRule>
  </conditionalFormatting>
  <conditionalFormatting sqref="F2:F86">
    <cfRule type="expression" dxfId="43" priority="7" stopIfTrue="1">
      <formula>LOWER(F2)="yes"</formula>
    </cfRule>
    <cfRule type="expression" dxfId="42" priority="8" stopIfTrue="1">
      <formula>LOWER(F2)="no"</formula>
    </cfRule>
  </conditionalFormatting>
  <conditionalFormatting sqref="H2:H86">
    <cfRule type="colorScale" priority="4">
      <colorScale>
        <cfvo type="min"/>
        <cfvo type="percentile" val="50"/>
        <cfvo type="max"/>
        <color rgb="FF63BE7B"/>
        <color rgb="FFFFEB84"/>
        <color rgb="FFF8696B"/>
      </colorScale>
    </cfRule>
    <cfRule type="dataBar" priority="5">
      <dataBar>
        <cfvo type="min"/>
        <cfvo type="max"/>
        <color rgb="FF638EC6"/>
      </dataBar>
    </cfRule>
  </conditionalFormatting>
  <conditionalFormatting sqref="N2:N86">
    <cfRule type="expression" dxfId="41" priority="12" stopIfTrue="1">
      <formula>LOWER(N2)="done"</formula>
    </cfRule>
    <cfRule type="expression" dxfId="40" priority="13" stopIfTrue="1">
      <formula>OR(LOWER(N2)="to do",LOWER(N2)="in progress",LOWER(N2)="in review")</formula>
    </cfRule>
  </conditionalFormatting>
  <dataValidations count="100">
    <dataValidation type="custom" allowBlank="1" showInputMessage="1" promptTitle="URL" prompt="URL. Use this URL to inspect the page directly or jump to related tabs." sqref="A1" xr:uid="{00000000-0002-0000-0600-000000000000}">
      <formula1>TRUE</formula1>
    </dataValidation>
    <dataValidation type="custom" allowBlank="1" showInputMessage="1" promptTitle="Status Code" prompt="HTTP response code returned for this page/resource. Fix: Resolve 4xx/5xx errors and reduce unnecessary redirects." sqref="B1" xr:uid="{00000000-0002-0000-0600-000001000000}">
      <formula1>TRUE</formula1>
    </dataValidation>
    <dataValidation type="custom" allowBlank="1" showInputMessage="1" promptTitle="Status Class" prompt="Grouped HTTP class (2xx/3xx/4xx/5xx). Use this to quickly triage crawl health and error concentration." sqref="C1" xr:uid="{00000000-0002-0000-06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600-000003000000}">
      <formula1>TRUE</formula1>
    </dataValidation>
    <dataValidation type="custom" allowBlank="1" showInputMessage="1" promptTitle="Severity Badge" prompt="Issue impact level. Fix: Resolve Critical first, then Warning, then improvement opportunities." sqref="E1" xr:uid="{00000000-0002-0000-0600-000004000000}">
      <formula1>TRUE</formula1>
    </dataValidation>
    <dataValidation type="custom" allowBlank="1" showInputMessage="1" promptTitle="Action Needed" prompt="Action Needed. Review this metric to identify risk, then use linked tabs for details and remediation." sqref="F1" xr:uid="{00000000-0002-0000-0600-000005000000}">
      <formula1>TRUE</formula1>
    </dataValidation>
    <dataValidation type="custom" allowBlank="1" showInputMessage="1" promptTitle="Indexability Reason" prompt="Indexing/canonicalization signal. Fix: ensure indexable pages use correct canonicals and non-conflicting directives." sqref="G1" xr:uid="{00000000-0002-0000-0600-000006000000}">
      <formula1>TRUE</formula1>
    </dataValidation>
    <dataValidation type="custom" allowBlank="1" showInputMessage="1" promptTitle="TTFB (ms)" prompt="Time to First Byte: server responsiveness signal. Fix: optimise backend performance, caching, and CDN usage." sqref="H1" xr:uid="{00000000-0002-0000-0600-000007000000}">
      <formula1>TRUE</formula1>
    </dataValidation>
    <dataValidation type="custom" allowBlank="1" showInputMessage="1" promptTitle="Total Request Time (ms)" prompt="Page/request speed metric. Fix: optimise assets, server response time, and blocking resources." sqref="I1" xr:uid="{00000000-0002-0000-0600-000008000000}">
      <formula1>TRUE</formula1>
    </dataValidation>
    <dataValidation type="custom" allowBlank="1" showInputMessage="1" promptTitle="Final URL" prompt="Final URL. Use this URL to inspect the page directly or jump to related tabs." sqref="J1" xr:uid="{00000000-0002-0000-0600-000009000000}">
      <formula1>TRUE</formula1>
    </dataValidation>
    <dataValidation type="custom" allowBlank="1" showInputMessage="1" promptTitle="Canonical URL" prompt="Canonical URL. Use this URL to inspect the page directly or jump to related tabs." sqref="K1" xr:uid="{00000000-0002-0000-0600-00000A000000}">
      <formula1>TRUE</formula1>
    </dataValidation>
    <dataValidation type="custom" allowBlank="1" showInputMessage="1" promptTitle="Canonical Type" prompt="Indexing/canonicalization signal. Fix: ensure indexable pages use correct canonicals and non-conflicting directives." sqref="L1" xr:uid="{00000000-0002-0000-0600-00000B000000}">
      <formula1>TRUE</formula1>
    </dataValidation>
    <dataValidation type="custom" allowBlank="1" showInputMessage="1" promptTitle="Owner" prompt="Workflow management field for planning and tracking remediation progress." sqref="M1" xr:uid="{00000000-0002-0000-0600-00000C000000}">
      <formula1>TRUE</formula1>
    </dataValidation>
    <dataValidation type="custom" allowBlank="1" showInputMessage="1" promptTitle="Status" prompt="Workflow management field for planning and tracking remediation progress." sqref="N1" xr:uid="{00000000-0002-0000-0600-00000D000000}">
      <formula1>TRUE</formula1>
    </dataValidation>
    <dataValidation type="custom" allowBlank="1" showInputMessage="1" promptTitle="Sprint" prompt="Workflow management field for planning and tracking remediation progress." sqref="O1" xr:uid="{00000000-0002-0000-0600-00000E000000}">
      <formula1>TRUE</formula1>
    </dataValidation>
    <dataValidation type="custom" allowBlank="1" showInputMessage="1" promptTitle="Extraction State" prompt="Extraction State. Review this metric to identify risk, then use linked tabs for details and remediation." sqref="P1" xr:uid="{00000000-0002-0000-0600-00000F000000}">
      <formula1>TRUE</formula1>
    </dataValidation>
    <dataValidation type="custom" allowBlank="1" showInputMessage="1" promptTitle="Extraction Source" prompt="Extraction Source. Review this metric to identify risk, then use linked tabs for details and remediation." sqref="Q1" xr:uid="{00000000-0002-0000-0600-000010000000}">
      <formula1>TRUE</formula1>
    </dataValidation>
    <dataValidation type="custom" allowBlank="1" showInputMessage="1" promptTitle="Health Icon" prompt="Health Icon. Review this metric to identify risk, then use linked tabs for details and remediation." sqref="R1" xr:uid="{00000000-0002-0000-0600-000011000000}">
      <formula1>TRUE</formula1>
    </dataValidation>
    <dataValidation type="custom" allowBlank="1" showInputMessage="1" promptTitle="SEO Score" prompt="SEO Score. Review this metric to identify risk, then use linked tabs for details and remediation." sqref="S1" xr:uid="{00000000-0002-0000-0600-000012000000}">
      <formula1>TRUE</formula1>
    </dataValidation>
    <dataValidation type="custom" allowBlank="1" showInputMessage="1" promptTitle="Technical Health" prompt="Technical Health. Review this metric to identify risk, then use linked tabs for details and remediation." sqref="T1" xr:uid="{00000000-0002-0000-0600-000013000000}">
      <formula1>TRUE</formula1>
    </dataValidation>
    <dataValidation type="custom" allowBlank="1" showInputMessage="1" promptTitle="Copy Score" prompt="Copy Score. Review this metric to identify risk, then use linked tabs for details and remediation." sqref="U1" xr:uid="{00000000-0002-0000-0600-000014000000}">
      <formula1>TRUE</formula1>
    </dataValidation>
    <dataValidation type="custom" allowBlank="1" showInputMessage="1" promptTitle="Protocol" prompt="Protocol. Review this metric to identify risk, then use linked tabs for details and remediation." sqref="V1" xr:uid="{00000000-0002-0000-0600-000015000000}">
      <formula1>TRUE</formula1>
    </dataValidation>
    <dataValidation type="custom" allowBlank="1" showInputMessage="1" promptTitle="Redirect Chain Length" prompt="Redirect Chain Length. Review this metric to identify risk, then use linked tabs for details and remediation." sqref="W1" xr:uid="{00000000-0002-0000-0600-000016000000}">
      <formula1>TRUE</formula1>
    </dataValidation>
    <dataValidation type="custom" allowBlank="1" showInputMessage="1" promptTitle="Redirect Target" prompt="Redirect Target. Review this metric to identify risk, then use linked tabs for details and remediation." sqref="X1" xr:uid="{00000000-0002-0000-0600-000017000000}">
      <formula1>TRUE</formula1>
    </dataValidation>
    <dataValidation type="custom" allowBlank="1" showInputMessage="1" promptTitle="Redirect Hops" prompt="Redirect Hops. Review this metric to identify risk, then use linked tabs for details and remediation." sqref="Y1" xr:uid="{00000000-0002-0000-0600-000018000000}">
      <formula1>TRUE</formula1>
    </dataValidation>
    <dataValidation type="custom" allowBlank="1" showInputMessage="1" promptTitle="HTTP-&gt;HTTPS Redirect" prompt="HTTP-&gt;HTTPS Redirect. Review this metric to identify risk, then use linked tabs for details and remediation." sqref="Z1" xr:uid="{00000000-0002-0000-0600-000019000000}">
      <formula1>TRUE</formula1>
    </dataValidation>
    <dataValidation type="custom" allowBlank="1" showInputMessage="1" promptTitle="Content-Type" prompt="Content-Type. Review this metric to identify risk, then use linked tabs for details and remediation." sqref="AA1" xr:uid="{00000000-0002-0000-0600-00001A000000}">
      <formula1>TRUE</formula1>
    </dataValidation>
    <dataValidation type="custom" allowBlank="1" showInputMessage="1" promptTitle="HTTP Version" prompt="HTTP Version. Review this metric to identify risk, then use linked tabs for details and remediation." sqref="AB1" xr:uid="{00000000-0002-0000-0600-00001B000000}">
      <formula1>TRUE</formula1>
    </dataValidation>
    <dataValidation type="custom" allowBlank="1" showInputMessage="1" promptTitle="HTML Size (KB)" prompt="HTML Size (KB). Review this metric to identify risk, then use linked tabs for details and remediation." sqref="AC1" xr:uid="{00000000-0002-0000-0600-00001C000000}">
      <formula1>TRUE</formula1>
    </dataValidation>
    <dataValidation type="custom" allowBlank="1" showInputMessage="1" promptTitle="Compression Enabled" prompt="Compression Enabled. Review this metric to identify risk, then use linked tabs for details and remediation." sqref="AD1" xr:uid="{00000000-0002-0000-0600-00001D000000}">
      <formula1>TRUE</formula1>
    </dataValidation>
    <dataValidation type="custom" allowBlank="1" showInputMessage="1" promptTitle="Cache-Control" prompt="Cache-Control. Review this metric to identify risk, then use linked tabs for details and remediation." sqref="AE1" xr:uid="{00000000-0002-0000-0600-00001E000000}">
      <formula1>TRUE</formula1>
    </dataValidation>
    <dataValidation type="custom" allowBlank="1" showInputMessage="1" promptTitle="ETag" prompt="ETag. Review this metric to identify risk, then use linked tabs for details and remediation." sqref="AF1" xr:uid="{00000000-0002-0000-0600-00001F000000}">
      <formula1>TRUE</formula1>
    </dataValidation>
    <dataValidation type="custom" allowBlank="1" showInputMessage="1" promptTitle="X-Robots-Tag" prompt="Robots directives that influence indexation. Fix: remove unintended noindex/nofollow values on important pages." sqref="AG1" xr:uid="{00000000-0002-0000-0600-000020000000}">
      <formula1>TRUE</formula1>
    </dataValidation>
    <dataValidation type="custom" allowBlank="1" showInputMessage="1" promptTitle="Meta Robots Raw" prompt="Robots directives that influence indexation. Fix: remove unintended noindex/nofollow values on important pages." sqref="AH1" xr:uid="{00000000-0002-0000-0600-000021000000}">
      <formula1>TRUE</formula1>
    </dataValidation>
    <dataValidation type="custom" allowBlank="1" showInputMessage="1" promptTitle="Canonical Matches Final URL" prompt="Canonical Matches Final URL. Use this URL to inspect the page directly or jump to related tabs." sqref="AI1" xr:uid="{00000000-0002-0000-0600-000022000000}">
      <formula1>TRUE</formula1>
    </dataValidation>
    <dataValidation type="custom" allowBlank="1" showInputMessage="1" promptTitle="Canonical Absolute URL" prompt="Canonical Absolute URL. Use this URL to inspect the page directly or jump to related tabs." sqref="AJ1" xr:uid="{00000000-0002-0000-0600-000023000000}">
      <formula1>TRUE</formula1>
    </dataValidation>
    <dataValidation type="custom" allowBlank="1" showInputMessage="1" promptTitle="Canonical in Sitemap Match" prompt="Indexing/canonicalization signal. Fix: ensure indexable pages use correct canonicals and non-conflicting directives." sqref="AK1" xr:uid="{00000000-0002-0000-0600-000024000000}">
      <formula1>TRUE</formula1>
    </dataValidation>
    <dataValidation type="custom" allowBlank="1" showInputMessage="1" promptTitle="Hreflang Present" prompt="Hreflang Present. Review this metric to identify risk, then use linked tabs for details and remediation." sqref="AL1" xr:uid="{00000000-0002-0000-0600-000025000000}">
      <formula1>TRUE</formula1>
    </dataValidation>
    <dataValidation type="custom" allowBlank="1" showInputMessage="1" promptTitle="Hreflang Count" prompt="Hreflang Count. Review this metric to identify risk, then use linked tabs for details and remediation." sqref="AM1" xr:uid="{00000000-0002-0000-0600-000026000000}">
      <formula1>TRUE</formula1>
    </dataValidation>
    <dataValidation type="custom" allowBlank="1" showInputMessage="1" promptTitle="Hreflang Self Reference" prompt="Hreflang Self Reference. Review this metric to identify risk, then use linked tabs for details and remediation." sqref="AN1" xr:uid="{00000000-0002-0000-0600-000027000000}">
      <formula1>TRUE</formula1>
    </dataValidation>
    <dataValidation type="custom" allowBlank="1" showInputMessage="1" promptTitle="Hreflang Reciprocal Check" prompt="Hreflang Reciprocal Check. Review this metric to identify risk, then use linked tabs for details and remediation." sqref="AO1" xr:uid="{00000000-0002-0000-0600-000028000000}">
      <formula1>TRUE</formula1>
    </dataValidation>
    <dataValidation type="custom" allowBlank="1" showInputMessage="1" promptTitle="Hreflang Canonical Consistency" prompt="Indexing/canonicalization signal. Fix: ensure indexable pages use correct canonicals and non-conflicting directives." sqref="AP1" xr:uid="{00000000-0002-0000-0600-000029000000}">
      <formula1>TRUE</formula1>
    </dataValidation>
    <dataValidation type="custom" allowBlank="1" showInputMessage="1" promptTitle="x-default Present" prompt="x-default Present. Review this metric to identify risk, then use linked tabs for details and remediation." sqref="AQ1" xr:uid="{00000000-0002-0000-0600-00002A000000}">
      <formula1>TRUE</formula1>
    </dataValidation>
    <dataValidation type="custom" allowBlank="1" showInputMessage="1" promptTitle="Pagination rel=next" prompt="Pagination rel=next. Review this metric to identify risk, then use linked tabs for details and remediation." sqref="AR1" xr:uid="{00000000-0002-0000-0600-00002B000000}">
      <formula1>TRUE</formula1>
    </dataValidation>
    <dataValidation type="custom" allowBlank="1" showInputMessage="1" promptTitle="Pagination rel=prev" prompt="Pagination rel=prev. Review this metric to identify risk, then use linked tabs for details and remediation." sqref="AS1" xr:uid="{00000000-0002-0000-0600-00002C000000}">
      <formula1>TRUE</formula1>
    </dataValidation>
    <dataValidation type="custom" allowBlank="1" showInputMessage="1" promptTitle="Last-Modified" prompt="Last-Modified. Review this metric to identify risk, then use linked tabs for details and remediation." sqref="AT1" xr:uid="{00000000-0002-0000-0600-00002D000000}">
      <formula1>TRUE</formula1>
    </dataValidation>
    <dataValidation type="custom" allowBlank="1" showInputMessage="1" promptTitle="Published Date" prompt="Published Date. Review this metric to identify risk, then use linked tabs for details and remediation." sqref="AU1" xr:uid="{00000000-0002-0000-0600-00002E000000}">
      <formula1>TRUE</formula1>
    </dataValidation>
    <dataValidation type="custom" allowBlank="1" showInputMessage="1" promptTitle="Modified Date" prompt="Modified Date. Review this metric to identify risk, then use linked tabs for details and remediation." sqref="AV1" xr:uid="{00000000-0002-0000-0600-00002F000000}">
      <formula1>TRUE</formula1>
    </dataValidation>
    <dataValidation type="custom" allowBlank="1" showInputMessage="1" promptTitle="Last Updated" prompt="Last Updated. Review this metric to identify risk, then use linked tabs for details and remediation." sqref="AW1" xr:uid="{00000000-0002-0000-0600-000030000000}">
      <formula1>TRUE</formula1>
    </dataValidation>
    <dataValidation type="custom" allowBlank="1" showInputMessage="1" promptTitle="Change Frequency" prompt="Change Frequency. Review this metric to identify risk, then use linked tabs for details and remediation." sqref="AX1" xr:uid="{00000000-0002-0000-0600-000031000000}">
      <formula1>TRUE</formula1>
    </dataValidation>
    <dataValidation type="custom" allowBlank="1" showInputMessage="1" promptTitle="Priority" prompt="Priority. Review this metric to identify risk, then use linked tabs for details and remediation." sqref="AY1" xr:uid="{00000000-0002-0000-0600-000032000000}">
      <formula1>TRUE</formula1>
    </dataValidation>
    <dataValidation type="custom" allowBlank="1" showInputMessage="1" promptTitle="Schema Types Count" prompt="Structured data signal. Fix: add valid schema types and correct parsing/validation errors." sqref="AZ1" xr:uid="{00000000-0002-0000-0600-000033000000}">
      <formula1>TRUE</formula1>
    </dataValidation>
    <dataValidation type="custom" allowBlank="1" showInputMessage="1" promptTitle="Schema Types Found" prompt="Structured data signal. Fix: add valid schema types and correct parsing/validation errors." sqref="BA1" xr:uid="{00000000-0002-0000-0600-000034000000}">
      <formula1>TRUE</formula1>
    </dataValidation>
    <dataValidation type="custom" allowBlank="1" showInputMessage="1" promptTitle="Internal Links Count" prompt="Link quality and crawl-path metric. Fix: repair broken links and improve internal linking relevance." sqref="BB1" xr:uid="{00000000-0002-0000-0600-000035000000}">
      <formula1>TRUE</formula1>
    </dataValidation>
    <dataValidation type="custom" allowBlank="1" showInputMessage="1" promptTitle="Unique Internal Links Count" prompt="Link quality and crawl-path metric. Fix: repair broken links and improve internal linking relevance." sqref="BC1" xr:uid="{00000000-0002-0000-0600-000036000000}">
      <formula1>TRUE</formula1>
    </dataValidation>
    <dataValidation type="custom" allowBlank="1" showInputMessage="1" promptTitle="External Links Count" prompt="Link quality and crawl-path metric. Fix: repair broken links and improve internal linking relevance." sqref="BD1" xr:uid="{00000000-0002-0000-0600-000037000000}">
      <formula1>TRUE</formula1>
    </dataValidation>
    <dataValidation type="custom" allowBlank="1" showInputMessage="1" promptTitle="AI Crawlers Allowed (GPTBot/Clau" prompt="AI Crawlers Allowed (GPTBot/ClaudeBot/PerplexityBot). Review this metric to identify risk, then use linked tabs for details and remediation." sqref="BE1" xr:uid="{00000000-0002-0000-0600-000038000000}">
      <formula1>TRUE</formula1>
    </dataValidation>
    <dataValidation type="custom" allowBlank="1" showInputMessage="1" promptTitle="llms.txt Present" prompt="llms.txt Present. Review this metric to identify risk, then use linked tabs for details and remediation." sqref="BF1" xr:uid="{00000000-0002-0000-0600-000039000000}">
      <formula1>TRUE</formula1>
    </dataValidation>
    <dataValidation type="custom" allowBlank="1" showInputMessage="1" promptTitle="Desktop PSI Score" prompt="Desktop PSI Score. Review this metric to identify risk, then use linked tabs for details and remediation." sqref="BG1" xr:uid="{00000000-0002-0000-0600-00003A000000}">
      <formula1>TRUE</formula1>
    </dataValidation>
    <dataValidation type="custom" allowBlank="1" showInputMessage="1" promptTitle="Mobile PSI Score" prompt="Mobile PSI Score. Review this metric to identify risk, then use linked tabs for details and remediation." sqref="BH1" xr:uid="{00000000-0002-0000-0600-00003B000000}">
      <formula1>TRUE</formula1>
    </dataValidation>
    <dataValidation type="custom" allowBlank="1" showInputMessage="1" promptTitle="Mobile LCP (s)" prompt="Mobile LCP (s). Review this metric to identify risk, then use linked tabs for details and remediation." sqref="BI1" xr:uid="{00000000-0002-0000-0600-00003C000000}">
      <formula1>TRUE</formula1>
    </dataValidation>
    <dataValidation type="custom" allowBlank="1" showInputMessage="1" promptTitle="Mobile CLS" prompt="Mobile CLS. Review this metric to identify risk, then use linked tabs for details and remediation." sqref="BJ1" xr:uid="{00000000-0002-0000-0600-00003D000000}">
      <formula1>TRUE</formula1>
    </dataValidation>
    <dataValidation type="custom" allowBlank="1" showInputMessage="1" promptTitle="Mobile TTFB (s)" prompt="Time to First Byte: server responsiveness signal. Fix: optimise backend performance, caching, and CDN usage." sqref="BK1" xr:uid="{00000000-0002-0000-0600-00003E000000}">
      <formula1>TRUE</formula1>
    </dataValidation>
    <dataValidation type="custom" allowBlank="1" showInputMessage="1" promptTitle="CWV LCP (s)" prompt="CWV LCP (s). Review this metric to identify risk, then use linked tabs for details and remediation." sqref="BL1" xr:uid="{00000000-0002-0000-0600-00003F000000}">
      <formula1>TRUE</formula1>
    </dataValidation>
    <dataValidation type="custom" allowBlank="1" showInputMessage="1" promptTitle="CWV CLS" prompt="CWV CLS. Review this metric to identify risk, then use linked tabs for details and remediation." sqref="BM1" xr:uid="{00000000-0002-0000-0600-000040000000}">
      <formula1>TRUE</formula1>
    </dataValidation>
    <dataValidation type="custom" allowBlank="1" showInputMessage="1" promptTitle="CWV Data Source" prompt="CWV Data Source. Review this metric to identify risk, then use linked tabs for details and remediation." sqref="BN1" xr:uid="{00000000-0002-0000-0600-000041000000}">
      <formula1>TRUE</formula1>
    </dataValidation>
    <dataValidation type="custom" allowBlank="1" showInputMessage="1" promptTitle="Field vs Lab" prompt="Field vs Lab. Review this metric to identify risk, then use linked tabs for details and remediation." sqref="BO1" xr:uid="{00000000-0002-0000-0600-000042000000}">
      <formula1>TRUE</formula1>
    </dataValidation>
    <dataValidation type="custom" allowBlank="1" showInputMessage="1" promptTitle="GSC Clicks" prompt="GSC Clicks. Review this metric to identify risk, then use linked tabs for details and remediation." sqref="BP1" xr:uid="{00000000-0002-0000-0600-000043000000}">
      <formula1>TRUE</formula1>
    </dataValidation>
    <dataValidation type="custom" allowBlank="1" showInputMessage="1" promptTitle="GSC Impressions" prompt="GSC Impressions. Review this metric to identify risk, then use linked tabs for details and remediation." sqref="BQ1" xr:uid="{00000000-0002-0000-0600-000044000000}">
      <formula1>TRUE</formula1>
    </dataValidation>
    <dataValidation type="custom" allowBlank="1" showInputMessage="1" promptTitle="GSC CTR" prompt="GSC CTR. Review this metric to identify risk, then use linked tabs for details and remediation." sqref="BR1" xr:uid="{00000000-0002-0000-0600-000045000000}">
      <formula1>TRUE</formula1>
    </dataValidation>
    <dataValidation type="custom" allowBlank="1" showInputMessage="1" promptTitle="GSC Avg Position" prompt="GSC Avg Position. Review this metric to identify risk, then use linked tabs for details and remediation." sqref="BS1" xr:uid="{00000000-0002-0000-0600-000046000000}">
      <formula1>TRUE</formula1>
    </dataValidation>
    <dataValidation type="custom" allowBlank="1" showInputMessage="1" promptTitle="Click Depth" prompt="Click Depth. Review this metric to identify risk, then use linked tabs for details and remediation." sqref="BT1" xr:uid="{00000000-0002-0000-0600-000047000000}">
      <formula1>TRUE</formula1>
    </dataValidation>
    <dataValidation type="custom" allowBlank="1" showInputMessage="1" promptTitle="Internal Inlinks" prompt="Link quality and crawl-path metric. Fix: repair broken links and improve internal linking relevance." sqref="BU1" xr:uid="{00000000-0002-0000-0600-000048000000}">
      <formula1>TRUE</formula1>
    </dataValidation>
    <dataValidation type="custom" allowBlank="1" showInputMessage="1" promptTitle="Orphan Pages" prompt="Orphan Pages. Review this metric to identify risk, then use linked tabs for details and remediation." sqref="BV1" xr:uid="{00000000-0002-0000-0600-000049000000}">
      <formula1>TRUE</formula1>
    </dataValidation>
    <dataValidation type="custom" allowBlank="1" showInputMessage="1" promptTitle="Internal PageRank" prompt="Internal PageRank. Review this metric to identify risk, then use linked tabs for details and remediation." sqref="BW1" xr:uid="{00000000-0002-0000-0600-00004A000000}">
      <formula1>TRUE</formula1>
    </dataValidation>
    <dataValidation type="custom" allowBlank="1" showInputMessage="1" promptTitle="Regional Authority Score" prompt="Regional Authority Score. Review this metric to identify risk, then use linked tabs for details and remediation." sqref="BX1" xr:uid="{00000000-0002-0000-0600-00004B000000}">
      <formula1>TRUE</formula1>
    </dataValidation>
    <dataValidation type="custom" allowBlank="1" showInputMessage="1" promptTitle="Regional Entity Hits" prompt="Regional Entity Hits. Review this metric to identify risk, then use linked tabs for details and remediation." sqref="BY1" xr:uid="{00000000-0002-0000-0600-00004C000000}">
      <formula1>TRUE</formula1>
    </dataValidation>
    <dataValidation type="custom" allowBlank="1" showInputMessage="1" promptTitle="Answer Block Detected (First 60 " prompt="Answer Block Detected (First 60 Words). Review this metric to identify risk, then use linked tabs for details and remediation." sqref="BZ1" xr:uid="{00000000-0002-0000-0600-00004D000000}">
      <formula1>TRUE</formula1>
    </dataValidation>
    <dataValidation type="custom" allowBlank="1" showInputMessage="1" promptTitle="AEO Extractability Score" prompt="AEO Extractability Score. Review this metric to identify risk, then use linked tabs for details and remediation." sqref="CA1" xr:uid="{00000000-0002-0000-0600-00004E000000}">
      <formula1>TRUE</formula1>
    </dataValidation>
    <dataValidation type="custom" allowBlank="1" showInputMessage="1" promptTitle="Critical Issues Count" prompt="Critical Issues Count. Review this metric to identify risk, then use linked tabs for details and remediation." sqref="CB1" xr:uid="{00000000-0002-0000-0600-00004F000000}">
      <formula1>TRUE</formula1>
    </dataValidation>
    <dataValidation type="custom" allowBlank="1" showInputMessage="1" promptTitle="Warning Issues Count" prompt="Warning Issues Count. Review this metric to identify risk, then use linked tabs for details and remediation." sqref="CC1" xr:uid="{00000000-0002-0000-0600-000050000000}">
      <formula1>TRUE</formula1>
    </dataValidation>
    <dataValidation type="custom" allowBlank="1" showInputMessage="1" promptTitle="Observation Issues Count" prompt="Observation Issues Count. Review this metric to identify risk, then use linked tabs for details and remediation." sqref="CD1" xr:uid="{00000000-0002-0000-0600-000051000000}">
      <formula1>TRUE</formula1>
    </dataValidation>
    <dataValidation type="custom" allowBlank="1" showInputMessage="1" promptTitle="Inlinks Bucket" prompt="Link quality and crawl-path metric. Fix: repair broken links and improve internal linking relevance." sqref="CE1" xr:uid="{00000000-0002-0000-0600-000052000000}">
      <formula1>TRUE</formula1>
    </dataValidation>
    <dataValidation type="custom" allowBlank="1" showInputMessage="1" promptTitle="Important But Underlinked" prompt="Link quality and crawl-path metric. Fix: repair broken links and improve internal linking relevance." sqref="CF1" xr:uid="{00000000-0002-0000-0600-000053000000}">
      <formula1>TRUE</formula1>
    </dataValidation>
    <dataValidation type="custom" allowBlank="1" showInputMessage="1" promptTitle="SERP Title Truncation Risk" prompt="SERP Title Truncation Risk. Review this metric to identify risk, then use linked tabs for details and remediation." sqref="CG1" xr:uid="{00000000-0002-0000-0600-000054000000}">
      <formula1>TRUE</formula1>
    </dataValidation>
    <dataValidation type="custom" allowBlank="1" showInputMessage="1" promptTitle="SERP Meta Truncation Risk" prompt="SERP Meta Truncation Risk. Review this metric to identify risk, then use linked tabs for details and remediation." sqref="CH1" xr:uid="{00000000-0002-0000-0600-000055000000}">
      <formula1>TRUE</formula1>
    </dataValidation>
    <dataValidation type="custom" allowBlank="1" showInputMessage="1" promptTitle="SERP Title Pixel Approx" prompt="SERP Title Pixel Approx. Review this metric to identify risk, then use linked tabs for details and remediation." sqref="CI1" xr:uid="{00000000-0002-0000-0600-000056000000}">
      <formula1>TRUE</formula1>
    </dataValidation>
    <dataValidation type="custom" allowBlank="1" showInputMessage="1" promptTitle="SERP Meta Pixel Approx" prompt="SERP Meta Pixel Approx. Review this metric to identify risk, then use linked tabs for details and remediation." sqref="CJ1" xr:uid="{00000000-0002-0000-0600-000057000000}">
      <formula1>TRUE</formula1>
    </dataValidation>
    <dataValidation type="custom" allowBlank="1" showInputMessage="1" promptTitle="Cannibalization Hint" prompt="Cannibalization Hint. Review this metric to identify risk, then use linked tabs for details and remediation." sqref="CK1" xr:uid="{00000000-0002-0000-0600-000058000000}">
      <formula1>TRUE</formula1>
    </dataValidation>
    <dataValidation type="custom" allowBlank="1" showInputMessage="1" promptTitle="Stable Issue IDs" prompt="Stable Issue IDs. Review this metric to identify risk, then use linked tabs for details and remediation." sqref="CL1" xr:uid="{00000000-0002-0000-0600-000059000000}">
      <formula1>TRUE</formula1>
    </dataValidation>
    <dataValidation type="custom" allowBlank="1" showInputMessage="1" promptTitle="URL Depth" prompt="URL Depth. Use this URL to inspect the page directly or jump to related tabs." sqref="CM1" xr:uid="{00000000-0002-0000-0600-00005A000000}">
      <formula1>TRUE</formula1>
    </dataValidation>
    <dataValidation type="custom" allowBlank="1" showInputMessage="1" promptTitle="Param URL Flag" prompt="Param URL Flag. Use this URL to inspect the page directly or jump to related tabs." sqref="CN1" xr:uid="{00000000-0002-0000-0600-00005B000000}">
      <formula1>TRUE</formula1>
    </dataValidation>
    <dataValidation type="custom" allowBlank="1" showInputMessage="1" promptTitle="Open in Main" prompt="Navigation helper. Click to jump directly to the related record in another tab." sqref="CO1" xr:uid="{00000000-0002-0000-0600-00005C000000}">
      <formula1>TRUE</formula1>
    </dataValidation>
    <dataValidation type="custom" allowBlank="1" showInputMessage="1" promptTitle="BACK TO DASHBOARD" prompt="BACK TO DASHBOARD. Review this metric to identify risk, then use linked tabs for details and remediation." sqref="CP1" xr:uid="{00000000-0002-0000-0600-00005D000000}">
      <formula1>TRUE</formula1>
    </dataValidation>
    <dataValidation type="custom" allowBlank="1" showInputMessage="1" promptTitle="TTFB (ms)" prompt="Time to First Byte. Measures server responsiveness. Fix: Optimize server-side code or use a CDN." sqref="H1" xr:uid="{00000000-0002-0000-0600-00005E000000}">
      <formula1>TRUE</formula1>
    </dataValidation>
    <dataValidation type="custom" allowBlank="1" showInputMessage="1" promptTitle="Indexability Reason" prompt="Primary reason this URL may not be indexed. Fix: Resolve noindex directives, non-200 responses, and canonical mismatches." sqref="G1" xr:uid="{00000000-0002-0000-0600-00005F000000}">
      <formula1>TRUE</formula1>
    </dataValidation>
    <dataValidation type="custom" allowBlank="1" showInputMessage="1" promptTitle="Status Code" prompt="HTTP status returned for the URL. Fix: Resolve 4xx/5xx errors and remove unnecessary redirect chains." sqref="B1" xr:uid="{00000000-0002-0000-0600-000060000000}">
      <formula1>TRUE</formula1>
    </dataValidation>
    <dataValidation type="custom" allowBlank="1" showInputMessage="1" promptTitle="SEO Health Score" prompt="Weighted technical SEO quality score for this URL. Fix: Prioritize critical issues and improve warnings in FixPlan." sqref="D1" xr:uid="{00000000-0002-0000-0600-000061000000}">
      <formula1>TRUE</formula1>
    </dataValidation>
    <dataValidation type="custom" allowBlank="1" showInputMessage="1" promptTitle="Canonical Type" prompt="Canonical relationship classification. Fix: Use self-canonical on indexable pages; avoid unintended cross-canonicals." sqref="L1" xr:uid="{00000000-0002-0000-0600-000062000000}">
      <formula1>TRUE</formula1>
    </dataValidation>
    <dataValidation type="custom" allowBlank="1" showInputMessage="1" promptTitle="Redirect Chain Length" prompt="Number of redirect hops before final destination. Fix: Reduce to a single hop where possible." sqref="W1" xr:uid="{00000000-0002-0000-0600-000063000000}">
      <formula1>TRUE</formula1>
    </dataValidation>
  </dataValidations>
  <hyperlinks>
    <hyperlink ref="CP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 ref="A12" r:id="rId11" xr:uid="{00000000-0004-0000-0600-00000B000000}"/>
    <hyperlink ref="A13" r:id="rId12" xr:uid="{00000000-0004-0000-0600-00000C000000}"/>
    <hyperlink ref="A14" r:id="rId13" xr:uid="{00000000-0004-0000-0600-00000D000000}"/>
    <hyperlink ref="A15" r:id="rId14" xr:uid="{00000000-0004-0000-0600-00000E000000}"/>
    <hyperlink ref="A16" r:id="rId15" xr:uid="{00000000-0004-0000-0600-00000F000000}"/>
    <hyperlink ref="A17" r:id="rId16" xr:uid="{00000000-0004-0000-0600-000010000000}"/>
    <hyperlink ref="A18" r:id="rId17" xr:uid="{00000000-0004-0000-0600-000011000000}"/>
    <hyperlink ref="A19" r:id="rId18" xr:uid="{00000000-0004-0000-0600-000012000000}"/>
    <hyperlink ref="A20" r:id="rId19" xr:uid="{00000000-0004-0000-0600-000013000000}"/>
    <hyperlink ref="A21" r:id="rId20" xr:uid="{00000000-0004-0000-0600-000014000000}"/>
    <hyperlink ref="A22" r:id="rId21" xr:uid="{00000000-0004-0000-0600-000015000000}"/>
    <hyperlink ref="A23" r:id="rId22" xr:uid="{00000000-0004-0000-0600-000016000000}"/>
    <hyperlink ref="A24" r:id="rId23" xr:uid="{00000000-0004-0000-0600-000017000000}"/>
    <hyperlink ref="A25" r:id="rId24" xr:uid="{00000000-0004-0000-0600-000018000000}"/>
    <hyperlink ref="A26" r:id="rId25" xr:uid="{00000000-0004-0000-0600-000019000000}"/>
    <hyperlink ref="A27" r:id="rId26" xr:uid="{00000000-0004-0000-0600-00001A000000}"/>
    <hyperlink ref="A28" r:id="rId27" xr:uid="{00000000-0004-0000-0600-00001B000000}"/>
    <hyperlink ref="A29" r:id="rId28" xr:uid="{00000000-0004-0000-0600-00001C000000}"/>
    <hyperlink ref="A30" r:id="rId29" xr:uid="{00000000-0004-0000-0600-00001D000000}"/>
    <hyperlink ref="A31" r:id="rId30" xr:uid="{00000000-0004-0000-0600-00001E000000}"/>
    <hyperlink ref="A32" r:id="rId31" xr:uid="{00000000-0004-0000-0600-00001F000000}"/>
    <hyperlink ref="A33" r:id="rId32" xr:uid="{00000000-0004-0000-0600-000020000000}"/>
    <hyperlink ref="A34" r:id="rId33" xr:uid="{00000000-0004-0000-0600-000021000000}"/>
    <hyperlink ref="A35" r:id="rId34" xr:uid="{00000000-0004-0000-0600-000022000000}"/>
    <hyperlink ref="A36" r:id="rId35" xr:uid="{00000000-0004-0000-0600-000023000000}"/>
    <hyperlink ref="A37" r:id="rId36" xr:uid="{00000000-0004-0000-0600-000024000000}"/>
    <hyperlink ref="A38" r:id="rId37" xr:uid="{00000000-0004-0000-0600-000025000000}"/>
    <hyperlink ref="A39" r:id="rId38" xr:uid="{00000000-0004-0000-0600-000026000000}"/>
    <hyperlink ref="A40" r:id="rId39" xr:uid="{00000000-0004-0000-0600-000027000000}"/>
    <hyperlink ref="A41" r:id="rId40" xr:uid="{00000000-0004-0000-0600-000028000000}"/>
    <hyperlink ref="A42" r:id="rId41" xr:uid="{00000000-0004-0000-0600-000029000000}"/>
    <hyperlink ref="A43" r:id="rId42" xr:uid="{00000000-0004-0000-0600-00002A000000}"/>
    <hyperlink ref="A44" r:id="rId43" xr:uid="{00000000-0004-0000-0600-00002B000000}"/>
    <hyperlink ref="A45" r:id="rId44" xr:uid="{00000000-0004-0000-0600-00002C000000}"/>
    <hyperlink ref="A46" r:id="rId45" xr:uid="{00000000-0004-0000-0600-00002D000000}"/>
    <hyperlink ref="A47" r:id="rId46" xr:uid="{00000000-0004-0000-0600-00002E000000}"/>
    <hyperlink ref="A48" r:id="rId47" xr:uid="{00000000-0004-0000-0600-00002F000000}"/>
    <hyperlink ref="A49" r:id="rId48" xr:uid="{00000000-0004-0000-0600-000030000000}"/>
    <hyperlink ref="A50" r:id="rId49" xr:uid="{00000000-0004-0000-0600-000031000000}"/>
    <hyperlink ref="A51" r:id="rId50" xr:uid="{00000000-0004-0000-0600-000032000000}"/>
    <hyperlink ref="A52" r:id="rId51" xr:uid="{00000000-0004-0000-0600-000033000000}"/>
    <hyperlink ref="A53" r:id="rId52" xr:uid="{00000000-0004-0000-0600-000034000000}"/>
    <hyperlink ref="A54" r:id="rId53" xr:uid="{00000000-0004-0000-0600-000035000000}"/>
    <hyperlink ref="A55" r:id="rId54" xr:uid="{00000000-0004-0000-0600-000036000000}"/>
    <hyperlink ref="A56" r:id="rId55" xr:uid="{00000000-0004-0000-0600-000037000000}"/>
    <hyperlink ref="A57" r:id="rId56" xr:uid="{00000000-0004-0000-0600-000038000000}"/>
    <hyperlink ref="A58" r:id="rId57" xr:uid="{00000000-0004-0000-0600-000039000000}"/>
    <hyperlink ref="A59" r:id="rId58" xr:uid="{00000000-0004-0000-0600-00003A000000}"/>
    <hyperlink ref="A60" r:id="rId59" xr:uid="{00000000-0004-0000-0600-00003B000000}"/>
    <hyperlink ref="A61" r:id="rId60" xr:uid="{00000000-0004-0000-0600-00003C000000}"/>
    <hyperlink ref="A62" r:id="rId61" xr:uid="{00000000-0004-0000-0600-00003D000000}"/>
    <hyperlink ref="A63" r:id="rId62" xr:uid="{00000000-0004-0000-0600-00003E000000}"/>
    <hyperlink ref="A64" r:id="rId63" xr:uid="{00000000-0004-0000-0600-00003F000000}"/>
    <hyperlink ref="A65" r:id="rId64" xr:uid="{00000000-0004-0000-0600-000040000000}"/>
    <hyperlink ref="A66" r:id="rId65" xr:uid="{00000000-0004-0000-0600-000041000000}"/>
    <hyperlink ref="A67" r:id="rId66" xr:uid="{00000000-0004-0000-0600-000042000000}"/>
    <hyperlink ref="A68" r:id="rId67" xr:uid="{00000000-0004-0000-0600-000043000000}"/>
    <hyperlink ref="A69" r:id="rId68" xr:uid="{00000000-0004-0000-0600-000044000000}"/>
    <hyperlink ref="A70" r:id="rId69" xr:uid="{00000000-0004-0000-0600-000045000000}"/>
    <hyperlink ref="A71" r:id="rId70" xr:uid="{00000000-0004-0000-0600-000046000000}"/>
    <hyperlink ref="A72" r:id="rId71" xr:uid="{00000000-0004-0000-0600-000047000000}"/>
    <hyperlink ref="A73" r:id="rId72" xr:uid="{00000000-0004-0000-0600-000048000000}"/>
    <hyperlink ref="A74" r:id="rId73" xr:uid="{00000000-0004-0000-0600-000049000000}"/>
    <hyperlink ref="A75" r:id="rId74" xr:uid="{00000000-0004-0000-0600-00004A000000}"/>
    <hyperlink ref="A76" r:id="rId75" xr:uid="{00000000-0004-0000-0600-00004B000000}"/>
    <hyperlink ref="A77" r:id="rId76" xr:uid="{00000000-0004-0000-0600-00004C000000}"/>
    <hyperlink ref="A78" r:id="rId77" xr:uid="{00000000-0004-0000-0600-00004D000000}"/>
    <hyperlink ref="A79" r:id="rId78" xr:uid="{00000000-0004-0000-0600-00004E000000}"/>
    <hyperlink ref="A80" r:id="rId79" xr:uid="{00000000-0004-0000-0600-00004F000000}"/>
    <hyperlink ref="A81" r:id="rId80" xr:uid="{00000000-0004-0000-0600-000050000000}"/>
    <hyperlink ref="A82" r:id="rId81" xr:uid="{00000000-0004-0000-0600-000051000000}"/>
    <hyperlink ref="A83" r:id="rId82" xr:uid="{00000000-0004-0000-0600-000052000000}"/>
    <hyperlink ref="A84" r:id="rId83" xr:uid="{00000000-0004-0000-0600-000053000000}"/>
    <hyperlink ref="A85" r:id="rId84" xr:uid="{00000000-0004-0000-0600-000054000000}"/>
    <hyperlink ref="A86" r:id="rId85" xr:uid="{00000000-0004-0000-0600-000055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2" customWidth="1"/>
    <col min="3" max="3" width="17" customWidth="1"/>
    <col min="4" max="4" width="28" customWidth="1"/>
    <col min="5" max="5" width="10" customWidth="1"/>
    <col min="6" max="6" width="17" customWidth="1"/>
    <col min="7" max="7" width="18" customWidth="1"/>
    <col min="8" max="8" width="15" customWidth="1"/>
    <col min="9" max="9" width="26" customWidth="1"/>
    <col min="10" max="10" width="19" customWidth="1"/>
    <col min="11" max="11" width="16" customWidth="1"/>
    <col min="12" max="12" width="25" customWidth="1"/>
  </cols>
  <sheetData>
    <row r="1" spans="1:14" ht="45" x14ac:dyDescent="0.25">
      <c r="A1" s="27" t="s">
        <v>102</v>
      </c>
      <c r="B1" s="27" t="s">
        <v>871</v>
      </c>
      <c r="C1" s="27" t="s">
        <v>872</v>
      </c>
      <c r="D1" s="27" t="s">
        <v>873</v>
      </c>
      <c r="E1" s="27" t="s">
        <v>874</v>
      </c>
      <c r="F1" s="27" t="s">
        <v>875</v>
      </c>
      <c r="G1" s="27" t="s">
        <v>876</v>
      </c>
      <c r="H1" s="27" t="s">
        <v>877</v>
      </c>
      <c r="I1" s="27" t="s">
        <v>878</v>
      </c>
      <c r="J1" s="27" t="s">
        <v>879</v>
      </c>
      <c r="K1" s="27" t="s">
        <v>880</v>
      </c>
      <c r="L1" s="27" t="s">
        <v>881</v>
      </c>
      <c r="M1" s="27" t="s">
        <v>122</v>
      </c>
      <c r="N1" s="36" t="s">
        <v>251</v>
      </c>
    </row>
    <row r="2" spans="1:14" ht="15.75" x14ac:dyDescent="0.25">
      <c r="A2" s="33" t="s">
        <v>127</v>
      </c>
      <c r="B2" s="28">
        <v>35</v>
      </c>
      <c r="C2" s="29" t="s">
        <v>882</v>
      </c>
      <c r="D2" s="28">
        <v>189.07</v>
      </c>
      <c r="E2" s="28">
        <v>5</v>
      </c>
      <c r="F2" s="35" t="b">
        <v>0</v>
      </c>
      <c r="G2" s="28" t="b">
        <v>1</v>
      </c>
      <c r="H2" s="35" t="b">
        <v>0</v>
      </c>
      <c r="I2" s="35" t="b">
        <v>0</v>
      </c>
      <c r="J2" s="29" t="b">
        <v>1</v>
      </c>
      <c r="K2" s="28">
        <v>2</v>
      </c>
      <c r="L2" s="28"/>
      <c r="M2" s="34" t="str">
        <f>IFERROR(HYPERLINK("#Main!A"&amp;MATCH(A2,Main!A:A,0),"Open"),HYPERLINK("#Main!A1","Open"))</f>
        <v>Open</v>
      </c>
      <c r="N2" s="34"/>
    </row>
    <row r="3" spans="1:14" ht="30" customHeight="1" x14ac:dyDescent="0.25">
      <c r="A3" s="30" t="s">
        <v>135</v>
      </c>
      <c r="B3" s="37">
        <v>235</v>
      </c>
      <c r="C3" s="29" t="s">
        <v>882</v>
      </c>
      <c r="D3" s="37">
        <v>172.76</v>
      </c>
      <c r="E3" s="37">
        <v>1</v>
      </c>
      <c r="F3" s="35" t="b">
        <v>0</v>
      </c>
      <c r="G3" s="37" t="b">
        <v>0</v>
      </c>
      <c r="H3" s="35" t="b">
        <v>0</v>
      </c>
      <c r="I3" s="35" t="b">
        <v>0</v>
      </c>
      <c r="J3" s="29" t="b">
        <v>1</v>
      </c>
      <c r="K3" s="37">
        <v>7</v>
      </c>
      <c r="L3" s="37"/>
      <c r="M3" t="str">
        <f>IFERROR(HYPERLINK("#Main!A"&amp;MATCH(A3,Main!A:A,0),"Open"),HYPERLINK("#Main!A1","Open"))</f>
        <v>Open</v>
      </c>
    </row>
    <row r="4" spans="1:14" ht="30" customHeight="1" x14ac:dyDescent="0.25">
      <c r="A4" s="33" t="s">
        <v>144</v>
      </c>
      <c r="B4" s="28">
        <v>355</v>
      </c>
      <c r="C4" s="46" t="s">
        <v>883</v>
      </c>
      <c r="D4" s="28">
        <v>179.12</v>
      </c>
      <c r="E4" s="28">
        <v>2</v>
      </c>
      <c r="F4" s="35" t="b">
        <v>0</v>
      </c>
      <c r="G4" s="28" t="b">
        <v>1</v>
      </c>
      <c r="H4" s="35" t="b">
        <v>0</v>
      </c>
      <c r="I4" s="35" t="b">
        <v>0</v>
      </c>
      <c r="J4" s="35" t="b">
        <v>0</v>
      </c>
      <c r="K4" s="28">
        <v>13</v>
      </c>
      <c r="L4" s="28"/>
      <c r="M4" s="34" t="str">
        <f>IFERROR(HYPERLINK("#Main!A"&amp;MATCH(A4,Main!A:A,0),"Open"),HYPERLINK("#Main!A1","Open"))</f>
        <v>Open</v>
      </c>
      <c r="N4" s="34"/>
    </row>
    <row r="5" spans="1:14" ht="30" customHeight="1" x14ac:dyDescent="0.25">
      <c r="A5" s="30" t="s">
        <v>152</v>
      </c>
      <c r="B5" s="37">
        <v>1668</v>
      </c>
      <c r="C5" s="35" t="s">
        <v>884</v>
      </c>
      <c r="D5" s="37">
        <v>178.62</v>
      </c>
      <c r="E5" s="37">
        <v>2</v>
      </c>
      <c r="F5" s="35" t="b">
        <v>0</v>
      </c>
      <c r="G5" s="37" t="b">
        <v>1</v>
      </c>
      <c r="H5" s="35" t="b">
        <v>0</v>
      </c>
      <c r="I5" s="35" t="b">
        <v>0</v>
      </c>
      <c r="J5" s="35" t="b">
        <v>0</v>
      </c>
      <c r="K5" s="37">
        <v>60</v>
      </c>
      <c r="L5" s="37"/>
      <c r="M5" t="str">
        <f>IFERROR(HYPERLINK("#Main!A"&amp;MATCH(A5,Main!A:A,0),"Open"),HYPERLINK("#Main!A1","Open"))</f>
        <v>Open</v>
      </c>
    </row>
    <row r="6" spans="1:14" ht="30" customHeight="1" x14ac:dyDescent="0.25">
      <c r="A6" s="33" t="s">
        <v>169</v>
      </c>
      <c r="B6" s="28">
        <v>120</v>
      </c>
      <c r="C6" s="29" t="s">
        <v>882</v>
      </c>
      <c r="D6" s="28">
        <v>145.94</v>
      </c>
      <c r="E6" s="28">
        <v>0</v>
      </c>
      <c r="F6" s="29" t="b">
        <v>1</v>
      </c>
      <c r="G6" s="28" t="b">
        <v>0</v>
      </c>
      <c r="H6" s="35" t="b">
        <v>0</v>
      </c>
      <c r="I6" s="35" t="b">
        <v>0</v>
      </c>
      <c r="J6" s="29" t="b">
        <v>1</v>
      </c>
      <c r="K6" s="28">
        <v>2</v>
      </c>
      <c r="L6" s="28"/>
      <c r="M6" s="34" t="str">
        <f>IFERROR(HYPERLINK("#Main!A"&amp;MATCH(A6,Main!A:A,0),"Open"),HYPERLINK("#Main!A1","Open"))</f>
        <v>Open</v>
      </c>
      <c r="N6" s="34"/>
    </row>
    <row r="7" spans="1:14" ht="30" customHeight="1" x14ac:dyDescent="0.25">
      <c r="A7" s="30" t="s">
        <v>177</v>
      </c>
      <c r="B7" s="37">
        <v>367</v>
      </c>
      <c r="C7" s="46" t="s">
        <v>883</v>
      </c>
      <c r="D7" s="37">
        <v>178.18</v>
      </c>
      <c r="E7" s="37">
        <v>0</v>
      </c>
      <c r="F7" s="29" t="b">
        <v>1</v>
      </c>
      <c r="G7" s="37" t="b">
        <v>0</v>
      </c>
      <c r="H7" s="35" t="b">
        <v>0</v>
      </c>
      <c r="I7" s="35" t="b">
        <v>0</v>
      </c>
      <c r="J7" s="35" t="b">
        <v>0</v>
      </c>
      <c r="K7" s="37">
        <v>13</v>
      </c>
      <c r="L7" s="37"/>
      <c r="M7" t="str">
        <f>IFERROR(HYPERLINK("#Main!A"&amp;MATCH(A7,Main!A:A,0),"Open"),HYPERLINK("#Main!A1","Open"))</f>
        <v>Open</v>
      </c>
    </row>
    <row r="8" spans="1:14" ht="30" customHeight="1" x14ac:dyDescent="0.25">
      <c r="A8" s="33" t="s">
        <v>161</v>
      </c>
      <c r="B8" s="28">
        <v>32</v>
      </c>
      <c r="C8" s="29" t="s">
        <v>882</v>
      </c>
      <c r="D8" s="28">
        <v>196.01</v>
      </c>
      <c r="E8" s="28">
        <v>0</v>
      </c>
      <c r="F8" s="29" t="b">
        <v>1</v>
      </c>
      <c r="G8" s="28" t="b">
        <v>0</v>
      </c>
      <c r="H8" s="35" t="b">
        <v>0</v>
      </c>
      <c r="I8" s="35" t="b">
        <v>0</v>
      </c>
      <c r="J8" s="29" t="b">
        <v>1</v>
      </c>
      <c r="K8" s="28">
        <v>3</v>
      </c>
      <c r="L8" s="28"/>
      <c r="M8" s="34" t="str">
        <f>IFERROR(HYPERLINK("#Main!A"&amp;MATCH(A8,Main!A:A,0),"Open"),HYPERLINK("#Main!A1","Open"))</f>
        <v>Open</v>
      </c>
      <c r="N8" s="34"/>
    </row>
    <row r="9" spans="1:14" ht="30" customHeight="1" x14ac:dyDescent="0.25">
      <c r="A9" s="30" t="s">
        <v>185</v>
      </c>
      <c r="B9" s="37">
        <v>415</v>
      </c>
      <c r="C9" s="46" t="s">
        <v>883</v>
      </c>
      <c r="D9" s="37">
        <v>168.54</v>
      </c>
      <c r="E9" s="37">
        <v>1</v>
      </c>
      <c r="F9" s="35" t="b">
        <v>0</v>
      </c>
      <c r="G9" s="37" t="b">
        <v>0</v>
      </c>
      <c r="H9" s="35" t="b">
        <v>0</v>
      </c>
      <c r="I9" s="35" t="b">
        <v>0</v>
      </c>
      <c r="J9" s="35" t="b">
        <v>0</v>
      </c>
      <c r="K9" s="37">
        <v>11</v>
      </c>
      <c r="L9" s="37"/>
      <c r="M9" t="str">
        <f>IFERROR(HYPERLINK("#Main!A"&amp;MATCH(A9,Main!A:A,0),"Open"),HYPERLINK("#Main!A1","Open"))</f>
        <v>Open</v>
      </c>
    </row>
    <row r="10" spans="1:14" ht="30" customHeight="1" x14ac:dyDescent="0.25">
      <c r="A10" s="33" t="s">
        <v>201</v>
      </c>
      <c r="B10" s="28">
        <v>31</v>
      </c>
      <c r="C10" s="29" t="s">
        <v>882</v>
      </c>
      <c r="D10" s="28">
        <v>175.37</v>
      </c>
      <c r="E10" s="28">
        <v>0</v>
      </c>
      <c r="F10" s="29" t="b">
        <v>1</v>
      </c>
      <c r="G10" s="28" t="b">
        <v>0</v>
      </c>
      <c r="H10" s="35" t="b">
        <v>0</v>
      </c>
      <c r="I10" s="29" t="b">
        <v>1</v>
      </c>
      <c r="J10" s="29" t="b">
        <v>1</v>
      </c>
      <c r="K10" s="28">
        <v>1</v>
      </c>
      <c r="L10" s="28"/>
      <c r="M10" s="34" t="str">
        <f>IFERROR(HYPERLINK("#Main!A"&amp;MATCH(A10,Main!A:A,0),"Open"),HYPERLINK("#Main!A1","Open"))</f>
        <v>Open</v>
      </c>
      <c r="N10" s="34"/>
    </row>
    <row r="11" spans="1:14" ht="30" customHeight="1" x14ac:dyDescent="0.25">
      <c r="A11" s="30" t="s">
        <v>193</v>
      </c>
      <c r="B11" s="37">
        <v>326</v>
      </c>
      <c r="C11" s="46" t="s">
        <v>883</v>
      </c>
      <c r="D11" s="37">
        <v>176.75</v>
      </c>
      <c r="E11" s="37">
        <v>1</v>
      </c>
      <c r="F11" s="35" t="b">
        <v>0</v>
      </c>
      <c r="G11" s="37" t="b">
        <v>0</v>
      </c>
      <c r="H11" s="35" t="b">
        <v>0</v>
      </c>
      <c r="I11" s="35" t="b">
        <v>0</v>
      </c>
      <c r="J11" s="35" t="b">
        <v>0</v>
      </c>
      <c r="K11" s="37">
        <v>11</v>
      </c>
      <c r="L11" s="37"/>
      <c r="M11" t="str">
        <f>IFERROR(HYPERLINK("#Main!A"&amp;MATCH(A11,Main!A:A,0),"Open"),HYPERLINK("#Main!A1","Open"))</f>
        <v>Open</v>
      </c>
    </row>
    <row r="12" spans="1:14" ht="30" customHeight="1" x14ac:dyDescent="0.25">
      <c r="A12" s="33" t="s">
        <v>216</v>
      </c>
      <c r="B12" s="28">
        <v>97</v>
      </c>
      <c r="C12" s="29" t="s">
        <v>882</v>
      </c>
      <c r="D12" s="28">
        <v>174.02</v>
      </c>
      <c r="E12" s="28">
        <v>0</v>
      </c>
      <c r="F12" s="29" t="b">
        <v>1</v>
      </c>
      <c r="G12" s="28" t="b">
        <v>0</v>
      </c>
      <c r="H12" s="35" t="b">
        <v>0</v>
      </c>
      <c r="I12" s="35" t="b">
        <v>0</v>
      </c>
      <c r="J12" s="29" t="b">
        <v>1</v>
      </c>
      <c r="K12" s="28">
        <v>3</v>
      </c>
      <c r="L12" s="28"/>
      <c r="M12" s="34" t="str">
        <f>IFERROR(HYPERLINK("#Main!A"&amp;MATCH(A12,Main!A:A,0),"Open"),HYPERLINK("#Main!A1","Open"))</f>
        <v>Open</v>
      </c>
      <c r="N12" s="34"/>
    </row>
    <row r="13" spans="1:14" ht="30" customHeight="1" x14ac:dyDescent="0.25">
      <c r="A13" s="30" t="s">
        <v>208</v>
      </c>
      <c r="B13" s="37">
        <v>195</v>
      </c>
      <c r="C13" s="29" t="s">
        <v>882</v>
      </c>
      <c r="D13" s="37">
        <v>8.91</v>
      </c>
      <c r="E13" s="37">
        <v>1</v>
      </c>
      <c r="F13" s="35" t="b">
        <v>0</v>
      </c>
      <c r="G13" s="37" t="b">
        <v>0</v>
      </c>
      <c r="H13" s="35" t="b">
        <v>0</v>
      </c>
      <c r="I13" s="35" t="b">
        <v>0</v>
      </c>
      <c r="J13" s="29" t="b">
        <v>1</v>
      </c>
      <c r="K13" s="37">
        <v>1</v>
      </c>
      <c r="L13" s="37"/>
      <c r="M13" t="str">
        <f>IFERROR(HYPERLINK("#Main!A"&amp;MATCH(A13,Main!A:A,0),"Open"),HYPERLINK("#Main!A1","Open"))</f>
        <v>Open</v>
      </c>
    </row>
    <row r="14" spans="1:14" ht="30" customHeight="1" x14ac:dyDescent="0.25">
      <c r="A14" s="33" t="s">
        <v>224</v>
      </c>
      <c r="B14" s="28">
        <v>111</v>
      </c>
      <c r="C14" s="29" t="s">
        <v>882</v>
      </c>
      <c r="D14" s="28">
        <v>150.5</v>
      </c>
      <c r="E14" s="28">
        <v>1</v>
      </c>
      <c r="F14" s="35" t="b">
        <v>0</v>
      </c>
      <c r="G14" s="28" t="b">
        <v>0</v>
      </c>
      <c r="H14" s="35" t="b">
        <v>0</v>
      </c>
      <c r="I14" s="35" t="b">
        <v>0</v>
      </c>
      <c r="J14" s="29" t="b">
        <v>1</v>
      </c>
      <c r="K14" s="28">
        <v>2</v>
      </c>
      <c r="L14" s="28"/>
      <c r="M14" s="34" t="str">
        <f>IFERROR(HYPERLINK("#Main!A"&amp;MATCH(A14,Main!A:A,0),"Open"),HYPERLINK("#Main!A1","Open"))</f>
        <v>Open</v>
      </c>
      <c r="N14" s="34"/>
    </row>
    <row r="15" spans="1:14" ht="30" customHeight="1" x14ac:dyDescent="0.25">
      <c r="A15" s="30" t="s">
        <v>233</v>
      </c>
      <c r="B15" s="37">
        <v>46</v>
      </c>
      <c r="C15" s="29" t="s">
        <v>882</v>
      </c>
      <c r="D15" s="37">
        <v>160.15</v>
      </c>
      <c r="E15" s="37">
        <v>1</v>
      </c>
      <c r="F15" s="35" t="b">
        <v>0</v>
      </c>
      <c r="G15" s="37" t="b">
        <v>0</v>
      </c>
      <c r="H15" s="35" t="b">
        <v>0</v>
      </c>
      <c r="I15" s="35" t="b">
        <v>0</v>
      </c>
      <c r="J15" s="29" t="b">
        <v>1</v>
      </c>
      <c r="K15" s="37">
        <v>1</v>
      </c>
      <c r="L15" s="37"/>
      <c r="M15" t="str">
        <f>IFERROR(HYPERLINK("#Main!A"&amp;MATCH(A15,Main!A:A,0),"Open"),HYPERLINK("#Main!A1","Open"))</f>
        <v>Open</v>
      </c>
    </row>
    <row r="16" spans="1:14" ht="30" customHeight="1" x14ac:dyDescent="0.25">
      <c r="A16" s="33" t="s">
        <v>241</v>
      </c>
      <c r="B16" s="28">
        <v>36</v>
      </c>
      <c r="C16" s="29" t="s">
        <v>882</v>
      </c>
      <c r="D16" s="28">
        <v>170.3</v>
      </c>
      <c r="E16" s="28">
        <v>1</v>
      </c>
      <c r="F16" s="35" t="b">
        <v>0</v>
      </c>
      <c r="G16" s="28" t="b">
        <v>0</v>
      </c>
      <c r="H16" s="35" t="b">
        <v>0</v>
      </c>
      <c r="I16" s="35" t="b">
        <v>0</v>
      </c>
      <c r="J16" s="29" t="b">
        <v>1</v>
      </c>
      <c r="K16" s="28">
        <v>1</v>
      </c>
      <c r="L16" s="28"/>
      <c r="M16" s="34" t="str">
        <f>IFERROR(HYPERLINK("#Main!A"&amp;MATCH(A16,Main!A:A,0),"Open"),HYPERLINK("#Main!A1","Open"))</f>
        <v>Open</v>
      </c>
      <c r="N16" s="34"/>
    </row>
    <row r="17" spans="1:14" ht="30" customHeight="1" x14ac:dyDescent="0.25">
      <c r="A17" s="30" t="s">
        <v>485</v>
      </c>
      <c r="B17" s="37">
        <v>694</v>
      </c>
      <c r="C17" s="46" t="s">
        <v>883</v>
      </c>
      <c r="D17" s="37">
        <v>162.81</v>
      </c>
      <c r="E17" s="37">
        <v>1</v>
      </c>
      <c r="F17" s="35" t="b">
        <v>0</v>
      </c>
      <c r="G17" s="37" t="b">
        <v>0</v>
      </c>
      <c r="H17" s="35" t="b">
        <v>0</v>
      </c>
      <c r="I17" s="35" t="b">
        <v>0</v>
      </c>
      <c r="J17" s="35" t="b">
        <v>0</v>
      </c>
      <c r="K17" s="37">
        <v>16</v>
      </c>
      <c r="L17" s="37"/>
      <c r="M17" t="str">
        <f>IFERROR(HYPERLINK("#Main!A"&amp;MATCH(A17,Main!A:A,0),"Open"),HYPERLINK("#Main!A1","Open"))</f>
        <v>Open</v>
      </c>
    </row>
    <row r="18" spans="1:14" ht="30" customHeight="1" x14ac:dyDescent="0.25">
      <c r="A18" s="33" t="s">
        <v>491</v>
      </c>
      <c r="B18" s="28">
        <v>1418</v>
      </c>
      <c r="C18" s="35" t="s">
        <v>884</v>
      </c>
      <c r="D18" s="28">
        <v>126.88</v>
      </c>
      <c r="E18" s="28">
        <v>2</v>
      </c>
      <c r="F18" s="35" t="b">
        <v>0</v>
      </c>
      <c r="G18" s="28" t="b">
        <v>1</v>
      </c>
      <c r="H18" s="35" t="b">
        <v>0</v>
      </c>
      <c r="I18" s="35" t="b">
        <v>0</v>
      </c>
      <c r="J18" s="35" t="b">
        <v>0</v>
      </c>
      <c r="K18" s="28">
        <v>18</v>
      </c>
      <c r="L18" s="28"/>
      <c r="M18" s="34" t="str">
        <f>IFERROR(HYPERLINK("#Main!A"&amp;MATCH(A18,Main!A:A,0),"Open"),HYPERLINK("#Main!A1","Open"))</f>
        <v>Open</v>
      </c>
      <c r="N18" s="34"/>
    </row>
    <row r="19" spans="1:14" ht="30" customHeight="1" x14ac:dyDescent="0.25">
      <c r="A19" s="30" t="s">
        <v>488</v>
      </c>
      <c r="B19" s="37">
        <v>193</v>
      </c>
      <c r="C19" s="29" t="s">
        <v>882</v>
      </c>
      <c r="D19" s="37">
        <v>157.86000000000001</v>
      </c>
      <c r="E19" s="37">
        <v>1</v>
      </c>
      <c r="F19" s="35" t="b">
        <v>0</v>
      </c>
      <c r="G19" s="37" t="b">
        <v>0</v>
      </c>
      <c r="H19" s="35" t="b">
        <v>0</v>
      </c>
      <c r="I19" s="35" t="b">
        <v>0</v>
      </c>
      <c r="J19" s="29" t="b">
        <v>1</v>
      </c>
      <c r="K19" s="37">
        <v>4</v>
      </c>
      <c r="L19" s="37"/>
      <c r="M19" t="str">
        <f>IFERROR(HYPERLINK("#Main!A"&amp;MATCH(A19,Main!A:A,0),"Open"),HYPERLINK("#Main!A1","Open"))</f>
        <v>Open</v>
      </c>
    </row>
    <row r="20" spans="1:14" ht="30" customHeight="1" x14ac:dyDescent="0.25">
      <c r="A20" s="33" t="s">
        <v>494</v>
      </c>
      <c r="B20" s="28">
        <v>126</v>
      </c>
      <c r="C20" s="29" t="s">
        <v>882</v>
      </c>
      <c r="D20" s="28">
        <v>142.88999999999999</v>
      </c>
      <c r="E20" s="28">
        <v>1</v>
      </c>
      <c r="F20" s="35" t="b">
        <v>0</v>
      </c>
      <c r="G20" s="28" t="b">
        <v>0</v>
      </c>
      <c r="H20" s="35" t="b">
        <v>0</v>
      </c>
      <c r="I20" s="35" t="b">
        <v>0</v>
      </c>
      <c r="J20" s="29" t="b">
        <v>1</v>
      </c>
      <c r="K20" s="28">
        <v>2</v>
      </c>
      <c r="L20" s="28"/>
      <c r="M20" s="34" t="str">
        <f>IFERROR(HYPERLINK("#Main!A"&amp;MATCH(A20,Main!A:A,0),"Open"),HYPERLINK("#Main!A1","Open"))</f>
        <v>Open</v>
      </c>
      <c r="N20" s="34"/>
    </row>
    <row r="21" spans="1:14" ht="30" customHeight="1" x14ac:dyDescent="0.25">
      <c r="A21" s="30" t="s">
        <v>500</v>
      </c>
      <c r="B21" s="37">
        <v>1869</v>
      </c>
      <c r="C21" s="35" t="s">
        <v>884</v>
      </c>
      <c r="D21" s="37">
        <v>183.98</v>
      </c>
      <c r="E21" s="37">
        <v>10</v>
      </c>
      <c r="F21" s="35" t="b">
        <v>0</v>
      </c>
      <c r="G21" s="37" t="b">
        <v>1</v>
      </c>
      <c r="H21" s="35" t="b">
        <v>0</v>
      </c>
      <c r="I21" s="35" t="b">
        <v>0</v>
      </c>
      <c r="J21" s="35" t="b">
        <v>0</v>
      </c>
      <c r="K21" s="37">
        <v>83</v>
      </c>
      <c r="L21" s="37"/>
      <c r="M21" t="str">
        <f>IFERROR(HYPERLINK("#Main!A"&amp;MATCH(A21,Main!A:A,0),"Open"),HYPERLINK("#Main!A1","Open"))</f>
        <v>Open</v>
      </c>
    </row>
    <row r="22" spans="1:14" ht="30" customHeight="1" x14ac:dyDescent="0.25">
      <c r="A22" s="33" t="s">
        <v>497</v>
      </c>
      <c r="B22" s="28">
        <v>1177</v>
      </c>
      <c r="C22" s="35" t="s">
        <v>884</v>
      </c>
      <c r="D22" s="28">
        <v>167.01</v>
      </c>
      <c r="E22" s="28">
        <v>2</v>
      </c>
      <c r="F22" s="35" t="b">
        <v>0</v>
      </c>
      <c r="G22" s="28" t="b">
        <v>1</v>
      </c>
      <c r="H22" s="35" t="b">
        <v>0</v>
      </c>
      <c r="I22" s="35" t="b">
        <v>0</v>
      </c>
      <c r="J22" s="35" t="b">
        <v>0</v>
      </c>
      <c r="K22" s="28">
        <v>30</v>
      </c>
      <c r="L22" s="28"/>
      <c r="M22" s="34" t="str">
        <f>IFERROR(HYPERLINK("#Main!A"&amp;MATCH(A22,Main!A:A,0),"Open"),HYPERLINK("#Main!A1","Open"))</f>
        <v>Open</v>
      </c>
      <c r="N22" s="34"/>
    </row>
    <row r="23" spans="1:14" ht="30" customHeight="1" x14ac:dyDescent="0.25">
      <c r="A23" s="30" t="s">
        <v>506</v>
      </c>
      <c r="B23" s="37">
        <v>209</v>
      </c>
      <c r="C23" s="29" t="s">
        <v>882</v>
      </c>
      <c r="D23" s="37">
        <v>164.41</v>
      </c>
      <c r="E23" s="37">
        <v>2</v>
      </c>
      <c r="F23" s="35" t="b">
        <v>0</v>
      </c>
      <c r="G23" s="37" t="b">
        <v>1</v>
      </c>
      <c r="H23" s="35" t="b">
        <v>0</v>
      </c>
      <c r="I23" s="35" t="b">
        <v>0</v>
      </c>
      <c r="J23" s="29" t="b">
        <v>1</v>
      </c>
      <c r="K23" s="37">
        <v>5</v>
      </c>
      <c r="L23" s="37"/>
      <c r="M23" t="str">
        <f>IFERROR(HYPERLINK("#Main!A"&amp;MATCH(A23,Main!A:A,0),"Open"),HYPERLINK("#Main!A1","Open"))</f>
        <v>Open</v>
      </c>
    </row>
    <row r="24" spans="1:14" ht="30" customHeight="1" x14ac:dyDescent="0.25">
      <c r="A24" s="33" t="s">
        <v>509</v>
      </c>
      <c r="B24" s="28">
        <v>192</v>
      </c>
      <c r="C24" s="29" t="s">
        <v>882</v>
      </c>
      <c r="D24" s="28">
        <v>167.86</v>
      </c>
      <c r="E24" s="28">
        <v>2</v>
      </c>
      <c r="F24" s="35" t="b">
        <v>0</v>
      </c>
      <c r="G24" s="28" t="b">
        <v>1</v>
      </c>
      <c r="H24" s="35" t="b">
        <v>0</v>
      </c>
      <c r="I24" s="35" t="b">
        <v>0</v>
      </c>
      <c r="J24" s="29" t="b">
        <v>1</v>
      </c>
      <c r="K24" s="28">
        <v>5</v>
      </c>
      <c r="L24" s="28"/>
      <c r="M24" s="34" t="str">
        <f>IFERROR(HYPERLINK("#Main!A"&amp;MATCH(A24,Main!A:A,0),"Open"),HYPERLINK("#Main!A1","Open"))</f>
        <v>Open</v>
      </c>
      <c r="N24" s="34"/>
    </row>
    <row r="25" spans="1:14" ht="30" customHeight="1" x14ac:dyDescent="0.25">
      <c r="A25" s="30" t="s">
        <v>503</v>
      </c>
      <c r="B25" s="37">
        <v>1141</v>
      </c>
      <c r="C25" s="35" t="s">
        <v>884</v>
      </c>
      <c r="D25" s="37">
        <v>169.48</v>
      </c>
      <c r="E25" s="37">
        <v>1</v>
      </c>
      <c r="F25" s="35" t="b">
        <v>0</v>
      </c>
      <c r="G25" s="37" t="b">
        <v>0</v>
      </c>
      <c r="H25" s="35" t="b">
        <v>0</v>
      </c>
      <c r="I25" s="35" t="b">
        <v>0</v>
      </c>
      <c r="J25" s="35" t="b">
        <v>0</v>
      </c>
      <c r="K25" s="37">
        <v>31</v>
      </c>
      <c r="L25" s="37"/>
      <c r="M25" t="str">
        <f>IFERROR(HYPERLINK("#Main!A"&amp;MATCH(A25,Main!A:A,0),"Open"),HYPERLINK("#Main!A1","Open"))</f>
        <v>Open</v>
      </c>
    </row>
    <row r="26" spans="1:14" ht="30" customHeight="1" x14ac:dyDescent="0.25">
      <c r="A26" s="33" t="s">
        <v>476</v>
      </c>
      <c r="B26" s="28">
        <v>0</v>
      </c>
      <c r="C26" s="28"/>
      <c r="D26" s="28"/>
      <c r="E26" s="28">
        <v>0</v>
      </c>
      <c r="F26" s="35" t="b">
        <v>0</v>
      </c>
      <c r="G26" s="28" t="b">
        <v>0</v>
      </c>
      <c r="H26" s="29" t="b">
        <v>1</v>
      </c>
      <c r="I26" s="29" t="b">
        <v>1</v>
      </c>
      <c r="J26" s="35" t="b">
        <v>0</v>
      </c>
      <c r="K26" s="28">
        <v>0</v>
      </c>
      <c r="L26" s="28"/>
      <c r="M26" s="34" t="str">
        <f>IFERROR(HYPERLINK("#Main!A"&amp;MATCH(A26,Main!A:A,0),"Open"),HYPERLINK("#Main!A1","Open"))</f>
        <v>Open</v>
      </c>
      <c r="N26" s="34"/>
    </row>
    <row r="27" spans="1:14" ht="30" customHeight="1" x14ac:dyDescent="0.25">
      <c r="A27" s="30" t="s">
        <v>512</v>
      </c>
      <c r="B27" s="37">
        <v>2108</v>
      </c>
      <c r="C27" s="35" t="s">
        <v>884</v>
      </c>
      <c r="D27" s="37">
        <v>174.42</v>
      </c>
      <c r="E27" s="37">
        <v>0</v>
      </c>
      <c r="F27" s="29" t="b">
        <v>1</v>
      </c>
      <c r="G27" s="37" t="b">
        <v>0</v>
      </c>
      <c r="H27" s="35" t="b">
        <v>0</v>
      </c>
      <c r="I27" s="35" t="b">
        <v>0</v>
      </c>
      <c r="J27" s="35" t="b">
        <v>0</v>
      </c>
      <c r="K27" s="37">
        <v>66</v>
      </c>
      <c r="L27" s="37"/>
      <c r="M27" t="str">
        <f>IFERROR(HYPERLINK("#Main!A"&amp;MATCH(A27,Main!A:A,0),"Open"),HYPERLINK("#Main!A1","Open"))</f>
        <v>Open</v>
      </c>
    </row>
    <row r="28" spans="1:14" ht="30" customHeight="1" x14ac:dyDescent="0.25">
      <c r="A28" s="33" t="s">
        <v>515</v>
      </c>
      <c r="B28" s="28">
        <v>334</v>
      </c>
      <c r="C28" s="46" t="s">
        <v>883</v>
      </c>
      <c r="D28" s="28">
        <v>176.02</v>
      </c>
      <c r="E28" s="28">
        <v>1</v>
      </c>
      <c r="F28" s="35" t="b">
        <v>0</v>
      </c>
      <c r="G28" s="28" t="b">
        <v>0</v>
      </c>
      <c r="H28" s="35" t="b">
        <v>0</v>
      </c>
      <c r="I28" s="35" t="b">
        <v>0</v>
      </c>
      <c r="J28" s="35" t="b">
        <v>0</v>
      </c>
      <c r="K28" s="28">
        <v>11</v>
      </c>
      <c r="L28" s="28"/>
      <c r="M28" s="34" t="str">
        <f>IFERROR(HYPERLINK("#Main!A"&amp;MATCH(A28,Main!A:A,0),"Open"),HYPERLINK("#Main!A1","Open"))</f>
        <v>Open</v>
      </c>
      <c r="N28" s="34"/>
    </row>
    <row r="29" spans="1:14" ht="30" customHeight="1" x14ac:dyDescent="0.25">
      <c r="A29" s="30" t="s">
        <v>518</v>
      </c>
      <c r="B29" s="37">
        <v>1369</v>
      </c>
      <c r="C29" s="35" t="s">
        <v>884</v>
      </c>
      <c r="D29" s="37">
        <v>99.95</v>
      </c>
      <c r="E29" s="37">
        <v>1</v>
      </c>
      <c r="F29" s="35" t="b">
        <v>0</v>
      </c>
      <c r="G29" s="37" t="b">
        <v>0</v>
      </c>
      <c r="H29" s="35" t="b">
        <v>0</v>
      </c>
      <c r="I29" s="35" t="b">
        <v>0</v>
      </c>
      <c r="J29" s="35" t="b">
        <v>0</v>
      </c>
      <c r="K29" s="37">
        <v>13</v>
      </c>
      <c r="L29" s="37"/>
      <c r="M29" t="str">
        <f>IFERROR(HYPERLINK("#Main!A"&amp;MATCH(A29,Main!A:A,0),"Open"),HYPERLINK("#Main!A1","Open"))</f>
        <v>Open</v>
      </c>
    </row>
    <row r="30" spans="1:14" ht="30" customHeight="1" x14ac:dyDescent="0.25">
      <c r="A30" s="33" t="s">
        <v>521</v>
      </c>
      <c r="B30" s="28">
        <v>52</v>
      </c>
      <c r="C30" s="29" t="s">
        <v>882</v>
      </c>
      <c r="D30" s="28">
        <v>180.45</v>
      </c>
      <c r="E30" s="28">
        <v>0</v>
      </c>
      <c r="F30" s="29" t="b">
        <v>1</v>
      </c>
      <c r="G30" s="28" t="b">
        <v>0</v>
      </c>
      <c r="H30" s="35" t="b">
        <v>0</v>
      </c>
      <c r="I30" s="35" t="b">
        <v>0</v>
      </c>
      <c r="J30" s="29" t="b">
        <v>1</v>
      </c>
      <c r="K30" s="28">
        <v>2</v>
      </c>
      <c r="L30" s="28"/>
      <c r="M30" s="34" t="str">
        <f>IFERROR(HYPERLINK("#Main!A"&amp;MATCH(A30,Main!A:A,0),"Open"),HYPERLINK("#Main!A1","Open"))</f>
        <v>Open</v>
      </c>
      <c r="N30" s="34"/>
    </row>
    <row r="31" spans="1:14" ht="30" customHeight="1" x14ac:dyDescent="0.25">
      <c r="A31" s="30" t="s">
        <v>524</v>
      </c>
      <c r="B31" s="37">
        <v>205</v>
      </c>
      <c r="C31" s="29" t="s">
        <v>882</v>
      </c>
      <c r="D31" s="37">
        <v>165.22</v>
      </c>
      <c r="E31" s="37">
        <v>2</v>
      </c>
      <c r="F31" s="35" t="b">
        <v>0</v>
      </c>
      <c r="G31" s="37" t="b">
        <v>1</v>
      </c>
      <c r="H31" s="35" t="b">
        <v>0</v>
      </c>
      <c r="I31" s="35" t="b">
        <v>0</v>
      </c>
      <c r="J31" s="29" t="b">
        <v>1</v>
      </c>
      <c r="K31" s="37">
        <v>5</v>
      </c>
      <c r="L31" s="37"/>
      <c r="M31" t="str">
        <f>IFERROR(HYPERLINK("#Main!A"&amp;MATCH(A31,Main!A:A,0),"Open"),HYPERLINK("#Main!A1","Open"))</f>
        <v>Open</v>
      </c>
    </row>
    <row r="32" spans="1:14" ht="30" customHeight="1" x14ac:dyDescent="0.25">
      <c r="A32" s="33" t="s">
        <v>527</v>
      </c>
      <c r="B32" s="28">
        <v>1365</v>
      </c>
      <c r="C32" s="35" t="s">
        <v>884</v>
      </c>
      <c r="D32" s="28">
        <v>100.26</v>
      </c>
      <c r="E32" s="28">
        <v>1</v>
      </c>
      <c r="F32" s="35" t="b">
        <v>0</v>
      </c>
      <c r="G32" s="28" t="b">
        <v>0</v>
      </c>
      <c r="H32" s="35" t="b">
        <v>0</v>
      </c>
      <c r="I32" s="35" t="b">
        <v>0</v>
      </c>
      <c r="J32" s="35" t="b">
        <v>0</v>
      </c>
      <c r="K32" s="28">
        <v>13</v>
      </c>
      <c r="L32" s="28"/>
      <c r="M32" s="34" t="str">
        <f>IFERROR(HYPERLINK("#Main!A"&amp;MATCH(A32,Main!A:A,0),"Open"),HYPERLINK("#Main!A1","Open"))</f>
        <v>Open</v>
      </c>
      <c r="N32" s="34"/>
    </row>
    <row r="33" spans="1:14" ht="45" customHeight="1" x14ac:dyDescent="0.25">
      <c r="A33" s="30" t="s">
        <v>528</v>
      </c>
      <c r="B33" s="37">
        <v>82</v>
      </c>
      <c r="C33" s="29" t="s">
        <v>882</v>
      </c>
      <c r="D33" s="37">
        <v>186.03</v>
      </c>
      <c r="E33" s="37">
        <v>1</v>
      </c>
      <c r="F33" s="35" t="b">
        <v>0</v>
      </c>
      <c r="G33" s="37" t="b">
        <v>0</v>
      </c>
      <c r="H33" s="35" t="b">
        <v>0</v>
      </c>
      <c r="I33" s="35" t="b">
        <v>0</v>
      </c>
      <c r="J33" s="29" t="b">
        <v>1</v>
      </c>
      <c r="K33" s="37">
        <v>4</v>
      </c>
      <c r="L33" s="37"/>
      <c r="M33" t="str">
        <f>IFERROR(HYPERLINK("#Main!A"&amp;MATCH(A33,Main!A:A,0),"Open"),HYPERLINK("#Main!A1","Open"))</f>
        <v>Open</v>
      </c>
    </row>
    <row r="34" spans="1:14" ht="30" customHeight="1" x14ac:dyDescent="0.25">
      <c r="A34" s="33" t="s">
        <v>531</v>
      </c>
      <c r="B34" s="28">
        <v>580</v>
      </c>
      <c r="C34" s="46" t="s">
        <v>883</v>
      </c>
      <c r="D34" s="28">
        <v>59.66</v>
      </c>
      <c r="E34" s="28">
        <v>1</v>
      </c>
      <c r="F34" s="35" t="b">
        <v>0</v>
      </c>
      <c r="G34" s="28" t="b">
        <v>0</v>
      </c>
      <c r="H34" s="35" t="b">
        <v>0</v>
      </c>
      <c r="I34" s="35" t="b">
        <v>0</v>
      </c>
      <c r="J34" s="35" t="b">
        <v>0</v>
      </c>
      <c r="K34" s="28">
        <v>4</v>
      </c>
      <c r="L34" s="28"/>
      <c r="M34" s="34" t="str">
        <f>IFERROR(HYPERLINK("#Main!A"&amp;MATCH(A34,Main!A:A,0),"Open"),HYPERLINK("#Main!A1","Open"))</f>
        <v>Open</v>
      </c>
      <c r="N34" s="34"/>
    </row>
    <row r="35" spans="1:14" ht="30" customHeight="1" x14ac:dyDescent="0.25">
      <c r="A35" s="30" t="s">
        <v>534</v>
      </c>
      <c r="B35" s="37">
        <v>629</v>
      </c>
      <c r="C35" s="46" t="s">
        <v>883</v>
      </c>
      <c r="D35" s="37">
        <v>127.03</v>
      </c>
      <c r="E35" s="37">
        <v>1</v>
      </c>
      <c r="F35" s="35" t="b">
        <v>0</v>
      </c>
      <c r="G35" s="37" t="b">
        <v>0</v>
      </c>
      <c r="H35" s="35" t="b">
        <v>0</v>
      </c>
      <c r="I35" s="35" t="b">
        <v>0</v>
      </c>
      <c r="J35" s="35" t="b">
        <v>0</v>
      </c>
      <c r="K35" s="37">
        <v>8</v>
      </c>
      <c r="L35" s="37"/>
      <c r="M35" t="str">
        <f>IFERROR(HYPERLINK("#Main!A"&amp;MATCH(A35,Main!A:A,0),"Open"),HYPERLINK("#Main!A1","Open"))</f>
        <v>Open</v>
      </c>
    </row>
    <row r="36" spans="1:14" ht="30" customHeight="1" x14ac:dyDescent="0.25">
      <c r="A36" s="33" t="s">
        <v>537</v>
      </c>
      <c r="B36" s="28">
        <v>61</v>
      </c>
      <c r="C36" s="29" t="s">
        <v>882</v>
      </c>
      <c r="D36" s="28">
        <v>175.88</v>
      </c>
      <c r="E36" s="28">
        <v>2</v>
      </c>
      <c r="F36" s="35" t="b">
        <v>0</v>
      </c>
      <c r="G36" s="28" t="b">
        <v>1</v>
      </c>
      <c r="H36" s="35" t="b">
        <v>0</v>
      </c>
      <c r="I36" s="35" t="b">
        <v>0</v>
      </c>
      <c r="J36" s="29" t="b">
        <v>1</v>
      </c>
      <c r="K36" s="28">
        <v>2</v>
      </c>
      <c r="L36" s="28"/>
      <c r="M36" s="34" t="str">
        <f>IFERROR(HYPERLINK("#Main!A"&amp;MATCH(A36,Main!A:A,0),"Open"),HYPERLINK("#Main!A1","Open"))</f>
        <v>Open</v>
      </c>
      <c r="N36" s="34"/>
    </row>
    <row r="37" spans="1:14" ht="45" customHeight="1" x14ac:dyDescent="0.25">
      <c r="A37" s="30" t="s">
        <v>540</v>
      </c>
      <c r="B37" s="37">
        <v>62</v>
      </c>
      <c r="C37" s="29" t="s">
        <v>882</v>
      </c>
      <c r="D37" s="37">
        <v>175.37</v>
      </c>
      <c r="E37" s="37">
        <v>4</v>
      </c>
      <c r="F37" s="35" t="b">
        <v>0</v>
      </c>
      <c r="G37" s="37" t="b">
        <v>1</v>
      </c>
      <c r="H37" s="35" t="b">
        <v>0</v>
      </c>
      <c r="I37" s="35" t="b">
        <v>0</v>
      </c>
      <c r="J37" s="29" t="b">
        <v>1</v>
      </c>
      <c r="K37" s="37">
        <v>2</v>
      </c>
      <c r="L37" s="37"/>
      <c r="M37" t="str">
        <f>IFERROR(HYPERLINK("#Main!A"&amp;MATCH(A37,Main!A:A,0),"Open"),HYPERLINK("#Main!A1","Open"))</f>
        <v>Open</v>
      </c>
    </row>
    <row r="38" spans="1:14" ht="30" customHeight="1" x14ac:dyDescent="0.25">
      <c r="A38" s="33" t="s">
        <v>543</v>
      </c>
      <c r="B38" s="28">
        <v>1223</v>
      </c>
      <c r="C38" s="35" t="s">
        <v>884</v>
      </c>
      <c r="D38" s="28">
        <v>182.49</v>
      </c>
      <c r="E38" s="28">
        <v>1</v>
      </c>
      <c r="F38" s="35" t="b">
        <v>0</v>
      </c>
      <c r="G38" s="28" t="b">
        <v>0</v>
      </c>
      <c r="H38" s="35" t="b">
        <v>0</v>
      </c>
      <c r="I38" s="35" t="b">
        <v>0</v>
      </c>
      <c r="J38" s="35" t="b">
        <v>0</v>
      </c>
      <c r="K38" s="28">
        <v>51</v>
      </c>
      <c r="L38" s="28"/>
      <c r="M38" s="34" t="str">
        <f>IFERROR(HYPERLINK("#Main!A"&amp;MATCH(A38,Main!A:A,0),"Open"),HYPERLINK("#Main!A1","Open"))</f>
        <v>Open</v>
      </c>
      <c r="N38" s="34"/>
    </row>
    <row r="39" spans="1:14" ht="30" customHeight="1" x14ac:dyDescent="0.25">
      <c r="A39" s="30" t="s">
        <v>483</v>
      </c>
      <c r="B39" s="37">
        <v>0</v>
      </c>
      <c r="C39" s="37"/>
      <c r="D39" s="37"/>
      <c r="E39" s="37">
        <v>0</v>
      </c>
      <c r="F39" s="35" t="b">
        <v>0</v>
      </c>
      <c r="G39" s="37" t="b">
        <v>0</v>
      </c>
      <c r="H39" s="29" t="b">
        <v>1</v>
      </c>
      <c r="I39" s="29" t="b">
        <v>1</v>
      </c>
      <c r="J39" s="35" t="b">
        <v>0</v>
      </c>
      <c r="K39" s="37">
        <v>0</v>
      </c>
      <c r="L39" s="37"/>
      <c r="M39" t="str">
        <f>IFERROR(HYPERLINK("#Main!A"&amp;MATCH(A39,Main!A:A,0),"Open"),HYPERLINK("#Main!A1","Open"))</f>
        <v>Open</v>
      </c>
    </row>
    <row r="40" spans="1:14" ht="30" customHeight="1" x14ac:dyDescent="0.25">
      <c r="A40" s="33" t="s">
        <v>546</v>
      </c>
      <c r="B40" s="28">
        <v>1318</v>
      </c>
      <c r="C40" s="35" t="s">
        <v>884</v>
      </c>
      <c r="D40" s="28">
        <v>139.94999999999999</v>
      </c>
      <c r="E40" s="28">
        <v>1</v>
      </c>
      <c r="F40" s="35" t="b">
        <v>0</v>
      </c>
      <c r="G40" s="28" t="b">
        <v>0</v>
      </c>
      <c r="H40" s="35" t="b">
        <v>0</v>
      </c>
      <c r="I40" s="35" t="b">
        <v>0</v>
      </c>
      <c r="J40" s="35" t="b">
        <v>0</v>
      </c>
      <c r="K40" s="28">
        <v>20</v>
      </c>
      <c r="L40" s="28"/>
      <c r="M40" s="34" t="str">
        <f>IFERROR(HYPERLINK("#Main!A"&amp;MATCH(A40,Main!A:A,0),"Open"),HYPERLINK("#Main!A1","Open"))</f>
        <v>Open</v>
      </c>
      <c r="N40" s="34"/>
    </row>
    <row r="41" spans="1:14" ht="30" customHeight="1" x14ac:dyDescent="0.25">
      <c r="A41" s="30" t="s">
        <v>549</v>
      </c>
      <c r="B41" s="37">
        <v>62</v>
      </c>
      <c r="C41" s="29" t="s">
        <v>882</v>
      </c>
      <c r="D41" s="37">
        <v>175.37</v>
      </c>
      <c r="E41" s="37">
        <v>4</v>
      </c>
      <c r="F41" s="35" t="b">
        <v>0</v>
      </c>
      <c r="G41" s="37" t="b">
        <v>1</v>
      </c>
      <c r="H41" s="35" t="b">
        <v>0</v>
      </c>
      <c r="I41" s="35" t="b">
        <v>0</v>
      </c>
      <c r="J41" s="29" t="b">
        <v>1</v>
      </c>
      <c r="K41" s="37">
        <v>2</v>
      </c>
      <c r="L41" s="37"/>
      <c r="M41" t="str">
        <f>IFERROR(HYPERLINK("#Main!A"&amp;MATCH(A41,Main!A:A,0),"Open"),HYPERLINK("#Main!A1","Open"))</f>
        <v>Open</v>
      </c>
    </row>
    <row r="42" spans="1:14" ht="30" customHeight="1" x14ac:dyDescent="0.25">
      <c r="A42" s="33" t="s">
        <v>555</v>
      </c>
      <c r="B42" s="28">
        <v>31</v>
      </c>
      <c r="C42" s="29" t="s">
        <v>882</v>
      </c>
      <c r="D42" s="28">
        <v>175.37</v>
      </c>
      <c r="E42" s="28">
        <v>0</v>
      </c>
      <c r="F42" s="29" t="b">
        <v>1</v>
      </c>
      <c r="G42" s="28" t="b">
        <v>0</v>
      </c>
      <c r="H42" s="35" t="b">
        <v>0</v>
      </c>
      <c r="I42" s="29" t="b">
        <v>1</v>
      </c>
      <c r="J42" s="29" t="b">
        <v>1</v>
      </c>
      <c r="K42" s="28">
        <v>1</v>
      </c>
      <c r="L42" s="28"/>
      <c r="M42" s="34" t="str">
        <f>IFERROR(HYPERLINK("#Main!A"&amp;MATCH(A42,Main!A:A,0),"Open"),HYPERLINK("#Main!A1","Open"))</f>
        <v>Open</v>
      </c>
      <c r="N42" s="34"/>
    </row>
    <row r="43" spans="1:14" ht="30" customHeight="1" x14ac:dyDescent="0.25">
      <c r="A43" s="30" t="s">
        <v>557</v>
      </c>
      <c r="B43" s="37">
        <v>48</v>
      </c>
      <c r="C43" s="29" t="s">
        <v>882</v>
      </c>
      <c r="D43" s="37">
        <v>158.12</v>
      </c>
      <c r="E43" s="37">
        <v>0</v>
      </c>
      <c r="F43" s="29" t="b">
        <v>1</v>
      </c>
      <c r="G43" s="37" t="b">
        <v>0</v>
      </c>
      <c r="H43" s="35" t="b">
        <v>0</v>
      </c>
      <c r="I43" s="35" t="b">
        <v>0</v>
      </c>
      <c r="J43" s="29" t="b">
        <v>1</v>
      </c>
      <c r="K43" s="37">
        <v>1</v>
      </c>
      <c r="L43" s="37"/>
      <c r="M43" t="str">
        <f>IFERROR(HYPERLINK("#Main!A"&amp;MATCH(A43,Main!A:A,0),"Open"),HYPERLINK("#Main!A1","Open"))</f>
        <v>Open</v>
      </c>
    </row>
    <row r="44" spans="1:14" ht="30" customHeight="1" x14ac:dyDescent="0.25">
      <c r="A44" s="33" t="s">
        <v>552</v>
      </c>
      <c r="B44" s="28">
        <v>230</v>
      </c>
      <c r="C44" s="29" t="s">
        <v>882</v>
      </c>
      <c r="D44" s="28">
        <v>173.49</v>
      </c>
      <c r="E44" s="28">
        <v>0</v>
      </c>
      <c r="F44" s="29" t="b">
        <v>1</v>
      </c>
      <c r="G44" s="28" t="b">
        <v>0</v>
      </c>
      <c r="H44" s="35" t="b">
        <v>0</v>
      </c>
      <c r="I44" s="35" t="b">
        <v>0</v>
      </c>
      <c r="J44" s="29" t="b">
        <v>1</v>
      </c>
      <c r="K44" s="28">
        <v>7</v>
      </c>
      <c r="L44" s="28"/>
      <c r="M44" s="34" t="str">
        <f>IFERROR(HYPERLINK("#Main!A"&amp;MATCH(A44,Main!A:A,0),"Open"),HYPERLINK("#Main!A1","Open"))</f>
        <v>Open</v>
      </c>
      <c r="N44" s="34"/>
    </row>
    <row r="45" spans="1:14" ht="30" customHeight="1" x14ac:dyDescent="0.25">
      <c r="A45" s="30" t="s">
        <v>560</v>
      </c>
      <c r="B45" s="37">
        <v>571</v>
      </c>
      <c r="C45" s="46" t="s">
        <v>883</v>
      </c>
      <c r="D45" s="37">
        <v>168.2</v>
      </c>
      <c r="E45" s="37">
        <v>0</v>
      </c>
      <c r="F45" s="29" t="b">
        <v>1</v>
      </c>
      <c r="G45" s="37" t="b">
        <v>0</v>
      </c>
      <c r="H45" s="35" t="b">
        <v>0</v>
      </c>
      <c r="I45" s="35" t="b">
        <v>0</v>
      </c>
      <c r="J45" s="35" t="b">
        <v>0</v>
      </c>
      <c r="K45" s="37">
        <v>15</v>
      </c>
      <c r="L45" s="37"/>
      <c r="M45" t="str">
        <f>IFERROR(HYPERLINK("#Main!A"&amp;MATCH(A45,Main!A:A,0),"Open"),HYPERLINK("#Main!A1","Open"))</f>
        <v>Open</v>
      </c>
    </row>
    <row r="46" spans="1:14" ht="30" customHeight="1" x14ac:dyDescent="0.25">
      <c r="A46" s="33" t="s">
        <v>563</v>
      </c>
      <c r="B46" s="28">
        <v>589</v>
      </c>
      <c r="C46" s="46" t="s">
        <v>883</v>
      </c>
      <c r="D46" s="28">
        <v>121.43</v>
      </c>
      <c r="E46" s="28">
        <v>1</v>
      </c>
      <c r="F46" s="35" t="b">
        <v>0</v>
      </c>
      <c r="G46" s="28" t="b">
        <v>0</v>
      </c>
      <c r="H46" s="35" t="b">
        <v>0</v>
      </c>
      <c r="I46" s="35" t="b">
        <v>0</v>
      </c>
      <c r="J46" s="35" t="b">
        <v>0</v>
      </c>
      <c r="K46" s="28">
        <v>7</v>
      </c>
      <c r="L46" s="28"/>
      <c r="M46" s="34" t="str">
        <f>IFERROR(HYPERLINK("#Main!A"&amp;MATCH(A46,Main!A:A,0),"Open"),HYPERLINK("#Main!A1","Open"))</f>
        <v>Open</v>
      </c>
      <c r="N46" s="34"/>
    </row>
    <row r="47" spans="1:14" ht="30" customHeight="1" x14ac:dyDescent="0.25">
      <c r="A47" s="30" t="s">
        <v>566</v>
      </c>
      <c r="B47" s="37">
        <v>1148</v>
      </c>
      <c r="C47" s="35" t="s">
        <v>884</v>
      </c>
      <c r="D47" s="37">
        <v>138.29</v>
      </c>
      <c r="E47" s="37">
        <v>1</v>
      </c>
      <c r="F47" s="35" t="b">
        <v>0</v>
      </c>
      <c r="G47" s="37" t="b">
        <v>0</v>
      </c>
      <c r="H47" s="35" t="b">
        <v>0</v>
      </c>
      <c r="I47" s="35" t="b">
        <v>0</v>
      </c>
      <c r="J47" s="35" t="b">
        <v>0</v>
      </c>
      <c r="K47" s="37">
        <v>17</v>
      </c>
      <c r="L47" s="37"/>
      <c r="M47" t="str">
        <f>IFERROR(HYPERLINK("#Main!A"&amp;MATCH(A47,Main!A:A,0),"Open"),HYPERLINK("#Main!A1","Open"))</f>
        <v>Open</v>
      </c>
    </row>
    <row r="48" spans="1:14" ht="30" customHeight="1" x14ac:dyDescent="0.25">
      <c r="A48" s="33" t="s">
        <v>570</v>
      </c>
      <c r="B48" s="28">
        <v>603</v>
      </c>
      <c r="C48" s="46" t="s">
        <v>883</v>
      </c>
      <c r="D48" s="28">
        <v>53.82</v>
      </c>
      <c r="E48" s="28">
        <v>1</v>
      </c>
      <c r="F48" s="35" t="b">
        <v>0</v>
      </c>
      <c r="G48" s="28" t="b">
        <v>0</v>
      </c>
      <c r="H48" s="35" t="b">
        <v>0</v>
      </c>
      <c r="I48" s="35" t="b">
        <v>0</v>
      </c>
      <c r="J48" s="35" t="b">
        <v>0</v>
      </c>
      <c r="K48" s="28">
        <v>4</v>
      </c>
      <c r="L48" s="28"/>
      <c r="M48" s="34" t="str">
        <f>IFERROR(HYPERLINK("#Main!A"&amp;MATCH(A48,Main!A:A,0),"Open"),HYPERLINK("#Main!A1","Open"))</f>
        <v>Open</v>
      </c>
      <c r="N48" s="34"/>
    </row>
    <row r="49" spans="1:14" ht="30" customHeight="1" x14ac:dyDescent="0.25">
      <c r="A49" s="30" t="s">
        <v>577</v>
      </c>
      <c r="B49" s="37">
        <v>1160</v>
      </c>
      <c r="C49" s="35" t="s">
        <v>884</v>
      </c>
      <c r="D49" s="37">
        <v>178.8</v>
      </c>
      <c r="E49" s="37">
        <v>3</v>
      </c>
      <c r="F49" s="35" t="b">
        <v>0</v>
      </c>
      <c r="G49" s="37" t="b">
        <v>1</v>
      </c>
      <c r="H49" s="35" t="b">
        <v>0</v>
      </c>
      <c r="I49" s="35" t="b">
        <v>0</v>
      </c>
      <c r="J49" s="35" t="b">
        <v>0</v>
      </c>
      <c r="K49" s="37">
        <v>42</v>
      </c>
      <c r="L49" s="37"/>
      <c r="M49" t="str">
        <f>IFERROR(HYPERLINK("#Main!A"&amp;MATCH(A49,Main!A:A,0),"Open"),HYPERLINK("#Main!A1","Open"))</f>
        <v>Open</v>
      </c>
    </row>
    <row r="50" spans="1:14" ht="30" customHeight="1" x14ac:dyDescent="0.25">
      <c r="A50" s="33" t="s">
        <v>579</v>
      </c>
      <c r="B50" s="28">
        <v>1168</v>
      </c>
      <c r="C50" s="35" t="s">
        <v>884</v>
      </c>
      <c r="D50" s="28">
        <v>178.61</v>
      </c>
      <c r="E50" s="28">
        <v>3</v>
      </c>
      <c r="F50" s="35" t="b">
        <v>0</v>
      </c>
      <c r="G50" s="28" t="b">
        <v>1</v>
      </c>
      <c r="H50" s="35" t="b">
        <v>0</v>
      </c>
      <c r="I50" s="35" t="b">
        <v>0</v>
      </c>
      <c r="J50" s="35" t="b">
        <v>0</v>
      </c>
      <c r="K50" s="28">
        <v>42</v>
      </c>
      <c r="L50" s="28"/>
      <c r="M50" s="34" t="str">
        <f>IFERROR(HYPERLINK("#Main!A"&amp;MATCH(A50,Main!A:A,0),"Open"),HYPERLINK("#Main!A1","Open"))</f>
        <v>Open</v>
      </c>
      <c r="N50" s="34"/>
    </row>
    <row r="51" spans="1:14" ht="30" customHeight="1" x14ac:dyDescent="0.25">
      <c r="A51" s="30" t="s">
        <v>573</v>
      </c>
      <c r="B51" s="37">
        <v>1159</v>
      </c>
      <c r="C51" s="35" t="s">
        <v>884</v>
      </c>
      <c r="D51" s="37">
        <v>178.14</v>
      </c>
      <c r="E51" s="37">
        <v>3</v>
      </c>
      <c r="F51" s="35" t="b">
        <v>0</v>
      </c>
      <c r="G51" s="37" t="b">
        <v>1</v>
      </c>
      <c r="H51" s="35" t="b">
        <v>0</v>
      </c>
      <c r="I51" s="35" t="b">
        <v>0</v>
      </c>
      <c r="J51" s="35" t="b">
        <v>0</v>
      </c>
      <c r="K51" s="37">
        <v>41</v>
      </c>
      <c r="L51" s="37"/>
      <c r="M51" t="str">
        <f>IFERROR(HYPERLINK("#Main!A"&amp;MATCH(A51,Main!A:A,0),"Open"),HYPERLINK("#Main!A1","Open"))</f>
        <v>Open</v>
      </c>
    </row>
    <row r="52" spans="1:14" ht="30" customHeight="1" x14ac:dyDescent="0.25">
      <c r="A52" s="33" t="s">
        <v>582</v>
      </c>
      <c r="B52" s="28">
        <v>901</v>
      </c>
      <c r="C52" s="35" t="s">
        <v>884</v>
      </c>
      <c r="D52" s="28">
        <v>172.96</v>
      </c>
      <c r="E52" s="28">
        <v>0</v>
      </c>
      <c r="F52" s="29" t="b">
        <v>1</v>
      </c>
      <c r="G52" s="28" t="b">
        <v>0</v>
      </c>
      <c r="H52" s="35" t="b">
        <v>0</v>
      </c>
      <c r="I52" s="35" t="b">
        <v>0</v>
      </c>
      <c r="J52" s="35" t="b">
        <v>0</v>
      </c>
      <c r="K52" s="28">
        <v>27</v>
      </c>
      <c r="L52" s="28"/>
      <c r="M52" s="34" t="str">
        <f>IFERROR(HYPERLINK("#Main!A"&amp;MATCH(A52,Main!A:A,0),"Open"),HYPERLINK("#Main!A1","Open"))</f>
        <v>Open</v>
      </c>
      <c r="N52" s="34"/>
    </row>
    <row r="53" spans="1:14" ht="30" customHeight="1" x14ac:dyDescent="0.25">
      <c r="A53" s="30" t="s">
        <v>588</v>
      </c>
      <c r="B53" s="37">
        <v>68</v>
      </c>
      <c r="C53" s="29" t="s">
        <v>882</v>
      </c>
      <c r="D53" s="37">
        <v>172.33</v>
      </c>
      <c r="E53" s="37">
        <v>1</v>
      </c>
      <c r="F53" s="35" t="b">
        <v>0</v>
      </c>
      <c r="G53" s="37" t="b">
        <v>0</v>
      </c>
      <c r="H53" s="35" t="b">
        <v>0</v>
      </c>
      <c r="I53" s="35" t="b">
        <v>0</v>
      </c>
      <c r="J53" s="29" t="b">
        <v>1</v>
      </c>
      <c r="K53" s="37">
        <v>2</v>
      </c>
      <c r="L53" s="37"/>
      <c r="M53" t="str">
        <f>IFERROR(HYPERLINK("#Main!A"&amp;MATCH(A53,Main!A:A,0),"Open"),HYPERLINK("#Main!A1","Open"))</f>
        <v>Open</v>
      </c>
    </row>
    <row r="54" spans="1:14" ht="30" customHeight="1" x14ac:dyDescent="0.25">
      <c r="A54" s="33" t="s">
        <v>591</v>
      </c>
      <c r="B54" s="28">
        <v>66</v>
      </c>
      <c r="C54" s="29" t="s">
        <v>882</v>
      </c>
      <c r="D54" s="28">
        <v>173.34</v>
      </c>
      <c r="E54" s="28">
        <v>1</v>
      </c>
      <c r="F54" s="35" t="b">
        <v>0</v>
      </c>
      <c r="G54" s="28" t="b">
        <v>0</v>
      </c>
      <c r="H54" s="35" t="b">
        <v>0</v>
      </c>
      <c r="I54" s="35" t="b">
        <v>0</v>
      </c>
      <c r="J54" s="29" t="b">
        <v>1</v>
      </c>
      <c r="K54" s="28">
        <v>2</v>
      </c>
      <c r="L54" s="28"/>
      <c r="M54" s="34" t="str">
        <f>IFERROR(HYPERLINK("#Main!A"&amp;MATCH(A54,Main!A:A,0),"Open"),HYPERLINK("#Main!A1","Open"))</f>
        <v>Open</v>
      </c>
      <c r="N54" s="34"/>
    </row>
    <row r="55" spans="1:14" ht="30" customHeight="1" x14ac:dyDescent="0.25">
      <c r="A55" s="30" t="s">
        <v>594</v>
      </c>
      <c r="B55" s="37">
        <v>47</v>
      </c>
      <c r="C55" s="29" t="s">
        <v>882</v>
      </c>
      <c r="D55" s="37">
        <v>182.98</v>
      </c>
      <c r="E55" s="37">
        <v>0</v>
      </c>
      <c r="F55" s="29" t="b">
        <v>1</v>
      </c>
      <c r="G55" s="37" t="b">
        <v>0</v>
      </c>
      <c r="H55" s="35" t="b">
        <v>0</v>
      </c>
      <c r="I55" s="35" t="b">
        <v>0</v>
      </c>
      <c r="J55" s="29" t="b">
        <v>1</v>
      </c>
      <c r="K55" s="37">
        <v>2</v>
      </c>
      <c r="L55" s="37"/>
      <c r="M55" t="str">
        <f>IFERROR(HYPERLINK("#Main!A"&amp;MATCH(A55,Main!A:A,0),"Open"),HYPERLINK("#Main!A1","Open"))</f>
        <v>Open</v>
      </c>
    </row>
    <row r="56" spans="1:14" ht="30" customHeight="1" x14ac:dyDescent="0.25">
      <c r="A56" s="33" t="s">
        <v>585</v>
      </c>
      <c r="B56" s="28">
        <v>401</v>
      </c>
      <c r="C56" s="46" t="s">
        <v>883</v>
      </c>
      <c r="D56" s="28">
        <v>186.48</v>
      </c>
      <c r="E56" s="28">
        <v>1</v>
      </c>
      <c r="F56" s="35" t="b">
        <v>0</v>
      </c>
      <c r="G56" s="28" t="b">
        <v>0</v>
      </c>
      <c r="H56" s="35" t="b">
        <v>0</v>
      </c>
      <c r="I56" s="35" t="b">
        <v>0</v>
      </c>
      <c r="J56" s="35" t="b">
        <v>0</v>
      </c>
      <c r="K56" s="28">
        <v>20</v>
      </c>
      <c r="L56" s="28"/>
      <c r="M56" s="34" t="str">
        <f>IFERROR(HYPERLINK("#Main!A"&amp;MATCH(A56,Main!A:A,0),"Open"),HYPERLINK("#Main!A1","Open"))</f>
        <v>Open</v>
      </c>
      <c r="N56" s="34"/>
    </row>
    <row r="57" spans="1:14" ht="30" customHeight="1" x14ac:dyDescent="0.25">
      <c r="A57" s="30" t="s">
        <v>597</v>
      </c>
      <c r="B57" s="37">
        <v>23</v>
      </c>
      <c r="C57" s="29" t="s">
        <v>882</v>
      </c>
      <c r="D57" s="37">
        <v>195.16</v>
      </c>
      <c r="E57" s="37">
        <v>0</v>
      </c>
      <c r="F57" s="29" t="b">
        <v>1</v>
      </c>
      <c r="G57" s="37" t="b">
        <v>0</v>
      </c>
      <c r="H57" s="35" t="b">
        <v>0</v>
      </c>
      <c r="I57" s="35" t="b">
        <v>0</v>
      </c>
      <c r="J57" s="29" t="b">
        <v>1</v>
      </c>
      <c r="K57" s="37">
        <v>2</v>
      </c>
      <c r="L57" s="37"/>
      <c r="M57" t="str">
        <f>IFERROR(HYPERLINK("#Main!A"&amp;MATCH(A57,Main!A:A,0),"Open"),HYPERLINK("#Main!A1","Open"))</f>
        <v>Open</v>
      </c>
    </row>
    <row r="58" spans="1:14" ht="30" customHeight="1" x14ac:dyDescent="0.25">
      <c r="A58" s="33" t="s">
        <v>601</v>
      </c>
      <c r="B58" s="28">
        <v>2215</v>
      </c>
      <c r="C58" s="35" t="s">
        <v>884</v>
      </c>
      <c r="D58" s="28">
        <v>190.3</v>
      </c>
      <c r="E58" s="28">
        <v>1</v>
      </c>
      <c r="F58" s="35" t="b">
        <v>0</v>
      </c>
      <c r="G58" s="28" t="b">
        <v>0</v>
      </c>
      <c r="H58" s="35" t="b">
        <v>0</v>
      </c>
      <c r="I58" s="35" t="b">
        <v>0</v>
      </c>
      <c r="J58" s="35" t="b">
        <v>0</v>
      </c>
      <c r="K58" s="28">
        <v>136</v>
      </c>
      <c r="L58" s="28"/>
      <c r="M58" s="34" t="str">
        <f>IFERROR(HYPERLINK("#Main!A"&amp;MATCH(A58,Main!A:A,0),"Open"),HYPERLINK("#Main!A1","Open"))</f>
        <v>Open</v>
      </c>
      <c r="N58" s="34"/>
    </row>
    <row r="59" spans="1:14" ht="30" customHeight="1" x14ac:dyDescent="0.25">
      <c r="A59" s="30" t="s">
        <v>604</v>
      </c>
      <c r="B59" s="37">
        <v>868</v>
      </c>
      <c r="C59" s="35" t="s">
        <v>884</v>
      </c>
      <c r="D59" s="37">
        <v>80.98</v>
      </c>
      <c r="E59" s="37">
        <v>1</v>
      </c>
      <c r="F59" s="35" t="b">
        <v>0</v>
      </c>
      <c r="G59" s="37" t="b">
        <v>0</v>
      </c>
      <c r="H59" s="35" t="b">
        <v>0</v>
      </c>
      <c r="I59" s="35" t="b">
        <v>0</v>
      </c>
      <c r="J59" s="35" t="b">
        <v>0</v>
      </c>
      <c r="K59" s="37">
        <v>7</v>
      </c>
      <c r="L59" s="37"/>
      <c r="M59" t="str">
        <f>IFERROR(HYPERLINK("#Main!A"&amp;MATCH(A59,Main!A:A,0),"Open"),HYPERLINK("#Main!A1","Open"))</f>
        <v>Open</v>
      </c>
    </row>
    <row r="60" spans="1:14" ht="30" customHeight="1" x14ac:dyDescent="0.25">
      <c r="A60" s="33" t="s">
        <v>608</v>
      </c>
      <c r="B60" s="28">
        <v>452</v>
      </c>
      <c r="C60" s="46" t="s">
        <v>883</v>
      </c>
      <c r="D60" s="28">
        <v>92.14</v>
      </c>
      <c r="E60" s="28">
        <v>2</v>
      </c>
      <c r="F60" s="35" t="b">
        <v>0</v>
      </c>
      <c r="G60" s="28" t="b">
        <v>1</v>
      </c>
      <c r="H60" s="35" t="b">
        <v>0</v>
      </c>
      <c r="I60" s="35" t="b">
        <v>0</v>
      </c>
      <c r="J60" s="35" t="b">
        <v>0</v>
      </c>
      <c r="K60" s="28">
        <v>4</v>
      </c>
      <c r="L60" s="28"/>
      <c r="M60" s="34" t="str">
        <f>IFERROR(HYPERLINK("#Main!A"&amp;MATCH(A60,Main!A:A,0),"Open"),HYPERLINK("#Main!A1","Open"))</f>
        <v>Open</v>
      </c>
      <c r="N60" s="34"/>
    </row>
    <row r="61" spans="1:14" ht="30" customHeight="1" x14ac:dyDescent="0.25">
      <c r="A61" s="30" t="s">
        <v>611</v>
      </c>
      <c r="B61" s="37">
        <v>44</v>
      </c>
      <c r="C61" s="29" t="s">
        <v>882</v>
      </c>
      <c r="D61" s="37">
        <v>162.18</v>
      </c>
      <c r="E61" s="37">
        <v>0</v>
      </c>
      <c r="F61" s="29" t="b">
        <v>1</v>
      </c>
      <c r="G61" s="37" t="b">
        <v>0</v>
      </c>
      <c r="H61" s="35" t="b">
        <v>0</v>
      </c>
      <c r="I61" s="35" t="b">
        <v>0</v>
      </c>
      <c r="J61" s="29" t="b">
        <v>1</v>
      </c>
      <c r="K61" s="37">
        <v>1</v>
      </c>
      <c r="L61" s="37"/>
      <c r="M61" t="str">
        <f>IFERROR(HYPERLINK("#Main!A"&amp;MATCH(A61,Main!A:A,0),"Open"),HYPERLINK("#Main!A1","Open"))</f>
        <v>Open</v>
      </c>
    </row>
    <row r="62" spans="1:14" ht="30" customHeight="1" x14ac:dyDescent="0.25">
      <c r="A62" s="33" t="s">
        <v>615</v>
      </c>
      <c r="B62" s="28">
        <v>40</v>
      </c>
      <c r="C62" s="29" t="s">
        <v>882</v>
      </c>
      <c r="D62" s="28">
        <v>186.54</v>
      </c>
      <c r="E62" s="28">
        <v>0</v>
      </c>
      <c r="F62" s="29" t="b">
        <v>1</v>
      </c>
      <c r="G62" s="28" t="b">
        <v>0</v>
      </c>
      <c r="H62" s="35" t="b">
        <v>0</v>
      </c>
      <c r="I62" s="35" t="b">
        <v>0</v>
      </c>
      <c r="J62" s="29" t="b">
        <v>1</v>
      </c>
      <c r="K62" s="28">
        <v>2</v>
      </c>
      <c r="L62" s="28"/>
      <c r="M62" s="34" t="str">
        <f>IFERROR(HYPERLINK("#Main!A"&amp;MATCH(A62,Main!A:A,0),"Open"),HYPERLINK("#Main!A1","Open"))</f>
        <v>Open</v>
      </c>
      <c r="N62" s="34"/>
    </row>
    <row r="63" spans="1:14" ht="30" customHeight="1" x14ac:dyDescent="0.25">
      <c r="A63" s="30" t="s">
        <v>618</v>
      </c>
      <c r="B63" s="37">
        <v>670</v>
      </c>
      <c r="C63" s="46" t="s">
        <v>883</v>
      </c>
      <c r="D63" s="37">
        <v>158.26</v>
      </c>
      <c r="E63" s="37">
        <v>0</v>
      </c>
      <c r="F63" s="29" t="b">
        <v>1</v>
      </c>
      <c r="G63" s="37" t="b">
        <v>0</v>
      </c>
      <c r="H63" s="35" t="b">
        <v>0</v>
      </c>
      <c r="I63" s="35" t="b">
        <v>0</v>
      </c>
      <c r="J63" s="35" t="b">
        <v>0</v>
      </c>
      <c r="K63" s="37">
        <v>14</v>
      </c>
      <c r="L63" s="37"/>
      <c r="M63" t="str">
        <f>IFERROR(HYPERLINK("#Main!A"&amp;MATCH(A63,Main!A:A,0),"Open"),HYPERLINK("#Main!A1","Open"))</f>
        <v>Open</v>
      </c>
    </row>
    <row r="64" spans="1:14" ht="30" customHeight="1" x14ac:dyDescent="0.25">
      <c r="A64" s="33" t="s">
        <v>621</v>
      </c>
      <c r="B64" s="28">
        <v>65</v>
      </c>
      <c r="C64" s="29" t="s">
        <v>882</v>
      </c>
      <c r="D64" s="28">
        <v>173.85</v>
      </c>
      <c r="E64" s="28">
        <v>0</v>
      </c>
      <c r="F64" s="29" t="b">
        <v>1</v>
      </c>
      <c r="G64" s="28" t="b">
        <v>0</v>
      </c>
      <c r="H64" s="35" t="b">
        <v>0</v>
      </c>
      <c r="I64" s="35" t="b">
        <v>0</v>
      </c>
      <c r="J64" s="29" t="b">
        <v>1</v>
      </c>
      <c r="K64" s="28">
        <v>2</v>
      </c>
      <c r="L64" s="28"/>
      <c r="M64" s="34" t="str">
        <f>IFERROR(HYPERLINK("#Main!A"&amp;MATCH(A64,Main!A:A,0),"Open"),HYPERLINK("#Main!A1","Open"))</f>
        <v>Open</v>
      </c>
      <c r="N64" s="34"/>
    </row>
    <row r="65" spans="1:14" ht="30" customHeight="1" x14ac:dyDescent="0.25">
      <c r="A65" s="30" t="s">
        <v>624</v>
      </c>
      <c r="B65" s="37">
        <v>39</v>
      </c>
      <c r="C65" s="29" t="s">
        <v>882</v>
      </c>
      <c r="D65" s="37">
        <v>193.64</v>
      </c>
      <c r="E65" s="37">
        <v>0</v>
      </c>
      <c r="F65" s="29" t="b">
        <v>1</v>
      </c>
      <c r="G65" s="37" t="b">
        <v>0</v>
      </c>
      <c r="H65" s="35" t="b">
        <v>0</v>
      </c>
      <c r="I65" s="29" t="b">
        <v>1</v>
      </c>
      <c r="J65" s="29" t="b">
        <v>1</v>
      </c>
      <c r="K65" s="37">
        <v>3</v>
      </c>
      <c r="L65" s="37"/>
      <c r="M65" t="str">
        <f>IFERROR(HYPERLINK("#Main!A"&amp;MATCH(A65,Main!A:A,0),"Open"),HYPERLINK("#Main!A1","Open"))</f>
        <v>Open</v>
      </c>
    </row>
    <row r="66" spans="1:14" ht="30" customHeight="1" x14ac:dyDescent="0.25">
      <c r="A66" s="33" t="s">
        <v>626</v>
      </c>
      <c r="B66" s="28">
        <v>973</v>
      </c>
      <c r="C66" s="35" t="s">
        <v>884</v>
      </c>
      <c r="D66" s="28">
        <v>167.33</v>
      </c>
      <c r="E66" s="28">
        <v>1</v>
      </c>
      <c r="F66" s="35" t="b">
        <v>0</v>
      </c>
      <c r="G66" s="28" t="b">
        <v>0</v>
      </c>
      <c r="H66" s="35" t="b">
        <v>0</v>
      </c>
      <c r="I66" s="35" t="b">
        <v>0</v>
      </c>
      <c r="J66" s="35" t="b">
        <v>0</v>
      </c>
      <c r="K66" s="28">
        <v>25</v>
      </c>
      <c r="L66" s="28"/>
      <c r="M66" s="34" t="str">
        <f>IFERROR(HYPERLINK("#Main!A"&amp;MATCH(A66,Main!A:A,0),"Open"),HYPERLINK("#Main!A1","Open"))</f>
        <v>Open</v>
      </c>
      <c r="N66" s="34"/>
    </row>
    <row r="67" spans="1:14" ht="30" customHeight="1" x14ac:dyDescent="0.25">
      <c r="A67" s="30" t="s">
        <v>629</v>
      </c>
      <c r="B67" s="37">
        <v>55</v>
      </c>
      <c r="C67" s="29" t="s">
        <v>882</v>
      </c>
      <c r="D67" s="37">
        <v>188.23</v>
      </c>
      <c r="E67" s="37">
        <v>0</v>
      </c>
      <c r="F67" s="29" t="b">
        <v>1</v>
      </c>
      <c r="G67" s="37" t="b">
        <v>0</v>
      </c>
      <c r="H67" s="35" t="b">
        <v>0</v>
      </c>
      <c r="I67" s="35" t="b">
        <v>0</v>
      </c>
      <c r="J67" s="29" t="b">
        <v>1</v>
      </c>
      <c r="K67" s="37">
        <v>3</v>
      </c>
      <c r="L67" s="37"/>
      <c r="M67" t="str">
        <f>IFERROR(HYPERLINK("#Main!A"&amp;MATCH(A67,Main!A:A,0),"Open"),HYPERLINK("#Main!A1","Open"))</f>
        <v>Open</v>
      </c>
    </row>
    <row r="68" spans="1:14" ht="30" customHeight="1" x14ac:dyDescent="0.25">
      <c r="A68" s="33" t="s">
        <v>632</v>
      </c>
      <c r="B68" s="28">
        <v>180</v>
      </c>
      <c r="C68" s="29" t="s">
        <v>882</v>
      </c>
      <c r="D68" s="28">
        <v>180.74</v>
      </c>
      <c r="E68" s="28">
        <v>1</v>
      </c>
      <c r="F68" s="35" t="b">
        <v>0</v>
      </c>
      <c r="G68" s="28" t="b">
        <v>0</v>
      </c>
      <c r="H68" s="35" t="b">
        <v>0</v>
      </c>
      <c r="I68" s="35" t="b">
        <v>0</v>
      </c>
      <c r="J68" s="29" t="b">
        <v>1</v>
      </c>
      <c r="K68" s="28">
        <v>7</v>
      </c>
      <c r="L68" s="28"/>
      <c r="M68" s="34" t="str">
        <f>IFERROR(HYPERLINK("#Main!A"&amp;MATCH(A68,Main!A:A,0),"Open"),HYPERLINK("#Main!A1","Open"))</f>
        <v>Open</v>
      </c>
      <c r="N68" s="34"/>
    </row>
    <row r="69" spans="1:14" ht="31.5" x14ac:dyDescent="0.25">
      <c r="A69" s="30" t="s">
        <v>635</v>
      </c>
      <c r="B69" s="37">
        <v>1723</v>
      </c>
      <c r="C69" s="35" t="s">
        <v>884</v>
      </c>
      <c r="D69" s="37">
        <v>172.54</v>
      </c>
      <c r="E69" s="37">
        <v>1</v>
      </c>
      <c r="F69" s="35" t="b">
        <v>0</v>
      </c>
      <c r="G69" s="37" t="b">
        <v>0</v>
      </c>
      <c r="H69" s="35" t="b">
        <v>0</v>
      </c>
      <c r="I69" s="35" t="b">
        <v>0</v>
      </c>
      <c r="J69" s="35" t="b">
        <v>0</v>
      </c>
      <c r="K69" s="37">
        <v>51</v>
      </c>
      <c r="L69" s="37"/>
      <c r="M69" t="str">
        <f>IFERROR(HYPERLINK("#Main!A"&amp;MATCH(A69,Main!A:A,0),"Open"),HYPERLINK("#Main!A1","Open"))</f>
        <v>Open</v>
      </c>
    </row>
    <row r="70" spans="1:14" ht="30" customHeight="1" x14ac:dyDescent="0.25">
      <c r="A70" s="33" t="s">
        <v>638</v>
      </c>
      <c r="B70" s="28">
        <v>35</v>
      </c>
      <c r="C70" s="29" t="s">
        <v>882</v>
      </c>
      <c r="D70" s="28">
        <v>189.07</v>
      </c>
      <c r="E70" s="28">
        <v>1</v>
      </c>
      <c r="F70" s="35" t="b">
        <v>0</v>
      </c>
      <c r="G70" s="28" t="b">
        <v>0</v>
      </c>
      <c r="H70" s="35" t="b">
        <v>0</v>
      </c>
      <c r="I70" s="35" t="b">
        <v>0</v>
      </c>
      <c r="J70" s="29" t="b">
        <v>1</v>
      </c>
      <c r="K70" s="28">
        <v>2</v>
      </c>
      <c r="L70" s="28"/>
      <c r="M70" s="34" t="str">
        <f>IFERROR(HYPERLINK("#Main!A"&amp;MATCH(A70,Main!A:A,0),"Open"),HYPERLINK("#Main!A1","Open"))</f>
        <v>Open</v>
      </c>
      <c r="N70" s="34"/>
    </row>
    <row r="71" spans="1:14" ht="30" customHeight="1" x14ac:dyDescent="0.25">
      <c r="A71" s="30" t="s">
        <v>641</v>
      </c>
      <c r="B71" s="37">
        <v>627</v>
      </c>
      <c r="C71" s="46" t="s">
        <v>883</v>
      </c>
      <c r="D71" s="37">
        <v>179.17</v>
      </c>
      <c r="E71" s="37">
        <v>2</v>
      </c>
      <c r="F71" s="35" t="b">
        <v>0</v>
      </c>
      <c r="G71" s="37" t="b">
        <v>1</v>
      </c>
      <c r="H71" s="35" t="b">
        <v>0</v>
      </c>
      <c r="I71" s="35" t="b">
        <v>0</v>
      </c>
      <c r="J71" s="35" t="b">
        <v>0</v>
      </c>
      <c r="K71" s="37">
        <v>23</v>
      </c>
      <c r="L71" s="37"/>
      <c r="M71" t="str">
        <f>IFERROR(HYPERLINK("#Main!A"&amp;MATCH(A71,Main!A:A,0),"Open"),HYPERLINK("#Main!A1","Open"))</f>
        <v>Open</v>
      </c>
    </row>
    <row r="72" spans="1:14" ht="30" customHeight="1" x14ac:dyDescent="0.25">
      <c r="A72" s="33" t="s">
        <v>644</v>
      </c>
      <c r="B72" s="28">
        <v>131</v>
      </c>
      <c r="C72" s="29" t="s">
        <v>882</v>
      </c>
      <c r="D72" s="28">
        <v>73.87</v>
      </c>
      <c r="E72" s="28">
        <v>0</v>
      </c>
      <c r="F72" s="29" t="b">
        <v>1</v>
      </c>
      <c r="G72" s="28" t="b">
        <v>0</v>
      </c>
      <c r="H72" s="35" t="b">
        <v>0</v>
      </c>
      <c r="I72" s="35" t="b">
        <v>0</v>
      </c>
      <c r="J72" s="29" t="b">
        <v>1</v>
      </c>
      <c r="K72" s="28">
        <v>1</v>
      </c>
      <c r="L72" s="28"/>
      <c r="M72" s="34" t="str">
        <f>IFERROR(HYPERLINK("#Main!A"&amp;MATCH(A72,Main!A:A,0),"Open"),HYPERLINK("#Main!A1","Open"))</f>
        <v>Open</v>
      </c>
      <c r="N72" s="34"/>
    </row>
    <row r="73" spans="1:14" ht="30" customHeight="1" x14ac:dyDescent="0.25">
      <c r="A73" s="30" t="s">
        <v>647</v>
      </c>
      <c r="B73" s="37">
        <v>168</v>
      </c>
      <c r="C73" s="29" t="s">
        <v>882</v>
      </c>
      <c r="D73" s="37">
        <v>182.48</v>
      </c>
      <c r="E73" s="37">
        <v>1</v>
      </c>
      <c r="F73" s="35" t="b">
        <v>0</v>
      </c>
      <c r="G73" s="37" t="b">
        <v>0</v>
      </c>
      <c r="H73" s="35" t="b">
        <v>0</v>
      </c>
      <c r="I73" s="35" t="b">
        <v>0</v>
      </c>
      <c r="J73" s="29" t="b">
        <v>1</v>
      </c>
      <c r="K73" s="37">
        <v>7</v>
      </c>
      <c r="L73" s="37"/>
      <c r="M73" t="str">
        <f>IFERROR(HYPERLINK("#Main!A"&amp;MATCH(A73,Main!A:A,0),"Open"),HYPERLINK("#Main!A1","Open"))</f>
        <v>Open</v>
      </c>
    </row>
    <row r="74" spans="1:14" ht="30" customHeight="1" x14ac:dyDescent="0.25">
      <c r="A74" s="33" t="s">
        <v>652</v>
      </c>
      <c r="B74" s="28">
        <v>518</v>
      </c>
      <c r="C74" s="46" t="s">
        <v>883</v>
      </c>
      <c r="D74" s="28">
        <v>188.06</v>
      </c>
      <c r="E74" s="28">
        <v>9</v>
      </c>
      <c r="F74" s="35" t="b">
        <v>0</v>
      </c>
      <c r="G74" s="28" t="b">
        <v>1</v>
      </c>
      <c r="H74" s="35" t="b">
        <v>0</v>
      </c>
      <c r="I74" s="35" t="b">
        <v>0</v>
      </c>
      <c r="J74" s="35" t="b">
        <v>0</v>
      </c>
      <c r="K74" s="28">
        <v>28</v>
      </c>
      <c r="L74" s="28"/>
      <c r="M74" s="34" t="str">
        <f>IFERROR(HYPERLINK("#Main!A"&amp;MATCH(A74,Main!A:A,0),"Open"),HYPERLINK("#Main!A1","Open"))</f>
        <v>Open</v>
      </c>
      <c r="N74" s="34"/>
    </row>
    <row r="75" spans="1:14" ht="30" customHeight="1" x14ac:dyDescent="0.25">
      <c r="A75" s="30" t="s">
        <v>650</v>
      </c>
      <c r="B75" s="37">
        <v>191</v>
      </c>
      <c r="C75" s="29" t="s">
        <v>882</v>
      </c>
      <c r="D75" s="37">
        <v>158.37</v>
      </c>
      <c r="E75" s="37">
        <v>0</v>
      </c>
      <c r="F75" s="29" t="b">
        <v>1</v>
      </c>
      <c r="G75" s="37" t="b">
        <v>0</v>
      </c>
      <c r="H75" s="35" t="b">
        <v>0</v>
      </c>
      <c r="I75" s="35" t="b">
        <v>0</v>
      </c>
      <c r="J75" s="29" t="b">
        <v>1</v>
      </c>
      <c r="K75" s="37">
        <v>4</v>
      </c>
      <c r="L75" s="37"/>
      <c r="M75" t="str">
        <f>IFERROR(HYPERLINK("#Main!A"&amp;MATCH(A75,Main!A:A,0),"Open"),HYPERLINK("#Main!A1","Open"))</f>
        <v>Open</v>
      </c>
    </row>
    <row r="76" spans="1:14" ht="30" customHeight="1" x14ac:dyDescent="0.25">
      <c r="A76" s="33" t="s">
        <v>655</v>
      </c>
      <c r="B76" s="28">
        <v>428</v>
      </c>
      <c r="C76" s="46" t="s">
        <v>883</v>
      </c>
      <c r="D76" s="28">
        <v>175.81</v>
      </c>
      <c r="E76" s="28">
        <v>1</v>
      </c>
      <c r="F76" s="35" t="b">
        <v>0</v>
      </c>
      <c r="G76" s="28" t="b">
        <v>0</v>
      </c>
      <c r="H76" s="35" t="b">
        <v>0</v>
      </c>
      <c r="I76" s="35" t="b">
        <v>0</v>
      </c>
      <c r="J76" s="35" t="b">
        <v>0</v>
      </c>
      <c r="K76" s="28">
        <v>14</v>
      </c>
      <c r="L76" s="28"/>
      <c r="M76" s="34" t="str">
        <f>IFERROR(HYPERLINK("#Main!A"&amp;MATCH(A76,Main!A:A,0),"Open"),HYPERLINK("#Main!A1","Open"))</f>
        <v>Open</v>
      </c>
      <c r="N76" s="34"/>
    </row>
    <row r="77" spans="1:14" ht="30" customHeight="1" x14ac:dyDescent="0.25">
      <c r="A77" s="30" t="s">
        <v>658</v>
      </c>
      <c r="B77" s="37">
        <v>454</v>
      </c>
      <c r="C77" s="46" t="s">
        <v>883</v>
      </c>
      <c r="D77" s="37">
        <v>91.63</v>
      </c>
      <c r="E77" s="37">
        <v>0</v>
      </c>
      <c r="F77" s="29" t="b">
        <v>1</v>
      </c>
      <c r="G77" s="37" t="b">
        <v>0</v>
      </c>
      <c r="H77" s="35" t="b">
        <v>0</v>
      </c>
      <c r="I77" s="35" t="b">
        <v>0</v>
      </c>
      <c r="J77" s="35" t="b">
        <v>0</v>
      </c>
      <c r="K77" s="37">
        <v>4</v>
      </c>
      <c r="L77" s="37"/>
      <c r="M77" t="str">
        <f>IFERROR(HYPERLINK("#Main!A"&amp;MATCH(A77,Main!A:A,0),"Open"),HYPERLINK("#Main!A1","Open"))</f>
        <v>Open</v>
      </c>
    </row>
    <row r="78" spans="1:14" ht="30" customHeight="1" x14ac:dyDescent="0.25">
      <c r="A78" s="33" t="s">
        <v>661</v>
      </c>
      <c r="B78" s="28">
        <v>193</v>
      </c>
      <c r="C78" s="29" t="s">
        <v>882</v>
      </c>
      <c r="D78" s="28">
        <v>178.85</v>
      </c>
      <c r="E78" s="28">
        <v>0</v>
      </c>
      <c r="F78" s="29" t="b">
        <v>1</v>
      </c>
      <c r="G78" s="28" t="b">
        <v>0</v>
      </c>
      <c r="H78" s="35" t="b">
        <v>0</v>
      </c>
      <c r="I78" s="35" t="b">
        <v>0</v>
      </c>
      <c r="J78" s="29" t="b">
        <v>1</v>
      </c>
      <c r="K78" s="28">
        <v>7</v>
      </c>
      <c r="L78" s="28"/>
      <c r="M78" s="34" t="str">
        <f>IFERROR(HYPERLINK("#Main!A"&amp;MATCH(A78,Main!A:A,0),"Open"),HYPERLINK("#Main!A1","Open"))</f>
        <v>Open</v>
      </c>
      <c r="N78" s="34"/>
    </row>
    <row r="79" spans="1:14" ht="30" customHeight="1" x14ac:dyDescent="0.25">
      <c r="A79" s="30" t="s">
        <v>664</v>
      </c>
      <c r="B79" s="37">
        <v>166</v>
      </c>
      <c r="C79" s="29" t="s">
        <v>882</v>
      </c>
      <c r="D79" s="37">
        <v>38.35</v>
      </c>
      <c r="E79" s="37">
        <v>0</v>
      </c>
      <c r="F79" s="29" t="b">
        <v>1</v>
      </c>
      <c r="G79" s="37" t="b">
        <v>0</v>
      </c>
      <c r="H79" s="35" t="b">
        <v>0</v>
      </c>
      <c r="I79" s="35" t="b">
        <v>0</v>
      </c>
      <c r="J79" s="29" t="b">
        <v>1</v>
      </c>
      <c r="K79" s="37">
        <v>1</v>
      </c>
      <c r="L79" s="37"/>
      <c r="M79" t="str">
        <f>IFERROR(HYPERLINK("#Main!A"&amp;MATCH(A79,Main!A:A,0),"Open"),HYPERLINK("#Main!A1","Open"))</f>
        <v>Open</v>
      </c>
    </row>
    <row r="80" spans="1:14" ht="30" customHeight="1" x14ac:dyDescent="0.25">
      <c r="A80" s="33" t="s">
        <v>670</v>
      </c>
      <c r="B80" s="28">
        <v>62</v>
      </c>
      <c r="C80" s="29" t="s">
        <v>882</v>
      </c>
      <c r="D80" s="28">
        <v>143.91</v>
      </c>
      <c r="E80" s="28">
        <v>0</v>
      </c>
      <c r="F80" s="29" t="b">
        <v>1</v>
      </c>
      <c r="G80" s="28" t="b">
        <v>0</v>
      </c>
      <c r="H80" s="35" t="b">
        <v>0</v>
      </c>
      <c r="I80" s="35" t="b">
        <v>0</v>
      </c>
      <c r="J80" s="29" t="b">
        <v>1</v>
      </c>
      <c r="K80" s="28">
        <v>1</v>
      </c>
      <c r="L80" s="28"/>
      <c r="M80" s="34" t="str">
        <f>IFERROR(HYPERLINK("#Main!A"&amp;MATCH(A80,Main!A:A,0),"Open"),HYPERLINK("#Main!A1","Open"))</f>
        <v>Open</v>
      </c>
      <c r="N80" s="34"/>
    </row>
    <row r="81" spans="1:14" ht="30" customHeight="1" x14ac:dyDescent="0.25">
      <c r="A81" s="30" t="s">
        <v>667</v>
      </c>
      <c r="B81" s="37">
        <v>74</v>
      </c>
      <c r="C81" s="29" t="s">
        <v>882</v>
      </c>
      <c r="D81" s="37">
        <v>169.28</v>
      </c>
      <c r="E81" s="37">
        <v>0</v>
      </c>
      <c r="F81" s="29" t="b">
        <v>1</v>
      </c>
      <c r="G81" s="37" t="b">
        <v>0</v>
      </c>
      <c r="H81" s="35" t="b">
        <v>0</v>
      </c>
      <c r="I81" s="35" t="b">
        <v>0</v>
      </c>
      <c r="J81" s="29" t="b">
        <v>1</v>
      </c>
      <c r="K81" s="37">
        <v>2</v>
      </c>
      <c r="L81" s="37"/>
      <c r="M81" t="str">
        <f>IFERROR(HYPERLINK("#Main!A"&amp;MATCH(A81,Main!A:A,0),"Open"),HYPERLINK("#Main!A1","Open"))</f>
        <v>Open</v>
      </c>
    </row>
    <row r="82" spans="1:14" ht="30" customHeight="1" x14ac:dyDescent="0.25">
      <c r="A82" s="33" t="s">
        <v>673</v>
      </c>
      <c r="B82" s="28">
        <v>171</v>
      </c>
      <c r="C82" s="29" t="s">
        <v>882</v>
      </c>
      <c r="D82" s="28">
        <v>187.55</v>
      </c>
      <c r="E82" s="28">
        <v>0</v>
      </c>
      <c r="F82" s="29" t="b">
        <v>1</v>
      </c>
      <c r="G82" s="28" t="b">
        <v>0</v>
      </c>
      <c r="H82" s="35" t="b">
        <v>0</v>
      </c>
      <c r="I82" s="35" t="b">
        <v>0</v>
      </c>
      <c r="J82" s="29" t="b">
        <v>1</v>
      </c>
      <c r="K82" s="28">
        <v>9</v>
      </c>
      <c r="L82" s="28"/>
      <c r="M82" s="34" t="str">
        <f>IFERROR(HYPERLINK("#Main!A"&amp;MATCH(A82,Main!A:A,0),"Open"),HYPERLINK("#Main!A1","Open"))</f>
        <v>Open</v>
      </c>
      <c r="N82" s="34"/>
    </row>
    <row r="83" spans="1:14" ht="30" customHeight="1" x14ac:dyDescent="0.25">
      <c r="A83" s="30" t="s">
        <v>677</v>
      </c>
      <c r="B83" s="37">
        <v>54</v>
      </c>
      <c r="C83" s="29" t="s">
        <v>882</v>
      </c>
      <c r="D83" s="37">
        <v>152.03</v>
      </c>
      <c r="E83" s="37">
        <v>0</v>
      </c>
      <c r="F83" s="29" t="b">
        <v>1</v>
      </c>
      <c r="G83" s="37" t="b">
        <v>0</v>
      </c>
      <c r="H83" s="35" t="b">
        <v>0</v>
      </c>
      <c r="I83" s="35" t="b">
        <v>0</v>
      </c>
      <c r="J83" s="29" t="b">
        <v>1</v>
      </c>
      <c r="K83" s="37">
        <v>1</v>
      </c>
      <c r="L83" s="37"/>
      <c r="M83" t="str">
        <f>IFERROR(HYPERLINK("#Main!A"&amp;MATCH(A83,Main!A:A,0),"Open"),HYPERLINK("#Main!A1","Open"))</f>
        <v>Open</v>
      </c>
    </row>
    <row r="84" spans="1:14" ht="30" customHeight="1" x14ac:dyDescent="0.25">
      <c r="A84" s="33" t="s">
        <v>680</v>
      </c>
      <c r="B84" s="28">
        <v>39</v>
      </c>
      <c r="C84" s="29" t="s">
        <v>882</v>
      </c>
      <c r="D84" s="28">
        <v>167.25</v>
      </c>
      <c r="E84" s="28">
        <v>0</v>
      </c>
      <c r="F84" s="29" t="b">
        <v>1</v>
      </c>
      <c r="G84" s="28" t="b">
        <v>0</v>
      </c>
      <c r="H84" s="35" t="b">
        <v>0</v>
      </c>
      <c r="I84" s="35" t="b">
        <v>0</v>
      </c>
      <c r="J84" s="29" t="b">
        <v>1</v>
      </c>
      <c r="K84" s="28">
        <v>1</v>
      </c>
      <c r="L84" s="28"/>
      <c r="M84" s="34" t="str">
        <f>IFERROR(HYPERLINK("#Main!A"&amp;MATCH(A84,Main!A:A,0),"Open"),HYPERLINK("#Main!A1","Open"))</f>
        <v>Open</v>
      </c>
      <c r="N84" s="34"/>
    </row>
    <row r="85" spans="1:14" ht="30" customHeight="1" x14ac:dyDescent="0.25">
      <c r="A85" s="30" t="s">
        <v>683</v>
      </c>
      <c r="B85" s="37">
        <v>94</v>
      </c>
      <c r="C85" s="29" t="s">
        <v>882</v>
      </c>
      <c r="D85" s="37">
        <v>182.98</v>
      </c>
      <c r="E85" s="37">
        <v>0</v>
      </c>
      <c r="F85" s="29" t="b">
        <v>1</v>
      </c>
      <c r="G85" s="37" t="b">
        <v>0</v>
      </c>
      <c r="H85" s="35" t="b">
        <v>0</v>
      </c>
      <c r="I85" s="35" t="b">
        <v>0</v>
      </c>
      <c r="J85" s="29" t="b">
        <v>1</v>
      </c>
      <c r="K85" s="37">
        <v>4</v>
      </c>
      <c r="L85" s="37"/>
      <c r="M85" t="str">
        <f>IFERROR(HYPERLINK("#Main!A"&amp;MATCH(A85,Main!A:A,0),"Open"),HYPERLINK("#Main!A1","Open"))</f>
        <v>Open</v>
      </c>
    </row>
    <row r="86" spans="1:14" ht="30" customHeight="1" x14ac:dyDescent="0.25">
      <c r="A86" s="33" t="s">
        <v>686</v>
      </c>
      <c r="B86" s="28">
        <v>1741</v>
      </c>
      <c r="C86" s="35" t="s">
        <v>884</v>
      </c>
      <c r="D86" s="28">
        <v>172.85</v>
      </c>
      <c r="E86" s="28">
        <v>0</v>
      </c>
      <c r="F86" s="29" t="b">
        <v>1</v>
      </c>
      <c r="G86" s="28" t="b">
        <v>0</v>
      </c>
      <c r="H86" s="35" t="b">
        <v>0</v>
      </c>
      <c r="I86" s="35" t="b">
        <v>0</v>
      </c>
      <c r="J86" s="35" t="b">
        <v>0</v>
      </c>
      <c r="K86" s="28">
        <v>52</v>
      </c>
      <c r="L86" s="28"/>
      <c r="M86" s="34" t="str">
        <f>IFERROR(HYPERLINK("#Main!A"&amp;MATCH(A86,Main!A:A,0),"Open"),HYPERLINK("#Main!A1","Open"))</f>
        <v>Open</v>
      </c>
      <c r="N86" s="34"/>
    </row>
  </sheetData>
  <autoFilter ref="A1:N86" xr:uid="{00000000-0009-0000-0000-000007000000}"/>
  <conditionalFormatting sqref="B2:B86">
    <cfRule type="colorScale" priority="1">
      <colorScale>
        <cfvo type="min"/>
        <cfvo type="percentile" val="50"/>
        <cfvo type="max"/>
        <color rgb="FFF8696B"/>
        <color rgb="FFFFEB84"/>
        <color rgb="FF63BE7B"/>
      </colorScale>
    </cfRule>
    <cfRule type="dataBar" priority="2">
      <dataBar>
        <cfvo type="min"/>
        <cfvo type="max"/>
        <color rgb="FF63BE7B"/>
      </dataBar>
    </cfRule>
  </conditionalFormatting>
  <dataValidations count="14">
    <dataValidation type="custom" allowBlank="1" showInputMessage="1" promptTitle="URL" prompt="URL. Use this URL to inspect the page directly or jump to related tabs." sqref="A1" xr:uid="{00000000-0002-0000-0700-000000000000}">
      <formula1>TRUE</formula1>
    </dataValidation>
    <dataValidation type="custom" allowBlank="1" showInputMessage="1" promptTitle="Word Count" prompt="Content quality depth metric. Fix: expand thin content and improve clarity for search intent." sqref="B1" xr:uid="{00000000-0002-0000-0700-000001000000}">
      <formula1>TRUE</formula1>
    </dataValidation>
    <dataValidation type="custom" allowBlank="1" showInputMessage="1" promptTitle="Word Count Band" prompt="Content quality depth metric. Fix: expand thin content and improve clarity for search intent." sqref="C1" xr:uid="{00000000-0002-0000-0700-000002000000}">
      <formula1>TRUE</formula1>
    </dataValidation>
    <dataValidation type="custom" allowBlank="1" showInputMessage="1" promptTitle="Readability (Rough Flesch)" prompt="Content quality depth metric. Fix: expand thin content and improve clarity for search intent." sqref="D1" xr:uid="{00000000-0002-0000-0700-000003000000}">
      <formula1>TRUE</formula1>
    </dataValidation>
    <dataValidation type="custom" allowBlank="1" showInputMessage="1" promptTitle="H1 Count" prompt="H1 Count. Review this metric to identify risk, then use linked tabs for details and remediation." sqref="E1" xr:uid="{00000000-0002-0000-0700-000004000000}">
      <formula1>TRUE</formula1>
    </dataValidation>
    <dataValidation type="custom" allowBlank="1" showInputMessage="1" promptTitle="Missing H1 Flag" prompt="Missing H1 Flag. Review this metric to identify risk, then use linked tabs for details and remediation." sqref="F1" xr:uid="{00000000-0002-0000-0700-000005000000}">
      <formula1>TRUE</formula1>
    </dataValidation>
    <dataValidation type="custom" allowBlank="1" showInputMessage="1" promptTitle="Multiple H1 Flag" prompt="Multiple H1 Flag. Review this metric to identify risk, then use linked tabs for details and remediation." sqref="G1" xr:uid="{00000000-0002-0000-0700-000006000000}">
      <formula1>TRUE</formula1>
    </dataValidation>
    <dataValidation type="custom" allowBlank="1" showInputMessage="1" promptTitle="Title Missing" prompt="Title Missing. Review this metric to identify risk, then use linked tabs for details and remediation." sqref="H1" xr:uid="{00000000-0002-0000-0700-000007000000}">
      <formula1>TRUE</formula1>
    </dataValidation>
    <dataValidation type="custom" allowBlank="1" showInputMessage="1" promptTitle="Meta Description Missing" prompt="Meta Description Missing. Review this metric to identify risk, then use linked tabs for details and remediation." sqref="I1" xr:uid="{00000000-0002-0000-0700-000008000000}">
      <formula1>TRUE</formula1>
    </dataValidation>
    <dataValidation type="custom" allowBlank="1" showInputMessage="1" promptTitle="Thin Content Flag" prompt="Thin Content Flag. Review this metric to identify risk, then use linked tabs for details and remediation." sqref="J1" xr:uid="{00000000-0002-0000-0700-000009000000}">
      <formula1>TRUE</formula1>
    </dataValidation>
    <dataValidation type="custom" allowBlank="1" showInputMessage="1" promptTitle="Sentence Count" prompt="Sentence Count. Review this metric to identify risk, then use linked tabs for details and remediation." sqref="K1" xr:uid="{00000000-0002-0000-0700-00000A000000}">
      <formula1>TRUE</formula1>
    </dataValidation>
    <dataValidation type="custom" allowBlank="1" showInputMessage="1" promptTitle="Body Text-to-HTML Ratio" prompt="Body Text-to-HTML Ratio. Review this metric to identify risk, then use linked tabs for details and remediation." sqref="L1" xr:uid="{00000000-0002-0000-0700-00000B000000}">
      <formula1>TRUE</formula1>
    </dataValidation>
    <dataValidation type="custom" allowBlank="1" showInputMessage="1" promptTitle="Open in Main" prompt="Navigation helper. Click to jump directly to the related record in another tab." sqref="M1" xr:uid="{00000000-0002-0000-0700-00000C000000}">
      <formula1>TRUE</formula1>
    </dataValidation>
    <dataValidation type="custom" allowBlank="1" showInputMessage="1" promptTitle="BACK TO DASHBOARD" prompt="BACK TO DASHBOARD. Review this metric to identify risk, then use linked tabs for details and remediation." sqref="N1" xr:uid="{00000000-0002-0000-0700-00000D000000}">
      <formula1>TRUE</formula1>
    </dataValidation>
  </dataValidations>
  <hyperlinks>
    <hyperlink ref="N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 ref="A12" r:id="rId11" xr:uid="{00000000-0004-0000-0700-00000B000000}"/>
    <hyperlink ref="A13" r:id="rId12" xr:uid="{00000000-0004-0000-0700-00000C000000}"/>
    <hyperlink ref="A14" r:id="rId13" xr:uid="{00000000-0004-0000-0700-00000D000000}"/>
    <hyperlink ref="A15" r:id="rId14" xr:uid="{00000000-0004-0000-0700-00000E000000}"/>
    <hyperlink ref="A16" r:id="rId15" xr:uid="{00000000-0004-0000-0700-00000F000000}"/>
    <hyperlink ref="A17" r:id="rId16" xr:uid="{00000000-0004-0000-0700-000010000000}"/>
    <hyperlink ref="A18" r:id="rId17" xr:uid="{00000000-0004-0000-0700-000011000000}"/>
    <hyperlink ref="A19" r:id="rId18" xr:uid="{00000000-0004-0000-0700-000012000000}"/>
    <hyperlink ref="A20" r:id="rId19" xr:uid="{00000000-0004-0000-0700-000013000000}"/>
    <hyperlink ref="A21" r:id="rId20" xr:uid="{00000000-0004-0000-0700-000014000000}"/>
    <hyperlink ref="A22" r:id="rId21" xr:uid="{00000000-0004-0000-0700-000015000000}"/>
    <hyperlink ref="A23" r:id="rId22" xr:uid="{00000000-0004-0000-0700-000016000000}"/>
    <hyperlink ref="A24" r:id="rId23" xr:uid="{00000000-0004-0000-0700-000017000000}"/>
    <hyperlink ref="A25" r:id="rId24" xr:uid="{00000000-0004-0000-0700-000018000000}"/>
    <hyperlink ref="A26" r:id="rId25" xr:uid="{00000000-0004-0000-0700-000019000000}"/>
    <hyperlink ref="A27" r:id="rId26" xr:uid="{00000000-0004-0000-0700-00001A000000}"/>
    <hyperlink ref="A28" r:id="rId27" xr:uid="{00000000-0004-0000-0700-00001B000000}"/>
    <hyperlink ref="A29" r:id="rId28" xr:uid="{00000000-0004-0000-0700-00001C000000}"/>
    <hyperlink ref="A30" r:id="rId29" xr:uid="{00000000-0004-0000-0700-00001D000000}"/>
    <hyperlink ref="A31" r:id="rId30" xr:uid="{00000000-0004-0000-0700-00001E000000}"/>
    <hyperlink ref="A32" r:id="rId31" xr:uid="{00000000-0004-0000-0700-00001F000000}"/>
    <hyperlink ref="A33" r:id="rId32" xr:uid="{00000000-0004-0000-0700-000020000000}"/>
    <hyperlink ref="A34" r:id="rId33" xr:uid="{00000000-0004-0000-0700-000021000000}"/>
    <hyperlink ref="A35" r:id="rId34" xr:uid="{00000000-0004-0000-0700-000022000000}"/>
    <hyperlink ref="A36" r:id="rId35" xr:uid="{00000000-0004-0000-0700-000023000000}"/>
    <hyperlink ref="A37" r:id="rId36" xr:uid="{00000000-0004-0000-0700-000024000000}"/>
    <hyperlink ref="A38" r:id="rId37" xr:uid="{00000000-0004-0000-0700-000025000000}"/>
    <hyperlink ref="A39" r:id="rId38" xr:uid="{00000000-0004-0000-0700-000026000000}"/>
    <hyperlink ref="A40" r:id="rId39" xr:uid="{00000000-0004-0000-0700-000027000000}"/>
    <hyperlink ref="A41" r:id="rId40" xr:uid="{00000000-0004-0000-0700-000028000000}"/>
    <hyperlink ref="A42" r:id="rId41" xr:uid="{00000000-0004-0000-0700-000029000000}"/>
    <hyperlink ref="A43" r:id="rId42" xr:uid="{00000000-0004-0000-0700-00002A000000}"/>
    <hyperlink ref="A44" r:id="rId43" xr:uid="{00000000-0004-0000-0700-00002B000000}"/>
    <hyperlink ref="A45" r:id="rId44" xr:uid="{00000000-0004-0000-0700-00002C000000}"/>
    <hyperlink ref="A46" r:id="rId45" xr:uid="{00000000-0004-0000-0700-00002D000000}"/>
    <hyperlink ref="A47" r:id="rId46" xr:uid="{00000000-0004-0000-0700-00002E000000}"/>
    <hyperlink ref="A48" r:id="rId47" xr:uid="{00000000-0004-0000-0700-00002F000000}"/>
    <hyperlink ref="A49" r:id="rId48" xr:uid="{00000000-0004-0000-0700-000030000000}"/>
    <hyperlink ref="A50" r:id="rId49" xr:uid="{00000000-0004-0000-0700-000031000000}"/>
    <hyperlink ref="A51" r:id="rId50" xr:uid="{00000000-0004-0000-0700-000032000000}"/>
    <hyperlink ref="A52" r:id="rId51" xr:uid="{00000000-0004-0000-0700-000033000000}"/>
    <hyperlink ref="A53" r:id="rId52" xr:uid="{00000000-0004-0000-0700-000034000000}"/>
    <hyperlink ref="A54" r:id="rId53" xr:uid="{00000000-0004-0000-0700-000035000000}"/>
    <hyperlink ref="A55" r:id="rId54" xr:uid="{00000000-0004-0000-0700-000036000000}"/>
    <hyperlink ref="A56" r:id="rId55" xr:uid="{00000000-0004-0000-0700-000037000000}"/>
    <hyperlink ref="A57" r:id="rId56" xr:uid="{00000000-0004-0000-0700-000038000000}"/>
    <hyperlink ref="A58" r:id="rId57" xr:uid="{00000000-0004-0000-0700-000039000000}"/>
    <hyperlink ref="A59" r:id="rId58" xr:uid="{00000000-0004-0000-0700-00003A000000}"/>
    <hyperlink ref="A60" r:id="rId59" xr:uid="{00000000-0004-0000-0700-00003B000000}"/>
    <hyperlink ref="A61" r:id="rId60" xr:uid="{00000000-0004-0000-0700-00003C000000}"/>
    <hyperlink ref="A62" r:id="rId61" xr:uid="{00000000-0004-0000-0700-00003D000000}"/>
    <hyperlink ref="A63" r:id="rId62" xr:uid="{00000000-0004-0000-0700-00003E000000}"/>
    <hyperlink ref="A64" r:id="rId63" xr:uid="{00000000-0004-0000-0700-00003F000000}"/>
    <hyperlink ref="A65" r:id="rId64" xr:uid="{00000000-0004-0000-0700-000040000000}"/>
    <hyperlink ref="A66" r:id="rId65" xr:uid="{00000000-0004-0000-0700-000041000000}"/>
    <hyperlink ref="A67" r:id="rId66" xr:uid="{00000000-0004-0000-0700-000042000000}"/>
    <hyperlink ref="A68" r:id="rId67" xr:uid="{00000000-0004-0000-0700-000043000000}"/>
    <hyperlink ref="A69" r:id="rId68" xr:uid="{00000000-0004-0000-0700-000044000000}"/>
    <hyperlink ref="A70" r:id="rId69" xr:uid="{00000000-0004-0000-0700-000045000000}"/>
    <hyperlink ref="A71" r:id="rId70" xr:uid="{00000000-0004-0000-0700-000046000000}"/>
    <hyperlink ref="A72" r:id="rId71" xr:uid="{00000000-0004-0000-0700-000047000000}"/>
    <hyperlink ref="A73" r:id="rId72" xr:uid="{00000000-0004-0000-0700-000048000000}"/>
    <hyperlink ref="A74" r:id="rId73" xr:uid="{00000000-0004-0000-0700-000049000000}"/>
    <hyperlink ref="A75" r:id="rId74" xr:uid="{00000000-0004-0000-0700-00004A000000}"/>
    <hyperlink ref="A76" r:id="rId75" xr:uid="{00000000-0004-0000-0700-00004B000000}"/>
    <hyperlink ref="A77" r:id="rId76" xr:uid="{00000000-0004-0000-0700-00004C000000}"/>
    <hyperlink ref="A78" r:id="rId77" xr:uid="{00000000-0004-0000-0700-00004D000000}"/>
    <hyperlink ref="A79" r:id="rId78" xr:uid="{00000000-0004-0000-0700-00004E000000}"/>
    <hyperlink ref="A80" r:id="rId79" xr:uid="{00000000-0004-0000-0700-00004F000000}"/>
    <hyperlink ref="A81" r:id="rId80" xr:uid="{00000000-0004-0000-0700-000050000000}"/>
    <hyperlink ref="A82" r:id="rId81" xr:uid="{00000000-0004-0000-0700-000051000000}"/>
    <hyperlink ref="A83" r:id="rId82" xr:uid="{00000000-0004-0000-0700-000052000000}"/>
    <hyperlink ref="A84" r:id="rId83" xr:uid="{00000000-0004-0000-0700-000053000000}"/>
    <hyperlink ref="A85" r:id="rId84" xr:uid="{00000000-0004-0000-0700-000054000000}"/>
    <hyperlink ref="A86" r:id="rId85" xr:uid="{00000000-0004-0000-0700-000055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2" customWidth="1"/>
    <col min="4" max="4" width="60" customWidth="1"/>
    <col min="5" max="5" width="19" customWidth="1"/>
    <col min="6" max="6" width="24" customWidth="1"/>
    <col min="7" max="7" width="30" customWidth="1"/>
    <col min="8" max="8" width="27" customWidth="1"/>
    <col min="9" max="9" width="26" customWidth="1"/>
    <col min="10" max="10" width="14" customWidth="1"/>
    <col min="11" max="11" width="19" customWidth="1"/>
    <col min="12" max="12" width="26" customWidth="1"/>
    <col min="13" max="13" width="40" customWidth="1"/>
    <col min="14" max="14" width="26" customWidth="1"/>
    <col min="15" max="15" width="24" customWidth="1"/>
    <col min="16" max="16" width="15" customWidth="1"/>
    <col min="17" max="17" width="26" customWidth="1"/>
  </cols>
  <sheetData>
    <row r="1" spans="1:19" ht="45" x14ac:dyDescent="0.25">
      <c r="A1" s="27" t="s">
        <v>102</v>
      </c>
      <c r="B1" s="27" t="s">
        <v>885</v>
      </c>
      <c r="C1" s="27" t="s">
        <v>886</v>
      </c>
      <c r="D1" s="27" t="s">
        <v>250</v>
      </c>
      <c r="E1" s="27" t="s">
        <v>887</v>
      </c>
      <c r="F1" s="27" t="s">
        <v>888</v>
      </c>
      <c r="G1" s="27" t="s">
        <v>889</v>
      </c>
      <c r="H1" s="27" t="s">
        <v>890</v>
      </c>
      <c r="I1" s="27" t="s">
        <v>891</v>
      </c>
      <c r="J1" s="27" t="s">
        <v>892</v>
      </c>
      <c r="K1" s="27" t="s">
        <v>893</v>
      </c>
      <c r="L1" s="27" t="s">
        <v>894</v>
      </c>
      <c r="M1" s="27" t="s">
        <v>736</v>
      </c>
      <c r="N1" s="27" t="s">
        <v>737</v>
      </c>
      <c r="O1" s="27" t="s">
        <v>895</v>
      </c>
      <c r="P1" s="27" t="s">
        <v>877</v>
      </c>
      <c r="Q1" s="27" t="s">
        <v>878</v>
      </c>
      <c r="R1" s="27" t="s">
        <v>122</v>
      </c>
      <c r="S1" s="36" t="s">
        <v>251</v>
      </c>
    </row>
    <row r="2" spans="1:19" ht="15.75" x14ac:dyDescent="0.25">
      <c r="A2" s="33" t="s">
        <v>127</v>
      </c>
      <c r="B2" s="49">
        <v>0</v>
      </c>
      <c r="C2" s="28" t="s">
        <v>896</v>
      </c>
      <c r="D2" s="28" t="s">
        <v>897</v>
      </c>
      <c r="E2" s="28">
        <v>0</v>
      </c>
      <c r="F2" s="28">
        <v>0</v>
      </c>
      <c r="G2" s="28">
        <v>0</v>
      </c>
      <c r="H2" s="46" t="b">
        <v>0</v>
      </c>
      <c r="I2" s="46" t="b">
        <v>0</v>
      </c>
      <c r="J2" s="28" t="b">
        <v>0</v>
      </c>
      <c r="K2" s="28" t="b">
        <v>0</v>
      </c>
      <c r="L2" s="28" t="b">
        <v>0</v>
      </c>
      <c r="M2" s="28" t="b">
        <v>0</v>
      </c>
      <c r="N2" s="28" t="s">
        <v>82</v>
      </c>
      <c r="O2" s="28"/>
      <c r="P2" s="35" t="b">
        <v>0</v>
      </c>
      <c r="Q2" s="35" t="b">
        <v>0</v>
      </c>
      <c r="R2" s="34" t="str">
        <f>IFERROR(HYPERLINK("#Main!A"&amp;MATCH(A2,Main!A:A,0),"Open"),HYPERLINK("#Main!A1","Open"))</f>
        <v>Open</v>
      </c>
      <c r="S2" s="34"/>
    </row>
    <row r="3" spans="1:19" ht="30" customHeight="1" x14ac:dyDescent="0.25">
      <c r="A3" s="30" t="s">
        <v>135</v>
      </c>
      <c r="B3" s="50">
        <v>0</v>
      </c>
      <c r="C3" s="37" t="s">
        <v>896</v>
      </c>
      <c r="D3" s="37" t="s">
        <v>897</v>
      </c>
      <c r="E3" s="37">
        <v>0</v>
      </c>
      <c r="F3" s="37">
        <v>0</v>
      </c>
      <c r="G3" s="37">
        <v>0</v>
      </c>
      <c r="H3" s="46" t="b">
        <v>0</v>
      </c>
      <c r="I3" s="46" t="b">
        <v>0</v>
      </c>
      <c r="J3" s="37" t="b">
        <v>0</v>
      </c>
      <c r="K3" s="37" t="b">
        <v>0</v>
      </c>
      <c r="L3" s="37" t="b">
        <v>0</v>
      </c>
      <c r="M3" s="37" t="b">
        <v>0</v>
      </c>
      <c r="N3" s="37" t="s">
        <v>82</v>
      </c>
      <c r="O3" s="37"/>
      <c r="P3" s="35" t="b">
        <v>0</v>
      </c>
      <c r="Q3" s="35" t="b">
        <v>0</v>
      </c>
      <c r="R3" t="str">
        <f>IFERROR(HYPERLINK("#Main!A"&amp;MATCH(A3,Main!A:A,0),"Open"),HYPERLINK("#Main!A1","Open"))</f>
        <v>Open</v>
      </c>
    </row>
    <row r="4" spans="1:19" ht="30" customHeight="1" x14ac:dyDescent="0.25">
      <c r="A4" s="33" t="s">
        <v>144</v>
      </c>
      <c r="B4" s="49">
        <v>0</v>
      </c>
      <c r="C4" s="28" t="s">
        <v>896</v>
      </c>
      <c r="D4" s="28" t="s">
        <v>897</v>
      </c>
      <c r="E4" s="28">
        <v>0</v>
      </c>
      <c r="F4" s="28">
        <v>0</v>
      </c>
      <c r="G4" s="28">
        <v>0</v>
      </c>
      <c r="H4" s="46" t="b">
        <v>0</v>
      </c>
      <c r="I4" s="46" t="b">
        <v>0</v>
      </c>
      <c r="J4" s="28" t="b">
        <v>0</v>
      </c>
      <c r="K4" s="28" t="b">
        <v>0</v>
      </c>
      <c r="L4" s="28" t="b">
        <v>0</v>
      </c>
      <c r="M4" s="28" t="b">
        <v>0</v>
      </c>
      <c r="N4" s="28" t="s">
        <v>82</v>
      </c>
      <c r="O4" s="28"/>
      <c r="P4" s="35" t="b">
        <v>0</v>
      </c>
      <c r="Q4" s="35" t="b">
        <v>0</v>
      </c>
      <c r="R4" s="34" t="str">
        <f>IFERROR(HYPERLINK("#Main!A"&amp;MATCH(A4,Main!A:A,0),"Open"),HYPERLINK("#Main!A1","Open"))</f>
        <v>Open</v>
      </c>
      <c r="S4" s="34"/>
    </row>
    <row r="5" spans="1:19" ht="30" customHeight="1" x14ac:dyDescent="0.25">
      <c r="A5" s="30" t="s">
        <v>152</v>
      </c>
      <c r="B5" s="50">
        <v>0</v>
      </c>
      <c r="C5" s="37" t="s">
        <v>896</v>
      </c>
      <c r="D5" s="37" t="s">
        <v>897</v>
      </c>
      <c r="E5" s="37">
        <v>0</v>
      </c>
      <c r="F5" s="37">
        <v>0</v>
      </c>
      <c r="G5" s="37">
        <v>0</v>
      </c>
      <c r="H5" s="46" t="b">
        <v>0</v>
      </c>
      <c r="I5" s="46" t="b">
        <v>0</v>
      </c>
      <c r="J5" s="37" t="b">
        <v>0</v>
      </c>
      <c r="K5" s="37" t="b">
        <v>0</v>
      </c>
      <c r="L5" s="37" t="b">
        <v>0</v>
      </c>
      <c r="M5" s="37" t="b">
        <v>1</v>
      </c>
      <c r="N5" s="37" t="s">
        <v>82</v>
      </c>
      <c r="O5" s="37"/>
      <c r="P5" s="35" t="b">
        <v>0</v>
      </c>
      <c r="Q5" s="35" t="b">
        <v>0</v>
      </c>
      <c r="R5" t="str">
        <f>IFERROR(HYPERLINK("#Main!A"&amp;MATCH(A5,Main!A:A,0),"Open"),HYPERLINK("#Main!A1","Open"))</f>
        <v>Open</v>
      </c>
    </row>
    <row r="6" spans="1:19" ht="30" customHeight="1" x14ac:dyDescent="0.25">
      <c r="A6" s="33" t="s">
        <v>169</v>
      </c>
      <c r="B6" s="49">
        <v>0</v>
      </c>
      <c r="C6" s="28" t="s">
        <v>896</v>
      </c>
      <c r="D6" s="28" t="s">
        <v>897</v>
      </c>
      <c r="E6" s="28">
        <v>0</v>
      </c>
      <c r="F6" s="28">
        <v>0</v>
      </c>
      <c r="G6" s="28">
        <v>0</v>
      </c>
      <c r="H6" s="46" t="b">
        <v>0</v>
      </c>
      <c r="I6" s="46" t="b">
        <v>0</v>
      </c>
      <c r="J6" s="28" t="b">
        <v>0</v>
      </c>
      <c r="K6" s="28" t="b">
        <v>0</v>
      </c>
      <c r="L6" s="28" t="b">
        <v>0</v>
      </c>
      <c r="M6" s="28" t="b">
        <v>0</v>
      </c>
      <c r="N6" s="28" t="s">
        <v>82</v>
      </c>
      <c r="O6" s="28"/>
      <c r="P6" s="35" t="b">
        <v>0</v>
      </c>
      <c r="Q6" s="35" t="b">
        <v>0</v>
      </c>
      <c r="R6" s="34" t="str">
        <f>IFERROR(HYPERLINK("#Main!A"&amp;MATCH(A6,Main!A:A,0),"Open"),HYPERLINK("#Main!A1","Open"))</f>
        <v>Open</v>
      </c>
      <c r="S6" s="34"/>
    </row>
    <row r="7" spans="1:19" ht="30" customHeight="1" x14ac:dyDescent="0.25">
      <c r="A7" s="30" t="s">
        <v>177</v>
      </c>
      <c r="B7" s="50">
        <v>0</v>
      </c>
      <c r="C7" s="37" t="s">
        <v>896</v>
      </c>
      <c r="D7" s="37" t="s">
        <v>897</v>
      </c>
      <c r="E7" s="37">
        <v>0</v>
      </c>
      <c r="F7" s="37">
        <v>0</v>
      </c>
      <c r="G7" s="37">
        <v>0</v>
      </c>
      <c r="H7" s="46" t="b">
        <v>0</v>
      </c>
      <c r="I7" s="46" t="b">
        <v>0</v>
      </c>
      <c r="J7" s="37" t="b">
        <v>0</v>
      </c>
      <c r="K7" s="37" t="b">
        <v>0</v>
      </c>
      <c r="L7" s="37" t="b">
        <v>0</v>
      </c>
      <c r="M7" s="37" t="b">
        <v>0</v>
      </c>
      <c r="N7" s="37" t="s">
        <v>82</v>
      </c>
      <c r="O7" s="37"/>
      <c r="P7" s="35" t="b">
        <v>0</v>
      </c>
      <c r="Q7" s="35" t="b">
        <v>0</v>
      </c>
      <c r="R7" t="str">
        <f>IFERROR(HYPERLINK("#Main!A"&amp;MATCH(A7,Main!A:A,0),"Open"),HYPERLINK("#Main!A1","Open"))</f>
        <v>Open</v>
      </c>
    </row>
    <row r="8" spans="1:19" ht="30" customHeight="1" x14ac:dyDescent="0.25">
      <c r="A8" s="33" t="s">
        <v>161</v>
      </c>
      <c r="B8" s="49">
        <v>0</v>
      </c>
      <c r="C8" s="28" t="s">
        <v>896</v>
      </c>
      <c r="D8" s="28" t="s">
        <v>897</v>
      </c>
      <c r="E8" s="28">
        <v>0</v>
      </c>
      <c r="F8" s="28">
        <v>0</v>
      </c>
      <c r="G8" s="28">
        <v>0</v>
      </c>
      <c r="H8" s="46" t="b">
        <v>0</v>
      </c>
      <c r="I8" s="46" t="b">
        <v>0</v>
      </c>
      <c r="J8" s="28" t="b">
        <v>0</v>
      </c>
      <c r="K8" s="28" t="b">
        <v>0</v>
      </c>
      <c r="L8" s="28" t="b">
        <v>0</v>
      </c>
      <c r="M8" s="28" t="b">
        <v>0</v>
      </c>
      <c r="N8" s="28" t="s">
        <v>82</v>
      </c>
      <c r="O8" s="28"/>
      <c r="P8" s="35" t="b">
        <v>0</v>
      </c>
      <c r="Q8" s="35" t="b">
        <v>0</v>
      </c>
      <c r="R8" s="34" t="str">
        <f>IFERROR(HYPERLINK("#Main!A"&amp;MATCH(A8,Main!A:A,0),"Open"),HYPERLINK("#Main!A1","Open"))</f>
        <v>Open</v>
      </c>
      <c r="S8" s="34"/>
    </row>
    <row r="9" spans="1:19" ht="30" customHeight="1" x14ac:dyDescent="0.25">
      <c r="A9" s="30" t="s">
        <v>185</v>
      </c>
      <c r="B9" s="50">
        <v>0</v>
      </c>
      <c r="C9" s="37" t="s">
        <v>896</v>
      </c>
      <c r="D9" s="37" t="s">
        <v>897</v>
      </c>
      <c r="E9" s="37">
        <v>0</v>
      </c>
      <c r="F9" s="37">
        <v>0</v>
      </c>
      <c r="G9" s="37">
        <v>0</v>
      </c>
      <c r="H9" s="46" t="b">
        <v>0</v>
      </c>
      <c r="I9" s="46" t="b">
        <v>0</v>
      </c>
      <c r="J9" s="37" t="b">
        <v>0</v>
      </c>
      <c r="K9" s="37" t="b">
        <v>0</v>
      </c>
      <c r="L9" s="37" t="b">
        <v>0</v>
      </c>
      <c r="M9" s="37" t="b">
        <v>0</v>
      </c>
      <c r="N9" s="37" t="s">
        <v>82</v>
      </c>
      <c r="O9" s="37"/>
      <c r="P9" s="35" t="b">
        <v>0</v>
      </c>
      <c r="Q9" s="35" t="b">
        <v>0</v>
      </c>
      <c r="R9" t="str">
        <f>IFERROR(HYPERLINK("#Main!A"&amp;MATCH(A9,Main!A:A,0),"Open"),HYPERLINK("#Main!A1","Open"))</f>
        <v>Open</v>
      </c>
    </row>
    <row r="10" spans="1:19" ht="30" customHeight="1" x14ac:dyDescent="0.25">
      <c r="A10" s="33" t="s">
        <v>201</v>
      </c>
      <c r="B10" s="49">
        <v>0</v>
      </c>
      <c r="C10" s="28" t="s">
        <v>896</v>
      </c>
      <c r="D10" s="28" t="s">
        <v>898</v>
      </c>
      <c r="E10" s="28">
        <v>0</v>
      </c>
      <c r="F10" s="28">
        <v>0</v>
      </c>
      <c r="G10" s="28">
        <v>0</v>
      </c>
      <c r="H10" s="46" t="b">
        <v>0</v>
      </c>
      <c r="I10" s="46" t="b">
        <v>0</v>
      </c>
      <c r="J10" s="28" t="b">
        <v>0</v>
      </c>
      <c r="K10" s="28" t="b">
        <v>0</v>
      </c>
      <c r="L10" s="28" t="b">
        <v>0</v>
      </c>
      <c r="M10" s="28" t="b">
        <v>0</v>
      </c>
      <c r="N10" s="28" t="s">
        <v>82</v>
      </c>
      <c r="O10" s="28"/>
      <c r="P10" s="35" t="b">
        <v>0</v>
      </c>
      <c r="Q10" s="29" t="b">
        <v>1</v>
      </c>
      <c r="R10" s="34" t="str">
        <f>IFERROR(HYPERLINK("#Main!A"&amp;MATCH(A10,Main!A:A,0),"Open"),HYPERLINK("#Main!A1","Open"))</f>
        <v>Open</v>
      </c>
      <c r="S10" s="34"/>
    </row>
    <row r="11" spans="1:19" ht="30" customHeight="1" x14ac:dyDescent="0.25">
      <c r="A11" s="30" t="s">
        <v>193</v>
      </c>
      <c r="B11" s="50">
        <v>0</v>
      </c>
      <c r="C11" s="37" t="s">
        <v>896</v>
      </c>
      <c r="D11" s="37" t="s">
        <v>897</v>
      </c>
      <c r="E11" s="37">
        <v>0</v>
      </c>
      <c r="F11" s="37">
        <v>0</v>
      </c>
      <c r="G11" s="37">
        <v>0</v>
      </c>
      <c r="H11" s="46" t="b">
        <v>0</v>
      </c>
      <c r="I11" s="46" t="b">
        <v>0</v>
      </c>
      <c r="J11" s="37" t="b">
        <v>0</v>
      </c>
      <c r="K11" s="37" t="b">
        <v>0</v>
      </c>
      <c r="L11" s="37" t="b">
        <v>0</v>
      </c>
      <c r="M11" s="37" t="b">
        <v>0</v>
      </c>
      <c r="N11" s="37" t="s">
        <v>82</v>
      </c>
      <c r="O11" s="37"/>
      <c r="P11" s="35" t="b">
        <v>0</v>
      </c>
      <c r="Q11" s="35" t="b">
        <v>0</v>
      </c>
      <c r="R11" t="str">
        <f>IFERROR(HYPERLINK("#Main!A"&amp;MATCH(A11,Main!A:A,0),"Open"),HYPERLINK("#Main!A1","Open"))</f>
        <v>Open</v>
      </c>
    </row>
    <row r="12" spans="1:19" ht="30" customHeight="1" x14ac:dyDescent="0.25">
      <c r="A12" s="33" t="s">
        <v>216</v>
      </c>
      <c r="B12" s="49">
        <v>0</v>
      </c>
      <c r="C12" s="28" t="s">
        <v>896</v>
      </c>
      <c r="D12" s="28" t="s">
        <v>897</v>
      </c>
      <c r="E12" s="28">
        <v>0</v>
      </c>
      <c r="F12" s="28">
        <v>0</v>
      </c>
      <c r="G12" s="28">
        <v>0</v>
      </c>
      <c r="H12" s="46" t="b">
        <v>0</v>
      </c>
      <c r="I12" s="46" t="b">
        <v>0</v>
      </c>
      <c r="J12" s="28" t="b">
        <v>0</v>
      </c>
      <c r="K12" s="28" t="b">
        <v>0</v>
      </c>
      <c r="L12" s="28" t="b">
        <v>0</v>
      </c>
      <c r="M12" s="28" t="b">
        <v>0</v>
      </c>
      <c r="N12" s="28" t="s">
        <v>82</v>
      </c>
      <c r="O12" s="28"/>
      <c r="P12" s="35" t="b">
        <v>0</v>
      </c>
      <c r="Q12" s="35" t="b">
        <v>0</v>
      </c>
      <c r="R12" s="34" t="str">
        <f>IFERROR(HYPERLINK("#Main!A"&amp;MATCH(A12,Main!A:A,0),"Open"),HYPERLINK("#Main!A1","Open"))</f>
        <v>Open</v>
      </c>
      <c r="S12" s="34"/>
    </row>
    <row r="13" spans="1:19" ht="30" customHeight="1" x14ac:dyDescent="0.25">
      <c r="A13" s="30" t="s">
        <v>208</v>
      </c>
      <c r="B13" s="50">
        <v>0</v>
      </c>
      <c r="C13" s="37" t="s">
        <v>896</v>
      </c>
      <c r="D13" s="37" t="s">
        <v>897</v>
      </c>
      <c r="E13" s="37">
        <v>0</v>
      </c>
      <c r="F13" s="37">
        <v>0</v>
      </c>
      <c r="G13" s="37">
        <v>0</v>
      </c>
      <c r="H13" s="46" t="b">
        <v>0</v>
      </c>
      <c r="I13" s="46" t="b">
        <v>0</v>
      </c>
      <c r="J13" s="37" t="b">
        <v>0</v>
      </c>
      <c r="K13" s="37" t="b">
        <v>0</v>
      </c>
      <c r="L13" s="37" t="b">
        <v>0</v>
      </c>
      <c r="M13" s="37" t="b">
        <v>0</v>
      </c>
      <c r="N13" s="37" t="s">
        <v>82</v>
      </c>
      <c r="O13" s="37"/>
      <c r="P13" s="35" t="b">
        <v>0</v>
      </c>
      <c r="Q13" s="35" t="b">
        <v>0</v>
      </c>
      <c r="R13" t="str">
        <f>IFERROR(HYPERLINK("#Main!A"&amp;MATCH(A13,Main!A:A,0),"Open"),HYPERLINK("#Main!A1","Open"))</f>
        <v>Open</v>
      </c>
    </row>
    <row r="14" spans="1:19" ht="30" customHeight="1" x14ac:dyDescent="0.25">
      <c r="A14" s="33" t="s">
        <v>224</v>
      </c>
      <c r="B14" s="49">
        <v>0</v>
      </c>
      <c r="C14" s="28" t="s">
        <v>896</v>
      </c>
      <c r="D14" s="28" t="s">
        <v>897</v>
      </c>
      <c r="E14" s="28">
        <v>0</v>
      </c>
      <c r="F14" s="28">
        <v>0</v>
      </c>
      <c r="G14" s="28">
        <v>0</v>
      </c>
      <c r="H14" s="46" t="b">
        <v>0</v>
      </c>
      <c r="I14" s="46" t="b">
        <v>0</v>
      </c>
      <c r="J14" s="28" t="b">
        <v>0</v>
      </c>
      <c r="K14" s="28" t="b">
        <v>0</v>
      </c>
      <c r="L14" s="28" t="b">
        <v>0</v>
      </c>
      <c r="M14" s="28" t="b">
        <v>0</v>
      </c>
      <c r="N14" s="28" t="s">
        <v>82</v>
      </c>
      <c r="O14" s="28"/>
      <c r="P14" s="35" t="b">
        <v>0</v>
      </c>
      <c r="Q14" s="35" t="b">
        <v>0</v>
      </c>
      <c r="R14" s="34" t="str">
        <f>IFERROR(HYPERLINK("#Main!A"&amp;MATCH(A14,Main!A:A,0),"Open"),HYPERLINK("#Main!A1","Open"))</f>
        <v>Open</v>
      </c>
      <c r="S14" s="34"/>
    </row>
    <row r="15" spans="1:19" ht="30" customHeight="1" x14ac:dyDescent="0.25">
      <c r="A15" s="30" t="s">
        <v>233</v>
      </c>
      <c r="B15" s="50">
        <v>0</v>
      </c>
      <c r="C15" s="37" t="s">
        <v>896</v>
      </c>
      <c r="D15" s="37" t="s">
        <v>897</v>
      </c>
      <c r="E15" s="37">
        <v>0</v>
      </c>
      <c r="F15" s="37">
        <v>0</v>
      </c>
      <c r="G15" s="37">
        <v>0</v>
      </c>
      <c r="H15" s="46" t="b">
        <v>0</v>
      </c>
      <c r="I15" s="46" t="b">
        <v>0</v>
      </c>
      <c r="J15" s="37" t="b">
        <v>0</v>
      </c>
      <c r="K15" s="37" t="b">
        <v>0</v>
      </c>
      <c r="L15" s="37" t="b">
        <v>0</v>
      </c>
      <c r="M15" s="37" t="b">
        <v>0</v>
      </c>
      <c r="N15" s="37" t="s">
        <v>82</v>
      </c>
      <c r="O15" s="37"/>
      <c r="P15" s="35" t="b">
        <v>0</v>
      </c>
      <c r="Q15" s="35" t="b">
        <v>0</v>
      </c>
      <c r="R15" t="str">
        <f>IFERROR(HYPERLINK("#Main!A"&amp;MATCH(A15,Main!A:A,0),"Open"),HYPERLINK("#Main!A1","Open"))</f>
        <v>Open</v>
      </c>
    </row>
    <row r="16" spans="1:19" ht="30" customHeight="1" x14ac:dyDescent="0.25">
      <c r="A16" s="33" t="s">
        <v>241</v>
      </c>
      <c r="B16" s="49">
        <v>0</v>
      </c>
      <c r="C16" s="28" t="s">
        <v>896</v>
      </c>
      <c r="D16" s="28" t="s">
        <v>897</v>
      </c>
      <c r="E16" s="28">
        <v>0</v>
      </c>
      <c r="F16" s="28">
        <v>0</v>
      </c>
      <c r="G16" s="28">
        <v>0</v>
      </c>
      <c r="H16" s="46" t="b">
        <v>0</v>
      </c>
      <c r="I16" s="46" t="b">
        <v>0</v>
      </c>
      <c r="J16" s="28" t="b">
        <v>0</v>
      </c>
      <c r="K16" s="28" t="b">
        <v>0</v>
      </c>
      <c r="L16" s="28" t="b">
        <v>0</v>
      </c>
      <c r="M16" s="28" t="b">
        <v>0</v>
      </c>
      <c r="N16" s="28" t="s">
        <v>82</v>
      </c>
      <c r="O16" s="28"/>
      <c r="P16" s="35" t="b">
        <v>0</v>
      </c>
      <c r="Q16" s="35" t="b">
        <v>0</v>
      </c>
      <c r="R16" s="34" t="str">
        <f>IFERROR(HYPERLINK("#Main!A"&amp;MATCH(A16,Main!A:A,0),"Open"),HYPERLINK("#Main!A1","Open"))</f>
        <v>Open</v>
      </c>
      <c r="S16" s="34"/>
    </row>
    <row r="17" spans="1:19" ht="30" customHeight="1" x14ac:dyDescent="0.25">
      <c r="A17" s="30" t="s">
        <v>485</v>
      </c>
      <c r="B17" s="50">
        <v>0</v>
      </c>
      <c r="C17" s="37" t="s">
        <v>896</v>
      </c>
      <c r="D17" s="37" t="s">
        <v>897</v>
      </c>
      <c r="E17" s="37">
        <v>0</v>
      </c>
      <c r="F17" s="37">
        <v>0</v>
      </c>
      <c r="G17" s="37">
        <v>0</v>
      </c>
      <c r="H17" s="46" t="b">
        <v>0</v>
      </c>
      <c r="I17" s="46" t="b">
        <v>0</v>
      </c>
      <c r="J17" s="37" t="b">
        <v>0</v>
      </c>
      <c r="K17" s="37" t="b">
        <v>0</v>
      </c>
      <c r="L17" s="37" t="b">
        <v>0</v>
      </c>
      <c r="M17" s="37" t="b">
        <v>1</v>
      </c>
      <c r="N17" s="37" t="s">
        <v>82</v>
      </c>
      <c r="O17" s="37"/>
      <c r="P17" s="35" t="b">
        <v>0</v>
      </c>
      <c r="Q17" s="35" t="b">
        <v>0</v>
      </c>
      <c r="R17" t="str">
        <f>IFERROR(HYPERLINK("#Main!A"&amp;MATCH(A17,Main!A:A,0),"Open"),HYPERLINK("#Main!A1","Open"))</f>
        <v>Open</v>
      </c>
    </row>
    <row r="18" spans="1:19" ht="30" customHeight="1" x14ac:dyDescent="0.25">
      <c r="A18" s="33" t="s">
        <v>491</v>
      </c>
      <c r="B18" s="49">
        <v>0</v>
      </c>
      <c r="C18" s="28" t="s">
        <v>896</v>
      </c>
      <c r="D18" s="28" t="s">
        <v>897</v>
      </c>
      <c r="E18" s="28">
        <v>0</v>
      </c>
      <c r="F18" s="28">
        <v>0</v>
      </c>
      <c r="G18" s="28">
        <v>0</v>
      </c>
      <c r="H18" s="46" t="b">
        <v>0</v>
      </c>
      <c r="I18" s="46" t="b">
        <v>0</v>
      </c>
      <c r="J18" s="28" t="b">
        <v>0</v>
      </c>
      <c r="K18" s="28" t="b">
        <v>0</v>
      </c>
      <c r="L18" s="28" t="b">
        <v>0</v>
      </c>
      <c r="M18" s="28" t="b">
        <v>0</v>
      </c>
      <c r="N18" s="28" t="s">
        <v>82</v>
      </c>
      <c r="O18" s="28"/>
      <c r="P18" s="35" t="b">
        <v>0</v>
      </c>
      <c r="Q18" s="35" t="b">
        <v>0</v>
      </c>
      <c r="R18" s="34" t="str">
        <f>IFERROR(HYPERLINK("#Main!A"&amp;MATCH(A18,Main!A:A,0),"Open"),HYPERLINK("#Main!A1","Open"))</f>
        <v>Open</v>
      </c>
      <c r="S18" s="34"/>
    </row>
    <row r="19" spans="1:19" ht="30" customHeight="1" x14ac:dyDescent="0.25">
      <c r="A19" s="30" t="s">
        <v>488</v>
      </c>
      <c r="B19" s="50">
        <v>0</v>
      </c>
      <c r="C19" s="37" t="s">
        <v>896</v>
      </c>
      <c r="D19" s="37" t="s">
        <v>897</v>
      </c>
      <c r="E19" s="37">
        <v>0</v>
      </c>
      <c r="F19" s="37">
        <v>0</v>
      </c>
      <c r="G19" s="37">
        <v>0</v>
      </c>
      <c r="H19" s="46" t="b">
        <v>0</v>
      </c>
      <c r="I19" s="46" t="b">
        <v>0</v>
      </c>
      <c r="J19" s="37" t="b">
        <v>0</v>
      </c>
      <c r="K19" s="37" t="b">
        <v>0</v>
      </c>
      <c r="L19" s="37" t="b">
        <v>0</v>
      </c>
      <c r="M19" s="37" t="b">
        <v>0</v>
      </c>
      <c r="N19" s="37" t="s">
        <v>82</v>
      </c>
      <c r="O19" s="37"/>
      <c r="P19" s="35" t="b">
        <v>0</v>
      </c>
      <c r="Q19" s="35" t="b">
        <v>0</v>
      </c>
      <c r="R19" t="str">
        <f>IFERROR(HYPERLINK("#Main!A"&amp;MATCH(A19,Main!A:A,0),"Open"),HYPERLINK("#Main!A1","Open"))</f>
        <v>Open</v>
      </c>
    </row>
    <row r="20" spans="1:19" ht="30" customHeight="1" x14ac:dyDescent="0.25">
      <c r="A20" s="33" t="s">
        <v>494</v>
      </c>
      <c r="B20" s="49">
        <v>0</v>
      </c>
      <c r="C20" s="28" t="s">
        <v>896</v>
      </c>
      <c r="D20" s="28" t="s">
        <v>897</v>
      </c>
      <c r="E20" s="28">
        <v>0</v>
      </c>
      <c r="F20" s="28">
        <v>0</v>
      </c>
      <c r="G20" s="28">
        <v>0</v>
      </c>
      <c r="H20" s="46" t="b">
        <v>0</v>
      </c>
      <c r="I20" s="46" t="b">
        <v>0</v>
      </c>
      <c r="J20" s="28" t="b">
        <v>0</v>
      </c>
      <c r="K20" s="28" t="b">
        <v>0</v>
      </c>
      <c r="L20" s="28" t="b">
        <v>0</v>
      </c>
      <c r="M20" s="28" t="b">
        <v>0</v>
      </c>
      <c r="N20" s="28" t="s">
        <v>82</v>
      </c>
      <c r="O20" s="28"/>
      <c r="P20" s="35" t="b">
        <v>0</v>
      </c>
      <c r="Q20" s="35" t="b">
        <v>0</v>
      </c>
      <c r="R20" s="34" t="str">
        <f>IFERROR(HYPERLINK("#Main!A"&amp;MATCH(A20,Main!A:A,0),"Open"),HYPERLINK("#Main!A1","Open"))</f>
        <v>Open</v>
      </c>
      <c r="S20" s="34"/>
    </row>
    <row r="21" spans="1:19" ht="30" customHeight="1" x14ac:dyDescent="0.25">
      <c r="A21" s="30" t="s">
        <v>500</v>
      </c>
      <c r="B21" s="50">
        <v>0</v>
      </c>
      <c r="C21" s="37" t="s">
        <v>896</v>
      </c>
      <c r="D21" s="37" t="s">
        <v>897</v>
      </c>
      <c r="E21" s="37">
        <v>0</v>
      </c>
      <c r="F21" s="37">
        <v>0</v>
      </c>
      <c r="G21" s="37">
        <v>0</v>
      </c>
      <c r="H21" s="46" t="b">
        <v>0</v>
      </c>
      <c r="I21" s="46" t="b">
        <v>0</v>
      </c>
      <c r="J21" s="37" t="b">
        <v>0</v>
      </c>
      <c r="K21" s="37" t="b">
        <v>0</v>
      </c>
      <c r="L21" s="37" t="b">
        <v>0</v>
      </c>
      <c r="M21" s="37" t="b">
        <v>0</v>
      </c>
      <c r="N21" s="37" t="s">
        <v>82</v>
      </c>
      <c r="O21" s="37"/>
      <c r="P21" s="35" t="b">
        <v>0</v>
      </c>
      <c r="Q21" s="35" t="b">
        <v>0</v>
      </c>
      <c r="R21" t="str">
        <f>IFERROR(HYPERLINK("#Main!A"&amp;MATCH(A21,Main!A:A,0),"Open"),HYPERLINK("#Main!A1","Open"))</f>
        <v>Open</v>
      </c>
    </row>
    <row r="22" spans="1:19" ht="30" customHeight="1" x14ac:dyDescent="0.25">
      <c r="A22" s="33" t="s">
        <v>497</v>
      </c>
      <c r="B22" s="49">
        <v>0</v>
      </c>
      <c r="C22" s="28" t="s">
        <v>896</v>
      </c>
      <c r="D22" s="28" t="s">
        <v>897</v>
      </c>
      <c r="E22" s="28">
        <v>0</v>
      </c>
      <c r="F22" s="28">
        <v>0</v>
      </c>
      <c r="G22" s="28">
        <v>0</v>
      </c>
      <c r="H22" s="46" t="b">
        <v>0</v>
      </c>
      <c r="I22" s="46" t="b">
        <v>0</v>
      </c>
      <c r="J22" s="28" t="b">
        <v>0</v>
      </c>
      <c r="K22" s="28" t="b">
        <v>0</v>
      </c>
      <c r="L22" s="28" t="b">
        <v>0</v>
      </c>
      <c r="M22" s="28" t="b">
        <v>0</v>
      </c>
      <c r="N22" s="28" t="s">
        <v>82</v>
      </c>
      <c r="O22" s="28"/>
      <c r="P22" s="35" t="b">
        <v>0</v>
      </c>
      <c r="Q22" s="35" t="b">
        <v>0</v>
      </c>
      <c r="R22" s="34" t="str">
        <f>IFERROR(HYPERLINK("#Main!A"&amp;MATCH(A22,Main!A:A,0),"Open"),HYPERLINK("#Main!A1","Open"))</f>
        <v>Open</v>
      </c>
      <c r="S22" s="34"/>
    </row>
    <row r="23" spans="1:19" ht="30" customHeight="1" x14ac:dyDescent="0.25">
      <c r="A23" s="30" t="s">
        <v>506</v>
      </c>
      <c r="B23" s="50">
        <v>0</v>
      </c>
      <c r="C23" s="37" t="s">
        <v>896</v>
      </c>
      <c r="D23" s="37" t="s">
        <v>897</v>
      </c>
      <c r="E23" s="37">
        <v>0</v>
      </c>
      <c r="F23" s="37">
        <v>0</v>
      </c>
      <c r="G23" s="37">
        <v>0</v>
      </c>
      <c r="H23" s="46" t="b">
        <v>0</v>
      </c>
      <c r="I23" s="46" t="b">
        <v>0</v>
      </c>
      <c r="J23" s="37" t="b">
        <v>0</v>
      </c>
      <c r="K23" s="37" t="b">
        <v>0</v>
      </c>
      <c r="L23" s="37" t="b">
        <v>0</v>
      </c>
      <c r="M23" s="37" t="b">
        <v>0</v>
      </c>
      <c r="N23" s="37" t="s">
        <v>82</v>
      </c>
      <c r="O23" s="37"/>
      <c r="P23" s="35" t="b">
        <v>0</v>
      </c>
      <c r="Q23" s="35" t="b">
        <v>0</v>
      </c>
      <c r="R23" t="str">
        <f>IFERROR(HYPERLINK("#Main!A"&amp;MATCH(A23,Main!A:A,0),"Open"),HYPERLINK("#Main!A1","Open"))</f>
        <v>Open</v>
      </c>
    </row>
    <row r="24" spans="1:19" ht="30" customHeight="1" x14ac:dyDescent="0.25">
      <c r="A24" s="33" t="s">
        <v>509</v>
      </c>
      <c r="B24" s="49">
        <v>0</v>
      </c>
      <c r="C24" s="28" t="s">
        <v>896</v>
      </c>
      <c r="D24" s="28" t="s">
        <v>897</v>
      </c>
      <c r="E24" s="28">
        <v>0</v>
      </c>
      <c r="F24" s="28">
        <v>0</v>
      </c>
      <c r="G24" s="28">
        <v>0</v>
      </c>
      <c r="H24" s="46" t="b">
        <v>0</v>
      </c>
      <c r="I24" s="46" t="b">
        <v>0</v>
      </c>
      <c r="J24" s="28" t="b">
        <v>0</v>
      </c>
      <c r="K24" s="28" t="b">
        <v>0</v>
      </c>
      <c r="L24" s="28" t="b">
        <v>0</v>
      </c>
      <c r="M24" s="28" t="b">
        <v>0</v>
      </c>
      <c r="N24" s="28" t="s">
        <v>82</v>
      </c>
      <c r="O24" s="28"/>
      <c r="P24" s="35" t="b">
        <v>0</v>
      </c>
      <c r="Q24" s="35" t="b">
        <v>0</v>
      </c>
      <c r="R24" s="34" t="str">
        <f>IFERROR(HYPERLINK("#Main!A"&amp;MATCH(A24,Main!A:A,0),"Open"),HYPERLINK("#Main!A1","Open"))</f>
        <v>Open</v>
      </c>
      <c r="S24" s="34"/>
    </row>
    <row r="25" spans="1:19" ht="30" customHeight="1" x14ac:dyDescent="0.25">
      <c r="A25" s="30" t="s">
        <v>503</v>
      </c>
      <c r="B25" s="50">
        <v>0</v>
      </c>
      <c r="C25" s="37" t="s">
        <v>896</v>
      </c>
      <c r="D25" s="37" t="s">
        <v>897</v>
      </c>
      <c r="E25" s="37">
        <v>0</v>
      </c>
      <c r="F25" s="37">
        <v>0</v>
      </c>
      <c r="G25" s="37">
        <v>0</v>
      </c>
      <c r="H25" s="46" t="b">
        <v>0</v>
      </c>
      <c r="I25" s="46" t="b">
        <v>0</v>
      </c>
      <c r="J25" s="37" t="b">
        <v>0</v>
      </c>
      <c r="K25" s="37" t="b">
        <v>0</v>
      </c>
      <c r="L25" s="37" t="b">
        <v>0</v>
      </c>
      <c r="M25" s="37" t="b">
        <v>0</v>
      </c>
      <c r="N25" s="37" t="s">
        <v>82</v>
      </c>
      <c r="O25" s="37"/>
      <c r="P25" s="35" t="b">
        <v>0</v>
      </c>
      <c r="Q25" s="35" t="b">
        <v>0</v>
      </c>
      <c r="R25" t="str">
        <f>IFERROR(HYPERLINK("#Main!A"&amp;MATCH(A25,Main!A:A,0),"Open"),HYPERLINK("#Main!A1","Open"))</f>
        <v>Open</v>
      </c>
    </row>
    <row r="26" spans="1:19" ht="30" customHeight="1" x14ac:dyDescent="0.25">
      <c r="A26" s="33" t="s">
        <v>476</v>
      </c>
      <c r="B26" s="49">
        <v>0</v>
      </c>
      <c r="C26" s="28" t="s">
        <v>896</v>
      </c>
      <c r="D26" s="28" t="s">
        <v>898</v>
      </c>
      <c r="E26" s="28">
        <v>0</v>
      </c>
      <c r="F26" s="28">
        <v>0</v>
      </c>
      <c r="G26" s="28">
        <v>0</v>
      </c>
      <c r="H26" s="46" t="b">
        <v>0</v>
      </c>
      <c r="I26" s="46" t="b">
        <v>0</v>
      </c>
      <c r="J26" s="28" t="b">
        <v>0</v>
      </c>
      <c r="K26" s="28" t="b">
        <v>0</v>
      </c>
      <c r="L26" s="28" t="b">
        <v>0</v>
      </c>
      <c r="M26" s="28" t="b">
        <v>0</v>
      </c>
      <c r="N26" s="28" t="s">
        <v>85</v>
      </c>
      <c r="O26" s="28"/>
      <c r="P26" s="29" t="b">
        <v>1</v>
      </c>
      <c r="Q26" s="29" t="b">
        <v>1</v>
      </c>
      <c r="R26" s="34" t="str">
        <f>IFERROR(HYPERLINK("#Main!A"&amp;MATCH(A26,Main!A:A,0),"Open"),HYPERLINK("#Main!A1","Open"))</f>
        <v>Open</v>
      </c>
      <c r="S26" s="34"/>
    </row>
    <row r="27" spans="1:19" ht="30" customHeight="1" x14ac:dyDescent="0.25">
      <c r="A27" s="30" t="s">
        <v>512</v>
      </c>
      <c r="B27" s="50">
        <v>0</v>
      </c>
      <c r="C27" s="37" t="s">
        <v>896</v>
      </c>
      <c r="D27" s="37" t="s">
        <v>897</v>
      </c>
      <c r="E27" s="37">
        <v>0</v>
      </c>
      <c r="F27" s="37">
        <v>0</v>
      </c>
      <c r="G27" s="37">
        <v>0</v>
      </c>
      <c r="H27" s="46" t="b">
        <v>0</v>
      </c>
      <c r="I27" s="46" t="b">
        <v>0</v>
      </c>
      <c r="J27" s="37" t="b">
        <v>0</v>
      </c>
      <c r="K27" s="37" t="b">
        <v>0</v>
      </c>
      <c r="L27" s="37" t="b">
        <v>0</v>
      </c>
      <c r="M27" s="37" t="b">
        <v>0</v>
      </c>
      <c r="N27" s="37" t="s">
        <v>82</v>
      </c>
      <c r="O27" s="37"/>
      <c r="P27" s="35" t="b">
        <v>0</v>
      </c>
      <c r="Q27" s="35" t="b">
        <v>0</v>
      </c>
      <c r="R27" t="str">
        <f>IFERROR(HYPERLINK("#Main!A"&amp;MATCH(A27,Main!A:A,0),"Open"),HYPERLINK("#Main!A1","Open"))</f>
        <v>Open</v>
      </c>
    </row>
    <row r="28" spans="1:19" ht="30" customHeight="1" x14ac:dyDescent="0.25">
      <c r="A28" s="33" t="s">
        <v>515</v>
      </c>
      <c r="B28" s="49">
        <v>0</v>
      </c>
      <c r="C28" s="28" t="s">
        <v>896</v>
      </c>
      <c r="D28" s="28" t="s">
        <v>897</v>
      </c>
      <c r="E28" s="28">
        <v>0</v>
      </c>
      <c r="F28" s="28">
        <v>0</v>
      </c>
      <c r="G28" s="28">
        <v>0</v>
      </c>
      <c r="H28" s="46" t="b">
        <v>0</v>
      </c>
      <c r="I28" s="46" t="b">
        <v>0</v>
      </c>
      <c r="J28" s="28" t="b">
        <v>0</v>
      </c>
      <c r="K28" s="28" t="b">
        <v>0</v>
      </c>
      <c r="L28" s="28" t="b">
        <v>0</v>
      </c>
      <c r="M28" s="28" t="b">
        <v>0</v>
      </c>
      <c r="N28" s="28" t="s">
        <v>82</v>
      </c>
      <c r="O28" s="28"/>
      <c r="P28" s="35" t="b">
        <v>0</v>
      </c>
      <c r="Q28" s="35" t="b">
        <v>0</v>
      </c>
      <c r="R28" s="34" t="str">
        <f>IFERROR(HYPERLINK("#Main!A"&amp;MATCH(A28,Main!A:A,0),"Open"),HYPERLINK("#Main!A1","Open"))</f>
        <v>Open</v>
      </c>
      <c r="S28" s="34"/>
    </row>
    <row r="29" spans="1:19" ht="30" customHeight="1" x14ac:dyDescent="0.25">
      <c r="A29" s="30" t="s">
        <v>518</v>
      </c>
      <c r="B29" s="50">
        <v>0</v>
      </c>
      <c r="C29" s="37" t="s">
        <v>896</v>
      </c>
      <c r="D29" s="37" t="s">
        <v>897</v>
      </c>
      <c r="E29" s="37">
        <v>0</v>
      </c>
      <c r="F29" s="37">
        <v>0</v>
      </c>
      <c r="G29" s="37">
        <v>0</v>
      </c>
      <c r="H29" s="46" t="b">
        <v>0</v>
      </c>
      <c r="I29" s="46" t="b">
        <v>0</v>
      </c>
      <c r="J29" s="37" t="b">
        <v>0</v>
      </c>
      <c r="K29" s="37" t="b">
        <v>0</v>
      </c>
      <c r="L29" s="37" t="b">
        <v>0</v>
      </c>
      <c r="M29" s="37" t="b">
        <v>0</v>
      </c>
      <c r="N29" s="37" t="s">
        <v>82</v>
      </c>
      <c r="O29" s="37"/>
      <c r="P29" s="35" t="b">
        <v>0</v>
      </c>
      <c r="Q29" s="35" t="b">
        <v>0</v>
      </c>
      <c r="R29" t="str">
        <f>IFERROR(HYPERLINK("#Main!A"&amp;MATCH(A29,Main!A:A,0),"Open"),HYPERLINK("#Main!A1","Open"))</f>
        <v>Open</v>
      </c>
    </row>
    <row r="30" spans="1:19" ht="30" customHeight="1" x14ac:dyDescent="0.25">
      <c r="A30" s="33" t="s">
        <v>521</v>
      </c>
      <c r="B30" s="49">
        <v>0</v>
      </c>
      <c r="C30" s="28" t="s">
        <v>896</v>
      </c>
      <c r="D30" s="28" t="s">
        <v>897</v>
      </c>
      <c r="E30" s="28">
        <v>0</v>
      </c>
      <c r="F30" s="28">
        <v>0</v>
      </c>
      <c r="G30" s="28">
        <v>0</v>
      </c>
      <c r="H30" s="46" t="b">
        <v>0</v>
      </c>
      <c r="I30" s="46" t="b">
        <v>0</v>
      </c>
      <c r="J30" s="28" t="b">
        <v>0</v>
      </c>
      <c r="K30" s="28" t="b">
        <v>0</v>
      </c>
      <c r="L30" s="28" t="b">
        <v>0</v>
      </c>
      <c r="M30" s="28" t="b">
        <v>0</v>
      </c>
      <c r="N30" s="28" t="s">
        <v>82</v>
      </c>
      <c r="O30" s="28"/>
      <c r="P30" s="35" t="b">
        <v>0</v>
      </c>
      <c r="Q30" s="35" t="b">
        <v>0</v>
      </c>
      <c r="R30" s="34" t="str">
        <f>IFERROR(HYPERLINK("#Main!A"&amp;MATCH(A30,Main!A:A,0),"Open"),HYPERLINK("#Main!A1","Open"))</f>
        <v>Open</v>
      </c>
      <c r="S30" s="34"/>
    </row>
    <row r="31" spans="1:19" ht="30" customHeight="1" x14ac:dyDescent="0.25">
      <c r="A31" s="30" t="s">
        <v>524</v>
      </c>
      <c r="B31" s="50">
        <v>0</v>
      </c>
      <c r="C31" s="37" t="s">
        <v>896</v>
      </c>
      <c r="D31" s="37" t="s">
        <v>897</v>
      </c>
      <c r="E31" s="37">
        <v>0</v>
      </c>
      <c r="F31" s="37">
        <v>0</v>
      </c>
      <c r="G31" s="37">
        <v>0</v>
      </c>
      <c r="H31" s="46" t="b">
        <v>0</v>
      </c>
      <c r="I31" s="46" t="b">
        <v>0</v>
      </c>
      <c r="J31" s="37" t="b">
        <v>0</v>
      </c>
      <c r="K31" s="37" t="b">
        <v>0</v>
      </c>
      <c r="L31" s="37" t="b">
        <v>0</v>
      </c>
      <c r="M31" s="37" t="b">
        <v>0</v>
      </c>
      <c r="N31" s="37" t="s">
        <v>82</v>
      </c>
      <c r="O31" s="37"/>
      <c r="P31" s="35" t="b">
        <v>0</v>
      </c>
      <c r="Q31" s="35" t="b">
        <v>0</v>
      </c>
      <c r="R31" t="str">
        <f>IFERROR(HYPERLINK("#Main!A"&amp;MATCH(A31,Main!A:A,0),"Open"),HYPERLINK("#Main!A1","Open"))</f>
        <v>Open</v>
      </c>
    </row>
    <row r="32" spans="1:19" ht="30" customHeight="1" x14ac:dyDescent="0.25">
      <c r="A32" s="33" t="s">
        <v>527</v>
      </c>
      <c r="B32" s="49">
        <v>0</v>
      </c>
      <c r="C32" s="28" t="s">
        <v>896</v>
      </c>
      <c r="D32" s="28" t="s">
        <v>897</v>
      </c>
      <c r="E32" s="28">
        <v>0</v>
      </c>
      <c r="F32" s="28">
        <v>0</v>
      </c>
      <c r="G32" s="28">
        <v>0</v>
      </c>
      <c r="H32" s="46" t="b">
        <v>0</v>
      </c>
      <c r="I32" s="46" t="b">
        <v>0</v>
      </c>
      <c r="J32" s="28" t="b">
        <v>0</v>
      </c>
      <c r="K32" s="28" t="b">
        <v>0</v>
      </c>
      <c r="L32" s="28" t="b">
        <v>0</v>
      </c>
      <c r="M32" s="28" t="b">
        <v>0</v>
      </c>
      <c r="N32" s="28" t="s">
        <v>82</v>
      </c>
      <c r="O32" s="28"/>
      <c r="P32" s="35" t="b">
        <v>0</v>
      </c>
      <c r="Q32" s="35" t="b">
        <v>0</v>
      </c>
      <c r="R32" s="34" t="str">
        <f>IFERROR(HYPERLINK("#Main!A"&amp;MATCH(A32,Main!A:A,0),"Open"),HYPERLINK("#Main!A1","Open"))</f>
        <v>Open</v>
      </c>
      <c r="S32" s="34"/>
    </row>
    <row r="33" spans="1:19" ht="45" customHeight="1" x14ac:dyDescent="0.25">
      <c r="A33" s="30" t="s">
        <v>528</v>
      </c>
      <c r="B33" s="50">
        <v>0</v>
      </c>
      <c r="C33" s="37" t="s">
        <v>896</v>
      </c>
      <c r="D33" s="37" t="s">
        <v>897</v>
      </c>
      <c r="E33" s="37">
        <v>0</v>
      </c>
      <c r="F33" s="37">
        <v>0</v>
      </c>
      <c r="G33" s="37">
        <v>0</v>
      </c>
      <c r="H33" s="46" t="b">
        <v>0</v>
      </c>
      <c r="I33" s="46" t="b">
        <v>0</v>
      </c>
      <c r="J33" s="37" t="b">
        <v>0</v>
      </c>
      <c r="K33" s="37" t="b">
        <v>0</v>
      </c>
      <c r="L33" s="37" t="b">
        <v>0</v>
      </c>
      <c r="M33" s="37" t="b">
        <v>0</v>
      </c>
      <c r="N33" s="37" t="s">
        <v>82</v>
      </c>
      <c r="O33" s="37"/>
      <c r="P33" s="35" t="b">
        <v>0</v>
      </c>
      <c r="Q33" s="35" t="b">
        <v>0</v>
      </c>
      <c r="R33" t="str">
        <f>IFERROR(HYPERLINK("#Main!A"&amp;MATCH(A33,Main!A:A,0),"Open"),HYPERLINK("#Main!A1","Open"))</f>
        <v>Open</v>
      </c>
    </row>
    <row r="34" spans="1:19" ht="30" customHeight="1" x14ac:dyDescent="0.25">
      <c r="A34" s="33" t="s">
        <v>531</v>
      </c>
      <c r="B34" s="49">
        <v>0</v>
      </c>
      <c r="C34" s="28" t="s">
        <v>896</v>
      </c>
      <c r="D34" s="28" t="s">
        <v>897</v>
      </c>
      <c r="E34" s="28">
        <v>0</v>
      </c>
      <c r="F34" s="28">
        <v>0</v>
      </c>
      <c r="G34" s="28">
        <v>0</v>
      </c>
      <c r="H34" s="46" t="b">
        <v>0</v>
      </c>
      <c r="I34" s="46" t="b">
        <v>0</v>
      </c>
      <c r="J34" s="28" t="b">
        <v>0</v>
      </c>
      <c r="K34" s="28" t="b">
        <v>0</v>
      </c>
      <c r="L34" s="28" t="b">
        <v>0</v>
      </c>
      <c r="M34" s="28" t="b">
        <v>0</v>
      </c>
      <c r="N34" s="28" t="s">
        <v>82</v>
      </c>
      <c r="O34" s="28"/>
      <c r="P34" s="35" t="b">
        <v>0</v>
      </c>
      <c r="Q34" s="35" t="b">
        <v>0</v>
      </c>
      <c r="R34" s="34" t="str">
        <f>IFERROR(HYPERLINK("#Main!A"&amp;MATCH(A34,Main!A:A,0),"Open"),HYPERLINK("#Main!A1","Open"))</f>
        <v>Open</v>
      </c>
      <c r="S34" s="34"/>
    </row>
    <row r="35" spans="1:19" ht="30" customHeight="1" x14ac:dyDescent="0.25">
      <c r="A35" s="30" t="s">
        <v>534</v>
      </c>
      <c r="B35" s="50">
        <v>0</v>
      </c>
      <c r="C35" s="37" t="s">
        <v>896</v>
      </c>
      <c r="D35" s="37" t="s">
        <v>897</v>
      </c>
      <c r="E35" s="37">
        <v>0</v>
      </c>
      <c r="F35" s="37">
        <v>0</v>
      </c>
      <c r="G35" s="37">
        <v>0</v>
      </c>
      <c r="H35" s="46" t="b">
        <v>0</v>
      </c>
      <c r="I35" s="46" t="b">
        <v>0</v>
      </c>
      <c r="J35" s="37" t="b">
        <v>0</v>
      </c>
      <c r="K35" s="37" t="b">
        <v>0</v>
      </c>
      <c r="L35" s="37" t="b">
        <v>0</v>
      </c>
      <c r="M35" s="37" t="b">
        <v>0</v>
      </c>
      <c r="N35" s="37" t="s">
        <v>82</v>
      </c>
      <c r="O35" s="37"/>
      <c r="P35" s="35" t="b">
        <v>0</v>
      </c>
      <c r="Q35" s="35" t="b">
        <v>0</v>
      </c>
      <c r="R35" t="str">
        <f>IFERROR(HYPERLINK("#Main!A"&amp;MATCH(A35,Main!A:A,0),"Open"),HYPERLINK("#Main!A1","Open"))</f>
        <v>Open</v>
      </c>
    </row>
    <row r="36" spans="1:19" ht="30" customHeight="1" x14ac:dyDescent="0.25">
      <c r="A36" s="33" t="s">
        <v>537</v>
      </c>
      <c r="B36" s="49">
        <v>0</v>
      </c>
      <c r="C36" s="28" t="s">
        <v>896</v>
      </c>
      <c r="D36" s="28" t="s">
        <v>897</v>
      </c>
      <c r="E36" s="28">
        <v>0</v>
      </c>
      <c r="F36" s="28">
        <v>0</v>
      </c>
      <c r="G36" s="28">
        <v>0</v>
      </c>
      <c r="H36" s="46" t="b">
        <v>0</v>
      </c>
      <c r="I36" s="46" t="b">
        <v>0</v>
      </c>
      <c r="J36" s="28" t="b">
        <v>0</v>
      </c>
      <c r="K36" s="28" t="b">
        <v>0</v>
      </c>
      <c r="L36" s="28" t="b">
        <v>0</v>
      </c>
      <c r="M36" s="28" t="b">
        <v>0</v>
      </c>
      <c r="N36" s="28" t="s">
        <v>82</v>
      </c>
      <c r="O36" s="28"/>
      <c r="P36" s="35" t="b">
        <v>0</v>
      </c>
      <c r="Q36" s="35" t="b">
        <v>0</v>
      </c>
      <c r="R36" s="34" t="str">
        <f>IFERROR(HYPERLINK("#Main!A"&amp;MATCH(A36,Main!A:A,0),"Open"),HYPERLINK("#Main!A1","Open"))</f>
        <v>Open</v>
      </c>
      <c r="S36" s="34"/>
    </row>
    <row r="37" spans="1:19" ht="45" customHeight="1" x14ac:dyDescent="0.25">
      <c r="A37" s="30" t="s">
        <v>540</v>
      </c>
      <c r="B37" s="50">
        <v>0</v>
      </c>
      <c r="C37" s="37" t="s">
        <v>896</v>
      </c>
      <c r="D37" s="37" t="s">
        <v>897</v>
      </c>
      <c r="E37" s="37">
        <v>0</v>
      </c>
      <c r="F37" s="37">
        <v>0</v>
      </c>
      <c r="G37" s="37">
        <v>0</v>
      </c>
      <c r="H37" s="46" t="b">
        <v>0</v>
      </c>
      <c r="I37" s="46" t="b">
        <v>0</v>
      </c>
      <c r="J37" s="37" t="b">
        <v>0</v>
      </c>
      <c r="K37" s="37" t="b">
        <v>0</v>
      </c>
      <c r="L37" s="37" t="b">
        <v>0</v>
      </c>
      <c r="M37" s="37" t="b">
        <v>0</v>
      </c>
      <c r="N37" s="37" t="s">
        <v>82</v>
      </c>
      <c r="O37" s="37"/>
      <c r="P37" s="35" t="b">
        <v>0</v>
      </c>
      <c r="Q37" s="35" t="b">
        <v>0</v>
      </c>
      <c r="R37" t="str">
        <f>IFERROR(HYPERLINK("#Main!A"&amp;MATCH(A37,Main!A:A,0),"Open"),HYPERLINK("#Main!A1","Open"))</f>
        <v>Open</v>
      </c>
    </row>
    <row r="38" spans="1:19" ht="30" customHeight="1" x14ac:dyDescent="0.25">
      <c r="A38" s="33" t="s">
        <v>543</v>
      </c>
      <c r="B38" s="49">
        <v>0</v>
      </c>
      <c r="C38" s="28" t="s">
        <v>896</v>
      </c>
      <c r="D38" s="28" t="s">
        <v>897</v>
      </c>
      <c r="E38" s="28">
        <v>0</v>
      </c>
      <c r="F38" s="28">
        <v>0</v>
      </c>
      <c r="G38" s="28">
        <v>0</v>
      </c>
      <c r="H38" s="46" t="b">
        <v>0</v>
      </c>
      <c r="I38" s="46" t="b">
        <v>0</v>
      </c>
      <c r="J38" s="28" t="b">
        <v>0</v>
      </c>
      <c r="K38" s="28" t="b">
        <v>0</v>
      </c>
      <c r="L38" s="28" t="b">
        <v>0</v>
      </c>
      <c r="M38" s="28" t="b">
        <v>0</v>
      </c>
      <c r="N38" s="28" t="s">
        <v>82</v>
      </c>
      <c r="O38" s="28"/>
      <c r="P38" s="35" t="b">
        <v>0</v>
      </c>
      <c r="Q38" s="35" t="b">
        <v>0</v>
      </c>
      <c r="R38" s="34" t="str">
        <f>IFERROR(HYPERLINK("#Main!A"&amp;MATCH(A38,Main!A:A,0),"Open"),HYPERLINK("#Main!A1","Open"))</f>
        <v>Open</v>
      </c>
      <c r="S38" s="34"/>
    </row>
    <row r="39" spans="1:19" ht="30" customHeight="1" x14ac:dyDescent="0.25">
      <c r="A39" s="30" t="s">
        <v>483</v>
      </c>
      <c r="B39" s="50">
        <v>0</v>
      </c>
      <c r="C39" s="37" t="s">
        <v>896</v>
      </c>
      <c r="D39" s="37" t="s">
        <v>898</v>
      </c>
      <c r="E39" s="37">
        <v>0</v>
      </c>
      <c r="F39" s="37">
        <v>0</v>
      </c>
      <c r="G39" s="37">
        <v>0</v>
      </c>
      <c r="H39" s="46" t="b">
        <v>0</v>
      </c>
      <c r="I39" s="46" t="b">
        <v>0</v>
      </c>
      <c r="J39" s="37" t="b">
        <v>0</v>
      </c>
      <c r="K39" s="37" t="b">
        <v>0</v>
      </c>
      <c r="L39" s="37" t="b">
        <v>0</v>
      </c>
      <c r="M39" s="37" t="b">
        <v>0</v>
      </c>
      <c r="N39" s="37" t="s">
        <v>85</v>
      </c>
      <c r="O39" s="37"/>
      <c r="P39" s="29" t="b">
        <v>1</v>
      </c>
      <c r="Q39" s="29" t="b">
        <v>1</v>
      </c>
      <c r="R39" t="str">
        <f>IFERROR(HYPERLINK("#Main!A"&amp;MATCH(A39,Main!A:A,0),"Open"),HYPERLINK("#Main!A1","Open"))</f>
        <v>Open</v>
      </c>
    </row>
    <row r="40" spans="1:19" ht="30" customHeight="1" x14ac:dyDescent="0.25">
      <c r="A40" s="33" t="s">
        <v>546</v>
      </c>
      <c r="B40" s="49">
        <v>0</v>
      </c>
      <c r="C40" s="28" t="s">
        <v>896</v>
      </c>
      <c r="D40" s="28" t="s">
        <v>897</v>
      </c>
      <c r="E40" s="28">
        <v>0</v>
      </c>
      <c r="F40" s="28">
        <v>0</v>
      </c>
      <c r="G40" s="28">
        <v>0</v>
      </c>
      <c r="H40" s="46" t="b">
        <v>0</v>
      </c>
      <c r="I40" s="46" t="b">
        <v>0</v>
      </c>
      <c r="J40" s="28" t="b">
        <v>0</v>
      </c>
      <c r="K40" s="28" t="b">
        <v>0</v>
      </c>
      <c r="L40" s="28" t="b">
        <v>0</v>
      </c>
      <c r="M40" s="28" t="b">
        <v>0</v>
      </c>
      <c r="N40" s="28" t="s">
        <v>82</v>
      </c>
      <c r="O40" s="28"/>
      <c r="P40" s="35" t="b">
        <v>0</v>
      </c>
      <c r="Q40" s="35" t="b">
        <v>0</v>
      </c>
      <c r="R40" s="34" t="str">
        <f>IFERROR(HYPERLINK("#Main!A"&amp;MATCH(A40,Main!A:A,0),"Open"),HYPERLINK("#Main!A1","Open"))</f>
        <v>Open</v>
      </c>
      <c r="S40" s="34"/>
    </row>
    <row r="41" spans="1:19" ht="30" customHeight="1" x14ac:dyDescent="0.25">
      <c r="A41" s="30" t="s">
        <v>549</v>
      </c>
      <c r="B41" s="50">
        <v>0</v>
      </c>
      <c r="C41" s="37" t="s">
        <v>896</v>
      </c>
      <c r="D41" s="37" t="s">
        <v>897</v>
      </c>
      <c r="E41" s="37">
        <v>0</v>
      </c>
      <c r="F41" s="37">
        <v>0</v>
      </c>
      <c r="G41" s="37">
        <v>0</v>
      </c>
      <c r="H41" s="46" t="b">
        <v>0</v>
      </c>
      <c r="I41" s="46" t="b">
        <v>0</v>
      </c>
      <c r="J41" s="37" t="b">
        <v>0</v>
      </c>
      <c r="K41" s="37" t="b">
        <v>0</v>
      </c>
      <c r="L41" s="37" t="b">
        <v>0</v>
      </c>
      <c r="M41" s="37" t="b">
        <v>0</v>
      </c>
      <c r="N41" s="37" t="s">
        <v>82</v>
      </c>
      <c r="O41" s="37"/>
      <c r="P41" s="35" t="b">
        <v>0</v>
      </c>
      <c r="Q41" s="35" t="b">
        <v>0</v>
      </c>
      <c r="R41" t="str">
        <f>IFERROR(HYPERLINK("#Main!A"&amp;MATCH(A41,Main!A:A,0),"Open"),HYPERLINK("#Main!A1","Open"))</f>
        <v>Open</v>
      </c>
    </row>
    <row r="42" spans="1:19" ht="30" customHeight="1" x14ac:dyDescent="0.25">
      <c r="A42" s="33" t="s">
        <v>555</v>
      </c>
      <c r="B42" s="49">
        <v>0</v>
      </c>
      <c r="C42" s="28" t="s">
        <v>896</v>
      </c>
      <c r="D42" s="28" t="s">
        <v>898</v>
      </c>
      <c r="E42" s="28">
        <v>0</v>
      </c>
      <c r="F42" s="28">
        <v>0</v>
      </c>
      <c r="G42" s="28">
        <v>0</v>
      </c>
      <c r="H42" s="46" t="b">
        <v>0</v>
      </c>
      <c r="I42" s="46" t="b">
        <v>0</v>
      </c>
      <c r="J42" s="28" t="b">
        <v>0</v>
      </c>
      <c r="K42" s="28" t="b">
        <v>0</v>
      </c>
      <c r="L42" s="28" t="b">
        <v>0</v>
      </c>
      <c r="M42" s="28" t="b">
        <v>0</v>
      </c>
      <c r="N42" s="28" t="s">
        <v>82</v>
      </c>
      <c r="O42" s="28"/>
      <c r="P42" s="35" t="b">
        <v>0</v>
      </c>
      <c r="Q42" s="29" t="b">
        <v>1</v>
      </c>
      <c r="R42" s="34" t="str">
        <f>IFERROR(HYPERLINK("#Main!A"&amp;MATCH(A42,Main!A:A,0),"Open"),HYPERLINK("#Main!A1","Open"))</f>
        <v>Open</v>
      </c>
      <c r="S42" s="34"/>
    </row>
    <row r="43" spans="1:19" ht="30" customHeight="1" x14ac:dyDescent="0.25">
      <c r="A43" s="30" t="s">
        <v>557</v>
      </c>
      <c r="B43" s="50">
        <v>0</v>
      </c>
      <c r="C43" s="37" t="s">
        <v>896</v>
      </c>
      <c r="D43" s="37" t="s">
        <v>897</v>
      </c>
      <c r="E43" s="37">
        <v>0</v>
      </c>
      <c r="F43" s="37">
        <v>0</v>
      </c>
      <c r="G43" s="37">
        <v>0</v>
      </c>
      <c r="H43" s="46" t="b">
        <v>0</v>
      </c>
      <c r="I43" s="46" t="b">
        <v>0</v>
      </c>
      <c r="J43" s="37" t="b">
        <v>0</v>
      </c>
      <c r="K43" s="37" t="b">
        <v>0</v>
      </c>
      <c r="L43" s="37" t="b">
        <v>0</v>
      </c>
      <c r="M43" s="37" t="b">
        <v>1</v>
      </c>
      <c r="N43" s="37" t="s">
        <v>82</v>
      </c>
      <c r="O43" s="37"/>
      <c r="P43" s="35" t="b">
        <v>0</v>
      </c>
      <c r="Q43" s="35" t="b">
        <v>0</v>
      </c>
      <c r="R43" t="str">
        <f>IFERROR(HYPERLINK("#Main!A"&amp;MATCH(A43,Main!A:A,0),"Open"),HYPERLINK("#Main!A1","Open"))</f>
        <v>Open</v>
      </c>
    </row>
    <row r="44" spans="1:19" ht="30" customHeight="1" x14ac:dyDescent="0.25">
      <c r="A44" s="33" t="s">
        <v>552</v>
      </c>
      <c r="B44" s="49">
        <v>0</v>
      </c>
      <c r="C44" s="28" t="s">
        <v>896</v>
      </c>
      <c r="D44" s="28" t="s">
        <v>897</v>
      </c>
      <c r="E44" s="28">
        <v>0</v>
      </c>
      <c r="F44" s="28">
        <v>0</v>
      </c>
      <c r="G44" s="28">
        <v>0</v>
      </c>
      <c r="H44" s="46" t="b">
        <v>0</v>
      </c>
      <c r="I44" s="46" t="b">
        <v>0</v>
      </c>
      <c r="J44" s="28" t="b">
        <v>0</v>
      </c>
      <c r="K44" s="28" t="b">
        <v>0</v>
      </c>
      <c r="L44" s="28" t="b">
        <v>0</v>
      </c>
      <c r="M44" s="28" t="b">
        <v>0</v>
      </c>
      <c r="N44" s="28" t="s">
        <v>82</v>
      </c>
      <c r="O44" s="28"/>
      <c r="P44" s="35" t="b">
        <v>0</v>
      </c>
      <c r="Q44" s="35" t="b">
        <v>0</v>
      </c>
      <c r="R44" s="34" t="str">
        <f>IFERROR(HYPERLINK("#Main!A"&amp;MATCH(A44,Main!A:A,0),"Open"),HYPERLINK("#Main!A1","Open"))</f>
        <v>Open</v>
      </c>
      <c r="S44" s="34"/>
    </row>
    <row r="45" spans="1:19" ht="30" customHeight="1" x14ac:dyDescent="0.25">
      <c r="A45" s="30" t="s">
        <v>560</v>
      </c>
      <c r="B45" s="50">
        <v>0</v>
      </c>
      <c r="C45" s="37" t="s">
        <v>896</v>
      </c>
      <c r="D45" s="37" t="s">
        <v>897</v>
      </c>
      <c r="E45" s="37">
        <v>0</v>
      </c>
      <c r="F45" s="37">
        <v>0</v>
      </c>
      <c r="G45" s="37">
        <v>0</v>
      </c>
      <c r="H45" s="46" t="b">
        <v>0</v>
      </c>
      <c r="I45" s="46" t="b">
        <v>0</v>
      </c>
      <c r="J45" s="37" t="b">
        <v>0</v>
      </c>
      <c r="K45" s="37" t="b">
        <v>0</v>
      </c>
      <c r="L45" s="37" t="b">
        <v>0</v>
      </c>
      <c r="M45" s="37" t="b">
        <v>0</v>
      </c>
      <c r="N45" s="37" t="s">
        <v>82</v>
      </c>
      <c r="O45" s="37"/>
      <c r="P45" s="35" t="b">
        <v>0</v>
      </c>
      <c r="Q45" s="35" t="b">
        <v>0</v>
      </c>
      <c r="R45" t="str">
        <f>IFERROR(HYPERLINK("#Main!A"&amp;MATCH(A45,Main!A:A,0),"Open"),HYPERLINK("#Main!A1","Open"))</f>
        <v>Open</v>
      </c>
    </row>
    <row r="46" spans="1:19" ht="30" customHeight="1" x14ac:dyDescent="0.25">
      <c r="A46" s="33" t="s">
        <v>563</v>
      </c>
      <c r="B46" s="49">
        <v>0</v>
      </c>
      <c r="C46" s="28" t="s">
        <v>896</v>
      </c>
      <c r="D46" s="28" t="s">
        <v>897</v>
      </c>
      <c r="E46" s="28">
        <v>0</v>
      </c>
      <c r="F46" s="28">
        <v>0</v>
      </c>
      <c r="G46" s="28">
        <v>0</v>
      </c>
      <c r="H46" s="46" t="b">
        <v>0</v>
      </c>
      <c r="I46" s="46" t="b">
        <v>0</v>
      </c>
      <c r="J46" s="28" t="b">
        <v>0</v>
      </c>
      <c r="K46" s="28" t="b">
        <v>0</v>
      </c>
      <c r="L46" s="28" t="b">
        <v>0</v>
      </c>
      <c r="M46" s="28" t="b">
        <v>1</v>
      </c>
      <c r="N46" s="28" t="s">
        <v>82</v>
      </c>
      <c r="O46" s="28"/>
      <c r="P46" s="35" t="b">
        <v>0</v>
      </c>
      <c r="Q46" s="35" t="b">
        <v>0</v>
      </c>
      <c r="R46" s="34" t="str">
        <f>IFERROR(HYPERLINK("#Main!A"&amp;MATCH(A46,Main!A:A,0),"Open"),HYPERLINK("#Main!A1","Open"))</f>
        <v>Open</v>
      </c>
      <c r="S46" s="34"/>
    </row>
    <row r="47" spans="1:19" ht="30" customHeight="1" x14ac:dyDescent="0.25">
      <c r="A47" s="30" t="s">
        <v>566</v>
      </c>
      <c r="B47" s="50">
        <v>0</v>
      </c>
      <c r="C47" s="37" t="s">
        <v>896</v>
      </c>
      <c r="D47" s="37" t="s">
        <v>897</v>
      </c>
      <c r="E47" s="37">
        <v>0</v>
      </c>
      <c r="F47" s="37">
        <v>0</v>
      </c>
      <c r="G47" s="37">
        <v>0</v>
      </c>
      <c r="H47" s="46" t="b">
        <v>0</v>
      </c>
      <c r="I47" s="46" t="b">
        <v>0</v>
      </c>
      <c r="J47" s="37" t="b">
        <v>0</v>
      </c>
      <c r="K47" s="37" t="b">
        <v>0</v>
      </c>
      <c r="L47" s="37" t="b">
        <v>0</v>
      </c>
      <c r="M47" s="37" t="b">
        <v>0</v>
      </c>
      <c r="N47" s="37" t="s">
        <v>82</v>
      </c>
      <c r="O47" s="37"/>
      <c r="P47" s="35" t="b">
        <v>0</v>
      </c>
      <c r="Q47" s="35" t="b">
        <v>0</v>
      </c>
      <c r="R47" t="str">
        <f>IFERROR(HYPERLINK("#Main!A"&amp;MATCH(A47,Main!A:A,0),"Open"),HYPERLINK("#Main!A1","Open"))</f>
        <v>Open</v>
      </c>
    </row>
    <row r="48" spans="1:19" ht="30" customHeight="1" x14ac:dyDescent="0.25">
      <c r="A48" s="33" t="s">
        <v>570</v>
      </c>
      <c r="B48" s="49">
        <v>0</v>
      </c>
      <c r="C48" s="28" t="s">
        <v>896</v>
      </c>
      <c r="D48" s="28" t="s">
        <v>897</v>
      </c>
      <c r="E48" s="28">
        <v>0</v>
      </c>
      <c r="F48" s="28">
        <v>0</v>
      </c>
      <c r="G48" s="28">
        <v>0</v>
      </c>
      <c r="H48" s="46" t="b">
        <v>0</v>
      </c>
      <c r="I48" s="46" t="b">
        <v>0</v>
      </c>
      <c r="J48" s="28" t="b">
        <v>0</v>
      </c>
      <c r="K48" s="28" t="b">
        <v>0</v>
      </c>
      <c r="L48" s="28" t="b">
        <v>0</v>
      </c>
      <c r="M48" s="28" t="b">
        <v>1</v>
      </c>
      <c r="N48" s="28" t="s">
        <v>82</v>
      </c>
      <c r="O48" s="28"/>
      <c r="P48" s="35" t="b">
        <v>0</v>
      </c>
      <c r="Q48" s="35" t="b">
        <v>0</v>
      </c>
      <c r="R48" s="34" t="str">
        <f>IFERROR(HYPERLINK("#Main!A"&amp;MATCH(A48,Main!A:A,0),"Open"),HYPERLINK("#Main!A1","Open"))</f>
        <v>Open</v>
      </c>
      <c r="S48" s="34"/>
    </row>
    <row r="49" spans="1:19" ht="30" customHeight="1" x14ac:dyDescent="0.25">
      <c r="A49" s="30" t="s">
        <v>577</v>
      </c>
      <c r="B49" s="50">
        <v>0</v>
      </c>
      <c r="C49" s="37" t="s">
        <v>896</v>
      </c>
      <c r="D49" s="37" t="s">
        <v>897</v>
      </c>
      <c r="E49" s="37">
        <v>0</v>
      </c>
      <c r="F49" s="37">
        <v>0</v>
      </c>
      <c r="G49" s="37">
        <v>0</v>
      </c>
      <c r="H49" s="46" t="b">
        <v>0</v>
      </c>
      <c r="I49" s="46" t="b">
        <v>0</v>
      </c>
      <c r="J49" s="37" t="b">
        <v>0</v>
      </c>
      <c r="K49" s="37" t="b">
        <v>0</v>
      </c>
      <c r="L49" s="37" t="b">
        <v>0</v>
      </c>
      <c r="M49" s="37" t="b">
        <v>0</v>
      </c>
      <c r="N49" s="37" t="s">
        <v>82</v>
      </c>
      <c r="O49" s="37"/>
      <c r="P49" s="35" t="b">
        <v>0</v>
      </c>
      <c r="Q49" s="35" t="b">
        <v>0</v>
      </c>
      <c r="R49" t="str">
        <f>IFERROR(HYPERLINK("#Main!A"&amp;MATCH(A49,Main!A:A,0),"Open"),HYPERLINK("#Main!A1","Open"))</f>
        <v>Open</v>
      </c>
    </row>
    <row r="50" spans="1:19" ht="30" customHeight="1" x14ac:dyDescent="0.25">
      <c r="A50" s="33" t="s">
        <v>579</v>
      </c>
      <c r="B50" s="49">
        <v>0</v>
      </c>
      <c r="C50" s="28" t="s">
        <v>896</v>
      </c>
      <c r="D50" s="28" t="s">
        <v>897</v>
      </c>
      <c r="E50" s="28">
        <v>0</v>
      </c>
      <c r="F50" s="28">
        <v>0</v>
      </c>
      <c r="G50" s="28">
        <v>0</v>
      </c>
      <c r="H50" s="46" t="b">
        <v>0</v>
      </c>
      <c r="I50" s="46" t="b">
        <v>0</v>
      </c>
      <c r="J50" s="28" t="b">
        <v>0</v>
      </c>
      <c r="K50" s="28" t="b">
        <v>0</v>
      </c>
      <c r="L50" s="28" t="b">
        <v>0</v>
      </c>
      <c r="M50" s="28" t="b">
        <v>0</v>
      </c>
      <c r="N50" s="28" t="s">
        <v>82</v>
      </c>
      <c r="O50" s="28"/>
      <c r="P50" s="35" t="b">
        <v>0</v>
      </c>
      <c r="Q50" s="35" t="b">
        <v>0</v>
      </c>
      <c r="R50" s="34" t="str">
        <f>IFERROR(HYPERLINK("#Main!A"&amp;MATCH(A50,Main!A:A,0),"Open"),HYPERLINK("#Main!A1","Open"))</f>
        <v>Open</v>
      </c>
      <c r="S50" s="34"/>
    </row>
    <row r="51" spans="1:19" ht="30" customHeight="1" x14ac:dyDescent="0.25">
      <c r="A51" s="30" t="s">
        <v>573</v>
      </c>
      <c r="B51" s="50">
        <v>0</v>
      </c>
      <c r="C51" s="37" t="s">
        <v>896</v>
      </c>
      <c r="D51" s="37" t="s">
        <v>897</v>
      </c>
      <c r="E51" s="37">
        <v>0</v>
      </c>
      <c r="F51" s="37">
        <v>0</v>
      </c>
      <c r="G51" s="37">
        <v>0</v>
      </c>
      <c r="H51" s="46" t="b">
        <v>0</v>
      </c>
      <c r="I51" s="46" t="b">
        <v>0</v>
      </c>
      <c r="J51" s="37" t="b">
        <v>0</v>
      </c>
      <c r="K51" s="37" t="b">
        <v>0</v>
      </c>
      <c r="L51" s="37" t="b">
        <v>0</v>
      </c>
      <c r="M51" s="37" t="b">
        <v>0</v>
      </c>
      <c r="N51" s="37" t="s">
        <v>82</v>
      </c>
      <c r="O51" s="37"/>
      <c r="P51" s="35" t="b">
        <v>0</v>
      </c>
      <c r="Q51" s="35" t="b">
        <v>0</v>
      </c>
      <c r="R51" t="str">
        <f>IFERROR(HYPERLINK("#Main!A"&amp;MATCH(A51,Main!A:A,0),"Open"),HYPERLINK("#Main!A1","Open"))</f>
        <v>Open</v>
      </c>
    </row>
    <row r="52" spans="1:19" ht="30" customHeight="1" x14ac:dyDescent="0.25">
      <c r="A52" s="33" t="s">
        <v>582</v>
      </c>
      <c r="B52" s="49">
        <v>0</v>
      </c>
      <c r="C52" s="28" t="s">
        <v>896</v>
      </c>
      <c r="D52" s="28" t="s">
        <v>897</v>
      </c>
      <c r="E52" s="28">
        <v>0</v>
      </c>
      <c r="F52" s="28">
        <v>0</v>
      </c>
      <c r="G52" s="28">
        <v>0</v>
      </c>
      <c r="H52" s="46" t="b">
        <v>0</v>
      </c>
      <c r="I52" s="46" t="b">
        <v>0</v>
      </c>
      <c r="J52" s="28" t="b">
        <v>0</v>
      </c>
      <c r="K52" s="28" t="b">
        <v>0</v>
      </c>
      <c r="L52" s="28" t="b">
        <v>0</v>
      </c>
      <c r="M52" s="28" t="b">
        <v>0</v>
      </c>
      <c r="N52" s="28" t="s">
        <v>82</v>
      </c>
      <c r="O52" s="28"/>
      <c r="P52" s="35" t="b">
        <v>0</v>
      </c>
      <c r="Q52" s="35" t="b">
        <v>0</v>
      </c>
      <c r="R52" s="34" t="str">
        <f>IFERROR(HYPERLINK("#Main!A"&amp;MATCH(A52,Main!A:A,0),"Open"),HYPERLINK("#Main!A1","Open"))</f>
        <v>Open</v>
      </c>
      <c r="S52" s="34"/>
    </row>
    <row r="53" spans="1:19" ht="30" customHeight="1" x14ac:dyDescent="0.25">
      <c r="A53" s="30" t="s">
        <v>588</v>
      </c>
      <c r="B53" s="50">
        <v>0</v>
      </c>
      <c r="C53" s="37" t="s">
        <v>896</v>
      </c>
      <c r="D53" s="37" t="s">
        <v>897</v>
      </c>
      <c r="E53" s="37">
        <v>0</v>
      </c>
      <c r="F53" s="37">
        <v>0</v>
      </c>
      <c r="G53" s="37">
        <v>0</v>
      </c>
      <c r="H53" s="46" t="b">
        <v>0</v>
      </c>
      <c r="I53" s="46" t="b">
        <v>0</v>
      </c>
      <c r="J53" s="37" t="b">
        <v>0</v>
      </c>
      <c r="K53" s="37" t="b">
        <v>0</v>
      </c>
      <c r="L53" s="37" t="b">
        <v>0</v>
      </c>
      <c r="M53" s="37" t="b">
        <v>0</v>
      </c>
      <c r="N53" s="37" t="s">
        <v>82</v>
      </c>
      <c r="O53" s="37"/>
      <c r="P53" s="35" t="b">
        <v>0</v>
      </c>
      <c r="Q53" s="35" t="b">
        <v>0</v>
      </c>
      <c r="R53" t="str">
        <f>IFERROR(HYPERLINK("#Main!A"&amp;MATCH(A53,Main!A:A,0),"Open"),HYPERLINK("#Main!A1","Open"))</f>
        <v>Open</v>
      </c>
    </row>
    <row r="54" spans="1:19" ht="30" customHeight="1" x14ac:dyDescent="0.25">
      <c r="A54" s="33" t="s">
        <v>591</v>
      </c>
      <c r="B54" s="49">
        <v>0</v>
      </c>
      <c r="C54" s="28" t="s">
        <v>896</v>
      </c>
      <c r="D54" s="28" t="s">
        <v>897</v>
      </c>
      <c r="E54" s="28">
        <v>0</v>
      </c>
      <c r="F54" s="28">
        <v>0</v>
      </c>
      <c r="G54" s="28">
        <v>0</v>
      </c>
      <c r="H54" s="46" t="b">
        <v>0</v>
      </c>
      <c r="I54" s="46" t="b">
        <v>0</v>
      </c>
      <c r="J54" s="28" t="b">
        <v>0</v>
      </c>
      <c r="K54" s="28" t="b">
        <v>0</v>
      </c>
      <c r="L54" s="28" t="b">
        <v>0</v>
      </c>
      <c r="M54" s="28" t="b">
        <v>0</v>
      </c>
      <c r="N54" s="28" t="s">
        <v>82</v>
      </c>
      <c r="O54" s="28"/>
      <c r="P54" s="35" t="b">
        <v>0</v>
      </c>
      <c r="Q54" s="35" t="b">
        <v>0</v>
      </c>
      <c r="R54" s="34" t="str">
        <f>IFERROR(HYPERLINK("#Main!A"&amp;MATCH(A54,Main!A:A,0),"Open"),HYPERLINK("#Main!A1","Open"))</f>
        <v>Open</v>
      </c>
      <c r="S54" s="34"/>
    </row>
    <row r="55" spans="1:19" ht="30" customHeight="1" x14ac:dyDescent="0.25">
      <c r="A55" s="30" t="s">
        <v>594</v>
      </c>
      <c r="B55" s="50">
        <v>0</v>
      </c>
      <c r="C55" s="37" t="s">
        <v>896</v>
      </c>
      <c r="D55" s="37" t="s">
        <v>897</v>
      </c>
      <c r="E55" s="37">
        <v>0</v>
      </c>
      <c r="F55" s="37">
        <v>0</v>
      </c>
      <c r="G55" s="37">
        <v>0</v>
      </c>
      <c r="H55" s="46" t="b">
        <v>0</v>
      </c>
      <c r="I55" s="46" t="b">
        <v>0</v>
      </c>
      <c r="J55" s="37" t="b">
        <v>0</v>
      </c>
      <c r="K55" s="37" t="b">
        <v>0</v>
      </c>
      <c r="L55" s="37" t="b">
        <v>0</v>
      </c>
      <c r="M55" s="37" t="b">
        <v>0</v>
      </c>
      <c r="N55" s="37" t="s">
        <v>82</v>
      </c>
      <c r="O55" s="37"/>
      <c r="P55" s="35" t="b">
        <v>0</v>
      </c>
      <c r="Q55" s="35" t="b">
        <v>0</v>
      </c>
      <c r="R55" t="str">
        <f>IFERROR(HYPERLINK("#Main!A"&amp;MATCH(A55,Main!A:A,0),"Open"),HYPERLINK("#Main!A1","Open"))</f>
        <v>Open</v>
      </c>
    </row>
    <row r="56" spans="1:19" ht="30" customHeight="1" x14ac:dyDescent="0.25">
      <c r="A56" s="33" t="s">
        <v>585</v>
      </c>
      <c r="B56" s="49">
        <v>0</v>
      </c>
      <c r="C56" s="28" t="s">
        <v>896</v>
      </c>
      <c r="D56" s="28" t="s">
        <v>897</v>
      </c>
      <c r="E56" s="28">
        <v>0</v>
      </c>
      <c r="F56" s="28">
        <v>0</v>
      </c>
      <c r="G56" s="28">
        <v>0</v>
      </c>
      <c r="H56" s="46" t="b">
        <v>0</v>
      </c>
      <c r="I56" s="46" t="b">
        <v>0</v>
      </c>
      <c r="J56" s="28" t="b">
        <v>0</v>
      </c>
      <c r="K56" s="28" t="b">
        <v>0</v>
      </c>
      <c r="L56" s="28" t="b">
        <v>0</v>
      </c>
      <c r="M56" s="28" t="b">
        <v>0</v>
      </c>
      <c r="N56" s="28" t="s">
        <v>82</v>
      </c>
      <c r="O56" s="28"/>
      <c r="P56" s="35" t="b">
        <v>0</v>
      </c>
      <c r="Q56" s="35" t="b">
        <v>0</v>
      </c>
      <c r="R56" s="34" t="str">
        <f>IFERROR(HYPERLINK("#Main!A"&amp;MATCH(A56,Main!A:A,0),"Open"),HYPERLINK("#Main!A1","Open"))</f>
        <v>Open</v>
      </c>
      <c r="S56" s="34"/>
    </row>
    <row r="57" spans="1:19" ht="30" customHeight="1" x14ac:dyDescent="0.25">
      <c r="A57" s="30" t="s">
        <v>597</v>
      </c>
      <c r="B57" s="50">
        <v>0</v>
      </c>
      <c r="C57" s="37" t="s">
        <v>896</v>
      </c>
      <c r="D57" s="37" t="s">
        <v>897</v>
      </c>
      <c r="E57" s="37">
        <v>0</v>
      </c>
      <c r="F57" s="37">
        <v>0</v>
      </c>
      <c r="G57" s="37">
        <v>0</v>
      </c>
      <c r="H57" s="46" t="b">
        <v>0</v>
      </c>
      <c r="I57" s="46" t="b">
        <v>0</v>
      </c>
      <c r="J57" s="37" t="b">
        <v>0</v>
      </c>
      <c r="K57" s="37" t="b">
        <v>0</v>
      </c>
      <c r="L57" s="37" t="b">
        <v>0</v>
      </c>
      <c r="M57" s="37" t="b">
        <v>0</v>
      </c>
      <c r="N57" s="37" t="s">
        <v>82</v>
      </c>
      <c r="O57" s="37"/>
      <c r="P57" s="35" t="b">
        <v>0</v>
      </c>
      <c r="Q57" s="35" t="b">
        <v>0</v>
      </c>
      <c r="R57" t="str">
        <f>IFERROR(HYPERLINK("#Main!A"&amp;MATCH(A57,Main!A:A,0),"Open"),HYPERLINK("#Main!A1","Open"))</f>
        <v>Open</v>
      </c>
    </row>
    <row r="58" spans="1:19" ht="30" customHeight="1" x14ac:dyDescent="0.25">
      <c r="A58" s="33" t="s">
        <v>601</v>
      </c>
      <c r="B58" s="49">
        <v>0</v>
      </c>
      <c r="C58" s="28" t="s">
        <v>896</v>
      </c>
      <c r="D58" s="28" t="s">
        <v>897</v>
      </c>
      <c r="E58" s="28">
        <v>0</v>
      </c>
      <c r="F58" s="28">
        <v>0</v>
      </c>
      <c r="G58" s="28">
        <v>0</v>
      </c>
      <c r="H58" s="46" t="b">
        <v>0</v>
      </c>
      <c r="I58" s="46" t="b">
        <v>0</v>
      </c>
      <c r="J58" s="28" t="b">
        <v>0</v>
      </c>
      <c r="K58" s="28" t="b">
        <v>0</v>
      </c>
      <c r="L58" s="28" t="b">
        <v>0</v>
      </c>
      <c r="M58" s="28" t="b">
        <v>0</v>
      </c>
      <c r="N58" s="28" t="s">
        <v>82</v>
      </c>
      <c r="O58" s="28"/>
      <c r="P58" s="35" t="b">
        <v>0</v>
      </c>
      <c r="Q58" s="35" t="b">
        <v>0</v>
      </c>
      <c r="R58" s="34" t="str">
        <f>IFERROR(HYPERLINK("#Main!A"&amp;MATCH(A58,Main!A:A,0),"Open"),HYPERLINK("#Main!A1","Open"))</f>
        <v>Open</v>
      </c>
      <c r="S58" s="34"/>
    </row>
    <row r="59" spans="1:19" ht="30" customHeight="1" x14ac:dyDescent="0.25">
      <c r="A59" s="30" t="s">
        <v>604</v>
      </c>
      <c r="B59" s="50">
        <v>0</v>
      </c>
      <c r="C59" s="37" t="s">
        <v>896</v>
      </c>
      <c r="D59" s="37" t="s">
        <v>897</v>
      </c>
      <c r="E59" s="37">
        <v>0</v>
      </c>
      <c r="F59" s="37">
        <v>0</v>
      </c>
      <c r="G59" s="37">
        <v>0</v>
      </c>
      <c r="H59" s="46" t="b">
        <v>0</v>
      </c>
      <c r="I59" s="46" t="b">
        <v>0</v>
      </c>
      <c r="J59" s="37" t="b">
        <v>0</v>
      </c>
      <c r="K59" s="37" t="b">
        <v>0</v>
      </c>
      <c r="L59" s="37" t="b">
        <v>0</v>
      </c>
      <c r="M59" s="37" t="b">
        <v>0</v>
      </c>
      <c r="N59" s="37" t="s">
        <v>82</v>
      </c>
      <c r="O59" s="37"/>
      <c r="P59" s="35" t="b">
        <v>0</v>
      </c>
      <c r="Q59" s="35" t="b">
        <v>0</v>
      </c>
      <c r="R59" t="str">
        <f>IFERROR(HYPERLINK("#Main!A"&amp;MATCH(A59,Main!A:A,0),"Open"),HYPERLINK("#Main!A1","Open"))</f>
        <v>Open</v>
      </c>
    </row>
    <row r="60" spans="1:19" ht="30" customHeight="1" x14ac:dyDescent="0.25">
      <c r="A60" s="33" t="s">
        <v>608</v>
      </c>
      <c r="B60" s="49">
        <v>0</v>
      </c>
      <c r="C60" s="28" t="s">
        <v>896</v>
      </c>
      <c r="D60" s="28" t="s">
        <v>897</v>
      </c>
      <c r="E60" s="28">
        <v>0</v>
      </c>
      <c r="F60" s="28">
        <v>0</v>
      </c>
      <c r="G60" s="28">
        <v>0</v>
      </c>
      <c r="H60" s="46" t="b">
        <v>0</v>
      </c>
      <c r="I60" s="46" t="b">
        <v>0</v>
      </c>
      <c r="J60" s="28" t="b">
        <v>0</v>
      </c>
      <c r="K60" s="28" t="b">
        <v>0</v>
      </c>
      <c r="L60" s="28" t="b">
        <v>0</v>
      </c>
      <c r="M60" s="28" t="b">
        <v>0</v>
      </c>
      <c r="N60" s="28" t="s">
        <v>82</v>
      </c>
      <c r="O60" s="28"/>
      <c r="P60" s="35" t="b">
        <v>0</v>
      </c>
      <c r="Q60" s="35" t="b">
        <v>0</v>
      </c>
      <c r="R60" s="34" t="str">
        <f>IFERROR(HYPERLINK("#Main!A"&amp;MATCH(A60,Main!A:A,0),"Open"),HYPERLINK("#Main!A1","Open"))</f>
        <v>Open</v>
      </c>
      <c r="S60" s="34"/>
    </row>
    <row r="61" spans="1:19" ht="30" customHeight="1" x14ac:dyDescent="0.25">
      <c r="A61" s="30" t="s">
        <v>611</v>
      </c>
      <c r="B61" s="50">
        <v>0</v>
      </c>
      <c r="C61" s="37" t="s">
        <v>896</v>
      </c>
      <c r="D61" s="37" t="s">
        <v>897</v>
      </c>
      <c r="E61" s="37">
        <v>0</v>
      </c>
      <c r="F61" s="37">
        <v>0</v>
      </c>
      <c r="G61" s="37">
        <v>0</v>
      </c>
      <c r="H61" s="46" t="b">
        <v>0</v>
      </c>
      <c r="I61" s="46" t="b">
        <v>0</v>
      </c>
      <c r="J61" s="37" t="b">
        <v>0</v>
      </c>
      <c r="K61" s="37" t="b">
        <v>0</v>
      </c>
      <c r="L61" s="37" t="b">
        <v>0</v>
      </c>
      <c r="M61" s="37" t="b">
        <v>0</v>
      </c>
      <c r="N61" s="37" t="s">
        <v>82</v>
      </c>
      <c r="O61" s="37"/>
      <c r="P61" s="35" t="b">
        <v>0</v>
      </c>
      <c r="Q61" s="35" t="b">
        <v>0</v>
      </c>
      <c r="R61" t="str">
        <f>IFERROR(HYPERLINK("#Main!A"&amp;MATCH(A61,Main!A:A,0),"Open"),HYPERLINK("#Main!A1","Open"))</f>
        <v>Open</v>
      </c>
    </row>
    <row r="62" spans="1:19" ht="30" customHeight="1" x14ac:dyDescent="0.25">
      <c r="A62" s="33" t="s">
        <v>615</v>
      </c>
      <c r="B62" s="49">
        <v>0</v>
      </c>
      <c r="C62" s="28" t="s">
        <v>896</v>
      </c>
      <c r="D62" s="28" t="s">
        <v>897</v>
      </c>
      <c r="E62" s="28">
        <v>0</v>
      </c>
      <c r="F62" s="28">
        <v>0</v>
      </c>
      <c r="G62" s="28">
        <v>0</v>
      </c>
      <c r="H62" s="46" t="b">
        <v>0</v>
      </c>
      <c r="I62" s="46" t="b">
        <v>0</v>
      </c>
      <c r="J62" s="28" t="b">
        <v>0</v>
      </c>
      <c r="K62" s="28" t="b">
        <v>0</v>
      </c>
      <c r="L62" s="28" t="b">
        <v>0</v>
      </c>
      <c r="M62" s="28" t="b">
        <v>0</v>
      </c>
      <c r="N62" s="28" t="s">
        <v>82</v>
      </c>
      <c r="O62" s="28"/>
      <c r="P62" s="35" t="b">
        <v>0</v>
      </c>
      <c r="Q62" s="35" t="b">
        <v>0</v>
      </c>
      <c r="R62" s="34" t="str">
        <f>IFERROR(HYPERLINK("#Main!A"&amp;MATCH(A62,Main!A:A,0),"Open"),HYPERLINK("#Main!A1","Open"))</f>
        <v>Open</v>
      </c>
      <c r="S62" s="34"/>
    </row>
    <row r="63" spans="1:19" ht="30" customHeight="1" x14ac:dyDescent="0.25">
      <c r="A63" s="30" t="s">
        <v>618</v>
      </c>
      <c r="B63" s="50">
        <v>0</v>
      </c>
      <c r="C63" s="37" t="s">
        <v>896</v>
      </c>
      <c r="D63" s="37" t="s">
        <v>897</v>
      </c>
      <c r="E63" s="37">
        <v>0</v>
      </c>
      <c r="F63" s="37">
        <v>0</v>
      </c>
      <c r="G63" s="37">
        <v>0</v>
      </c>
      <c r="H63" s="46" t="b">
        <v>0</v>
      </c>
      <c r="I63" s="46" t="b">
        <v>0</v>
      </c>
      <c r="J63" s="37" t="b">
        <v>0</v>
      </c>
      <c r="K63" s="37" t="b">
        <v>0</v>
      </c>
      <c r="L63" s="37" t="b">
        <v>0</v>
      </c>
      <c r="M63" s="37" t="b">
        <v>0</v>
      </c>
      <c r="N63" s="37" t="s">
        <v>82</v>
      </c>
      <c r="O63" s="37"/>
      <c r="P63" s="35" t="b">
        <v>0</v>
      </c>
      <c r="Q63" s="35" t="b">
        <v>0</v>
      </c>
      <c r="R63" t="str">
        <f>IFERROR(HYPERLINK("#Main!A"&amp;MATCH(A63,Main!A:A,0),"Open"),HYPERLINK("#Main!A1","Open"))</f>
        <v>Open</v>
      </c>
    </row>
    <row r="64" spans="1:19" ht="30" customHeight="1" x14ac:dyDescent="0.25">
      <c r="A64" s="33" t="s">
        <v>621</v>
      </c>
      <c r="B64" s="49">
        <v>0</v>
      </c>
      <c r="C64" s="28" t="s">
        <v>896</v>
      </c>
      <c r="D64" s="28" t="s">
        <v>897</v>
      </c>
      <c r="E64" s="28">
        <v>0</v>
      </c>
      <c r="F64" s="28">
        <v>0</v>
      </c>
      <c r="G64" s="28">
        <v>0</v>
      </c>
      <c r="H64" s="46" t="b">
        <v>0</v>
      </c>
      <c r="I64" s="46" t="b">
        <v>0</v>
      </c>
      <c r="J64" s="28" t="b">
        <v>0</v>
      </c>
      <c r="K64" s="28" t="b">
        <v>0</v>
      </c>
      <c r="L64" s="28" t="b">
        <v>0</v>
      </c>
      <c r="M64" s="28" t="b">
        <v>0</v>
      </c>
      <c r="N64" s="28" t="s">
        <v>82</v>
      </c>
      <c r="O64" s="28"/>
      <c r="P64" s="35" t="b">
        <v>0</v>
      </c>
      <c r="Q64" s="35" t="b">
        <v>0</v>
      </c>
      <c r="R64" s="34" t="str">
        <f>IFERROR(HYPERLINK("#Main!A"&amp;MATCH(A64,Main!A:A,0),"Open"),HYPERLINK("#Main!A1","Open"))</f>
        <v>Open</v>
      </c>
      <c r="S64" s="34"/>
    </row>
    <row r="65" spans="1:19" ht="30" customHeight="1" x14ac:dyDescent="0.25">
      <c r="A65" s="30" t="s">
        <v>624</v>
      </c>
      <c r="B65" s="50">
        <v>0</v>
      </c>
      <c r="C65" s="37" t="s">
        <v>896</v>
      </c>
      <c r="D65" s="37" t="s">
        <v>898</v>
      </c>
      <c r="E65" s="37">
        <v>0</v>
      </c>
      <c r="F65" s="37">
        <v>0</v>
      </c>
      <c r="G65" s="37">
        <v>0</v>
      </c>
      <c r="H65" s="46" t="b">
        <v>0</v>
      </c>
      <c r="I65" s="46" t="b">
        <v>0</v>
      </c>
      <c r="J65" s="37" t="b">
        <v>0</v>
      </c>
      <c r="K65" s="37" t="b">
        <v>0</v>
      </c>
      <c r="L65" s="37" t="b">
        <v>0</v>
      </c>
      <c r="M65" s="37" t="b">
        <v>0</v>
      </c>
      <c r="N65" s="37" t="s">
        <v>82</v>
      </c>
      <c r="O65" s="37"/>
      <c r="P65" s="35" t="b">
        <v>0</v>
      </c>
      <c r="Q65" s="29" t="b">
        <v>1</v>
      </c>
      <c r="R65" t="str">
        <f>IFERROR(HYPERLINK("#Main!A"&amp;MATCH(A65,Main!A:A,0),"Open"),HYPERLINK("#Main!A1","Open"))</f>
        <v>Open</v>
      </c>
    </row>
    <row r="66" spans="1:19" ht="30" customHeight="1" x14ac:dyDescent="0.25">
      <c r="A66" s="33" t="s">
        <v>626</v>
      </c>
      <c r="B66" s="49">
        <v>0</v>
      </c>
      <c r="C66" s="28" t="s">
        <v>896</v>
      </c>
      <c r="D66" s="28" t="s">
        <v>897</v>
      </c>
      <c r="E66" s="28">
        <v>0</v>
      </c>
      <c r="F66" s="28">
        <v>0</v>
      </c>
      <c r="G66" s="28">
        <v>0</v>
      </c>
      <c r="H66" s="46" t="b">
        <v>0</v>
      </c>
      <c r="I66" s="46" t="b">
        <v>0</v>
      </c>
      <c r="J66" s="28" t="b">
        <v>0</v>
      </c>
      <c r="K66" s="28" t="b">
        <v>0</v>
      </c>
      <c r="L66" s="28" t="b">
        <v>0</v>
      </c>
      <c r="M66" s="28" t="b">
        <v>0</v>
      </c>
      <c r="N66" s="28" t="s">
        <v>82</v>
      </c>
      <c r="O66" s="28"/>
      <c r="P66" s="35" t="b">
        <v>0</v>
      </c>
      <c r="Q66" s="35" t="b">
        <v>0</v>
      </c>
      <c r="R66" s="34" t="str">
        <f>IFERROR(HYPERLINK("#Main!A"&amp;MATCH(A66,Main!A:A,0),"Open"),HYPERLINK("#Main!A1","Open"))</f>
        <v>Open</v>
      </c>
      <c r="S66" s="34"/>
    </row>
    <row r="67" spans="1:19" ht="30" customHeight="1" x14ac:dyDescent="0.25">
      <c r="A67" s="30" t="s">
        <v>629</v>
      </c>
      <c r="B67" s="50">
        <v>0</v>
      </c>
      <c r="C67" s="37" t="s">
        <v>896</v>
      </c>
      <c r="D67" s="37" t="s">
        <v>897</v>
      </c>
      <c r="E67" s="37">
        <v>0</v>
      </c>
      <c r="F67" s="37">
        <v>0</v>
      </c>
      <c r="G67" s="37">
        <v>0</v>
      </c>
      <c r="H67" s="46" t="b">
        <v>0</v>
      </c>
      <c r="I67" s="46" t="b">
        <v>0</v>
      </c>
      <c r="J67" s="37" t="b">
        <v>0</v>
      </c>
      <c r="K67" s="37" t="b">
        <v>0</v>
      </c>
      <c r="L67" s="37" t="b">
        <v>0</v>
      </c>
      <c r="M67" s="37" t="b">
        <v>0</v>
      </c>
      <c r="N67" s="37" t="s">
        <v>82</v>
      </c>
      <c r="O67" s="37"/>
      <c r="P67" s="35" t="b">
        <v>0</v>
      </c>
      <c r="Q67" s="35" t="b">
        <v>0</v>
      </c>
      <c r="R67" t="str">
        <f>IFERROR(HYPERLINK("#Main!A"&amp;MATCH(A67,Main!A:A,0),"Open"),HYPERLINK("#Main!A1","Open"))</f>
        <v>Open</v>
      </c>
    </row>
    <row r="68" spans="1:19" ht="30" customHeight="1" x14ac:dyDescent="0.25">
      <c r="A68" s="33" t="s">
        <v>632</v>
      </c>
      <c r="B68" s="49">
        <v>0</v>
      </c>
      <c r="C68" s="28" t="s">
        <v>896</v>
      </c>
      <c r="D68" s="28" t="s">
        <v>897</v>
      </c>
      <c r="E68" s="28">
        <v>0</v>
      </c>
      <c r="F68" s="28">
        <v>0</v>
      </c>
      <c r="G68" s="28">
        <v>0</v>
      </c>
      <c r="H68" s="46" t="b">
        <v>0</v>
      </c>
      <c r="I68" s="46" t="b">
        <v>0</v>
      </c>
      <c r="J68" s="28" t="b">
        <v>0</v>
      </c>
      <c r="K68" s="28" t="b">
        <v>0</v>
      </c>
      <c r="L68" s="28" t="b">
        <v>0</v>
      </c>
      <c r="M68" s="28" t="b">
        <v>0</v>
      </c>
      <c r="N68" s="28" t="s">
        <v>82</v>
      </c>
      <c r="O68" s="28"/>
      <c r="P68" s="35" t="b">
        <v>0</v>
      </c>
      <c r="Q68" s="35" t="b">
        <v>0</v>
      </c>
      <c r="R68" s="34" t="str">
        <f>IFERROR(HYPERLINK("#Main!A"&amp;MATCH(A68,Main!A:A,0),"Open"),HYPERLINK("#Main!A1","Open"))</f>
        <v>Open</v>
      </c>
      <c r="S68" s="34"/>
    </row>
    <row r="69" spans="1:19" ht="31.5" x14ac:dyDescent="0.25">
      <c r="A69" s="30" t="s">
        <v>635</v>
      </c>
      <c r="B69" s="50">
        <v>0</v>
      </c>
      <c r="C69" s="37" t="s">
        <v>896</v>
      </c>
      <c r="D69" s="37" t="s">
        <v>897</v>
      </c>
      <c r="E69" s="37">
        <v>0</v>
      </c>
      <c r="F69" s="37">
        <v>0</v>
      </c>
      <c r="G69" s="37">
        <v>0</v>
      </c>
      <c r="H69" s="46" t="b">
        <v>0</v>
      </c>
      <c r="I69" s="46" t="b">
        <v>0</v>
      </c>
      <c r="J69" s="37" t="b">
        <v>0</v>
      </c>
      <c r="K69" s="37" t="b">
        <v>0</v>
      </c>
      <c r="L69" s="37" t="b">
        <v>0</v>
      </c>
      <c r="M69" s="37" t="b">
        <v>0</v>
      </c>
      <c r="N69" s="37" t="s">
        <v>82</v>
      </c>
      <c r="O69" s="37"/>
      <c r="P69" s="35" t="b">
        <v>0</v>
      </c>
      <c r="Q69" s="35" t="b">
        <v>0</v>
      </c>
      <c r="R69" t="str">
        <f>IFERROR(HYPERLINK("#Main!A"&amp;MATCH(A69,Main!A:A,0),"Open"),HYPERLINK("#Main!A1","Open"))</f>
        <v>Open</v>
      </c>
    </row>
    <row r="70" spans="1:19" ht="30" customHeight="1" x14ac:dyDescent="0.25">
      <c r="A70" s="33" t="s">
        <v>638</v>
      </c>
      <c r="B70" s="49">
        <v>0</v>
      </c>
      <c r="C70" s="28" t="s">
        <v>896</v>
      </c>
      <c r="D70" s="28" t="s">
        <v>897</v>
      </c>
      <c r="E70" s="28">
        <v>0</v>
      </c>
      <c r="F70" s="28">
        <v>0</v>
      </c>
      <c r="G70" s="28">
        <v>0</v>
      </c>
      <c r="H70" s="46" t="b">
        <v>0</v>
      </c>
      <c r="I70" s="46" t="b">
        <v>0</v>
      </c>
      <c r="J70" s="28" t="b">
        <v>0</v>
      </c>
      <c r="K70" s="28" t="b">
        <v>0</v>
      </c>
      <c r="L70" s="28" t="b">
        <v>0</v>
      </c>
      <c r="M70" s="28" t="b">
        <v>0</v>
      </c>
      <c r="N70" s="28" t="s">
        <v>82</v>
      </c>
      <c r="O70" s="28"/>
      <c r="P70" s="35" t="b">
        <v>0</v>
      </c>
      <c r="Q70" s="35" t="b">
        <v>0</v>
      </c>
      <c r="R70" s="34" t="str">
        <f>IFERROR(HYPERLINK("#Main!A"&amp;MATCH(A70,Main!A:A,0),"Open"),HYPERLINK("#Main!A1","Open"))</f>
        <v>Open</v>
      </c>
      <c r="S70" s="34"/>
    </row>
    <row r="71" spans="1:19" ht="30" customHeight="1" x14ac:dyDescent="0.25">
      <c r="A71" s="30" t="s">
        <v>641</v>
      </c>
      <c r="B71" s="50">
        <v>0</v>
      </c>
      <c r="C71" s="37" t="s">
        <v>896</v>
      </c>
      <c r="D71" s="37" t="s">
        <v>897</v>
      </c>
      <c r="E71" s="37">
        <v>0</v>
      </c>
      <c r="F71" s="37">
        <v>0</v>
      </c>
      <c r="G71" s="37">
        <v>0</v>
      </c>
      <c r="H71" s="46" t="b">
        <v>0</v>
      </c>
      <c r="I71" s="46" t="b">
        <v>0</v>
      </c>
      <c r="J71" s="37" t="b">
        <v>0</v>
      </c>
      <c r="K71" s="37" t="b">
        <v>0</v>
      </c>
      <c r="L71" s="37" t="b">
        <v>0</v>
      </c>
      <c r="M71" s="37" t="b">
        <v>0</v>
      </c>
      <c r="N71" s="37" t="s">
        <v>82</v>
      </c>
      <c r="O71" s="37"/>
      <c r="P71" s="35" t="b">
        <v>0</v>
      </c>
      <c r="Q71" s="35" t="b">
        <v>0</v>
      </c>
      <c r="R71" t="str">
        <f>IFERROR(HYPERLINK("#Main!A"&amp;MATCH(A71,Main!A:A,0),"Open"),HYPERLINK("#Main!A1","Open"))</f>
        <v>Open</v>
      </c>
    </row>
    <row r="72" spans="1:19" ht="30" customHeight="1" x14ac:dyDescent="0.25">
      <c r="A72" s="33" t="s">
        <v>644</v>
      </c>
      <c r="B72" s="49">
        <v>0</v>
      </c>
      <c r="C72" s="28" t="s">
        <v>896</v>
      </c>
      <c r="D72" s="28" t="s">
        <v>897</v>
      </c>
      <c r="E72" s="28">
        <v>0</v>
      </c>
      <c r="F72" s="28">
        <v>0</v>
      </c>
      <c r="G72" s="28">
        <v>0</v>
      </c>
      <c r="H72" s="46" t="b">
        <v>0</v>
      </c>
      <c r="I72" s="46" t="b">
        <v>0</v>
      </c>
      <c r="J72" s="28" t="b">
        <v>0</v>
      </c>
      <c r="K72" s="28" t="b">
        <v>0</v>
      </c>
      <c r="L72" s="28" t="b">
        <v>0</v>
      </c>
      <c r="M72" s="28" t="b">
        <v>0</v>
      </c>
      <c r="N72" s="28" t="s">
        <v>82</v>
      </c>
      <c r="O72" s="28"/>
      <c r="P72" s="35" t="b">
        <v>0</v>
      </c>
      <c r="Q72" s="35" t="b">
        <v>0</v>
      </c>
      <c r="R72" s="34" t="str">
        <f>IFERROR(HYPERLINK("#Main!A"&amp;MATCH(A72,Main!A:A,0),"Open"),HYPERLINK("#Main!A1","Open"))</f>
        <v>Open</v>
      </c>
      <c r="S72" s="34"/>
    </row>
    <row r="73" spans="1:19" ht="30" customHeight="1" x14ac:dyDescent="0.25">
      <c r="A73" s="30" t="s">
        <v>647</v>
      </c>
      <c r="B73" s="50">
        <v>0</v>
      </c>
      <c r="C73" s="37" t="s">
        <v>896</v>
      </c>
      <c r="D73" s="37" t="s">
        <v>897</v>
      </c>
      <c r="E73" s="37">
        <v>0</v>
      </c>
      <c r="F73" s="37">
        <v>0</v>
      </c>
      <c r="G73" s="37">
        <v>0</v>
      </c>
      <c r="H73" s="46" t="b">
        <v>0</v>
      </c>
      <c r="I73" s="46" t="b">
        <v>0</v>
      </c>
      <c r="J73" s="37" t="b">
        <v>0</v>
      </c>
      <c r="K73" s="37" t="b">
        <v>0</v>
      </c>
      <c r="L73" s="37" t="b">
        <v>0</v>
      </c>
      <c r="M73" s="37" t="b">
        <v>0</v>
      </c>
      <c r="N73" s="37" t="s">
        <v>82</v>
      </c>
      <c r="O73" s="37"/>
      <c r="P73" s="35" t="b">
        <v>0</v>
      </c>
      <c r="Q73" s="35" t="b">
        <v>0</v>
      </c>
      <c r="R73" t="str">
        <f>IFERROR(HYPERLINK("#Main!A"&amp;MATCH(A73,Main!A:A,0),"Open"),HYPERLINK("#Main!A1","Open"))</f>
        <v>Open</v>
      </c>
    </row>
    <row r="74" spans="1:19" ht="30" customHeight="1" x14ac:dyDescent="0.25">
      <c r="A74" s="33" t="s">
        <v>652</v>
      </c>
      <c r="B74" s="49">
        <v>0</v>
      </c>
      <c r="C74" s="28" t="s">
        <v>896</v>
      </c>
      <c r="D74" s="28" t="s">
        <v>897</v>
      </c>
      <c r="E74" s="28">
        <v>0</v>
      </c>
      <c r="F74" s="28">
        <v>0</v>
      </c>
      <c r="G74" s="28">
        <v>0</v>
      </c>
      <c r="H74" s="46" t="b">
        <v>0</v>
      </c>
      <c r="I74" s="46" t="b">
        <v>0</v>
      </c>
      <c r="J74" s="28" t="b">
        <v>0</v>
      </c>
      <c r="K74" s="28" t="b">
        <v>0</v>
      </c>
      <c r="L74" s="28" t="b">
        <v>0</v>
      </c>
      <c r="M74" s="28" t="b">
        <v>0</v>
      </c>
      <c r="N74" s="28" t="s">
        <v>82</v>
      </c>
      <c r="O74" s="28"/>
      <c r="P74" s="35" t="b">
        <v>0</v>
      </c>
      <c r="Q74" s="35" t="b">
        <v>0</v>
      </c>
      <c r="R74" s="34" t="str">
        <f>IFERROR(HYPERLINK("#Main!A"&amp;MATCH(A74,Main!A:A,0),"Open"),HYPERLINK("#Main!A1","Open"))</f>
        <v>Open</v>
      </c>
      <c r="S74" s="34"/>
    </row>
    <row r="75" spans="1:19" ht="30" customHeight="1" x14ac:dyDescent="0.25">
      <c r="A75" s="30" t="s">
        <v>650</v>
      </c>
      <c r="B75" s="50">
        <v>0</v>
      </c>
      <c r="C75" s="37" t="s">
        <v>896</v>
      </c>
      <c r="D75" s="37" t="s">
        <v>897</v>
      </c>
      <c r="E75" s="37">
        <v>0</v>
      </c>
      <c r="F75" s="37">
        <v>0</v>
      </c>
      <c r="G75" s="37">
        <v>0</v>
      </c>
      <c r="H75" s="46" t="b">
        <v>0</v>
      </c>
      <c r="I75" s="46" t="b">
        <v>0</v>
      </c>
      <c r="J75" s="37" t="b">
        <v>0</v>
      </c>
      <c r="K75" s="37" t="b">
        <v>0</v>
      </c>
      <c r="L75" s="37" t="b">
        <v>0</v>
      </c>
      <c r="M75" s="37" t="b">
        <v>0</v>
      </c>
      <c r="N75" s="37" t="s">
        <v>82</v>
      </c>
      <c r="O75" s="37"/>
      <c r="P75" s="35" t="b">
        <v>0</v>
      </c>
      <c r="Q75" s="35" t="b">
        <v>0</v>
      </c>
      <c r="R75" t="str">
        <f>IFERROR(HYPERLINK("#Main!A"&amp;MATCH(A75,Main!A:A,0),"Open"),HYPERLINK("#Main!A1","Open"))</f>
        <v>Open</v>
      </c>
    </row>
    <row r="76" spans="1:19" ht="30" customHeight="1" x14ac:dyDescent="0.25">
      <c r="A76" s="33" t="s">
        <v>655</v>
      </c>
      <c r="B76" s="49">
        <v>0</v>
      </c>
      <c r="C76" s="28" t="s">
        <v>896</v>
      </c>
      <c r="D76" s="28" t="s">
        <v>897</v>
      </c>
      <c r="E76" s="28">
        <v>0</v>
      </c>
      <c r="F76" s="28">
        <v>0</v>
      </c>
      <c r="G76" s="28">
        <v>0</v>
      </c>
      <c r="H76" s="46" t="b">
        <v>0</v>
      </c>
      <c r="I76" s="46" t="b">
        <v>0</v>
      </c>
      <c r="J76" s="28" t="b">
        <v>0</v>
      </c>
      <c r="K76" s="28" t="b">
        <v>0</v>
      </c>
      <c r="L76" s="28" t="b">
        <v>0</v>
      </c>
      <c r="M76" s="28" t="b">
        <v>0</v>
      </c>
      <c r="N76" s="28" t="s">
        <v>82</v>
      </c>
      <c r="O76" s="28"/>
      <c r="P76" s="35" t="b">
        <v>0</v>
      </c>
      <c r="Q76" s="35" t="b">
        <v>0</v>
      </c>
      <c r="R76" s="34" t="str">
        <f>IFERROR(HYPERLINK("#Main!A"&amp;MATCH(A76,Main!A:A,0),"Open"),HYPERLINK("#Main!A1","Open"))</f>
        <v>Open</v>
      </c>
      <c r="S76" s="34"/>
    </row>
    <row r="77" spans="1:19" ht="30" customHeight="1" x14ac:dyDescent="0.25">
      <c r="A77" s="30" t="s">
        <v>658</v>
      </c>
      <c r="B77" s="50">
        <v>0</v>
      </c>
      <c r="C77" s="37" t="s">
        <v>896</v>
      </c>
      <c r="D77" s="37" t="s">
        <v>897</v>
      </c>
      <c r="E77" s="37">
        <v>0</v>
      </c>
      <c r="F77" s="37">
        <v>0</v>
      </c>
      <c r="G77" s="37">
        <v>0</v>
      </c>
      <c r="H77" s="46" t="b">
        <v>0</v>
      </c>
      <c r="I77" s="46" t="b">
        <v>0</v>
      </c>
      <c r="J77" s="37" t="b">
        <v>0</v>
      </c>
      <c r="K77" s="37" t="b">
        <v>0</v>
      </c>
      <c r="L77" s="37" t="b">
        <v>0</v>
      </c>
      <c r="M77" s="37" t="b">
        <v>0</v>
      </c>
      <c r="N77" s="37" t="s">
        <v>82</v>
      </c>
      <c r="O77" s="37"/>
      <c r="P77" s="35" t="b">
        <v>0</v>
      </c>
      <c r="Q77" s="35" t="b">
        <v>0</v>
      </c>
      <c r="R77" t="str">
        <f>IFERROR(HYPERLINK("#Main!A"&amp;MATCH(A77,Main!A:A,0),"Open"),HYPERLINK("#Main!A1","Open"))</f>
        <v>Open</v>
      </c>
    </row>
    <row r="78" spans="1:19" ht="30" customHeight="1" x14ac:dyDescent="0.25">
      <c r="A78" s="33" t="s">
        <v>661</v>
      </c>
      <c r="B78" s="49">
        <v>0</v>
      </c>
      <c r="C78" s="28" t="s">
        <v>896</v>
      </c>
      <c r="D78" s="28" t="s">
        <v>897</v>
      </c>
      <c r="E78" s="28">
        <v>0</v>
      </c>
      <c r="F78" s="28">
        <v>0</v>
      </c>
      <c r="G78" s="28">
        <v>0</v>
      </c>
      <c r="H78" s="46" t="b">
        <v>0</v>
      </c>
      <c r="I78" s="46" t="b">
        <v>0</v>
      </c>
      <c r="J78" s="28" t="b">
        <v>0</v>
      </c>
      <c r="K78" s="28" t="b">
        <v>0</v>
      </c>
      <c r="L78" s="28" t="b">
        <v>0</v>
      </c>
      <c r="M78" s="28" t="b">
        <v>0</v>
      </c>
      <c r="N78" s="28" t="s">
        <v>82</v>
      </c>
      <c r="O78" s="28"/>
      <c r="P78" s="35" t="b">
        <v>0</v>
      </c>
      <c r="Q78" s="35" t="b">
        <v>0</v>
      </c>
      <c r="R78" s="34" t="str">
        <f>IFERROR(HYPERLINK("#Main!A"&amp;MATCH(A78,Main!A:A,0),"Open"),HYPERLINK("#Main!A1","Open"))</f>
        <v>Open</v>
      </c>
      <c r="S78" s="34"/>
    </row>
    <row r="79" spans="1:19" ht="30" customHeight="1" x14ac:dyDescent="0.25">
      <c r="A79" s="30" t="s">
        <v>664</v>
      </c>
      <c r="B79" s="50">
        <v>0</v>
      </c>
      <c r="C79" s="37" t="s">
        <v>896</v>
      </c>
      <c r="D79" s="37" t="s">
        <v>897</v>
      </c>
      <c r="E79" s="37">
        <v>0</v>
      </c>
      <c r="F79" s="37">
        <v>0</v>
      </c>
      <c r="G79" s="37">
        <v>0</v>
      </c>
      <c r="H79" s="46" t="b">
        <v>0</v>
      </c>
      <c r="I79" s="46" t="b">
        <v>0</v>
      </c>
      <c r="J79" s="37" t="b">
        <v>0</v>
      </c>
      <c r="K79" s="37" t="b">
        <v>0</v>
      </c>
      <c r="L79" s="37" t="b">
        <v>0</v>
      </c>
      <c r="M79" s="37" t="b">
        <v>0</v>
      </c>
      <c r="N79" s="37" t="s">
        <v>82</v>
      </c>
      <c r="O79" s="37"/>
      <c r="P79" s="35" t="b">
        <v>0</v>
      </c>
      <c r="Q79" s="35" t="b">
        <v>0</v>
      </c>
      <c r="R79" t="str">
        <f>IFERROR(HYPERLINK("#Main!A"&amp;MATCH(A79,Main!A:A,0),"Open"),HYPERLINK("#Main!A1","Open"))</f>
        <v>Open</v>
      </c>
    </row>
    <row r="80" spans="1:19" ht="30" customHeight="1" x14ac:dyDescent="0.25">
      <c r="A80" s="33" t="s">
        <v>670</v>
      </c>
      <c r="B80" s="49">
        <v>0</v>
      </c>
      <c r="C80" s="28" t="s">
        <v>896</v>
      </c>
      <c r="D80" s="28" t="s">
        <v>897</v>
      </c>
      <c r="E80" s="28">
        <v>0</v>
      </c>
      <c r="F80" s="28">
        <v>0</v>
      </c>
      <c r="G80" s="28">
        <v>0</v>
      </c>
      <c r="H80" s="46" t="b">
        <v>0</v>
      </c>
      <c r="I80" s="46" t="b">
        <v>0</v>
      </c>
      <c r="J80" s="28" t="b">
        <v>0</v>
      </c>
      <c r="K80" s="28" t="b">
        <v>0</v>
      </c>
      <c r="L80" s="28" t="b">
        <v>0</v>
      </c>
      <c r="M80" s="28" t="b">
        <v>0</v>
      </c>
      <c r="N80" s="28" t="s">
        <v>82</v>
      </c>
      <c r="O80" s="28"/>
      <c r="P80" s="35" t="b">
        <v>0</v>
      </c>
      <c r="Q80" s="35" t="b">
        <v>0</v>
      </c>
      <c r="R80" s="34" t="str">
        <f>IFERROR(HYPERLINK("#Main!A"&amp;MATCH(A80,Main!A:A,0),"Open"),HYPERLINK("#Main!A1","Open"))</f>
        <v>Open</v>
      </c>
      <c r="S80" s="34"/>
    </row>
    <row r="81" spans="1:19" ht="30" customHeight="1" x14ac:dyDescent="0.25">
      <c r="A81" s="30" t="s">
        <v>667</v>
      </c>
      <c r="B81" s="50">
        <v>0</v>
      </c>
      <c r="C81" s="37" t="s">
        <v>896</v>
      </c>
      <c r="D81" s="37" t="s">
        <v>897</v>
      </c>
      <c r="E81" s="37">
        <v>0</v>
      </c>
      <c r="F81" s="37">
        <v>0</v>
      </c>
      <c r="G81" s="37">
        <v>0</v>
      </c>
      <c r="H81" s="46" t="b">
        <v>0</v>
      </c>
      <c r="I81" s="46" t="b">
        <v>0</v>
      </c>
      <c r="J81" s="37" t="b">
        <v>0</v>
      </c>
      <c r="K81" s="37" t="b">
        <v>0</v>
      </c>
      <c r="L81" s="37" t="b">
        <v>0</v>
      </c>
      <c r="M81" s="37" t="b">
        <v>0</v>
      </c>
      <c r="N81" s="37" t="s">
        <v>82</v>
      </c>
      <c r="O81" s="37"/>
      <c r="P81" s="35" t="b">
        <v>0</v>
      </c>
      <c r="Q81" s="35" t="b">
        <v>0</v>
      </c>
      <c r="R81" t="str">
        <f>IFERROR(HYPERLINK("#Main!A"&amp;MATCH(A81,Main!A:A,0),"Open"),HYPERLINK("#Main!A1","Open"))</f>
        <v>Open</v>
      </c>
    </row>
    <row r="82" spans="1:19" ht="30" customHeight="1" x14ac:dyDescent="0.25">
      <c r="A82" s="33" t="s">
        <v>673</v>
      </c>
      <c r="B82" s="49">
        <v>0</v>
      </c>
      <c r="C82" s="28" t="s">
        <v>896</v>
      </c>
      <c r="D82" s="28" t="s">
        <v>897</v>
      </c>
      <c r="E82" s="28">
        <v>0</v>
      </c>
      <c r="F82" s="28">
        <v>0</v>
      </c>
      <c r="G82" s="28">
        <v>0</v>
      </c>
      <c r="H82" s="46" t="b">
        <v>0</v>
      </c>
      <c r="I82" s="46" t="b">
        <v>0</v>
      </c>
      <c r="J82" s="28" t="b">
        <v>0</v>
      </c>
      <c r="K82" s="28" t="b">
        <v>0</v>
      </c>
      <c r="L82" s="28" t="b">
        <v>0</v>
      </c>
      <c r="M82" s="28" t="b">
        <v>0</v>
      </c>
      <c r="N82" s="28" t="s">
        <v>82</v>
      </c>
      <c r="O82" s="28"/>
      <c r="P82" s="35" t="b">
        <v>0</v>
      </c>
      <c r="Q82" s="35" t="b">
        <v>0</v>
      </c>
      <c r="R82" s="34" t="str">
        <f>IFERROR(HYPERLINK("#Main!A"&amp;MATCH(A82,Main!A:A,0),"Open"),HYPERLINK("#Main!A1","Open"))</f>
        <v>Open</v>
      </c>
      <c r="S82" s="34"/>
    </row>
    <row r="83" spans="1:19" ht="30" customHeight="1" x14ac:dyDescent="0.25">
      <c r="A83" s="30" t="s">
        <v>677</v>
      </c>
      <c r="B83" s="50">
        <v>0</v>
      </c>
      <c r="C83" s="37" t="s">
        <v>896</v>
      </c>
      <c r="D83" s="37" t="s">
        <v>897</v>
      </c>
      <c r="E83" s="37">
        <v>0</v>
      </c>
      <c r="F83" s="37">
        <v>0</v>
      </c>
      <c r="G83" s="37">
        <v>0</v>
      </c>
      <c r="H83" s="46" t="b">
        <v>0</v>
      </c>
      <c r="I83" s="46" t="b">
        <v>0</v>
      </c>
      <c r="J83" s="37" t="b">
        <v>0</v>
      </c>
      <c r="K83" s="37" t="b">
        <v>0</v>
      </c>
      <c r="L83" s="37" t="b">
        <v>0</v>
      </c>
      <c r="M83" s="37" t="b">
        <v>0</v>
      </c>
      <c r="N83" s="37" t="s">
        <v>82</v>
      </c>
      <c r="O83" s="37"/>
      <c r="P83" s="35" t="b">
        <v>0</v>
      </c>
      <c r="Q83" s="35" t="b">
        <v>0</v>
      </c>
      <c r="R83" t="str">
        <f>IFERROR(HYPERLINK("#Main!A"&amp;MATCH(A83,Main!A:A,0),"Open"),HYPERLINK("#Main!A1","Open"))</f>
        <v>Open</v>
      </c>
    </row>
    <row r="84" spans="1:19" ht="30" customHeight="1" x14ac:dyDescent="0.25">
      <c r="A84" s="33" t="s">
        <v>680</v>
      </c>
      <c r="B84" s="49">
        <v>0</v>
      </c>
      <c r="C84" s="28" t="s">
        <v>896</v>
      </c>
      <c r="D84" s="28" t="s">
        <v>897</v>
      </c>
      <c r="E84" s="28">
        <v>0</v>
      </c>
      <c r="F84" s="28">
        <v>0</v>
      </c>
      <c r="G84" s="28">
        <v>0</v>
      </c>
      <c r="H84" s="46" t="b">
        <v>0</v>
      </c>
      <c r="I84" s="46" t="b">
        <v>0</v>
      </c>
      <c r="J84" s="28" t="b">
        <v>0</v>
      </c>
      <c r="K84" s="28" t="b">
        <v>0</v>
      </c>
      <c r="L84" s="28" t="b">
        <v>0</v>
      </c>
      <c r="M84" s="28" t="b">
        <v>0</v>
      </c>
      <c r="N84" s="28" t="s">
        <v>82</v>
      </c>
      <c r="O84" s="28"/>
      <c r="P84" s="35" t="b">
        <v>0</v>
      </c>
      <c r="Q84" s="35" t="b">
        <v>0</v>
      </c>
      <c r="R84" s="34" t="str">
        <f>IFERROR(HYPERLINK("#Main!A"&amp;MATCH(A84,Main!A:A,0),"Open"),HYPERLINK("#Main!A1","Open"))</f>
        <v>Open</v>
      </c>
      <c r="S84" s="34"/>
    </row>
    <row r="85" spans="1:19" ht="30" customHeight="1" x14ac:dyDescent="0.25">
      <c r="A85" s="30" t="s">
        <v>683</v>
      </c>
      <c r="B85" s="50">
        <v>0</v>
      </c>
      <c r="C85" s="37" t="s">
        <v>896</v>
      </c>
      <c r="D85" s="37" t="s">
        <v>897</v>
      </c>
      <c r="E85" s="37">
        <v>0</v>
      </c>
      <c r="F85" s="37">
        <v>0</v>
      </c>
      <c r="G85" s="37">
        <v>0</v>
      </c>
      <c r="H85" s="46" t="b">
        <v>0</v>
      </c>
      <c r="I85" s="46" t="b">
        <v>0</v>
      </c>
      <c r="J85" s="37" t="b">
        <v>0</v>
      </c>
      <c r="K85" s="37" t="b">
        <v>0</v>
      </c>
      <c r="L85" s="37" t="b">
        <v>0</v>
      </c>
      <c r="M85" s="37" t="b">
        <v>0</v>
      </c>
      <c r="N85" s="37" t="s">
        <v>82</v>
      </c>
      <c r="O85" s="37"/>
      <c r="P85" s="35" t="b">
        <v>0</v>
      </c>
      <c r="Q85" s="35" t="b">
        <v>0</v>
      </c>
      <c r="R85" t="str">
        <f>IFERROR(HYPERLINK("#Main!A"&amp;MATCH(A85,Main!A:A,0),"Open"),HYPERLINK("#Main!A1","Open"))</f>
        <v>Open</v>
      </c>
    </row>
    <row r="86" spans="1:19" ht="30" customHeight="1" x14ac:dyDescent="0.25">
      <c r="A86" s="33" t="s">
        <v>686</v>
      </c>
      <c r="B86" s="49">
        <v>0</v>
      </c>
      <c r="C86" s="28" t="s">
        <v>896</v>
      </c>
      <c r="D86" s="28" t="s">
        <v>897</v>
      </c>
      <c r="E86" s="28">
        <v>0</v>
      </c>
      <c r="F86" s="28">
        <v>0</v>
      </c>
      <c r="G86" s="28">
        <v>0</v>
      </c>
      <c r="H86" s="46" t="b">
        <v>0</v>
      </c>
      <c r="I86" s="46" t="b">
        <v>0</v>
      </c>
      <c r="J86" s="28" t="b">
        <v>0</v>
      </c>
      <c r="K86" s="28" t="b">
        <v>0</v>
      </c>
      <c r="L86" s="28" t="b">
        <v>0</v>
      </c>
      <c r="M86" s="28" t="b">
        <v>0</v>
      </c>
      <c r="N86" s="28" t="s">
        <v>82</v>
      </c>
      <c r="O86" s="28"/>
      <c r="P86" s="35" t="b">
        <v>0</v>
      </c>
      <c r="Q86" s="35" t="b">
        <v>0</v>
      </c>
      <c r="R86" s="34" t="str">
        <f>IFERROR(HYPERLINK("#Main!A"&amp;MATCH(A86,Main!A:A,0),"Open"),HYPERLINK("#Main!A1","Open"))</f>
        <v>Open</v>
      </c>
      <c r="S86" s="34"/>
    </row>
  </sheetData>
  <autoFilter ref="A1:S86" xr:uid="{00000000-0009-0000-0000-000008000000}"/>
  <conditionalFormatting sqref="B2:B86">
    <cfRule type="colorScale" priority="1">
      <colorScale>
        <cfvo type="min"/>
        <cfvo type="percentile" val="50"/>
        <cfvo type="max"/>
        <color rgb="FFF8696B"/>
        <color rgb="FFFFEB84"/>
        <color rgb="FF63BE7B"/>
      </colorScale>
    </cfRule>
  </conditionalFormatting>
  <conditionalFormatting sqref="G2:G86">
    <cfRule type="cellIs" dxfId="39" priority="2" operator="equal">
      <formula>0</formula>
    </cfRule>
    <cfRule type="cellIs" dxfId="38" priority="3" operator="between">
      <formula>1</formula>
      <formula>2</formula>
    </cfRule>
    <cfRule type="cellIs" dxfId="37" priority="4" operator="greaterThanOrEqual">
      <formula>3</formula>
    </cfRule>
  </conditionalFormatting>
  <dataValidations count="20">
    <dataValidation type="custom" allowBlank="1" showInputMessage="1" promptTitle="URL" prompt="URL. Use this URL to inspect the page directly or jump to related tabs." sqref="A1" xr:uid="{00000000-0002-0000-0800-000000000000}">
      <formula1>TRUE</formula1>
    </dataValidation>
    <dataValidation type="custom" allowBlank="1" showInputMessage="1" promptTitle="AEO Readiness Score" prompt="AEO Readiness Score. Review this metric to identify risk, then use linked tabs for details and remediation." sqref="B1" xr:uid="{00000000-0002-0000-0800-000001000000}">
      <formula1>TRUE</formula1>
    </dataValidation>
    <dataValidation type="custom" allowBlank="1" showInputMessage="1" promptTitle="AEO Badge" prompt="AEO Badge. Review this metric to identify risk, then use linked tabs for details and remediation." sqref="C1" xr:uid="{00000000-0002-0000-0800-000002000000}">
      <formula1>TRUE</formula1>
    </dataValidation>
    <dataValidation type="custom" allowBlank="1" showInputMessage="1" promptTitle="Why It Matters" prompt="Why It Matters. Review this metric to identify risk, then use linked tabs for details and remediation." sqref="D1" xr:uid="{00000000-0002-0000-0800-000003000000}">
      <formula1>TRUE</formula1>
    </dataValidation>
    <dataValidation type="custom" allowBlank="1" showInputMessage="1" promptTitle="FAQ Section Count" prompt="Summary grouping/navigation field. Use with hyperlinks to jump into detailed tabs." sqref="E1" xr:uid="{00000000-0002-0000-0800-000004000000}">
      <formula1>TRUE</formula1>
    </dataValidation>
    <dataValidation type="custom" allowBlank="1" showInputMessage="1" promptTitle="Question Heading Count" prompt="Question Heading Count. Review this metric to identify risk, then use linked tabs for details and remediation." sqref="F1" xr:uid="{00000000-0002-0000-0800-000005000000}">
      <formula1>TRUE</formula1>
    </dataValidation>
    <dataValidation type="custom" allowBlank="1" showInputMessage="1" promptTitle="Paragraphs 40-60 Words Count" prompt="Paragraphs 40-60 Words Count. Review this metric to identify risk, then use linked tabs for details and remediation." sqref="G1" xr:uid="{00000000-0002-0000-0800-000006000000}">
      <formula1>TRUE</formula1>
    </dataValidation>
    <dataValidation type="custom" allowBlank="1" showInputMessage="1" promptTitle="QAPage/FAQ Schema Present" prompt="Structured data signal. Fix: add valid schema types and correct parsing/validation errors." sqref="H1" xr:uid="{00000000-0002-0000-0800-000007000000}">
      <formula1>TRUE</formula1>
    </dataValidation>
    <dataValidation type="custom" allowBlank="1" showInputMessage="1" promptTitle="Speakable Schema Present" prompt="Structured data signal. Fix: add valid schema types and correct parsing/validation errors." sqref="I1" xr:uid="{00000000-0002-0000-0800-000008000000}">
      <formula1>TRUE</formula1>
    </dataValidation>
    <dataValidation type="custom" allowBlank="1" showInputMessage="1" promptTitle="HowTo Signal" prompt="HowTo Signal. Review this metric to identify risk, then use linked tabs for details and remediation." sqref="J1" xr:uid="{00000000-0002-0000-0800-000009000000}">
      <formula1>TRUE</formula1>
    </dataValidation>
    <dataValidation type="custom" allowBlank="1" showInputMessage="1" promptTitle="Definition Signal" prompt="Definition Signal. Review this metric to identify risk, then use linked tabs for details and remediation." sqref="K1" xr:uid="{00000000-0002-0000-0800-00000A000000}">
      <formula1>TRUE</formula1>
    </dataValidation>
    <dataValidation type="custom" allowBlank="1" showInputMessage="1" promptTitle="List/Table Answer Signal" prompt="List/Table Answer Signal. Review this metric to identify risk, then use linked tabs for details and remediation." sqref="L1" xr:uid="{00000000-0002-0000-0800-00000B000000}">
      <formula1>TRUE</formula1>
    </dataValidation>
    <dataValidation type="custom" allowBlank="1" showInputMessage="1" promptTitle="Answer Block Detected (First 60 " prompt="Answer Block Detected (First 60 Words). Review this metric to identify risk, then use linked tabs for details and remediation." sqref="M1" xr:uid="{00000000-0002-0000-0800-00000C000000}">
      <formula1>TRUE</formula1>
    </dataValidation>
    <dataValidation type="custom" allowBlank="1" showInputMessage="1" promptTitle="AEO Extractability Score" prompt="AEO Extractability Score. Review this metric to identify risk, then use linked tabs for details and remediation." sqref="N1" xr:uid="{00000000-0002-0000-0800-00000D000000}">
      <formula1>TRUE</formula1>
    </dataValidation>
    <dataValidation type="custom" allowBlank="1" showInputMessage="1" promptTitle="Snippet Preview Mockup" prompt="Snippet Preview Mockup. Review this metric to identify risk, then use linked tabs for details and remediation." sqref="O1" xr:uid="{00000000-0002-0000-0800-00000E000000}">
      <formula1>TRUE</formula1>
    </dataValidation>
    <dataValidation type="custom" allowBlank="1" showInputMessage="1" promptTitle="Title Missing" prompt="Title Missing. Review this metric to identify risk, then use linked tabs for details and remediation." sqref="P1" xr:uid="{00000000-0002-0000-0800-00000F000000}">
      <formula1>TRUE</formula1>
    </dataValidation>
    <dataValidation type="custom" allowBlank="1" showInputMessage="1" promptTitle="Meta Description Missing" prompt="Meta Description Missing. Review this metric to identify risk, then use linked tabs for details and remediation." sqref="Q1" xr:uid="{00000000-0002-0000-0800-000010000000}">
      <formula1>TRUE</formula1>
    </dataValidation>
    <dataValidation type="custom" allowBlank="1" showInputMessage="1" promptTitle="Open in Main" prompt="Navigation helper. Click to jump directly to the related record in another tab." sqref="R1" xr:uid="{00000000-0002-0000-0800-000011000000}">
      <formula1>TRUE</formula1>
    </dataValidation>
    <dataValidation type="custom" allowBlank="1" showInputMessage="1" promptTitle="BACK TO DASHBOARD" prompt="BACK TO DASHBOARD. Review this metric to identify risk, then use linked tabs for details and remediation." sqref="S1" xr:uid="{00000000-0002-0000-0800-000012000000}">
      <formula1>TRUE</formula1>
    </dataValidation>
    <dataValidation type="custom" allowBlank="1" showInputMessage="1" promptTitle="AEO Readiness Score" prompt="Composite Answer Engine Optimization quality score. Fix: Add concise answer sections, FAQ schema, and clear question headings." sqref="B1" xr:uid="{00000000-0002-0000-0800-000013000000}">
      <formula1>TRUE</formula1>
    </dataValidation>
  </dataValidations>
  <hyperlinks>
    <hyperlink ref="S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3" width="20" customWidth="1"/>
    <col min="4" max="4" width="21" customWidth="1"/>
    <col min="5" max="7" width="60" customWidth="1"/>
    <col min="8" max="9" width="21" customWidth="1"/>
  </cols>
  <sheetData>
    <row r="1" spans="1:11" ht="45" x14ac:dyDescent="0.25">
      <c r="A1" s="27" t="s">
        <v>102</v>
      </c>
      <c r="B1" s="27" t="s">
        <v>727</v>
      </c>
      <c r="C1" s="27" t="s">
        <v>726</v>
      </c>
      <c r="D1" s="27" t="s">
        <v>899</v>
      </c>
      <c r="E1" s="27" t="s">
        <v>900</v>
      </c>
      <c r="F1" s="27" t="s">
        <v>901</v>
      </c>
      <c r="G1" s="27" t="s">
        <v>285</v>
      </c>
      <c r="H1" s="27" t="s">
        <v>902</v>
      </c>
      <c r="I1" s="27" t="s">
        <v>903</v>
      </c>
      <c r="J1" s="27" t="s">
        <v>122</v>
      </c>
      <c r="K1" s="36" t="s">
        <v>251</v>
      </c>
    </row>
    <row r="2" spans="1:11" ht="15.75" x14ac:dyDescent="0.25">
      <c r="A2" s="33" t="s">
        <v>127</v>
      </c>
      <c r="B2" s="28"/>
      <c r="C2" s="28">
        <v>0</v>
      </c>
      <c r="D2" s="28">
        <v>0</v>
      </c>
      <c r="E2" s="28" t="s">
        <v>904</v>
      </c>
      <c r="F2" s="28" t="s">
        <v>905</v>
      </c>
      <c r="G2" s="28" t="s">
        <v>133</v>
      </c>
      <c r="H2" s="35" t="b">
        <v>1</v>
      </c>
      <c r="I2" s="28" t="s">
        <v>906</v>
      </c>
      <c r="J2" s="34" t="str">
        <f>IFERROR(HYPERLINK("#Main!A"&amp;MATCH(A2,Main!A:A,0),"Open"),HYPERLINK("#Main!A1","Open"))</f>
        <v>Open</v>
      </c>
      <c r="K2" s="34"/>
    </row>
    <row r="3" spans="1:11" ht="30" customHeight="1" x14ac:dyDescent="0.25">
      <c r="A3" s="30" t="s">
        <v>135</v>
      </c>
      <c r="B3" s="37"/>
      <c r="C3" s="37">
        <v>0</v>
      </c>
      <c r="D3" s="37">
        <v>0</v>
      </c>
      <c r="E3" s="37" t="s">
        <v>139</v>
      </c>
      <c r="F3" s="37" t="s">
        <v>140</v>
      </c>
      <c r="G3" s="37" t="s">
        <v>133</v>
      </c>
      <c r="H3" s="35" t="b">
        <v>1</v>
      </c>
      <c r="I3" s="37" t="s">
        <v>906</v>
      </c>
      <c r="J3" t="str">
        <f>IFERROR(HYPERLINK("#Main!A"&amp;MATCH(A3,Main!A:A,0),"Open"),HYPERLINK("#Main!A1","Open"))</f>
        <v>Open</v>
      </c>
    </row>
    <row r="4" spans="1:11" ht="30" customHeight="1" x14ac:dyDescent="0.25">
      <c r="A4" s="33" t="s">
        <v>144</v>
      </c>
      <c r="B4" s="28"/>
      <c r="C4" s="28">
        <v>0</v>
      </c>
      <c r="D4" s="28">
        <v>0</v>
      </c>
      <c r="E4" s="28" t="s">
        <v>148</v>
      </c>
      <c r="F4" s="28" t="s">
        <v>149</v>
      </c>
      <c r="G4" s="28" t="s">
        <v>133</v>
      </c>
      <c r="H4" s="35" t="b">
        <v>1</v>
      </c>
      <c r="I4" s="28" t="s">
        <v>906</v>
      </c>
      <c r="J4" s="34" t="str">
        <f>IFERROR(HYPERLINK("#Main!A"&amp;MATCH(A4,Main!A:A,0),"Open"),HYPERLINK("#Main!A1","Open"))</f>
        <v>Open</v>
      </c>
      <c r="K4" s="34"/>
    </row>
    <row r="5" spans="1:11" ht="30" customHeight="1" x14ac:dyDescent="0.25">
      <c r="A5" s="30" t="s">
        <v>152</v>
      </c>
      <c r="B5" s="37"/>
      <c r="C5" s="37">
        <v>0</v>
      </c>
      <c r="D5" s="37">
        <v>0</v>
      </c>
      <c r="E5" s="37" t="s">
        <v>156</v>
      </c>
      <c r="F5" s="37" t="s">
        <v>157</v>
      </c>
      <c r="G5" s="37" t="s">
        <v>159</v>
      </c>
      <c r="H5" s="35" t="b">
        <v>1</v>
      </c>
      <c r="I5" s="37" t="s">
        <v>906</v>
      </c>
      <c r="J5" t="str">
        <f>IFERROR(HYPERLINK("#Main!A"&amp;MATCH(A5,Main!A:A,0),"Open"),HYPERLINK("#Main!A1","Open"))</f>
        <v>Open</v>
      </c>
    </row>
    <row r="6" spans="1:11" ht="30" customHeight="1" x14ac:dyDescent="0.25">
      <c r="A6" s="33" t="s">
        <v>169</v>
      </c>
      <c r="B6" s="28"/>
      <c r="C6" s="28">
        <v>0</v>
      </c>
      <c r="D6" s="28">
        <v>0</v>
      </c>
      <c r="E6" s="28" t="s">
        <v>173</v>
      </c>
      <c r="F6" s="28" t="s">
        <v>174</v>
      </c>
      <c r="G6" s="28" t="s">
        <v>133</v>
      </c>
      <c r="H6" s="35" t="b">
        <v>1</v>
      </c>
      <c r="I6" s="28" t="s">
        <v>906</v>
      </c>
      <c r="J6" s="34" t="str">
        <f>IFERROR(HYPERLINK("#Main!A"&amp;MATCH(A6,Main!A:A,0),"Open"),HYPERLINK("#Main!A1","Open"))</f>
        <v>Open</v>
      </c>
      <c r="K6" s="34"/>
    </row>
    <row r="7" spans="1:11" ht="30" customHeight="1" x14ac:dyDescent="0.25">
      <c r="A7" s="30" t="s">
        <v>177</v>
      </c>
      <c r="B7" s="37"/>
      <c r="C7" s="37">
        <v>0</v>
      </c>
      <c r="D7" s="37">
        <v>0</v>
      </c>
      <c r="E7" s="37" t="s">
        <v>181</v>
      </c>
      <c r="F7" s="37" t="s">
        <v>182</v>
      </c>
      <c r="G7" s="37" t="s">
        <v>133</v>
      </c>
      <c r="H7" s="35" t="b">
        <v>1</v>
      </c>
      <c r="I7" s="37" t="s">
        <v>906</v>
      </c>
      <c r="J7" t="str">
        <f>IFERROR(HYPERLINK("#Main!A"&amp;MATCH(A7,Main!A:A,0),"Open"),HYPERLINK("#Main!A1","Open"))</f>
        <v>Open</v>
      </c>
    </row>
    <row r="8" spans="1:11" ht="30" customHeight="1" x14ac:dyDescent="0.25">
      <c r="A8" s="33" t="s">
        <v>161</v>
      </c>
      <c r="B8" s="28"/>
      <c r="C8" s="28">
        <v>0</v>
      </c>
      <c r="D8" s="28">
        <v>0</v>
      </c>
      <c r="E8" s="28" t="s">
        <v>165</v>
      </c>
      <c r="F8" s="28" t="s">
        <v>166</v>
      </c>
      <c r="G8" s="28" t="s">
        <v>133</v>
      </c>
      <c r="H8" s="35" t="b">
        <v>1</v>
      </c>
      <c r="I8" s="28" t="s">
        <v>906</v>
      </c>
      <c r="J8" s="34" t="str">
        <f>IFERROR(HYPERLINK("#Main!A"&amp;MATCH(A8,Main!A:A,0),"Open"),HYPERLINK("#Main!A1","Open"))</f>
        <v>Open</v>
      </c>
      <c r="K8" s="34"/>
    </row>
    <row r="9" spans="1:11" ht="30" customHeight="1" x14ac:dyDescent="0.25">
      <c r="A9" s="30" t="s">
        <v>185</v>
      </c>
      <c r="B9" s="37"/>
      <c r="C9" s="37">
        <v>0</v>
      </c>
      <c r="D9" s="37">
        <v>0</v>
      </c>
      <c r="E9" s="37" t="s">
        <v>189</v>
      </c>
      <c r="F9" s="37" t="s">
        <v>190</v>
      </c>
      <c r="G9" s="37" t="s">
        <v>159</v>
      </c>
      <c r="H9" s="35" t="b">
        <v>1</v>
      </c>
      <c r="I9" s="37" t="s">
        <v>906</v>
      </c>
      <c r="J9" t="str">
        <f>IFERROR(HYPERLINK("#Main!A"&amp;MATCH(A9,Main!A:A,0),"Open"),HYPERLINK("#Main!A1","Open"))</f>
        <v>Open</v>
      </c>
    </row>
    <row r="10" spans="1:11" ht="30" customHeight="1" x14ac:dyDescent="0.25">
      <c r="A10" s="33" t="s">
        <v>201</v>
      </c>
      <c r="B10" s="28"/>
      <c r="C10" s="28">
        <v>0</v>
      </c>
      <c r="D10" s="28">
        <v>0</v>
      </c>
      <c r="E10" s="28" t="s">
        <v>205</v>
      </c>
      <c r="F10" s="28"/>
      <c r="G10" s="28" t="s">
        <v>159</v>
      </c>
      <c r="H10" s="46" t="b">
        <v>0</v>
      </c>
      <c r="I10" s="28" t="s">
        <v>906</v>
      </c>
      <c r="J10" s="34" t="str">
        <f>IFERROR(HYPERLINK("#Main!A"&amp;MATCH(A10,Main!A:A,0),"Open"),HYPERLINK("#Main!A1","Open"))</f>
        <v>Open</v>
      </c>
      <c r="K10" s="34"/>
    </row>
    <row r="11" spans="1:11" ht="30" customHeight="1" x14ac:dyDescent="0.25">
      <c r="A11" s="30" t="s">
        <v>193</v>
      </c>
      <c r="B11" s="37"/>
      <c r="C11" s="37">
        <v>0</v>
      </c>
      <c r="D11" s="37">
        <v>0</v>
      </c>
      <c r="E11" s="37" t="s">
        <v>197</v>
      </c>
      <c r="F11" s="37" t="s">
        <v>198</v>
      </c>
      <c r="G11" s="37" t="s">
        <v>159</v>
      </c>
      <c r="H11" s="35" t="b">
        <v>1</v>
      </c>
      <c r="I11" s="37" t="s">
        <v>906</v>
      </c>
      <c r="J11" t="str">
        <f>IFERROR(HYPERLINK("#Main!A"&amp;MATCH(A11,Main!A:A,0),"Open"),HYPERLINK("#Main!A1","Open"))</f>
        <v>Open</v>
      </c>
    </row>
    <row r="12" spans="1:11" ht="30" customHeight="1" x14ac:dyDescent="0.25">
      <c r="A12" s="33" t="s">
        <v>216</v>
      </c>
      <c r="B12" s="28"/>
      <c r="C12" s="28">
        <v>0</v>
      </c>
      <c r="D12" s="28">
        <v>0</v>
      </c>
      <c r="E12" s="28" t="s">
        <v>220</v>
      </c>
      <c r="F12" s="28" t="s">
        <v>221</v>
      </c>
      <c r="G12" s="28" t="s">
        <v>159</v>
      </c>
      <c r="H12" s="35" t="b">
        <v>1</v>
      </c>
      <c r="I12" s="28" t="s">
        <v>906</v>
      </c>
      <c r="J12" s="34" t="str">
        <f>IFERROR(HYPERLINK("#Main!A"&amp;MATCH(A12,Main!A:A,0),"Open"),HYPERLINK("#Main!A1","Open"))</f>
        <v>Open</v>
      </c>
      <c r="K12" s="34"/>
    </row>
    <row r="13" spans="1:11" ht="30" customHeight="1" x14ac:dyDescent="0.25">
      <c r="A13" s="30" t="s">
        <v>208</v>
      </c>
      <c r="B13" s="37"/>
      <c r="C13" s="37">
        <v>0</v>
      </c>
      <c r="D13" s="37">
        <v>0</v>
      </c>
      <c r="E13" s="37" t="s">
        <v>212</v>
      </c>
      <c r="F13" s="37" t="s">
        <v>213</v>
      </c>
      <c r="G13" s="37" t="s">
        <v>159</v>
      </c>
      <c r="H13" s="35" t="b">
        <v>1</v>
      </c>
      <c r="I13" s="37" t="s">
        <v>906</v>
      </c>
      <c r="J13" t="str">
        <f>IFERROR(HYPERLINK("#Main!A"&amp;MATCH(A13,Main!A:A,0),"Open"),HYPERLINK("#Main!A1","Open"))</f>
        <v>Open</v>
      </c>
    </row>
    <row r="14" spans="1:11" ht="30" customHeight="1" x14ac:dyDescent="0.25">
      <c r="A14" s="33" t="s">
        <v>224</v>
      </c>
      <c r="B14" s="28"/>
      <c r="C14" s="28">
        <v>0</v>
      </c>
      <c r="D14" s="28">
        <v>0</v>
      </c>
      <c r="E14" s="28" t="s">
        <v>228</v>
      </c>
      <c r="F14" s="28" t="s">
        <v>229</v>
      </c>
      <c r="G14" s="28" t="s">
        <v>231</v>
      </c>
      <c r="H14" s="35" t="b">
        <v>1</v>
      </c>
      <c r="I14" s="28" t="s">
        <v>906</v>
      </c>
      <c r="J14" s="34" t="str">
        <f>IFERROR(HYPERLINK("#Main!A"&amp;MATCH(A14,Main!A:A,0),"Open"),HYPERLINK("#Main!A1","Open"))</f>
        <v>Open</v>
      </c>
      <c r="K14" s="34"/>
    </row>
    <row r="15" spans="1:11" ht="30" customHeight="1" x14ac:dyDescent="0.25">
      <c r="A15" s="30" t="s">
        <v>233</v>
      </c>
      <c r="B15" s="37"/>
      <c r="C15" s="37">
        <v>0</v>
      </c>
      <c r="D15" s="37">
        <v>0</v>
      </c>
      <c r="E15" s="37" t="s">
        <v>237</v>
      </c>
      <c r="F15" s="37" t="s">
        <v>238</v>
      </c>
      <c r="G15" s="37" t="s">
        <v>159</v>
      </c>
      <c r="H15" s="35" t="b">
        <v>1</v>
      </c>
      <c r="I15" s="37" t="s">
        <v>906</v>
      </c>
      <c r="J15" t="str">
        <f>IFERROR(HYPERLINK("#Main!A"&amp;MATCH(A15,Main!A:A,0),"Open"),HYPERLINK("#Main!A1","Open"))</f>
        <v>Open</v>
      </c>
    </row>
    <row r="16" spans="1:11" ht="30" customHeight="1" x14ac:dyDescent="0.25">
      <c r="A16" s="33" t="s">
        <v>241</v>
      </c>
      <c r="B16" s="28"/>
      <c r="C16" s="28">
        <v>0</v>
      </c>
      <c r="D16" s="28">
        <v>0</v>
      </c>
      <c r="E16" s="28" t="s">
        <v>245</v>
      </c>
      <c r="F16" s="28" t="s">
        <v>246</v>
      </c>
      <c r="G16" s="28" t="s">
        <v>159</v>
      </c>
      <c r="H16" s="35" t="b">
        <v>1</v>
      </c>
      <c r="I16" s="28" t="s">
        <v>906</v>
      </c>
      <c r="J16" s="34" t="str">
        <f>IFERROR(HYPERLINK("#Main!A"&amp;MATCH(A16,Main!A:A,0),"Open"),HYPERLINK("#Main!A1","Open"))</f>
        <v>Open</v>
      </c>
      <c r="K16" s="34"/>
    </row>
    <row r="17" spans="1:11" ht="30" customHeight="1" x14ac:dyDescent="0.25">
      <c r="A17" s="30" t="s">
        <v>485</v>
      </c>
      <c r="B17" s="37"/>
      <c r="C17" s="37">
        <v>0</v>
      </c>
      <c r="D17" s="37">
        <v>0</v>
      </c>
      <c r="E17" s="37" t="s">
        <v>486</v>
      </c>
      <c r="F17" s="37" t="s">
        <v>487</v>
      </c>
      <c r="G17" s="37" t="s">
        <v>159</v>
      </c>
      <c r="H17" s="35" t="b">
        <v>1</v>
      </c>
      <c r="I17" s="37" t="s">
        <v>906</v>
      </c>
      <c r="J17" t="str">
        <f>IFERROR(HYPERLINK("#Main!A"&amp;MATCH(A17,Main!A:A,0),"Open"),HYPERLINK("#Main!A1","Open"))</f>
        <v>Open</v>
      </c>
    </row>
    <row r="18" spans="1:11" ht="30" customHeight="1" x14ac:dyDescent="0.25">
      <c r="A18" s="33" t="s">
        <v>491</v>
      </c>
      <c r="B18" s="28"/>
      <c r="C18" s="28">
        <v>0</v>
      </c>
      <c r="D18" s="28">
        <v>0</v>
      </c>
      <c r="E18" s="28" t="s">
        <v>492</v>
      </c>
      <c r="F18" s="28" t="s">
        <v>493</v>
      </c>
      <c r="G18" s="28" t="s">
        <v>159</v>
      </c>
      <c r="H18" s="35" t="b">
        <v>1</v>
      </c>
      <c r="I18" s="28" t="s">
        <v>906</v>
      </c>
      <c r="J18" s="34" t="str">
        <f>IFERROR(HYPERLINK("#Main!A"&amp;MATCH(A18,Main!A:A,0),"Open"),HYPERLINK("#Main!A1","Open"))</f>
        <v>Open</v>
      </c>
      <c r="K18" s="34"/>
    </row>
    <row r="19" spans="1:11" ht="30" customHeight="1" x14ac:dyDescent="0.25">
      <c r="A19" s="30" t="s">
        <v>488</v>
      </c>
      <c r="B19" s="37"/>
      <c r="C19" s="37">
        <v>0</v>
      </c>
      <c r="D19" s="37">
        <v>0</v>
      </c>
      <c r="E19" s="37" t="s">
        <v>489</v>
      </c>
      <c r="F19" s="37" t="s">
        <v>490</v>
      </c>
      <c r="G19" s="37" t="s">
        <v>159</v>
      </c>
      <c r="H19" s="35" t="b">
        <v>1</v>
      </c>
      <c r="I19" s="37" t="s">
        <v>906</v>
      </c>
      <c r="J19" t="str">
        <f>IFERROR(HYPERLINK("#Main!A"&amp;MATCH(A19,Main!A:A,0),"Open"),HYPERLINK("#Main!A1","Open"))</f>
        <v>Open</v>
      </c>
    </row>
    <row r="20" spans="1:11" ht="30" customHeight="1" x14ac:dyDescent="0.25">
      <c r="A20" s="33" t="s">
        <v>494</v>
      </c>
      <c r="B20" s="28"/>
      <c r="C20" s="28">
        <v>0</v>
      </c>
      <c r="D20" s="28">
        <v>0</v>
      </c>
      <c r="E20" s="28" t="s">
        <v>495</v>
      </c>
      <c r="F20" s="28" t="s">
        <v>496</v>
      </c>
      <c r="G20" s="28" t="s">
        <v>159</v>
      </c>
      <c r="H20" s="35" t="b">
        <v>1</v>
      </c>
      <c r="I20" s="28" t="s">
        <v>906</v>
      </c>
      <c r="J20" s="34" t="str">
        <f>IFERROR(HYPERLINK("#Main!A"&amp;MATCH(A20,Main!A:A,0),"Open"),HYPERLINK("#Main!A1","Open"))</f>
        <v>Open</v>
      </c>
      <c r="K20" s="34"/>
    </row>
    <row r="21" spans="1:11" ht="30" customHeight="1" x14ac:dyDescent="0.25">
      <c r="A21" s="30" t="s">
        <v>500</v>
      </c>
      <c r="B21" s="37"/>
      <c r="C21" s="37">
        <v>0</v>
      </c>
      <c r="D21" s="37">
        <v>0</v>
      </c>
      <c r="E21" s="37" t="s">
        <v>501</v>
      </c>
      <c r="F21" s="37" t="s">
        <v>502</v>
      </c>
      <c r="G21" s="37" t="s">
        <v>159</v>
      </c>
      <c r="H21" s="35" t="b">
        <v>1</v>
      </c>
      <c r="I21" s="37" t="s">
        <v>906</v>
      </c>
      <c r="J21" t="str">
        <f>IFERROR(HYPERLINK("#Main!A"&amp;MATCH(A21,Main!A:A,0),"Open"),HYPERLINK("#Main!A1","Open"))</f>
        <v>Open</v>
      </c>
    </row>
    <row r="22" spans="1:11" ht="30" customHeight="1" x14ac:dyDescent="0.25">
      <c r="A22" s="33" t="s">
        <v>497</v>
      </c>
      <c r="B22" s="28"/>
      <c r="C22" s="28">
        <v>0</v>
      </c>
      <c r="D22" s="28">
        <v>0</v>
      </c>
      <c r="E22" s="28" t="s">
        <v>498</v>
      </c>
      <c r="F22" s="28" t="s">
        <v>499</v>
      </c>
      <c r="G22" s="28" t="s">
        <v>159</v>
      </c>
      <c r="H22" s="35" t="b">
        <v>1</v>
      </c>
      <c r="I22" s="28" t="s">
        <v>906</v>
      </c>
      <c r="J22" s="34" t="str">
        <f>IFERROR(HYPERLINK("#Main!A"&amp;MATCH(A22,Main!A:A,0),"Open"),HYPERLINK("#Main!A1","Open"))</f>
        <v>Open</v>
      </c>
      <c r="K22" s="34"/>
    </row>
    <row r="23" spans="1:11" ht="30" customHeight="1" x14ac:dyDescent="0.25">
      <c r="A23" s="30" t="s">
        <v>506</v>
      </c>
      <c r="B23" s="37"/>
      <c r="C23" s="37">
        <v>0</v>
      </c>
      <c r="D23" s="37">
        <v>0</v>
      </c>
      <c r="E23" s="37" t="s">
        <v>507</v>
      </c>
      <c r="F23" s="37" t="s">
        <v>508</v>
      </c>
      <c r="G23" s="37" t="s">
        <v>159</v>
      </c>
      <c r="H23" s="35" t="b">
        <v>1</v>
      </c>
      <c r="I23" s="37" t="s">
        <v>906</v>
      </c>
      <c r="J23" t="str">
        <f>IFERROR(HYPERLINK("#Main!A"&amp;MATCH(A23,Main!A:A,0),"Open"),HYPERLINK("#Main!A1","Open"))</f>
        <v>Open</v>
      </c>
    </row>
    <row r="24" spans="1:11" ht="30" customHeight="1" x14ac:dyDescent="0.25">
      <c r="A24" s="33" t="s">
        <v>509</v>
      </c>
      <c r="B24" s="28"/>
      <c r="C24" s="28">
        <v>0</v>
      </c>
      <c r="D24" s="28">
        <v>0</v>
      </c>
      <c r="E24" s="28" t="s">
        <v>510</v>
      </c>
      <c r="F24" s="28" t="s">
        <v>511</v>
      </c>
      <c r="G24" s="28" t="s">
        <v>159</v>
      </c>
      <c r="H24" s="35" t="b">
        <v>1</v>
      </c>
      <c r="I24" s="28" t="s">
        <v>906</v>
      </c>
      <c r="J24" s="34" t="str">
        <f>IFERROR(HYPERLINK("#Main!A"&amp;MATCH(A24,Main!A:A,0),"Open"),HYPERLINK("#Main!A1","Open"))</f>
        <v>Open</v>
      </c>
      <c r="K24" s="34"/>
    </row>
    <row r="25" spans="1:11" ht="30" customHeight="1" x14ac:dyDescent="0.25">
      <c r="A25" s="30" t="s">
        <v>503</v>
      </c>
      <c r="B25" s="37"/>
      <c r="C25" s="37">
        <v>0</v>
      </c>
      <c r="D25" s="37">
        <v>0</v>
      </c>
      <c r="E25" s="37" t="s">
        <v>504</v>
      </c>
      <c r="F25" s="37" t="s">
        <v>505</v>
      </c>
      <c r="G25" s="37" t="s">
        <v>159</v>
      </c>
      <c r="H25" s="35" t="b">
        <v>1</v>
      </c>
      <c r="I25" s="37" t="s">
        <v>906</v>
      </c>
      <c r="J25" t="str">
        <f>IFERROR(HYPERLINK("#Main!A"&amp;MATCH(A25,Main!A:A,0),"Open"),HYPERLINK("#Main!A1","Open"))</f>
        <v>Open</v>
      </c>
    </row>
    <row r="26" spans="1:11" ht="30" customHeight="1" x14ac:dyDescent="0.25">
      <c r="A26" s="33" t="s">
        <v>476</v>
      </c>
      <c r="B26" s="28"/>
      <c r="C26" s="28">
        <v>0</v>
      </c>
      <c r="D26" s="28">
        <v>0</v>
      </c>
      <c r="E26" s="28"/>
      <c r="F26" s="28"/>
      <c r="G26" s="28"/>
      <c r="H26" s="46" t="b">
        <v>0</v>
      </c>
      <c r="I26" s="28"/>
      <c r="J26" s="34" t="str">
        <f>IFERROR(HYPERLINK("#Main!A"&amp;MATCH(A26,Main!A:A,0),"Open"),HYPERLINK("#Main!A1","Open"))</f>
        <v>Open</v>
      </c>
      <c r="K26" s="34"/>
    </row>
    <row r="27" spans="1:11" ht="30" customHeight="1" x14ac:dyDescent="0.25">
      <c r="A27" s="30" t="s">
        <v>512</v>
      </c>
      <c r="B27" s="37"/>
      <c r="C27" s="37">
        <v>0</v>
      </c>
      <c r="D27" s="37">
        <v>0</v>
      </c>
      <c r="E27" s="37" t="s">
        <v>513</v>
      </c>
      <c r="F27" s="37" t="s">
        <v>514</v>
      </c>
      <c r="G27" s="37" t="s">
        <v>133</v>
      </c>
      <c r="H27" s="35" t="b">
        <v>1</v>
      </c>
      <c r="I27" s="37" t="s">
        <v>906</v>
      </c>
      <c r="J27" t="str">
        <f>IFERROR(HYPERLINK("#Main!A"&amp;MATCH(A27,Main!A:A,0),"Open"),HYPERLINK("#Main!A1","Open"))</f>
        <v>Open</v>
      </c>
    </row>
    <row r="28" spans="1:11" ht="30" customHeight="1" x14ac:dyDescent="0.25">
      <c r="A28" s="33" t="s">
        <v>515</v>
      </c>
      <c r="B28" s="28"/>
      <c r="C28" s="28">
        <v>0</v>
      </c>
      <c r="D28" s="28">
        <v>0</v>
      </c>
      <c r="E28" s="28" t="s">
        <v>516</v>
      </c>
      <c r="F28" s="28" t="s">
        <v>517</v>
      </c>
      <c r="G28" s="28" t="s">
        <v>159</v>
      </c>
      <c r="H28" s="35" t="b">
        <v>1</v>
      </c>
      <c r="I28" s="28" t="s">
        <v>906</v>
      </c>
      <c r="J28" s="34" t="str">
        <f>IFERROR(HYPERLINK("#Main!A"&amp;MATCH(A28,Main!A:A,0),"Open"),HYPERLINK("#Main!A1","Open"))</f>
        <v>Open</v>
      </c>
      <c r="K28" s="34"/>
    </row>
    <row r="29" spans="1:11" ht="30" customHeight="1" x14ac:dyDescent="0.25">
      <c r="A29" s="30" t="s">
        <v>518</v>
      </c>
      <c r="B29" s="37"/>
      <c r="C29" s="37">
        <v>0</v>
      </c>
      <c r="D29" s="37">
        <v>0</v>
      </c>
      <c r="E29" s="37" t="s">
        <v>519</v>
      </c>
      <c r="F29" s="37" t="s">
        <v>520</v>
      </c>
      <c r="G29" s="37" t="s">
        <v>159</v>
      </c>
      <c r="H29" s="35" t="b">
        <v>1</v>
      </c>
      <c r="I29" s="37" t="s">
        <v>906</v>
      </c>
      <c r="J29" t="str">
        <f>IFERROR(HYPERLINK("#Main!A"&amp;MATCH(A29,Main!A:A,0),"Open"),HYPERLINK("#Main!A1","Open"))</f>
        <v>Open</v>
      </c>
    </row>
    <row r="30" spans="1:11" ht="30" customHeight="1" x14ac:dyDescent="0.25">
      <c r="A30" s="33" t="s">
        <v>521</v>
      </c>
      <c r="B30" s="28"/>
      <c r="C30" s="28">
        <v>0</v>
      </c>
      <c r="D30" s="28">
        <v>0</v>
      </c>
      <c r="E30" s="28" t="s">
        <v>522</v>
      </c>
      <c r="F30" s="28" t="s">
        <v>523</v>
      </c>
      <c r="G30" s="28" t="s">
        <v>159</v>
      </c>
      <c r="H30" s="35" t="b">
        <v>1</v>
      </c>
      <c r="I30" s="28" t="s">
        <v>906</v>
      </c>
      <c r="J30" s="34" t="str">
        <f>IFERROR(HYPERLINK("#Main!A"&amp;MATCH(A30,Main!A:A,0),"Open"),HYPERLINK("#Main!A1","Open"))</f>
        <v>Open</v>
      </c>
      <c r="K30" s="34"/>
    </row>
    <row r="31" spans="1:11" ht="30" customHeight="1" x14ac:dyDescent="0.25">
      <c r="A31" s="30" t="s">
        <v>524</v>
      </c>
      <c r="B31" s="37"/>
      <c r="C31" s="37">
        <v>0</v>
      </c>
      <c r="D31" s="37">
        <v>0</v>
      </c>
      <c r="E31" s="37" t="s">
        <v>525</v>
      </c>
      <c r="F31" s="37" t="s">
        <v>526</v>
      </c>
      <c r="G31" s="37" t="s">
        <v>159</v>
      </c>
      <c r="H31" s="35" t="b">
        <v>1</v>
      </c>
      <c r="I31" s="37" t="s">
        <v>906</v>
      </c>
      <c r="J31" t="str">
        <f>IFERROR(HYPERLINK("#Main!A"&amp;MATCH(A31,Main!A:A,0),"Open"),HYPERLINK("#Main!A1","Open"))</f>
        <v>Open</v>
      </c>
    </row>
    <row r="32" spans="1:11" ht="30" customHeight="1" x14ac:dyDescent="0.25">
      <c r="A32" s="33" t="s">
        <v>527</v>
      </c>
      <c r="B32" s="28"/>
      <c r="C32" s="28">
        <v>0</v>
      </c>
      <c r="D32" s="28">
        <v>0</v>
      </c>
      <c r="E32" s="28" t="s">
        <v>519</v>
      </c>
      <c r="F32" s="28" t="s">
        <v>520</v>
      </c>
      <c r="G32" s="28" t="s">
        <v>159</v>
      </c>
      <c r="H32" s="35" t="b">
        <v>1</v>
      </c>
      <c r="I32" s="28" t="s">
        <v>906</v>
      </c>
      <c r="J32" s="34" t="str">
        <f>IFERROR(HYPERLINK("#Main!A"&amp;MATCH(A32,Main!A:A,0),"Open"),HYPERLINK("#Main!A1","Open"))</f>
        <v>Open</v>
      </c>
      <c r="K32" s="34"/>
    </row>
    <row r="33" spans="1:11" ht="45" customHeight="1" x14ac:dyDescent="0.25">
      <c r="A33" s="30" t="s">
        <v>528</v>
      </c>
      <c r="B33" s="37"/>
      <c r="C33" s="37">
        <v>0</v>
      </c>
      <c r="D33" s="37">
        <v>0</v>
      </c>
      <c r="E33" s="37" t="s">
        <v>529</v>
      </c>
      <c r="F33" s="37" t="s">
        <v>530</v>
      </c>
      <c r="G33" s="37" t="s">
        <v>159</v>
      </c>
      <c r="H33" s="35" t="b">
        <v>1</v>
      </c>
      <c r="I33" s="37" t="s">
        <v>906</v>
      </c>
      <c r="J33" t="str">
        <f>IFERROR(HYPERLINK("#Main!A"&amp;MATCH(A33,Main!A:A,0),"Open"),HYPERLINK("#Main!A1","Open"))</f>
        <v>Open</v>
      </c>
    </row>
    <row r="34" spans="1:11" ht="30" customHeight="1" x14ac:dyDescent="0.25">
      <c r="A34" s="33" t="s">
        <v>531</v>
      </c>
      <c r="B34" s="28"/>
      <c r="C34" s="28">
        <v>0</v>
      </c>
      <c r="D34" s="28">
        <v>0</v>
      </c>
      <c r="E34" s="28" t="s">
        <v>532</v>
      </c>
      <c r="F34" s="28" t="s">
        <v>533</v>
      </c>
      <c r="G34" s="28" t="s">
        <v>159</v>
      </c>
      <c r="H34" s="35" t="b">
        <v>1</v>
      </c>
      <c r="I34" s="28" t="s">
        <v>906</v>
      </c>
      <c r="J34" s="34" t="str">
        <f>IFERROR(HYPERLINK("#Main!A"&amp;MATCH(A34,Main!A:A,0),"Open"),HYPERLINK("#Main!A1","Open"))</f>
        <v>Open</v>
      </c>
      <c r="K34" s="34"/>
    </row>
    <row r="35" spans="1:11" ht="30" customHeight="1" x14ac:dyDescent="0.25">
      <c r="A35" s="30" t="s">
        <v>534</v>
      </c>
      <c r="B35" s="37"/>
      <c r="C35" s="37">
        <v>0</v>
      </c>
      <c r="D35" s="37">
        <v>0</v>
      </c>
      <c r="E35" s="37" t="s">
        <v>535</v>
      </c>
      <c r="F35" s="37" t="s">
        <v>536</v>
      </c>
      <c r="G35" s="37" t="s">
        <v>159</v>
      </c>
      <c r="H35" s="35" t="b">
        <v>1</v>
      </c>
      <c r="I35" s="37" t="s">
        <v>906</v>
      </c>
      <c r="J35" t="str">
        <f>IFERROR(HYPERLINK("#Main!A"&amp;MATCH(A35,Main!A:A,0),"Open"),HYPERLINK("#Main!A1","Open"))</f>
        <v>Open</v>
      </c>
    </row>
    <row r="36" spans="1:11" ht="30" customHeight="1" x14ac:dyDescent="0.25">
      <c r="A36" s="33" t="s">
        <v>537</v>
      </c>
      <c r="B36" s="28"/>
      <c r="C36" s="28">
        <v>0</v>
      </c>
      <c r="D36" s="28">
        <v>0</v>
      </c>
      <c r="E36" s="28" t="s">
        <v>538</v>
      </c>
      <c r="F36" s="28" t="s">
        <v>539</v>
      </c>
      <c r="G36" s="28" t="s">
        <v>159</v>
      </c>
      <c r="H36" s="35" t="b">
        <v>1</v>
      </c>
      <c r="I36" s="28" t="s">
        <v>906</v>
      </c>
      <c r="J36" s="34" t="str">
        <f>IFERROR(HYPERLINK("#Main!A"&amp;MATCH(A36,Main!A:A,0),"Open"),HYPERLINK("#Main!A1","Open"))</f>
        <v>Open</v>
      </c>
      <c r="K36" s="34"/>
    </row>
    <row r="37" spans="1:11" ht="45" customHeight="1" x14ac:dyDescent="0.25">
      <c r="A37" s="30" t="s">
        <v>540</v>
      </c>
      <c r="B37" s="37"/>
      <c r="C37" s="37">
        <v>0</v>
      </c>
      <c r="D37" s="37">
        <v>0</v>
      </c>
      <c r="E37" s="37" t="s">
        <v>541</v>
      </c>
      <c r="F37" s="37" t="s">
        <v>542</v>
      </c>
      <c r="G37" s="37" t="s">
        <v>159</v>
      </c>
      <c r="H37" s="35" t="b">
        <v>1</v>
      </c>
      <c r="I37" s="37" t="s">
        <v>906</v>
      </c>
      <c r="J37" t="str">
        <f>IFERROR(HYPERLINK("#Main!A"&amp;MATCH(A37,Main!A:A,0),"Open"),HYPERLINK("#Main!A1","Open"))</f>
        <v>Open</v>
      </c>
    </row>
    <row r="38" spans="1:11" ht="30" customHeight="1" x14ac:dyDescent="0.25">
      <c r="A38" s="33" t="s">
        <v>543</v>
      </c>
      <c r="B38" s="28"/>
      <c r="C38" s="28">
        <v>0</v>
      </c>
      <c r="D38" s="28">
        <v>0</v>
      </c>
      <c r="E38" s="28" t="s">
        <v>544</v>
      </c>
      <c r="F38" s="28" t="s">
        <v>545</v>
      </c>
      <c r="G38" s="28" t="s">
        <v>159</v>
      </c>
      <c r="H38" s="35" t="b">
        <v>1</v>
      </c>
      <c r="I38" s="28" t="s">
        <v>906</v>
      </c>
      <c r="J38" s="34" t="str">
        <f>IFERROR(HYPERLINK("#Main!A"&amp;MATCH(A38,Main!A:A,0),"Open"),HYPERLINK("#Main!A1","Open"))</f>
        <v>Open</v>
      </c>
      <c r="K38" s="34"/>
    </row>
    <row r="39" spans="1:11" ht="30" customHeight="1" x14ac:dyDescent="0.25">
      <c r="A39" s="30" t="s">
        <v>483</v>
      </c>
      <c r="B39" s="37"/>
      <c r="C39" s="37">
        <v>0</v>
      </c>
      <c r="D39" s="37">
        <v>0</v>
      </c>
      <c r="E39" s="37"/>
      <c r="F39" s="37"/>
      <c r="G39" s="37"/>
      <c r="H39" s="46" t="b">
        <v>0</v>
      </c>
      <c r="I39" s="37"/>
      <c r="J39" t="str">
        <f>IFERROR(HYPERLINK("#Main!A"&amp;MATCH(A39,Main!A:A,0),"Open"),HYPERLINK("#Main!A1","Open"))</f>
        <v>Open</v>
      </c>
    </row>
    <row r="40" spans="1:11" ht="30" customHeight="1" x14ac:dyDescent="0.25">
      <c r="A40" s="33" t="s">
        <v>546</v>
      </c>
      <c r="B40" s="28"/>
      <c r="C40" s="28">
        <v>0</v>
      </c>
      <c r="D40" s="28">
        <v>0</v>
      </c>
      <c r="E40" s="28" t="s">
        <v>547</v>
      </c>
      <c r="F40" s="28" t="s">
        <v>548</v>
      </c>
      <c r="G40" s="28" t="s">
        <v>159</v>
      </c>
      <c r="H40" s="35" t="b">
        <v>1</v>
      </c>
      <c r="I40" s="28" t="s">
        <v>906</v>
      </c>
      <c r="J40" s="34" t="str">
        <f>IFERROR(HYPERLINK("#Main!A"&amp;MATCH(A40,Main!A:A,0),"Open"),HYPERLINK("#Main!A1","Open"))</f>
        <v>Open</v>
      </c>
      <c r="K40" s="34"/>
    </row>
    <row r="41" spans="1:11" ht="30" customHeight="1" x14ac:dyDescent="0.25">
      <c r="A41" s="30" t="s">
        <v>549</v>
      </c>
      <c r="B41" s="37"/>
      <c r="C41" s="37">
        <v>0</v>
      </c>
      <c r="D41" s="37">
        <v>0</v>
      </c>
      <c r="E41" s="37" t="s">
        <v>550</v>
      </c>
      <c r="F41" s="37" t="s">
        <v>551</v>
      </c>
      <c r="G41" s="37" t="s">
        <v>159</v>
      </c>
      <c r="H41" s="35" t="b">
        <v>1</v>
      </c>
      <c r="I41" s="37" t="s">
        <v>906</v>
      </c>
      <c r="J41" t="str">
        <f>IFERROR(HYPERLINK("#Main!A"&amp;MATCH(A41,Main!A:A,0),"Open"),HYPERLINK("#Main!A1","Open"))</f>
        <v>Open</v>
      </c>
    </row>
    <row r="42" spans="1:11" ht="30" customHeight="1" x14ac:dyDescent="0.25">
      <c r="A42" s="33" t="s">
        <v>555</v>
      </c>
      <c r="B42" s="28"/>
      <c r="C42" s="28">
        <v>0</v>
      </c>
      <c r="D42" s="28">
        <v>0</v>
      </c>
      <c r="E42" s="28" t="s">
        <v>556</v>
      </c>
      <c r="F42" s="28"/>
      <c r="G42" s="28" t="s">
        <v>133</v>
      </c>
      <c r="H42" s="46" t="b">
        <v>0</v>
      </c>
      <c r="I42" s="28" t="s">
        <v>906</v>
      </c>
      <c r="J42" s="34" t="str">
        <f>IFERROR(HYPERLINK("#Main!A"&amp;MATCH(A42,Main!A:A,0),"Open"),HYPERLINK("#Main!A1","Open"))</f>
        <v>Open</v>
      </c>
      <c r="K42" s="34"/>
    </row>
    <row r="43" spans="1:11" ht="30" customHeight="1" x14ac:dyDescent="0.25">
      <c r="A43" s="30" t="s">
        <v>557</v>
      </c>
      <c r="B43" s="37"/>
      <c r="C43" s="37">
        <v>0</v>
      </c>
      <c r="D43" s="37">
        <v>0</v>
      </c>
      <c r="E43" s="37" t="s">
        <v>558</v>
      </c>
      <c r="F43" s="37" t="s">
        <v>559</v>
      </c>
      <c r="G43" s="37" t="s">
        <v>133</v>
      </c>
      <c r="H43" s="35" t="b">
        <v>1</v>
      </c>
      <c r="I43" s="37" t="s">
        <v>906</v>
      </c>
      <c r="J43" t="str">
        <f>IFERROR(HYPERLINK("#Main!A"&amp;MATCH(A43,Main!A:A,0),"Open"),HYPERLINK("#Main!A1","Open"))</f>
        <v>Open</v>
      </c>
    </row>
    <row r="44" spans="1:11" ht="30" customHeight="1" x14ac:dyDescent="0.25">
      <c r="A44" s="33" t="s">
        <v>552</v>
      </c>
      <c r="B44" s="28"/>
      <c r="C44" s="28">
        <v>0</v>
      </c>
      <c r="D44" s="28">
        <v>0</v>
      </c>
      <c r="E44" s="28" t="s">
        <v>553</v>
      </c>
      <c r="F44" s="28" t="s">
        <v>554</v>
      </c>
      <c r="G44" s="28" t="s">
        <v>133</v>
      </c>
      <c r="H44" s="35" t="b">
        <v>1</v>
      </c>
      <c r="I44" s="28" t="s">
        <v>906</v>
      </c>
      <c r="J44" s="34" t="str">
        <f>IFERROR(HYPERLINK("#Main!A"&amp;MATCH(A44,Main!A:A,0),"Open"),HYPERLINK("#Main!A1","Open"))</f>
        <v>Open</v>
      </c>
      <c r="K44" s="34"/>
    </row>
    <row r="45" spans="1:11" ht="30" customHeight="1" x14ac:dyDescent="0.25">
      <c r="A45" s="30" t="s">
        <v>560</v>
      </c>
      <c r="B45" s="37"/>
      <c r="C45" s="37">
        <v>0</v>
      </c>
      <c r="D45" s="37">
        <v>0</v>
      </c>
      <c r="E45" s="37" t="s">
        <v>561</v>
      </c>
      <c r="F45" s="37" t="s">
        <v>562</v>
      </c>
      <c r="G45" s="37" t="s">
        <v>133</v>
      </c>
      <c r="H45" s="35" t="b">
        <v>1</v>
      </c>
      <c r="I45" s="37" t="s">
        <v>906</v>
      </c>
      <c r="J45" t="str">
        <f>IFERROR(HYPERLINK("#Main!A"&amp;MATCH(A45,Main!A:A,0),"Open"),HYPERLINK("#Main!A1","Open"))</f>
        <v>Open</v>
      </c>
    </row>
    <row r="46" spans="1:11" ht="30" customHeight="1" x14ac:dyDescent="0.25">
      <c r="A46" s="33" t="s">
        <v>563</v>
      </c>
      <c r="B46" s="28"/>
      <c r="C46" s="28">
        <v>0</v>
      </c>
      <c r="D46" s="28">
        <v>0</v>
      </c>
      <c r="E46" s="28" t="s">
        <v>564</v>
      </c>
      <c r="F46" s="28" t="s">
        <v>565</v>
      </c>
      <c r="G46" s="28" t="s">
        <v>159</v>
      </c>
      <c r="H46" s="35" t="b">
        <v>1</v>
      </c>
      <c r="I46" s="28" t="s">
        <v>906</v>
      </c>
      <c r="J46" s="34" t="str">
        <f>IFERROR(HYPERLINK("#Main!A"&amp;MATCH(A46,Main!A:A,0),"Open"),HYPERLINK("#Main!A1","Open"))</f>
        <v>Open</v>
      </c>
      <c r="K46" s="34"/>
    </row>
    <row r="47" spans="1:11" ht="30" customHeight="1" x14ac:dyDescent="0.25">
      <c r="A47" s="30" t="s">
        <v>566</v>
      </c>
      <c r="B47" s="37"/>
      <c r="C47" s="37">
        <v>0</v>
      </c>
      <c r="D47" s="37">
        <v>0</v>
      </c>
      <c r="E47" s="37" t="s">
        <v>567</v>
      </c>
      <c r="F47" s="37" t="s">
        <v>568</v>
      </c>
      <c r="G47" s="37" t="s">
        <v>569</v>
      </c>
      <c r="H47" s="35" t="b">
        <v>1</v>
      </c>
      <c r="I47" s="37" t="s">
        <v>906</v>
      </c>
      <c r="J47" t="str">
        <f>IFERROR(HYPERLINK("#Main!A"&amp;MATCH(A47,Main!A:A,0),"Open"),HYPERLINK("#Main!A1","Open"))</f>
        <v>Open</v>
      </c>
    </row>
    <row r="48" spans="1:11" ht="30" customHeight="1" x14ac:dyDescent="0.25">
      <c r="A48" s="33" t="s">
        <v>570</v>
      </c>
      <c r="B48" s="28"/>
      <c r="C48" s="28">
        <v>0</v>
      </c>
      <c r="D48" s="28">
        <v>0</v>
      </c>
      <c r="E48" s="28" t="s">
        <v>571</v>
      </c>
      <c r="F48" s="28" t="s">
        <v>572</v>
      </c>
      <c r="G48" s="28" t="s">
        <v>159</v>
      </c>
      <c r="H48" s="35" t="b">
        <v>1</v>
      </c>
      <c r="I48" s="28" t="s">
        <v>906</v>
      </c>
      <c r="J48" s="34" t="str">
        <f>IFERROR(HYPERLINK("#Main!A"&amp;MATCH(A48,Main!A:A,0),"Open"),HYPERLINK("#Main!A1","Open"))</f>
        <v>Open</v>
      </c>
      <c r="K48" s="34"/>
    </row>
    <row r="49" spans="1:11" ht="30" customHeight="1" x14ac:dyDescent="0.25">
      <c r="A49" s="30" t="s">
        <v>577</v>
      </c>
      <c r="B49" s="37"/>
      <c r="C49" s="37">
        <v>0</v>
      </c>
      <c r="D49" s="37">
        <v>0</v>
      </c>
      <c r="E49" s="37" t="s">
        <v>578</v>
      </c>
      <c r="F49" s="37" t="s">
        <v>575</v>
      </c>
      <c r="G49" s="37" t="s">
        <v>576</v>
      </c>
      <c r="H49" s="35" t="b">
        <v>1</v>
      </c>
      <c r="I49" s="37" t="s">
        <v>906</v>
      </c>
      <c r="J49" t="str">
        <f>IFERROR(HYPERLINK("#Main!A"&amp;MATCH(A49,Main!A:A,0),"Open"),HYPERLINK("#Main!A1","Open"))</f>
        <v>Open</v>
      </c>
    </row>
    <row r="50" spans="1:11" ht="30" customHeight="1" x14ac:dyDescent="0.25">
      <c r="A50" s="33" t="s">
        <v>579</v>
      </c>
      <c r="B50" s="28"/>
      <c r="C50" s="28">
        <v>0</v>
      </c>
      <c r="D50" s="28">
        <v>0</v>
      </c>
      <c r="E50" s="28" t="s">
        <v>580</v>
      </c>
      <c r="F50" s="28" t="s">
        <v>581</v>
      </c>
      <c r="G50" s="28" t="s">
        <v>133</v>
      </c>
      <c r="H50" s="35" t="b">
        <v>1</v>
      </c>
      <c r="I50" s="28" t="s">
        <v>906</v>
      </c>
      <c r="J50" s="34" t="str">
        <f>IFERROR(HYPERLINK("#Main!A"&amp;MATCH(A50,Main!A:A,0),"Open"),HYPERLINK("#Main!A1","Open"))</f>
        <v>Open</v>
      </c>
      <c r="K50" s="34"/>
    </row>
    <row r="51" spans="1:11" ht="30" customHeight="1" x14ac:dyDescent="0.25">
      <c r="A51" s="30" t="s">
        <v>573</v>
      </c>
      <c r="B51" s="37"/>
      <c r="C51" s="37">
        <v>0</v>
      </c>
      <c r="D51" s="37">
        <v>0</v>
      </c>
      <c r="E51" s="37" t="s">
        <v>574</v>
      </c>
      <c r="F51" s="37" t="s">
        <v>575</v>
      </c>
      <c r="G51" s="37" t="s">
        <v>576</v>
      </c>
      <c r="H51" s="35" t="b">
        <v>1</v>
      </c>
      <c r="I51" s="37" t="s">
        <v>906</v>
      </c>
      <c r="J51" t="str">
        <f>IFERROR(HYPERLINK("#Main!A"&amp;MATCH(A51,Main!A:A,0),"Open"),HYPERLINK("#Main!A1","Open"))</f>
        <v>Open</v>
      </c>
    </row>
    <row r="52" spans="1:11" ht="30" customHeight="1" x14ac:dyDescent="0.25">
      <c r="A52" s="33" t="s">
        <v>582</v>
      </c>
      <c r="B52" s="28"/>
      <c r="C52" s="28">
        <v>0</v>
      </c>
      <c r="D52" s="28">
        <v>0</v>
      </c>
      <c r="E52" s="28" t="s">
        <v>583</v>
      </c>
      <c r="F52" s="28" t="s">
        <v>584</v>
      </c>
      <c r="G52" s="28" t="s">
        <v>133</v>
      </c>
      <c r="H52" s="35" t="b">
        <v>1</v>
      </c>
      <c r="I52" s="28" t="s">
        <v>906</v>
      </c>
      <c r="J52" s="34" t="str">
        <f>IFERROR(HYPERLINK("#Main!A"&amp;MATCH(A52,Main!A:A,0),"Open"),HYPERLINK("#Main!A1","Open"))</f>
        <v>Open</v>
      </c>
      <c r="K52" s="34"/>
    </row>
    <row r="53" spans="1:11" ht="30" customHeight="1" x14ac:dyDescent="0.25">
      <c r="A53" s="30" t="s">
        <v>588</v>
      </c>
      <c r="B53" s="37"/>
      <c r="C53" s="37">
        <v>0</v>
      </c>
      <c r="D53" s="37">
        <v>0</v>
      </c>
      <c r="E53" s="37" t="s">
        <v>589</v>
      </c>
      <c r="F53" s="37" t="s">
        <v>590</v>
      </c>
      <c r="G53" s="37" t="s">
        <v>133</v>
      </c>
      <c r="H53" s="35" t="b">
        <v>1</v>
      </c>
      <c r="I53" s="37" t="s">
        <v>906</v>
      </c>
      <c r="J53" t="str">
        <f>IFERROR(HYPERLINK("#Main!A"&amp;MATCH(A53,Main!A:A,0),"Open"),HYPERLINK("#Main!A1","Open"))</f>
        <v>Open</v>
      </c>
    </row>
    <row r="54" spans="1:11" ht="30" customHeight="1" x14ac:dyDescent="0.25">
      <c r="A54" s="33" t="s">
        <v>591</v>
      </c>
      <c r="B54" s="28"/>
      <c r="C54" s="28">
        <v>0</v>
      </c>
      <c r="D54" s="28">
        <v>0</v>
      </c>
      <c r="E54" s="28" t="s">
        <v>592</v>
      </c>
      <c r="F54" s="28" t="s">
        <v>593</v>
      </c>
      <c r="G54" s="28" t="s">
        <v>133</v>
      </c>
      <c r="H54" s="35" t="b">
        <v>1</v>
      </c>
      <c r="I54" s="28" t="s">
        <v>906</v>
      </c>
      <c r="J54" s="34" t="str">
        <f>IFERROR(HYPERLINK("#Main!A"&amp;MATCH(A54,Main!A:A,0),"Open"),HYPERLINK("#Main!A1","Open"))</f>
        <v>Open</v>
      </c>
      <c r="K54" s="34"/>
    </row>
    <row r="55" spans="1:11" ht="30" customHeight="1" x14ac:dyDescent="0.25">
      <c r="A55" s="30" t="s">
        <v>594</v>
      </c>
      <c r="B55" s="37"/>
      <c r="C55" s="37">
        <v>0</v>
      </c>
      <c r="D55" s="37">
        <v>0</v>
      </c>
      <c r="E55" s="37" t="s">
        <v>595</v>
      </c>
      <c r="F55" s="37" t="s">
        <v>596</v>
      </c>
      <c r="G55" s="37" t="s">
        <v>133</v>
      </c>
      <c r="H55" s="35" t="b">
        <v>1</v>
      </c>
      <c r="I55" s="37" t="s">
        <v>906</v>
      </c>
      <c r="J55" t="str">
        <f>IFERROR(HYPERLINK("#Main!A"&amp;MATCH(A55,Main!A:A,0),"Open"),HYPERLINK("#Main!A1","Open"))</f>
        <v>Open</v>
      </c>
    </row>
    <row r="56" spans="1:11" ht="30" customHeight="1" x14ac:dyDescent="0.25">
      <c r="A56" s="33" t="s">
        <v>585</v>
      </c>
      <c r="B56" s="28"/>
      <c r="C56" s="28">
        <v>0</v>
      </c>
      <c r="D56" s="28">
        <v>0</v>
      </c>
      <c r="E56" s="28" t="s">
        <v>586</v>
      </c>
      <c r="F56" s="28" t="s">
        <v>587</v>
      </c>
      <c r="G56" s="28" t="s">
        <v>133</v>
      </c>
      <c r="H56" s="35" t="b">
        <v>1</v>
      </c>
      <c r="I56" s="28" t="s">
        <v>906</v>
      </c>
      <c r="J56" s="34" t="str">
        <f>IFERROR(HYPERLINK("#Main!A"&amp;MATCH(A56,Main!A:A,0),"Open"),HYPERLINK("#Main!A1","Open"))</f>
        <v>Open</v>
      </c>
      <c r="K56" s="34"/>
    </row>
    <row r="57" spans="1:11" ht="30" customHeight="1" x14ac:dyDescent="0.25">
      <c r="A57" s="30" t="s">
        <v>597</v>
      </c>
      <c r="B57" s="37"/>
      <c r="C57" s="37">
        <v>0</v>
      </c>
      <c r="D57" s="37">
        <v>0</v>
      </c>
      <c r="E57" s="37" t="s">
        <v>599</v>
      </c>
      <c r="F57" s="37" t="s">
        <v>600</v>
      </c>
      <c r="G57" s="37" t="s">
        <v>133</v>
      </c>
      <c r="H57" s="35" t="b">
        <v>1</v>
      </c>
      <c r="I57" s="37" t="s">
        <v>906</v>
      </c>
      <c r="J57" t="str">
        <f>IFERROR(HYPERLINK("#Main!A"&amp;MATCH(A57,Main!A:A,0),"Open"),HYPERLINK("#Main!A1","Open"))</f>
        <v>Open</v>
      </c>
    </row>
    <row r="58" spans="1:11" ht="30" customHeight="1" x14ac:dyDescent="0.25">
      <c r="A58" s="33" t="s">
        <v>601</v>
      </c>
      <c r="B58" s="28"/>
      <c r="C58" s="28">
        <v>0</v>
      </c>
      <c r="D58" s="28">
        <v>0</v>
      </c>
      <c r="E58" s="28" t="s">
        <v>602</v>
      </c>
      <c r="F58" s="28" t="s">
        <v>603</v>
      </c>
      <c r="G58" s="28" t="s">
        <v>159</v>
      </c>
      <c r="H58" s="35" t="b">
        <v>1</v>
      </c>
      <c r="I58" s="28" t="s">
        <v>906</v>
      </c>
      <c r="J58" s="34" t="str">
        <f>IFERROR(HYPERLINK("#Main!A"&amp;MATCH(A58,Main!A:A,0),"Open"),HYPERLINK("#Main!A1","Open"))</f>
        <v>Open</v>
      </c>
      <c r="K58" s="34"/>
    </row>
    <row r="59" spans="1:11" ht="30" customHeight="1" x14ac:dyDescent="0.25">
      <c r="A59" s="30" t="s">
        <v>604</v>
      </c>
      <c r="B59" s="37"/>
      <c r="C59" s="37">
        <v>0</v>
      </c>
      <c r="D59" s="37">
        <v>0</v>
      </c>
      <c r="E59" s="37" t="s">
        <v>605</v>
      </c>
      <c r="F59" s="37" t="s">
        <v>606</v>
      </c>
      <c r="G59" s="37" t="s">
        <v>607</v>
      </c>
      <c r="H59" s="35" t="b">
        <v>1</v>
      </c>
      <c r="I59" s="37" t="s">
        <v>906</v>
      </c>
      <c r="J59" t="str">
        <f>IFERROR(HYPERLINK("#Main!A"&amp;MATCH(A59,Main!A:A,0),"Open"),HYPERLINK("#Main!A1","Open"))</f>
        <v>Open</v>
      </c>
    </row>
    <row r="60" spans="1:11" ht="30" customHeight="1" x14ac:dyDescent="0.25">
      <c r="A60" s="33" t="s">
        <v>608</v>
      </c>
      <c r="B60" s="28"/>
      <c r="C60" s="28">
        <v>0</v>
      </c>
      <c r="D60" s="28">
        <v>0</v>
      </c>
      <c r="E60" s="28" t="s">
        <v>609</v>
      </c>
      <c r="F60" s="28" t="s">
        <v>610</v>
      </c>
      <c r="G60" s="28" t="s">
        <v>133</v>
      </c>
      <c r="H60" s="35" t="b">
        <v>1</v>
      </c>
      <c r="I60" s="28" t="s">
        <v>906</v>
      </c>
      <c r="J60" s="34" t="str">
        <f>IFERROR(HYPERLINK("#Main!A"&amp;MATCH(A60,Main!A:A,0),"Open"),HYPERLINK("#Main!A1","Open"))</f>
        <v>Open</v>
      </c>
      <c r="K60" s="34"/>
    </row>
    <row r="61" spans="1:11" ht="30" customHeight="1" x14ac:dyDescent="0.25">
      <c r="A61" s="30" t="s">
        <v>611</v>
      </c>
      <c r="B61" s="37"/>
      <c r="C61" s="37">
        <v>0</v>
      </c>
      <c r="D61" s="37">
        <v>0</v>
      </c>
      <c r="E61" s="37" t="s">
        <v>612</v>
      </c>
      <c r="F61" s="37" t="s">
        <v>613</v>
      </c>
      <c r="G61" s="37" t="s">
        <v>614</v>
      </c>
      <c r="H61" s="35" t="b">
        <v>1</v>
      </c>
      <c r="I61" s="37" t="s">
        <v>906</v>
      </c>
      <c r="J61" t="str">
        <f>IFERROR(HYPERLINK("#Main!A"&amp;MATCH(A61,Main!A:A,0),"Open"),HYPERLINK("#Main!A1","Open"))</f>
        <v>Open</v>
      </c>
    </row>
    <row r="62" spans="1:11" ht="30" customHeight="1" x14ac:dyDescent="0.25">
      <c r="A62" s="33" t="s">
        <v>615</v>
      </c>
      <c r="B62" s="28"/>
      <c r="C62" s="28">
        <v>0</v>
      </c>
      <c r="D62" s="28">
        <v>0</v>
      </c>
      <c r="E62" s="28" t="s">
        <v>616</v>
      </c>
      <c r="F62" s="28" t="s">
        <v>617</v>
      </c>
      <c r="G62" s="28" t="s">
        <v>614</v>
      </c>
      <c r="H62" s="35" t="b">
        <v>1</v>
      </c>
      <c r="I62" s="28" t="s">
        <v>906</v>
      </c>
      <c r="J62" s="34" t="str">
        <f>IFERROR(HYPERLINK("#Main!A"&amp;MATCH(A62,Main!A:A,0),"Open"),HYPERLINK("#Main!A1","Open"))</f>
        <v>Open</v>
      </c>
      <c r="K62" s="34"/>
    </row>
    <row r="63" spans="1:11" ht="30" customHeight="1" x14ac:dyDescent="0.25">
      <c r="A63" s="30" t="s">
        <v>618</v>
      </c>
      <c r="B63" s="37"/>
      <c r="C63" s="37">
        <v>0</v>
      </c>
      <c r="D63" s="37">
        <v>0</v>
      </c>
      <c r="E63" s="37" t="s">
        <v>619</v>
      </c>
      <c r="F63" s="37" t="s">
        <v>620</v>
      </c>
      <c r="G63" s="37" t="s">
        <v>133</v>
      </c>
      <c r="H63" s="35" t="b">
        <v>1</v>
      </c>
      <c r="I63" s="37" t="s">
        <v>906</v>
      </c>
      <c r="J63" t="str">
        <f>IFERROR(HYPERLINK("#Main!A"&amp;MATCH(A63,Main!A:A,0),"Open"),HYPERLINK("#Main!A1","Open"))</f>
        <v>Open</v>
      </c>
    </row>
    <row r="64" spans="1:11" ht="30" customHeight="1" x14ac:dyDescent="0.25">
      <c r="A64" s="33" t="s">
        <v>621</v>
      </c>
      <c r="B64" s="28"/>
      <c r="C64" s="28">
        <v>0</v>
      </c>
      <c r="D64" s="28">
        <v>0</v>
      </c>
      <c r="E64" s="28" t="s">
        <v>622</v>
      </c>
      <c r="F64" s="28" t="s">
        <v>623</v>
      </c>
      <c r="G64" s="28" t="s">
        <v>614</v>
      </c>
      <c r="H64" s="35" t="b">
        <v>1</v>
      </c>
      <c r="I64" s="28" t="s">
        <v>906</v>
      </c>
      <c r="J64" s="34" t="str">
        <f>IFERROR(HYPERLINK("#Main!A"&amp;MATCH(A64,Main!A:A,0),"Open"),HYPERLINK("#Main!A1","Open"))</f>
        <v>Open</v>
      </c>
      <c r="K64" s="34"/>
    </row>
    <row r="65" spans="1:11" ht="30" customHeight="1" x14ac:dyDescent="0.25">
      <c r="A65" s="30" t="s">
        <v>624</v>
      </c>
      <c r="B65" s="37"/>
      <c r="C65" s="37">
        <v>0</v>
      </c>
      <c r="D65" s="37">
        <v>0</v>
      </c>
      <c r="E65" s="37" t="s">
        <v>625</v>
      </c>
      <c r="F65" s="37"/>
      <c r="G65" s="37" t="s">
        <v>133</v>
      </c>
      <c r="H65" s="46" t="b">
        <v>0</v>
      </c>
      <c r="I65" s="37" t="s">
        <v>906</v>
      </c>
      <c r="J65" t="str">
        <f>IFERROR(HYPERLINK("#Main!A"&amp;MATCH(A65,Main!A:A,0),"Open"),HYPERLINK("#Main!A1","Open"))</f>
        <v>Open</v>
      </c>
    </row>
    <row r="66" spans="1:11" ht="30" customHeight="1" x14ac:dyDescent="0.25">
      <c r="A66" s="33" t="s">
        <v>626</v>
      </c>
      <c r="B66" s="28"/>
      <c r="C66" s="28">
        <v>0</v>
      </c>
      <c r="D66" s="28">
        <v>0</v>
      </c>
      <c r="E66" s="28" t="s">
        <v>627</v>
      </c>
      <c r="F66" s="28" t="s">
        <v>628</v>
      </c>
      <c r="G66" s="28" t="s">
        <v>133</v>
      </c>
      <c r="H66" s="35" t="b">
        <v>1</v>
      </c>
      <c r="I66" s="28" t="s">
        <v>906</v>
      </c>
      <c r="J66" s="34" t="str">
        <f>IFERROR(HYPERLINK("#Main!A"&amp;MATCH(A66,Main!A:A,0),"Open"),HYPERLINK("#Main!A1","Open"))</f>
        <v>Open</v>
      </c>
      <c r="K66" s="34"/>
    </row>
    <row r="67" spans="1:11" ht="30" customHeight="1" x14ac:dyDescent="0.25">
      <c r="A67" s="30" t="s">
        <v>629</v>
      </c>
      <c r="B67" s="37"/>
      <c r="C67" s="37">
        <v>0</v>
      </c>
      <c r="D67" s="37">
        <v>0</v>
      </c>
      <c r="E67" s="37" t="s">
        <v>630</v>
      </c>
      <c r="F67" s="37" t="s">
        <v>631</v>
      </c>
      <c r="G67" s="37" t="s">
        <v>133</v>
      </c>
      <c r="H67" s="35" t="b">
        <v>1</v>
      </c>
      <c r="I67" s="37" t="s">
        <v>906</v>
      </c>
      <c r="J67" t="str">
        <f>IFERROR(HYPERLINK("#Main!A"&amp;MATCH(A67,Main!A:A,0),"Open"),HYPERLINK("#Main!A1","Open"))</f>
        <v>Open</v>
      </c>
    </row>
    <row r="68" spans="1:11" ht="30" customHeight="1" x14ac:dyDescent="0.25">
      <c r="A68" s="33" t="s">
        <v>632</v>
      </c>
      <c r="B68" s="28"/>
      <c r="C68" s="28">
        <v>0</v>
      </c>
      <c r="D68" s="28">
        <v>0</v>
      </c>
      <c r="E68" s="28" t="s">
        <v>633</v>
      </c>
      <c r="F68" s="28" t="s">
        <v>634</v>
      </c>
      <c r="G68" s="28" t="s">
        <v>159</v>
      </c>
      <c r="H68" s="35" t="b">
        <v>1</v>
      </c>
      <c r="I68" s="28" t="s">
        <v>906</v>
      </c>
      <c r="J68" s="34" t="str">
        <f>IFERROR(HYPERLINK("#Main!A"&amp;MATCH(A68,Main!A:A,0),"Open"),HYPERLINK("#Main!A1","Open"))</f>
        <v>Open</v>
      </c>
      <c r="K68" s="34"/>
    </row>
    <row r="69" spans="1:11" ht="31.5" x14ac:dyDescent="0.25">
      <c r="A69" s="30" t="s">
        <v>635</v>
      </c>
      <c r="B69" s="37"/>
      <c r="C69" s="37">
        <v>0</v>
      </c>
      <c r="D69" s="37">
        <v>0</v>
      </c>
      <c r="E69" s="37" t="s">
        <v>636</v>
      </c>
      <c r="F69" s="37" t="s">
        <v>637</v>
      </c>
      <c r="G69" s="37" t="s">
        <v>133</v>
      </c>
      <c r="H69" s="35" t="b">
        <v>1</v>
      </c>
      <c r="I69" s="37" t="s">
        <v>906</v>
      </c>
      <c r="J69" t="str">
        <f>IFERROR(HYPERLINK("#Main!A"&amp;MATCH(A69,Main!A:A,0),"Open"),HYPERLINK("#Main!A1","Open"))</f>
        <v>Open</v>
      </c>
    </row>
    <row r="70" spans="1:11" ht="30" customHeight="1" x14ac:dyDescent="0.25">
      <c r="A70" s="33" t="s">
        <v>638</v>
      </c>
      <c r="B70" s="28"/>
      <c r="C70" s="28">
        <v>0</v>
      </c>
      <c r="D70" s="28">
        <v>0</v>
      </c>
      <c r="E70" s="28" t="s">
        <v>639</v>
      </c>
      <c r="F70" s="28" t="s">
        <v>640</v>
      </c>
      <c r="G70" s="28" t="s">
        <v>133</v>
      </c>
      <c r="H70" s="35" t="b">
        <v>1</v>
      </c>
      <c r="I70" s="28" t="s">
        <v>906</v>
      </c>
      <c r="J70" s="34" t="str">
        <f>IFERROR(HYPERLINK("#Main!A"&amp;MATCH(A70,Main!A:A,0),"Open"),HYPERLINK("#Main!A1","Open"))</f>
        <v>Open</v>
      </c>
      <c r="K70" s="34"/>
    </row>
    <row r="71" spans="1:11" ht="30" customHeight="1" x14ac:dyDescent="0.25">
      <c r="A71" s="30" t="s">
        <v>641</v>
      </c>
      <c r="B71" s="37"/>
      <c r="C71" s="37">
        <v>0</v>
      </c>
      <c r="D71" s="37">
        <v>0</v>
      </c>
      <c r="E71" s="37" t="s">
        <v>642</v>
      </c>
      <c r="F71" s="37" t="s">
        <v>643</v>
      </c>
      <c r="G71" s="37" t="s">
        <v>133</v>
      </c>
      <c r="H71" s="35" t="b">
        <v>1</v>
      </c>
      <c r="I71" s="37" t="s">
        <v>906</v>
      </c>
      <c r="J71" t="str">
        <f>IFERROR(HYPERLINK("#Main!A"&amp;MATCH(A71,Main!A:A,0),"Open"),HYPERLINK("#Main!A1","Open"))</f>
        <v>Open</v>
      </c>
    </row>
    <row r="72" spans="1:11" ht="30" customHeight="1" x14ac:dyDescent="0.25">
      <c r="A72" s="33" t="s">
        <v>644</v>
      </c>
      <c r="B72" s="28"/>
      <c r="C72" s="28">
        <v>0</v>
      </c>
      <c r="D72" s="28">
        <v>0</v>
      </c>
      <c r="E72" s="28" t="s">
        <v>645</v>
      </c>
      <c r="F72" s="28" t="s">
        <v>646</v>
      </c>
      <c r="G72" s="28" t="s">
        <v>133</v>
      </c>
      <c r="H72" s="35" t="b">
        <v>1</v>
      </c>
      <c r="I72" s="28" t="s">
        <v>906</v>
      </c>
      <c r="J72" s="34" t="str">
        <f>IFERROR(HYPERLINK("#Main!A"&amp;MATCH(A72,Main!A:A,0),"Open"),HYPERLINK("#Main!A1","Open"))</f>
        <v>Open</v>
      </c>
      <c r="K72" s="34"/>
    </row>
    <row r="73" spans="1:11" ht="30" customHeight="1" x14ac:dyDescent="0.25">
      <c r="A73" s="30" t="s">
        <v>647</v>
      </c>
      <c r="B73" s="37"/>
      <c r="C73" s="37">
        <v>0</v>
      </c>
      <c r="D73" s="37">
        <v>0</v>
      </c>
      <c r="E73" s="37" t="s">
        <v>648</v>
      </c>
      <c r="F73" s="37" t="s">
        <v>649</v>
      </c>
      <c r="G73" s="37" t="s">
        <v>133</v>
      </c>
      <c r="H73" s="35" t="b">
        <v>1</v>
      </c>
      <c r="I73" s="37" t="s">
        <v>906</v>
      </c>
      <c r="J73" t="str">
        <f>IFERROR(HYPERLINK("#Main!A"&amp;MATCH(A73,Main!A:A,0),"Open"),HYPERLINK("#Main!A1","Open"))</f>
        <v>Open</v>
      </c>
    </row>
    <row r="74" spans="1:11" ht="30" customHeight="1" x14ac:dyDescent="0.25">
      <c r="A74" s="33" t="s">
        <v>652</v>
      </c>
      <c r="B74" s="28"/>
      <c r="C74" s="28">
        <v>0</v>
      </c>
      <c r="D74" s="28">
        <v>0</v>
      </c>
      <c r="E74" s="28" t="s">
        <v>653</v>
      </c>
      <c r="F74" s="28" t="s">
        <v>654</v>
      </c>
      <c r="G74" s="28" t="s">
        <v>159</v>
      </c>
      <c r="H74" s="35" t="b">
        <v>1</v>
      </c>
      <c r="I74" s="28" t="s">
        <v>906</v>
      </c>
      <c r="J74" s="34" t="str">
        <f>IFERROR(HYPERLINK("#Main!A"&amp;MATCH(A74,Main!A:A,0),"Open"),HYPERLINK("#Main!A1","Open"))</f>
        <v>Open</v>
      </c>
      <c r="K74" s="34"/>
    </row>
    <row r="75" spans="1:11" ht="30" customHeight="1" x14ac:dyDescent="0.25">
      <c r="A75" s="30" t="s">
        <v>650</v>
      </c>
      <c r="B75" s="37"/>
      <c r="C75" s="37">
        <v>0</v>
      </c>
      <c r="D75" s="37">
        <v>0</v>
      </c>
      <c r="E75" s="37" t="s">
        <v>489</v>
      </c>
      <c r="F75" s="37" t="s">
        <v>651</v>
      </c>
      <c r="G75" s="37" t="s">
        <v>133</v>
      </c>
      <c r="H75" s="35" t="b">
        <v>1</v>
      </c>
      <c r="I75" s="37" t="s">
        <v>906</v>
      </c>
      <c r="J75" t="str">
        <f>IFERROR(HYPERLINK("#Main!A"&amp;MATCH(A75,Main!A:A,0),"Open"),HYPERLINK("#Main!A1","Open"))</f>
        <v>Open</v>
      </c>
    </row>
    <row r="76" spans="1:11" ht="30" customHeight="1" x14ac:dyDescent="0.25">
      <c r="A76" s="33" t="s">
        <v>655</v>
      </c>
      <c r="B76" s="28"/>
      <c r="C76" s="28">
        <v>0</v>
      </c>
      <c r="D76" s="28">
        <v>0</v>
      </c>
      <c r="E76" s="28" t="s">
        <v>656</v>
      </c>
      <c r="F76" s="28" t="s">
        <v>657</v>
      </c>
      <c r="G76" s="28" t="s">
        <v>133</v>
      </c>
      <c r="H76" s="35" t="b">
        <v>1</v>
      </c>
      <c r="I76" s="28" t="s">
        <v>906</v>
      </c>
      <c r="J76" s="34" t="str">
        <f>IFERROR(HYPERLINK("#Main!A"&amp;MATCH(A76,Main!A:A,0),"Open"),HYPERLINK("#Main!A1","Open"))</f>
        <v>Open</v>
      </c>
      <c r="K76" s="34"/>
    </row>
    <row r="77" spans="1:11" ht="30" customHeight="1" x14ac:dyDescent="0.25">
      <c r="A77" s="30" t="s">
        <v>658</v>
      </c>
      <c r="B77" s="37"/>
      <c r="C77" s="37">
        <v>0</v>
      </c>
      <c r="D77" s="37">
        <v>0</v>
      </c>
      <c r="E77" s="37" t="s">
        <v>659</v>
      </c>
      <c r="F77" s="37" t="s">
        <v>660</v>
      </c>
      <c r="G77" s="37" t="s">
        <v>133</v>
      </c>
      <c r="H77" s="35" t="b">
        <v>1</v>
      </c>
      <c r="I77" s="37" t="s">
        <v>906</v>
      </c>
      <c r="J77" t="str">
        <f>IFERROR(HYPERLINK("#Main!A"&amp;MATCH(A77,Main!A:A,0),"Open"),HYPERLINK("#Main!A1","Open"))</f>
        <v>Open</v>
      </c>
    </row>
    <row r="78" spans="1:11" ht="30" customHeight="1" x14ac:dyDescent="0.25">
      <c r="A78" s="33" t="s">
        <v>661</v>
      </c>
      <c r="B78" s="28"/>
      <c r="C78" s="28">
        <v>0</v>
      </c>
      <c r="D78" s="28">
        <v>0</v>
      </c>
      <c r="E78" s="28" t="s">
        <v>662</v>
      </c>
      <c r="F78" s="28" t="s">
        <v>663</v>
      </c>
      <c r="G78" s="28" t="s">
        <v>133</v>
      </c>
      <c r="H78" s="35" t="b">
        <v>1</v>
      </c>
      <c r="I78" s="28" t="s">
        <v>906</v>
      </c>
      <c r="J78" s="34" t="str">
        <f>IFERROR(HYPERLINK("#Main!A"&amp;MATCH(A78,Main!A:A,0),"Open"),HYPERLINK("#Main!A1","Open"))</f>
        <v>Open</v>
      </c>
      <c r="K78" s="34"/>
    </row>
    <row r="79" spans="1:11" ht="30" customHeight="1" x14ac:dyDescent="0.25">
      <c r="A79" s="30" t="s">
        <v>664</v>
      </c>
      <c r="B79" s="37"/>
      <c r="C79" s="37">
        <v>0</v>
      </c>
      <c r="D79" s="37">
        <v>0</v>
      </c>
      <c r="E79" s="37" t="s">
        <v>665</v>
      </c>
      <c r="F79" s="37" t="s">
        <v>666</v>
      </c>
      <c r="G79" s="37" t="s">
        <v>133</v>
      </c>
      <c r="H79" s="35" t="b">
        <v>1</v>
      </c>
      <c r="I79" s="37" t="s">
        <v>906</v>
      </c>
      <c r="J79" t="str">
        <f>IFERROR(HYPERLINK("#Main!A"&amp;MATCH(A79,Main!A:A,0),"Open"),HYPERLINK("#Main!A1","Open"))</f>
        <v>Open</v>
      </c>
    </row>
    <row r="80" spans="1:11" ht="30" customHeight="1" x14ac:dyDescent="0.25">
      <c r="A80" s="33" t="s">
        <v>670</v>
      </c>
      <c r="B80" s="28"/>
      <c r="C80" s="28">
        <v>0</v>
      </c>
      <c r="D80" s="28">
        <v>0</v>
      </c>
      <c r="E80" s="28" t="s">
        <v>671</v>
      </c>
      <c r="F80" s="28" t="s">
        <v>672</v>
      </c>
      <c r="G80" s="28" t="s">
        <v>614</v>
      </c>
      <c r="H80" s="35" t="b">
        <v>1</v>
      </c>
      <c r="I80" s="28" t="s">
        <v>906</v>
      </c>
      <c r="J80" s="34" t="str">
        <f>IFERROR(HYPERLINK("#Main!A"&amp;MATCH(A80,Main!A:A,0),"Open"),HYPERLINK("#Main!A1","Open"))</f>
        <v>Open</v>
      </c>
      <c r="K80" s="34"/>
    </row>
    <row r="81" spans="1:11" ht="30" customHeight="1" x14ac:dyDescent="0.25">
      <c r="A81" s="30" t="s">
        <v>667</v>
      </c>
      <c r="B81" s="37"/>
      <c r="C81" s="37">
        <v>0</v>
      </c>
      <c r="D81" s="37">
        <v>0</v>
      </c>
      <c r="E81" s="37" t="s">
        <v>668</v>
      </c>
      <c r="F81" s="37" t="s">
        <v>669</v>
      </c>
      <c r="G81" s="37" t="s">
        <v>614</v>
      </c>
      <c r="H81" s="35" t="b">
        <v>1</v>
      </c>
      <c r="I81" s="37" t="s">
        <v>906</v>
      </c>
      <c r="J81" t="str">
        <f>IFERROR(HYPERLINK("#Main!A"&amp;MATCH(A81,Main!A:A,0),"Open"),HYPERLINK("#Main!A1","Open"))</f>
        <v>Open</v>
      </c>
    </row>
    <row r="82" spans="1:11" ht="30" customHeight="1" x14ac:dyDescent="0.25">
      <c r="A82" s="33" t="s">
        <v>673</v>
      </c>
      <c r="B82" s="28"/>
      <c r="C82" s="28">
        <v>0</v>
      </c>
      <c r="D82" s="28">
        <v>0</v>
      </c>
      <c r="E82" s="28" t="s">
        <v>674</v>
      </c>
      <c r="F82" s="28" t="s">
        <v>675</v>
      </c>
      <c r="G82" s="28" t="s">
        <v>676</v>
      </c>
      <c r="H82" s="35" t="b">
        <v>1</v>
      </c>
      <c r="I82" s="28" t="s">
        <v>906</v>
      </c>
      <c r="J82" s="34" t="str">
        <f>IFERROR(HYPERLINK("#Main!A"&amp;MATCH(A82,Main!A:A,0),"Open"),HYPERLINK("#Main!A1","Open"))</f>
        <v>Open</v>
      </c>
      <c r="K82" s="34"/>
    </row>
    <row r="83" spans="1:11" ht="30" customHeight="1" x14ac:dyDescent="0.25">
      <c r="A83" s="30" t="s">
        <v>677</v>
      </c>
      <c r="B83" s="37"/>
      <c r="C83" s="37">
        <v>0</v>
      </c>
      <c r="D83" s="37">
        <v>0</v>
      </c>
      <c r="E83" s="37" t="s">
        <v>678</v>
      </c>
      <c r="F83" s="37" t="s">
        <v>679</v>
      </c>
      <c r="G83" s="37" t="s">
        <v>614</v>
      </c>
      <c r="H83" s="35" t="b">
        <v>1</v>
      </c>
      <c r="I83" s="37" t="s">
        <v>906</v>
      </c>
      <c r="J83" t="str">
        <f>IFERROR(HYPERLINK("#Main!A"&amp;MATCH(A83,Main!A:A,0),"Open"),HYPERLINK("#Main!A1","Open"))</f>
        <v>Open</v>
      </c>
    </row>
    <row r="84" spans="1:11" ht="30" customHeight="1" x14ac:dyDescent="0.25">
      <c r="A84" s="33" t="s">
        <v>680</v>
      </c>
      <c r="B84" s="28"/>
      <c r="C84" s="28">
        <v>0</v>
      </c>
      <c r="D84" s="28">
        <v>0</v>
      </c>
      <c r="E84" s="28" t="s">
        <v>681</v>
      </c>
      <c r="F84" s="28" t="s">
        <v>682</v>
      </c>
      <c r="G84" s="28" t="s">
        <v>614</v>
      </c>
      <c r="H84" s="35" t="b">
        <v>1</v>
      </c>
      <c r="I84" s="28" t="s">
        <v>906</v>
      </c>
      <c r="J84" s="34" t="str">
        <f>IFERROR(HYPERLINK("#Main!A"&amp;MATCH(A84,Main!A:A,0),"Open"),HYPERLINK("#Main!A1","Open"))</f>
        <v>Open</v>
      </c>
      <c r="K84" s="34"/>
    </row>
    <row r="85" spans="1:11" ht="30" customHeight="1" x14ac:dyDescent="0.25">
      <c r="A85" s="30" t="s">
        <v>683</v>
      </c>
      <c r="B85" s="37"/>
      <c r="C85" s="37">
        <v>0</v>
      </c>
      <c r="D85" s="37">
        <v>0</v>
      </c>
      <c r="E85" s="37" t="s">
        <v>684</v>
      </c>
      <c r="F85" s="37" t="s">
        <v>685</v>
      </c>
      <c r="G85" s="37" t="s">
        <v>133</v>
      </c>
      <c r="H85" s="35" t="b">
        <v>1</v>
      </c>
      <c r="I85" s="37" t="s">
        <v>906</v>
      </c>
      <c r="J85" t="str">
        <f>IFERROR(HYPERLINK("#Main!A"&amp;MATCH(A85,Main!A:A,0),"Open"),HYPERLINK("#Main!A1","Open"))</f>
        <v>Open</v>
      </c>
    </row>
    <row r="86" spans="1:11" ht="30" customHeight="1" x14ac:dyDescent="0.25">
      <c r="A86" s="33" t="s">
        <v>686</v>
      </c>
      <c r="B86" s="28"/>
      <c r="C86" s="28">
        <v>0</v>
      </c>
      <c r="D86" s="28">
        <v>0</v>
      </c>
      <c r="E86" s="28" t="s">
        <v>687</v>
      </c>
      <c r="F86" s="28" t="s">
        <v>688</v>
      </c>
      <c r="G86" s="28" t="s">
        <v>133</v>
      </c>
      <c r="H86" s="35" t="b">
        <v>1</v>
      </c>
      <c r="I86" s="28" t="s">
        <v>906</v>
      </c>
      <c r="J86" s="34" t="str">
        <f>IFERROR(HYPERLINK("#Main!A"&amp;MATCH(A86,Main!A:A,0),"Open"),HYPERLINK("#Main!A1","Open"))</f>
        <v>Open</v>
      </c>
      <c r="K86" s="34"/>
    </row>
  </sheetData>
  <autoFilter ref="A1:K86" xr:uid="{00000000-0009-0000-0000-000009000000}"/>
  <dataValidations count="11">
    <dataValidation type="custom" allowBlank="1" showInputMessage="1" promptTitle="URL" prompt="URL. Use this URL to inspect the page directly or jump to related tabs." sqref="A1" xr:uid="{00000000-0002-0000-0900-000000000000}">
      <formula1>TRUE</formula1>
    </dataValidation>
    <dataValidation type="custom" allowBlank="1" showInputMessage="1" promptTitle="Schema Types Found" prompt="Structured data signal. Fix: add valid schema types and correct parsing/validation errors." sqref="B1" xr:uid="{00000000-0002-0000-0900-000001000000}">
      <formula1>TRUE</formula1>
    </dataValidation>
    <dataValidation type="custom" allowBlank="1" showInputMessage="1" promptTitle="Schema Types Count" prompt="Structured data signal. Fix: add valid schema types and correct parsing/validation errors." sqref="C1" xr:uid="{00000000-0002-0000-0900-000002000000}">
      <formula1>TRUE</formula1>
    </dataValidation>
    <dataValidation type="custom" allowBlank="1" showInputMessage="1" promptTitle="Schema Parse Errors" prompt="Structured data signal. Fix: add valid schema types and correct parsing/validation errors." sqref="D1" xr:uid="{00000000-0002-0000-0900-000003000000}">
      <formula1>TRUE</formula1>
    </dataValidation>
    <dataValidation type="custom" allowBlank="1" showInputMessage="1" promptTitle="OG Title" prompt="OG Title. Review this metric to identify risk, then use linked tabs for details and remediation." sqref="E1" xr:uid="{00000000-0002-0000-0900-000004000000}">
      <formula1>TRUE</formula1>
    </dataValidation>
    <dataValidation type="custom" allowBlank="1" showInputMessage="1" promptTitle="OG Description" prompt="OG Description. Review this metric to identify risk, then use linked tabs for details and remediation." sqref="F1" xr:uid="{00000000-0002-0000-0900-000005000000}">
      <formula1>TRUE</formula1>
    </dataValidation>
    <dataValidation type="custom" allowBlank="1" showInputMessage="1" promptTitle="OG Image" prompt="OG Image. Review this metric to identify risk, then use linked tabs for details and remediation." sqref="G1" xr:uid="{00000000-0002-0000-0900-000006000000}">
      <formula1>TRUE</formula1>
    </dataValidation>
    <dataValidation type="custom" allowBlank="1" showInputMessage="1" promptTitle="Open Graph Complete" prompt="Open Graph Complete. Review this metric to identify risk, then use linked tabs for details and remediation." sqref="H1" xr:uid="{00000000-0002-0000-0900-000007000000}">
      <formula1>TRUE</formula1>
    </dataValidation>
    <dataValidation type="custom" allowBlank="1" showInputMessage="1" promptTitle="Twitter Card Type" prompt="Twitter Card Type. Review this metric to identify risk, then use linked tabs for details and remediation." sqref="I1" xr:uid="{00000000-0002-0000-0900-000008000000}">
      <formula1>TRUE</formula1>
    </dataValidation>
    <dataValidation type="custom" allowBlank="1" showInputMessage="1" promptTitle="Open in Main" prompt="Navigation helper. Click to jump directly to the related record in another tab." sqref="J1" xr:uid="{00000000-0002-0000-0900-000009000000}">
      <formula1>TRUE</formula1>
    </dataValidation>
    <dataValidation type="custom" allowBlank="1" showInputMessage="1" promptTitle="BACK TO DASHBOARD" prompt="BACK TO DASHBOARD. Review this metric to identify risk, then use linked tabs for details and remediation." sqref="K1" xr:uid="{00000000-0002-0000-0900-00000A000000}">
      <formula1>TRUE</formula1>
    </dataValidation>
  </dataValidations>
  <hyperlinks>
    <hyperlink ref="K1" location="Dashboard!A1" display="BACK TO DASHBOARD" xr:uid="{00000000-0004-0000-0900-000000000000}"/>
    <hyperlink ref="A2" r:id="rId1" xr:uid="{00000000-0004-0000-0900-000001000000}"/>
    <hyperlink ref="A3" r:id="rId2" xr:uid="{00000000-0004-0000-0900-000002000000}"/>
    <hyperlink ref="A4" r:id="rId3" xr:uid="{00000000-0004-0000-0900-000003000000}"/>
    <hyperlink ref="A5" r:id="rId4" xr:uid="{00000000-0004-0000-0900-000004000000}"/>
    <hyperlink ref="A6" r:id="rId5" xr:uid="{00000000-0004-0000-0900-000005000000}"/>
    <hyperlink ref="A7" r:id="rId6" xr:uid="{00000000-0004-0000-0900-000006000000}"/>
    <hyperlink ref="A8" r:id="rId7" xr:uid="{00000000-0004-0000-0900-000007000000}"/>
    <hyperlink ref="A9" r:id="rId8" xr:uid="{00000000-0004-0000-0900-000008000000}"/>
    <hyperlink ref="A10" r:id="rId9" xr:uid="{00000000-0004-0000-0900-000009000000}"/>
    <hyperlink ref="A11" r:id="rId10" xr:uid="{00000000-0004-0000-0900-00000A000000}"/>
    <hyperlink ref="A12" r:id="rId11" xr:uid="{00000000-0004-0000-0900-00000B000000}"/>
    <hyperlink ref="A13" r:id="rId12" xr:uid="{00000000-0004-0000-0900-00000C000000}"/>
    <hyperlink ref="A14" r:id="rId13" xr:uid="{00000000-0004-0000-0900-00000D000000}"/>
    <hyperlink ref="A15" r:id="rId14" xr:uid="{00000000-0004-0000-0900-00000E000000}"/>
    <hyperlink ref="A16" r:id="rId15" xr:uid="{00000000-0004-0000-0900-00000F000000}"/>
    <hyperlink ref="A17" r:id="rId16" xr:uid="{00000000-0004-0000-0900-000010000000}"/>
    <hyperlink ref="A18" r:id="rId17" xr:uid="{00000000-0004-0000-0900-000011000000}"/>
    <hyperlink ref="A19" r:id="rId18" xr:uid="{00000000-0004-0000-0900-000012000000}"/>
    <hyperlink ref="A20" r:id="rId19" xr:uid="{00000000-0004-0000-0900-000013000000}"/>
    <hyperlink ref="A21" r:id="rId20" xr:uid="{00000000-0004-0000-0900-000014000000}"/>
    <hyperlink ref="A22" r:id="rId21" xr:uid="{00000000-0004-0000-0900-000015000000}"/>
    <hyperlink ref="A23" r:id="rId22" xr:uid="{00000000-0004-0000-0900-000016000000}"/>
    <hyperlink ref="A24" r:id="rId23" xr:uid="{00000000-0004-0000-0900-000017000000}"/>
    <hyperlink ref="A25" r:id="rId24" xr:uid="{00000000-0004-0000-0900-000018000000}"/>
    <hyperlink ref="A26" r:id="rId25" xr:uid="{00000000-0004-0000-0900-000019000000}"/>
    <hyperlink ref="A27" r:id="rId26" xr:uid="{00000000-0004-0000-0900-00001A000000}"/>
    <hyperlink ref="A28" r:id="rId27" xr:uid="{00000000-0004-0000-0900-00001B000000}"/>
    <hyperlink ref="A29" r:id="rId28" xr:uid="{00000000-0004-0000-0900-00001C000000}"/>
    <hyperlink ref="A30" r:id="rId29" xr:uid="{00000000-0004-0000-0900-00001D000000}"/>
    <hyperlink ref="A31" r:id="rId30" xr:uid="{00000000-0004-0000-0900-00001E000000}"/>
    <hyperlink ref="A32" r:id="rId31" xr:uid="{00000000-0004-0000-0900-00001F000000}"/>
    <hyperlink ref="A33" r:id="rId32" xr:uid="{00000000-0004-0000-0900-000020000000}"/>
    <hyperlink ref="A34" r:id="rId33" xr:uid="{00000000-0004-0000-0900-000021000000}"/>
    <hyperlink ref="A35" r:id="rId34" xr:uid="{00000000-0004-0000-0900-000022000000}"/>
    <hyperlink ref="A36" r:id="rId35" xr:uid="{00000000-0004-0000-0900-000023000000}"/>
    <hyperlink ref="A37" r:id="rId36" xr:uid="{00000000-0004-0000-0900-000024000000}"/>
    <hyperlink ref="A38" r:id="rId37" xr:uid="{00000000-0004-0000-0900-000025000000}"/>
    <hyperlink ref="A39" r:id="rId38" xr:uid="{00000000-0004-0000-0900-000026000000}"/>
    <hyperlink ref="A40" r:id="rId39" xr:uid="{00000000-0004-0000-0900-000027000000}"/>
    <hyperlink ref="A41" r:id="rId40" xr:uid="{00000000-0004-0000-0900-000028000000}"/>
    <hyperlink ref="A42" r:id="rId41" xr:uid="{00000000-0004-0000-0900-000029000000}"/>
    <hyperlink ref="A43" r:id="rId42" xr:uid="{00000000-0004-0000-0900-00002A000000}"/>
    <hyperlink ref="A44" r:id="rId43" xr:uid="{00000000-0004-0000-0900-00002B000000}"/>
    <hyperlink ref="A45" r:id="rId44" xr:uid="{00000000-0004-0000-0900-00002C000000}"/>
    <hyperlink ref="A46" r:id="rId45" xr:uid="{00000000-0004-0000-0900-00002D000000}"/>
    <hyperlink ref="A47" r:id="rId46" xr:uid="{00000000-0004-0000-0900-00002E000000}"/>
    <hyperlink ref="A48" r:id="rId47" xr:uid="{00000000-0004-0000-0900-00002F000000}"/>
    <hyperlink ref="A49" r:id="rId48" xr:uid="{00000000-0004-0000-0900-000030000000}"/>
    <hyperlink ref="A50" r:id="rId49" xr:uid="{00000000-0004-0000-0900-000031000000}"/>
    <hyperlink ref="A51" r:id="rId50" xr:uid="{00000000-0004-0000-0900-000032000000}"/>
    <hyperlink ref="A52" r:id="rId51" xr:uid="{00000000-0004-0000-0900-000033000000}"/>
    <hyperlink ref="A53" r:id="rId52" xr:uid="{00000000-0004-0000-0900-000034000000}"/>
    <hyperlink ref="A54" r:id="rId53" xr:uid="{00000000-0004-0000-0900-000035000000}"/>
    <hyperlink ref="A55" r:id="rId54" xr:uid="{00000000-0004-0000-0900-000036000000}"/>
    <hyperlink ref="A56" r:id="rId55" xr:uid="{00000000-0004-0000-0900-000037000000}"/>
    <hyperlink ref="A57" r:id="rId56" xr:uid="{00000000-0004-0000-0900-000038000000}"/>
    <hyperlink ref="A58" r:id="rId57" xr:uid="{00000000-0004-0000-0900-000039000000}"/>
    <hyperlink ref="A59" r:id="rId58" xr:uid="{00000000-0004-0000-0900-00003A000000}"/>
    <hyperlink ref="A60" r:id="rId59" xr:uid="{00000000-0004-0000-0900-00003B000000}"/>
    <hyperlink ref="A61" r:id="rId60" xr:uid="{00000000-0004-0000-0900-00003C000000}"/>
    <hyperlink ref="A62" r:id="rId61" xr:uid="{00000000-0004-0000-0900-00003D000000}"/>
    <hyperlink ref="A63" r:id="rId62" xr:uid="{00000000-0004-0000-0900-00003E000000}"/>
    <hyperlink ref="A64" r:id="rId63" xr:uid="{00000000-0004-0000-0900-00003F000000}"/>
    <hyperlink ref="A65" r:id="rId64" xr:uid="{00000000-0004-0000-0900-000040000000}"/>
    <hyperlink ref="A66" r:id="rId65" xr:uid="{00000000-0004-0000-0900-000041000000}"/>
    <hyperlink ref="A67" r:id="rId66" xr:uid="{00000000-0004-0000-0900-000042000000}"/>
    <hyperlink ref="A68" r:id="rId67" xr:uid="{00000000-0004-0000-0900-000043000000}"/>
    <hyperlink ref="A69" r:id="rId68" xr:uid="{00000000-0004-0000-0900-000044000000}"/>
    <hyperlink ref="A70" r:id="rId69" xr:uid="{00000000-0004-0000-0900-000045000000}"/>
    <hyperlink ref="A71" r:id="rId70" xr:uid="{00000000-0004-0000-0900-000046000000}"/>
    <hyperlink ref="A72" r:id="rId71" xr:uid="{00000000-0004-0000-0900-000047000000}"/>
    <hyperlink ref="A73" r:id="rId72" xr:uid="{00000000-0004-0000-0900-000048000000}"/>
    <hyperlink ref="A74" r:id="rId73" xr:uid="{00000000-0004-0000-0900-000049000000}"/>
    <hyperlink ref="A75" r:id="rId74" xr:uid="{00000000-0004-0000-0900-00004A000000}"/>
    <hyperlink ref="A76" r:id="rId75" xr:uid="{00000000-0004-0000-0900-00004B000000}"/>
    <hyperlink ref="A77" r:id="rId76" xr:uid="{00000000-0004-0000-0900-00004C000000}"/>
    <hyperlink ref="A78" r:id="rId77" xr:uid="{00000000-0004-0000-0900-00004D000000}"/>
    <hyperlink ref="A79" r:id="rId78" xr:uid="{00000000-0004-0000-0900-00004E000000}"/>
    <hyperlink ref="A80" r:id="rId79" xr:uid="{00000000-0004-0000-0900-00004F000000}"/>
    <hyperlink ref="A81" r:id="rId80" xr:uid="{00000000-0004-0000-0900-000050000000}"/>
    <hyperlink ref="A82" r:id="rId81" xr:uid="{00000000-0004-0000-0900-000051000000}"/>
    <hyperlink ref="A83" r:id="rId82" xr:uid="{00000000-0004-0000-0900-000052000000}"/>
    <hyperlink ref="A84" r:id="rId83" xr:uid="{00000000-0004-0000-0900-000053000000}"/>
    <hyperlink ref="A85" r:id="rId84" xr:uid="{00000000-0004-0000-0900-000054000000}"/>
    <hyperlink ref="A86" r:id="rId85" xr:uid="{00000000-0004-0000-0900-000055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2" customWidth="1"/>
    <col min="3" max="4" width="29" customWidth="1"/>
    <col min="5" max="5" width="33" customWidth="1"/>
    <col min="6" max="6" width="27" customWidth="1"/>
    <col min="7" max="7" width="22" customWidth="1"/>
    <col min="8" max="9" width="31" customWidth="1"/>
    <col min="10" max="10" width="60" customWidth="1"/>
  </cols>
  <sheetData>
    <row r="1" spans="1:12" ht="45" x14ac:dyDescent="0.25">
      <c r="A1" s="27" t="s">
        <v>102</v>
      </c>
      <c r="B1" s="27" t="s">
        <v>728</v>
      </c>
      <c r="C1" s="27" t="s">
        <v>729</v>
      </c>
      <c r="D1" s="27" t="s">
        <v>907</v>
      </c>
      <c r="E1" s="27" t="s">
        <v>908</v>
      </c>
      <c r="F1" s="27" t="s">
        <v>909</v>
      </c>
      <c r="G1" s="27" t="s">
        <v>730</v>
      </c>
      <c r="H1" s="27" t="s">
        <v>910</v>
      </c>
      <c r="I1" s="27" t="s">
        <v>911</v>
      </c>
      <c r="J1" s="27" t="s">
        <v>912</v>
      </c>
      <c r="K1" s="27" t="s">
        <v>122</v>
      </c>
      <c r="L1" s="36" t="s">
        <v>251</v>
      </c>
    </row>
    <row r="2" spans="1:12" ht="120" customHeight="1" x14ac:dyDescent="0.25">
      <c r="A2" s="33" t="s">
        <v>127</v>
      </c>
      <c r="B2" s="28">
        <v>63</v>
      </c>
      <c r="C2" s="28">
        <v>22</v>
      </c>
      <c r="D2" s="29">
        <v>1</v>
      </c>
      <c r="E2" s="28">
        <v>0</v>
      </c>
      <c r="F2" s="29">
        <v>3</v>
      </c>
      <c r="G2" s="28">
        <v>2</v>
      </c>
      <c r="H2" s="28">
        <v>0</v>
      </c>
      <c r="I2" s="28">
        <v>0</v>
      </c>
      <c r="J2" s="28" t="s">
        <v>913</v>
      </c>
      <c r="K2" s="34" t="str">
        <f>IFERROR(HYPERLINK("#Main!A"&amp;MATCH(A2,Main!A:A,0),"Open"),HYPERLINK("#Main!A1","Open"))</f>
        <v>Open</v>
      </c>
      <c r="L2" s="34"/>
    </row>
    <row r="3" spans="1:12" ht="120" customHeight="1" x14ac:dyDescent="0.25">
      <c r="A3" s="30" t="s">
        <v>135</v>
      </c>
      <c r="B3" s="37">
        <v>32</v>
      </c>
      <c r="C3" s="37">
        <v>14</v>
      </c>
      <c r="D3" s="29">
        <v>1</v>
      </c>
      <c r="E3" s="37">
        <v>0</v>
      </c>
      <c r="F3" s="35">
        <v>0</v>
      </c>
      <c r="G3" s="37">
        <v>7</v>
      </c>
      <c r="H3" s="37">
        <v>0</v>
      </c>
      <c r="I3" s="37">
        <v>0</v>
      </c>
      <c r="J3" s="37" t="s">
        <v>914</v>
      </c>
      <c r="K3" t="str">
        <f>IFERROR(HYPERLINK("#Main!A"&amp;MATCH(A3,Main!A:A,0),"Open"),HYPERLINK("#Main!A1","Open"))</f>
        <v>Open</v>
      </c>
    </row>
    <row r="4" spans="1:12" ht="120" customHeight="1" x14ac:dyDescent="0.25">
      <c r="A4" s="33" t="s">
        <v>144</v>
      </c>
      <c r="B4" s="28">
        <v>58</v>
      </c>
      <c r="C4" s="28">
        <v>15</v>
      </c>
      <c r="D4" s="29">
        <v>1</v>
      </c>
      <c r="E4" s="28">
        <v>0</v>
      </c>
      <c r="F4" s="35">
        <v>0</v>
      </c>
      <c r="G4" s="28">
        <v>3</v>
      </c>
      <c r="H4" s="28">
        <v>0</v>
      </c>
      <c r="I4" s="28">
        <v>0</v>
      </c>
      <c r="J4" s="28" t="s">
        <v>915</v>
      </c>
      <c r="K4" s="34" t="str">
        <f>IFERROR(HYPERLINK("#Main!A"&amp;MATCH(A4,Main!A:A,0),"Open"),HYPERLINK("#Main!A1","Open"))</f>
        <v>Open</v>
      </c>
      <c r="L4" s="34"/>
    </row>
    <row r="5" spans="1:12" ht="120" customHeight="1" x14ac:dyDescent="0.25">
      <c r="A5" s="30" t="s">
        <v>152</v>
      </c>
      <c r="B5" s="37">
        <v>16</v>
      </c>
      <c r="C5" s="37">
        <v>9</v>
      </c>
      <c r="D5" s="29">
        <v>1</v>
      </c>
      <c r="E5" s="37">
        <v>0</v>
      </c>
      <c r="F5" s="35">
        <v>0</v>
      </c>
      <c r="G5" s="37">
        <v>4</v>
      </c>
      <c r="H5" s="37">
        <v>0</v>
      </c>
      <c r="I5" s="37">
        <v>0</v>
      </c>
      <c r="J5" s="37" t="s">
        <v>916</v>
      </c>
      <c r="K5" t="str">
        <f>IFERROR(HYPERLINK("#Main!A"&amp;MATCH(A5,Main!A:A,0),"Open"),HYPERLINK("#Main!A1","Open"))</f>
        <v>Open</v>
      </c>
    </row>
    <row r="6" spans="1:12" ht="120" customHeight="1" x14ac:dyDescent="0.25">
      <c r="A6" s="33" t="s">
        <v>169</v>
      </c>
      <c r="B6" s="28">
        <v>32</v>
      </c>
      <c r="C6" s="28">
        <v>14</v>
      </c>
      <c r="D6" s="29">
        <v>1</v>
      </c>
      <c r="E6" s="28">
        <v>0</v>
      </c>
      <c r="F6" s="35">
        <v>0</v>
      </c>
      <c r="G6" s="28">
        <v>4</v>
      </c>
      <c r="H6" s="28">
        <v>0</v>
      </c>
      <c r="I6" s="28">
        <v>0</v>
      </c>
      <c r="J6" s="28" t="s">
        <v>914</v>
      </c>
      <c r="K6" s="34" t="str">
        <f>IFERROR(HYPERLINK("#Main!A"&amp;MATCH(A6,Main!A:A,0),"Open"),HYPERLINK("#Main!A1","Open"))</f>
        <v>Open</v>
      </c>
      <c r="L6" s="34"/>
    </row>
    <row r="7" spans="1:12" ht="120" customHeight="1" x14ac:dyDescent="0.25">
      <c r="A7" s="30" t="s">
        <v>177</v>
      </c>
      <c r="B7" s="37">
        <v>32</v>
      </c>
      <c r="C7" s="37">
        <v>15</v>
      </c>
      <c r="D7" s="29">
        <v>2</v>
      </c>
      <c r="E7" s="37">
        <v>0</v>
      </c>
      <c r="F7" s="35">
        <v>0</v>
      </c>
      <c r="G7" s="37">
        <v>2</v>
      </c>
      <c r="H7" s="37">
        <v>0</v>
      </c>
      <c r="I7" s="37">
        <v>0</v>
      </c>
      <c r="J7" s="37" t="s">
        <v>917</v>
      </c>
      <c r="K7" t="str">
        <f>IFERROR(HYPERLINK("#Main!A"&amp;MATCH(A7,Main!A:A,0),"Open"),HYPERLINK("#Main!A1","Open"))</f>
        <v>Open</v>
      </c>
    </row>
    <row r="8" spans="1:12" ht="120" customHeight="1" x14ac:dyDescent="0.25">
      <c r="A8" s="33" t="s">
        <v>161</v>
      </c>
      <c r="B8" s="28">
        <v>99</v>
      </c>
      <c r="C8" s="28">
        <v>64</v>
      </c>
      <c r="D8" s="29">
        <v>1</v>
      </c>
      <c r="E8" s="28">
        <v>0</v>
      </c>
      <c r="F8" s="35">
        <v>0</v>
      </c>
      <c r="G8" s="28">
        <v>3</v>
      </c>
      <c r="H8" s="28">
        <v>0</v>
      </c>
      <c r="I8" s="28">
        <v>0</v>
      </c>
      <c r="J8" s="28" t="s">
        <v>918</v>
      </c>
      <c r="K8" s="34" t="str">
        <f>IFERROR(HYPERLINK("#Main!A"&amp;MATCH(A8,Main!A:A,0),"Open"),HYPERLINK("#Main!A1","Open"))</f>
        <v>Open</v>
      </c>
      <c r="L8" s="34"/>
    </row>
    <row r="9" spans="1:12" ht="120" customHeight="1" x14ac:dyDescent="0.25">
      <c r="A9" s="30" t="s">
        <v>185</v>
      </c>
      <c r="B9" s="37">
        <v>41</v>
      </c>
      <c r="C9" s="37">
        <v>33</v>
      </c>
      <c r="D9" s="29">
        <v>2</v>
      </c>
      <c r="E9" s="37">
        <v>0</v>
      </c>
      <c r="F9" s="35">
        <v>0</v>
      </c>
      <c r="G9" s="37">
        <v>13</v>
      </c>
      <c r="H9" s="37">
        <v>0</v>
      </c>
      <c r="I9" s="37">
        <v>0</v>
      </c>
      <c r="J9" s="37" t="s">
        <v>919</v>
      </c>
      <c r="K9" t="str">
        <f>IFERROR(HYPERLINK("#Main!A"&amp;MATCH(A9,Main!A:A,0),"Open"),HYPERLINK("#Main!A1","Open"))</f>
        <v>Open</v>
      </c>
    </row>
    <row r="10" spans="1:12" ht="120" customHeight="1" x14ac:dyDescent="0.25">
      <c r="A10" s="33" t="s">
        <v>201</v>
      </c>
      <c r="B10" s="28">
        <v>19</v>
      </c>
      <c r="C10" s="28">
        <v>10</v>
      </c>
      <c r="D10" s="29">
        <v>1</v>
      </c>
      <c r="E10" s="28">
        <v>0</v>
      </c>
      <c r="F10" s="35">
        <v>0</v>
      </c>
      <c r="G10" s="28">
        <v>2</v>
      </c>
      <c r="H10" s="28">
        <v>0</v>
      </c>
      <c r="I10" s="28">
        <v>0</v>
      </c>
      <c r="J10" s="28" t="s">
        <v>920</v>
      </c>
      <c r="K10" s="34" t="str">
        <f>IFERROR(HYPERLINK("#Main!A"&amp;MATCH(A10,Main!A:A,0),"Open"),HYPERLINK("#Main!A1","Open"))</f>
        <v>Open</v>
      </c>
      <c r="L10" s="34"/>
    </row>
    <row r="11" spans="1:12" ht="120" customHeight="1" x14ac:dyDescent="0.25">
      <c r="A11" s="30" t="s">
        <v>193</v>
      </c>
      <c r="B11" s="37">
        <v>19</v>
      </c>
      <c r="C11" s="37">
        <v>10</v>
      </c>
      <c r="D11" s="29">
        <v>1</v>
      </c>
      <c r="E11" s="37">
        <v>0</v>
      </c>
      <c r="F11" s="35">
        <v>0</v>
      </c>
      <c r="G11" s="37">
        <v>2</v>
      </c>
      <c r="H11" s="37">
        <v>0</v>
      </c>
      <c r="I11" s="37">
        <v>0</v>
      </c>
      <c r="J11" s="37" t="s">
        <v>920</v>
      </c>
      <c r="K11" t="str">
        <f>IFERROR(HYPERLINK("#Main!A"&amp;MATCH(A11,Main!A:A,0),"Open"),HYPERLINK("#Main!A1","Open"))</f>
        <v>Open</v>
      </c>
    </row>
    <row r="12" spans="1:12" ht="30" customHeight="1" x14ac:dyDescent="0.25">
      <c r="A12" s="33" t="s">
        <v>216</v>
      </c>
      <c r="B12" s="28">
        <v>2</v>
      </c>
      <c r="C12" s="28">
        <v>1</v>
      </c>
      <c r="D12" s="29">
        <v>1</v>
      </c>
      <c r="E12" s="28">
        <v>0</v>
      </c>
      <c r="F12" s="35">
        <v>0</v>
      </c>
      <c r="G12" s="28">
        <v>0</v>
      </c>
      <c r="H12" s="28">
        <v>0</v>
      </c>
      <c r="I12" s="28">
        <v>0</v>
      </c>
      <c r="J12" s="28" t="s">
        <v>921</v>
      </c>
      <c r="K12" s="34" t="str">
        <f>IFERROR(HYPERLINK("#Main!A"&amp;MATCH(A12,Main!A:A,0),"Open"),HYPERLINK("#Main!A1","Open"))</f>
        <v>Open</v>
      </c>
      <c r="L12" s="34"/>
    </row>
    <row r="13" spans="1:12" ht="120" customHeight="1" x14ac:dyDescent="0.25">
      <c r="A13" s="30" t="s">
        <v>208</v>
      </c>
      <c r="B13" s="37">
        <v>19</v>
      </c>
      <c r="C13" s="37">
        <v>10</v>
      </c>
      <c r="D13" s="29">
        <v>1</v>
      </c>
      <c r="E13" s="37">
        <v>0</v>
      </c>
      <c r="F13" s="35">
        <v>0</v>
      </c>
      <c r="G13" s="37">
        <v>2</v>
      </c>
      <c r="H13" s="37">
        <v>0</v>
      </c>
      <c r="I13" s="37">
        <v>0</v>
      </c>
      <c r="J13" s="37" t="s">
        <v>920</v>
      </c>
      <c r="K13" t="str">
        <f>IFERROR(HYPERLINK("#Main!A"&amp;MATCH(A13,Main!A:A,0),"Open"),HYPERLINK("#Main!A1","Open"))</f>
        <v>Open</v>
      </c>
    </row>
    <row r="14" spans="1:12" ht="120" customHeight="1" x14ac:dyDescent="0.25">
      <c r="A14" s="33" t="s">
        <v>224</v>
      </c>
      <c r="B14" s="28">
        <v>22</v>
      </c>
      <c r="C14" s="28">
        <v>12</v>
      </c>
      <c r="D14" s="29">
        <v>2</v>
      </c>
      <c r="E14" s="28">
        <v>0</v>
      </c>
      <c r="F14" s="35">
        <v>0</v>
      </c>
      <c r="G14" s="28">
        <v>3</v>
      </c>
      <c r="H14" s="28">
        <v>0</v>
      </c>
      <c r="I14" s="28">
        <v>0</v>
      </c>
      <c r="J14" s="28" t="s">
        <v>922</v>
      </c>
      <c r="K14" s="34" t="str">
        <f>IFERROR(HYPERLINK("#Main!A"&amp;MATCH(A14,Main!A:A,0),"Open"),HYPERLINK("#Main!A1","Open"))</f>
        <v>Open</v>
      </c>
      <c r="L14" s="34"/>
    </row>
    <row r="15" spans="1:12" ht="120" customHeight="1" x14ac:dyDescent="0.25">
      <c r="A15" s="30" t="s">
        <v>233</v>
      </c>
      <c r="B15" s="37">
        <v>617</v>
      </c>
      <c r="C15" s="37">
        <v>608</v>
      </c>
      <c r="D15" s="29">
        <v>1</v>
      </c>
      <c r="E15" s="37">
        <v>0</v>
      </c>
      <c r="F15" s="35">
        <v>0</v>
      </c>
      <c r="G15" s="37">
        <v>2</v>
      </c>
      <c r="H15" s="37">
        <v>0</v>
      </c>
      <c r="I15" s="37">
        <v>0</v>
      </c>
      <c r="J15" s="37" t="s">
        <v>923</v>
      </c>
      <c r="K15" t="str">
        <f>IFERROR(HYPERLINK("#Main!A"&amp;MATCH(A15,Main!A:A,0),"Open"),HYPERLINK("#Main!A1","Open"))</f>
        <v>Open</v>
      </c>
    </row>
    <row r="16" spans="1:12" ht="120" customHeight="1" x14ac:dyDescent="0.25">
      <c r="A16" s="33" t="s">
        <v>241</v>
      </c>
      <c r="B16" s="28">
        <v>19</v>
      </c>
      <c r="C16" s="28">
        <v>10</v>
      </c>
      <c r="D16" s="29">
        <v>1</v>
      </c>
      <c r="E16" s="28">
        <v>0</v>
      </c>
      <c r="F16" s="35">
        <v>0</v>
      </c>
      <c r="G16" s="28">
        <v>12</v>
      </c>
      <c r="H16" s="28">
        <v>0</v>
      </c>
      <c r="I16" s="28">
        <v>0</v>
      </c>
      <c r="J16" s="28" t="s">
        <v>920</v>
      </c>
      <c r="K16" s="34" t="str">
        <f>IFERROR(HYPERLINK("#Main!A"&amp;MATCH(A16,Main!A:A,0),"Open"),HYPERLINK("#Main!A1","Open"))</f>
        <v>Open</v>
      </c>
      <c r="L16" s="34"/>
    </row>
    <row r="17" spans="1:12" ht="120" customHeight="1" x14ac:dyDescent="0.25">
      <c r="A17" s="30" t="s">
        <v>485</v>
      </c>
      <c r="B17" s="37">
        <v>28</v>
      </c>
      <c r="C17" s="37">
        <v>18</v>
      </c>
      <c r="D17" s="29">
        <v>1</v>
      </c>
      <c r="E17" s="37">
        <v>0</v>
      </c>
      <c r="F17" s="35">
        <v>0</v>
      </c>
      <c r="G17" s="37">
        <v>2</v>
      </c>
      <c r="H17" s="37">
        <v>0</v>
      </c>
      <c r="I17" s="37">
        <v>0</v>
      </c>
      <c r="J17" s="37" t="s">
        <v>924</v>
      </c>
      <c r="K17" t="str">
        <f>IFERROR(HYPERLINK("#Main!A"&amp;MATCH(A17,Main!A:A,0),"Open"),HYPERLINK("#Main!A1","Open"))</f>
        <v>Open</v>
      </c>
    </row>
    <row r="18" spans="1:12" ht="120" customHeight="1" x14ac:dyDescent="0.25">
      <c r="A18" s="33" t="s">
        <v>491</v>
      </c>
      <c r="B18" s="28">
        <v>25</v>
      </c>
      <c r="C18" s="28">
        <v>17</v>
      </c>
      <c r="D18" s="29">
        <v>1</v>
      </c>
      <c r="E18" s="28">
        <v>0</v>
      </c>
      <c r="F18" s="35">
        <v>0</v>
      </c>
      <c r="G18" s="28">
        <v>18</v>
      </c>
      <c r="H18" s="28">
        <v>0</v>
      </c>
      <c r="I18" s="28">
        <v>0</v>
      </c>
      <c r="J18" s="28" t="s">
        <v>925</v>
      </c>
      <c r="K18" s="34" t="str">
        <f>IFERROR(HYPERLINK("#Main!A"&amp;MATCH(A18,Main!A:A,0),"Open"),HYPERLINK("#Main!A1","Open"))</f>
        <v>Open</v>
      </c>
      <c r="L18" s="34"/>
    </row>
    <row r="19" spans="1:12" ht="120" customHeight="1" x14ac:dyDescent="0.25">
      <c r="A19" s="30" t="s">
        <v>488</v>
      </c>
      <c r="B19" s="37">
        <v>19</v>
      </c>
      <c r="C19" s="37">
        <v>10</v>
      </c>
      <c r="D19" s="29">
        <v>1</v>
      </c>
      <c r="E19" s="37">
        <v>0</v>
      </c>
      <c r="F19" s="35">
        <v>0</v>
      </c>
      <c r="G19" s="37">
        <v>2</v>
      </c>
      <c r="H19" s="37">
        <v>0</v>
      </c>
      <c r="I19" s="37">
        <v>0</v>
      </c>
      <c r="J19" s="37" t="s">
        <v>920</v>
      </c>
      <c r="K19" t="str">
        <f>IFERROR(HYPERLINK("#Main!A"&amp;MATCH(A19,Main!A:A,0),"Open"),HYPERLINK("#Main!A1","Open"))</f>
        <v>Open</v>
      </c>
    </row>
    <row r="20" spans="1:12" ht="120" customHeight="1" x14ac:dyDescent="0.25">
      <c r="A20" s="33" t="s">
        <v>494</v>
      </c>
      <c r="B20" s="28">
        <v>26</v>
      </c>
      <c r="C20" s="28">
        <v>14</v>
      </c>
      <c r="D20" s="29">
        <v>2</v>
      </c>
      <c r="E20" s="28">
        <v>0</v>
      </c>
      <c r="F20" s="35">
        <v>0</v>
      </c>
      <c r="G20" s="28">
        <v>4</v>
      </c>
      <c r="H20" s="28">
        <v>0</v>
      </c>
      <c r="I20" s="28">
        <v>0</v>
      </c>
      <c r="J20" s="28" t="s">
        <v>926</v>
      </c>
      <c r="K20" s="34" t="str">
        <f>IFERROR(HYPERLINK("#Main!A"&amp;MATCH(A20,Main!A:A,0),"Open"),HYPERLINK("#Main!A1","Open"))</f>
        <v>Open</v>
      </c>
      <c r="L20" s="34"/>
    </row>
    <row r="21" spans="1:12" ht="120" customHeight="1" x14ac:dyDescent="0.25">
      <c r="A21" s="30" t="s">
        <v>500</v>
      </c>
      <c r="B21" s="37">
        <v>16</v>
      </c>
      <c r="C21" s="37">
        <v>9</v>
      </c>
      <c r="D21" s="29">
        <v>1</v>
      </c>
      <c r="E21" s="37">
        <v>0</v>
      </c>
      <c r="F21" s="35">
        <v>0</v>
      </c>
      <c r="G21" s="37">
        <v>49</v>
      </c>
      <c r="H21" s="37">
        <v>0</v>
      </c>
      <c r="I21" s="37">
        <v>0</v>
      </c>
      <c r="J21" s="37" t="s">
        <v>916</v>
      </c>
      <c r="K21" t="str">
        <f>IFERROR(HYPERLINK("#Main!A"&amp;MATCH(A21,Main!A:A,0),"Open"),HYPERLINK("#Main!A1","Open"))</f>
        <v>Open</v>
      </c>
    </row>
    <row r="22" spans="1:12" ht="120" customHeight="1" x14ac:dyDescent="0.25">
      <c r="A22" s="33" t="s">
        <v>497</v>
      </c>
      <c r="B22" s="28">
        <v>46</v>
      </c>
      <c r="C22" s="28">
        <v>24</v>
      </c>
      <c r="D22" s="29">
        <v>1</v>
      </c>
      <c r="E22" s="28">
        <v>0</v>
      </c>
      <c r="F22" s="35">
        <v>0</v>
      </c>
      <c r="G22" s="28">
        <v>28</v>
      </c>
      <c r="H22" s="28">
        <v>0</v>
      </c>
      <c r="I22" s="28">
        <v>0</v>
      </c>
      <c r="J22" s="28" t="s">
        <v>927</v>
      </c>
      <c r="K22" s="34" t="str">
        <f>IFERROR(HYPERLINK("#Main!A"&amp;MATCH(A22,Main!A:A,0),"Open"),HYPERLINK("#Main!A1","Open"))</f>
        <v>Open</v>
      </c>
      <c r="L22" s="34"/>
    </row>
    <row r="23" spans="1:12" ht="120" customHeight="1" x14ac:dyDescent="0.25">
      <c r="A23" s="30" t="s">
        <v>506</v>
      </c>
      <c r="B23" s="37">
        <v>42</v>
      </c>
      <c r="C23" s="37">
        <v>22</v>
      </c>
      <c r="D23" s="29">
        <v>1</v>
      </c>
      <c r="E23" s="37">
        <v>0</v>
      </c>
      <c r="F23" s="35">
        <v>0</v>
      </c>
      <c r="G23" s="37">
        <v>4</v>
      </c>
      <c r="H23" s="37">
        <v>4</v>
      </c>
      <c r="I23" s="37">
        <v>0</v>
      </c>
      <c r="J23" s="37" t="s">
        <v>928</v>
      </c>
      <c r="K23" t="str">
        <f>IFERROR(HYPERLINK("#Main!A"&amp;MATCH(A23,Main!A:A,0),"Open"),HYPERLINK("#Main!A1","Open"))</f>
        <v>Open</v>
      </c>
    </row>
    <row r="24" spans="1:12" ht="120" customHeight="1" x14ac:dyDescent="0.25">
      <c r="A24" s="33" t="s">
        <v>509</v>
      </c>
      <c r="B24" s="28">
        <v>42</v>
      </c>
      <c r="C24" s="28">
        <v>22</v>
      </c>
      <c r="D24" s="29">
        <v>1</v>
      </c>
      <c r="E24" s="28">
        <v>0</v>
      </c>
      <c r="F24" s="35">
        <v>0</v>
      </c>
      <c r="G24" s="28">
        <v>4</v>
      </c>
      <c r="H24" s="28">
        <v>4</v>
      </c>
      <c r="I24" s="28">
        <v>0</v>
      </c>
      <c r="J24" s="28" t="s">
        <v>929</v>
      </c>
      <c r="K24" s="34" t="str">
        <f>IFERROR(HYPERLINK("#Main!A"&amp;MATCH(A24,Main!A:A,0),"Open"),HYPERLINK("#Main!A1","Open"))</f>
        <v>Open</v>
      </c>
      <c r="L24" s="34"/>
    </row>
    <row r="25" spans="1:12" ht="120" customHeight="1" x14ac:dyDescent="0.25">
      <c r="A25" s="30" t="s">
        <v>503</v>
      </c>
      <c r="B25" s="37">
        <v>41</v>
      </c>
      <c r="C25" s="37">
        <v>20</v>
      </c>
      <c r="D25" s="29">
        <v>1</v>
      </c>
      <c r="E25" s="37">
        <v>0</v>
      </c>
      <c r="F25" s="29">
        <v>2</v>
      </c>
      <c r="G25" s="37">
        <v>5</v>
      </c>
      <c r="H25" s="37">
        <v>0</v>
      </c>
      <c r="I25" s="37">
        <v>0</v>
      </c>
      <c r="J25" s="37" t="s">
        <v>930</v>
      </c>
      <c r="K25" t="str">
        <f>IFERROR(HYPERLINK("#Main!A"&amp;MATCH(A25,Main!A:A,0),"Open"),HYPERLINK("#Main!A1","Open"))</f>
        <v>Open</v>
      </c>
    </row>
    <row r="26" spans="1:12" ht="30" customHeight="1" x14ac:dyDescent="0.25">
      <c r="A26" s="33" t="s">
        <v>476</v>
      </c>
      <c r="B26" s="28">
        <v>0</v>
      </c>
      <c r="C26" s="28">
        <v>0</v>
      </c>
      <c r="D26" s="35">
        <v>0</v>
      </c>
      <c r="E26" s="28">
        <v>0</v>
      </c>
      <c r="F26" s="35">
        <v>0</v>
      </c>
      <c r="G26" s="28">
        <v>0</v>
      </c>
      <c r="H26" s="28">
        <v>0</v>
      </c>
      <c r="I26" s="28">
        <v>0</v>
      </c>
      <c r="J26" s="28"/>
      <c r="K26" s="34" t="str">
        <f>IFERROR(HYPERLINK("#Main!A"&amp;MATCH(A26,Main!A:A,0),"Open"),HYPERLINK("#Main!A1","Open"))</f>
        <v>Open</v>
      </c>
      <c r="L26" s="34"/>
    </row>
    <row r="27" spans="1:12" ht="120" customHeight="1" x14ac:dyDescent="0.25">
      <c r="A27" s="30" t="s">
        <v>512</v>
      </c>
      <c r="B27" s="37">
        <v>31</v>
      </c>
      <c r="C27" s="37">
        <v>14</v>
      </c>
      <c r="D27" s="29">
        <v>1</v>
      </c>
      <c r="E27" s="37">
        <v>0</v>
      </c>
      <c r="F27" s="35">
        <v>0</v>
      </c>
      <c r="G27" s="37">
        <v>4</v>
      </c>
      <c r="H27" s="37">
        <v>0</v>
      </c>
      <c r="I27" s="37">
        <v>0</v>
      </c>
      <c r="J27" s="37" t="s">
        <v>914</v>
      </c>
      <c r="K27" t="str">
        <f>IFERROR(HYPERLINK("#Main!A"&amp;MATCH(A27,Main!A:A,0),"Open"),HYPERLINK("#Main!A1","Open"))</f>
        <v>Open</v>
      </c>
    </row>
    <row r="28" spans="1:12" ht="120" customHeight="1" x14ac:dyDescent="0.25">
      <c r="A28" s="33" t="s">
        <v>515</v>
      </c>
      <c r="B28" s="28">
        <v>21</v>
      </c>
      <c r="C28" s="28">
        <v>11</v>
      </c>
      <c r="D28" s="29">
        <v>2</v>
      </c>
      <c r="E28" s="28">
        <v>0</v>
      </c>
      <c r="F28" s="35">
        <v>0</v>
      </c>
      <c r="G28" s="28">
        <v>13</v>
      </c>
      <c r="H28" s="28">
        <v>0</v>
      </c>
      <c r="I28" s="28">
        <v>0</v>
      </c>
      <c r="J28" s="28" t="s">
        <v>931</v>
      </c>
      <c r="K28" s="34" t="str">
        <f>IFERROR(HYPERLINK("#Main!A"&amp;MATCH(A28,Main!A:A,0),"Open"),HYPERLINK("#Main!A1","Open"))</f>
        <v>Open</v>
      </c>
      <c r="L28" s="34"/>
    </row>
    <row r="29" spans="1:12" ht="120" customHeight="1" x14ac:dyDescent="0.25">
      <c r="A29" s="30" t="s">
        <v>518</v>
      </c>
      <c r="B29" s="37">
        <v>21</v>
      </c>
      <c r="C29" s="37">
        <v>12</v>
      </c>
      <c r="D29" s="29">
        <v>3</v>
      </c>
      <c r="E29" s="37">
        <v>0</v>
      </c>
      <c r="F29" s="35">
        <v>0</v>
      </c>
      <c r="G29" s="37">
        <v>22</v>
      </c>
      <c r="H29" s="37">
        <v>0</v>
      </c>
      <c r="I29" s="37">
        <v>0</v>
      </c>
      <c r="J29" s="37" t="s">
        <v>932</v>
      </c>
      <c r="K29" t="str">
        <f>IFERROR(HYPERLINK("#Main!A"&amp;MATCH(A29,Main!A:A,0),"Open"),HYPERLINK("#Main!A1","Open"))</f>
        <v>Open</v>
      </c>
    </row>
    <row r="30" spans="1:12" ht="120" customHeight="1" x14ac:dyDescent="0.25">
      <c r="A30" s="33" t="s">
        <v>521</v>
      </c>
      <c r="B30" s="28">
        <v>16</v>
      </c>
      <c r="C30" s="28">
        <v>9</v>
      </c>
      <c r="D30" s="29">
        <v>1</v>
      </c>
      <c r="E30" s="28">
        <v>0</v>
      </c>
      <c r="F30" s="35">
        <v>0</v>
      </c>
      <c r="G30" s="28">
        <v>4</v>
      </c>
      <c r="H30" s="28">
        <v>0</v>
      </c>
      <c r="I30" s="28">
        <v>0</v>
      </c>
      <c r="J30" s="28" t="s">
        <v>916</v>
      </c>
      <c r="K30" s="34" t="str">
        <f>IFERROR(HYPERLINK("#Main!A"&amp;MATCH(A30,Main!A:A,0),"Open"),HYPERLINK("#Main!A1","Open"))</f>
        <v>Open</v>
      </c>
      <c r="L30" s="34"/>
    </row>
    <row r="31" spans="1:12" ht="120" customHeight="1" x14ac:dyDescent="0.25">
      <c r="A31" s="30" t="s">
        <v>524</v>
      </c>
      <c r="B31" s="37">
        <v>42</v>
      </c>
      <c r="C31" s="37">
        <v>22</v>
      </c>
      <c r="D31" s="29">
        <v>1</v>
      </c>
      <c r="E31" s="37">
        <v>0</v>
      </c>
      <c r="F31" s="35">
        <v>0</v>
      </c>
      <c r="G31" s="37">
        <v>4</v>
      </c>
      <c r="H31" s="37">
        <v>4</v>
      </c>
      <c r="I31" s="37">
        <v>0</v>
      </c>
      <c r="J31" s="37" t="s">
        <v>933</v>
      </c>
      <c r="K31" t="str">
        <f>IFERROR(HYPERLINK("#Main!A"&amp;MATCH(A31,Main!A:A,0),"Open"),HYPERLINK("#Main!A1","Open"))</f>
        <v>Open</v>
      </c>
    </row>
    <row r="32" spans="1:12" ht="120" customHeight="1" x14ac:dyDescent="0.25">
      <c r="A32" s="33" t="s">
        <v>527</v>
      </c>
      <c r="B32" s="28">
        <v>21</v>
      </c>
      <c r="C32" s="28">
        <v>12</v>
      </c>
      <c r="D32" s="29">
        <v>3</v>
      </c>
      <c r="E32" s="28">
        <v>0</v>
      </c>
      <c r="F32" s="35">
        <v>0</v>
      </c>
      <c r="G32" s="28">
        <v>14</v>
      </c>
      <c r="H32" s="28">
        <v>0</v>
      </c>
      <c r="I32" s="28">
        <v>0</v>
      </c>
      <c r="J32" s="28" t="s">
        <v>932</v>
      </c>
      <c r="K32" s="34" t="str">
        <f>IFERROR(HYPERLINK("#Main!A"&amp;MATCH(A32,Main!A:A,0),"Open"),HYPERLINK("#Main!A1","Open"))</f>
        <v>Open</v>
      </c>
      <c r="L32" s="34"/>
    </row>
    <row r="33" spans="1:12" ht="120" customHeight="1" x14ac:dyDescent="0.25">
      <c r="A33" s="30" t="s">
        <v>528</v>
      </c>
      <c r="B33" s="37">
        <v>30</v>
      </c>
      <c r="C33" s="37">
        <v>14</v>
      </c>
      <c r="D33" s="29">
        <v>1</v>
      </c>
      <c r="E33" s="37">
        <v>0</v>
      </c>
      <c r="F33" s="35">
        <v>0</v>
      </c>
      <c r="G33" s="37">
        <v>4</v>
      </c>
      <c r="H33" s="37">
        <v>0</v>
      </c>
      <c r="I33" s="37">
        <v>0</v>
      </c>
      <c r="J33" s="37" t="s">
        <v>914</v>
      </c>
      <c r="K33" t="str">
        <f>IFERROR(HYPERLINK("#Main!A"&amp;MATCH(A33,Main!A:A,0),"Open"),HYPERLINK("#Main!A1","Open"))</f>
        <v>Open</v>
      </c>
    </row>
    <row r="34" spans="1:12" ht="120" customHeight="1" x14ac:dyDescent="0.25">
      <c r="A34" s="33" t="s">
        <v>531</v>
      </c>
      <c r="B34" s="28">
        <v>42</v>
      </c>
      <c r="C34" s="28">
        <v>20</v>
      </c>
      <c r="D34" s="29">
        <v>1</v>
      </c>
      <c r="E34" s="28">
        <v>0</v>
      </c>
      <c r="F34" s="35">
        <v>0</v>
      </c>
      <c r="G34" s="28">
        <v>4</v>
      </c>
      <c r="H34" s="28">
        <v>0</v>
      </c>
      <c r="I34" s="28">
        <v>0</v>
      </c>
      <c r="J34" s="28" t="s">
        <v>934</v>
      </c>
      <c r="K34" s="34" t="str">
        <f>IFERROR(HYPERLINK("#Main!A"&amp;MATCH(A34,Main!A:A,0),"Open"),HYPERLINK("#Main!A1","Open"))</f>
        <v>Open</v>
      </c>
      <c r="L34" s="34"/>
    </row>
    <row r="35" spans="1:12" ht="120" customHeight="1" x14ac:dyDescent="0.25">
      <c r="A35" s="30" t="s">
        <v>534</v>
      </c>
      <c r="B35" s="37">
        <v>42</v>
      </c>
      <c r="C35" s="37">
        <v>20</v>
      </c>
      <c r="D35" s="29">
        <v>1</v>
      </c>
      <c r="E35" s="37">
        <v>0</v>
      </c>
      <c r="F35" s="35">
        <v>0</v>
      </c>
      <c r="G35" s="37">
        <v>4</v>
      </c>
      <c r="H35" s="37">
        <v>0</v>
      </c>
      <c r="I35" s="37">
        <v>0</v>
      </c>
      <c r="J35" s="37" t="s">
        <v>934</v>
      </c>
      <c r="K35" t="str">
        <f>IFERROR(HYPERLINK("#Main!A"&amp;MATCH(A35,Main!A:A,0),"Open"),HYPERLINK("#Main!A1","Open"))</f>
        <v>Open</v>
      </c>
    </row>
    <row r="36" spans="1:12" ht="120" customHeight="1" x14ac:dyDescent="0.25">
      <c r="A36" s="33" t="s">
        <v>537</v>
      </c>
      <c r="B36" s="28">
        <v>45</v>
      </c>
      <c r="C36" s="28">
        <v>23</v>
      </c>
      <c r="D36" s="29">
        <v>1</v>
      </c>
      <c r="E36" s="28">
        <v>0</v>
      </c>
      <c r="F36" s="35">
        <v>0</v>
      </c>
      <c r="G36" s="28">
        <v>4</v>
      </c>
      <c r="H36" s="28">
        <v>0</v>
      </c>
      <c r="I36" s="28">
        <v>0</v>
      </c>
      <c r="J36" s="28" t="s">
        <v>935</v>
      </c>
      <c r="K36" s="34" t="str">
        <f>IFERROR(HYPERLINK("#Main!A"&amp;MATCH(A36,Main!A:A,0),"Open"),HYPERLINK("#Main!A1","Open"))</f>
        <v>Open</v>
      </c>
      <c r="L36" s="34"/>
    </row>
    <row r="37" spans="1:12" ht="120" customHeight="1" x14ac:dyDescent="0.25">
      <c r="A37" s="30" t="s">
        <v>540</v>
      </c>
      <c r="B37" s="37">
        <v>16</v>
      </c>
      <c r="C37" s="37">
        <v>9</v>
      </c>
      <c r="D37" s="29">
        <v>1</v>
      </c>
      <c r="E37" s="37">
        <v>0</v>
      </c>
      <c r="F37" s="35">
        <v>0</v>
      </c>
      <c r="G37" s="37">
        <v>4</v>
      </c>
      <c r="H37" s="37">
        <v>0</v>
      </c>
      <c r="I37" s="37">
        <v>0</v>
      </c>
      <c r="J37" s="37" t="s">
        <v>916</v>
      </c>
      <c r="K37" t="str">
        <f>IFERROR(HYPERLINK("#Main!A"&amp;MATCH(A37,Main!A:A,0),"Open"),HYPERLINK("#Main!A1","Open"))</f>
        <v>Open</v>
      </c>
    </row>
    <row r="38" spans="1:12" ht="120" customHeight="1" x14ac:dyDescent="0.25">
      <c r="A38" s="33" t="s">
        <v>543</v>
      </c>
      <c r="B38" s="28">
        <v>42</v>
      </c>
      <c r="C38" s="28">
        <v>20</v>
      </c>
      <c r="D38" s="29">
        <v>1</v>
      </c>
      <c r="E38" s="28">
        <v>0</v>
      </c>
      <c r="F38" s="35">
        <v>0</v>
      </c>
      <c r="G38" s="28">
        <v>17</v>
      </c>
      <c r="H38" s="28">
        <v>0</v>
      </c>
      <c r="I38" s="28">
        <v>0</v>
      </c>
      <c r="J38" s="28" t="s">
        <v>934</v>
      </c>
      <c r="K38" s="34" t="str">
        <f>IFERROR(HYPERLINK("#Main!A"&amp;MATCH(A38,Main!A:A,0),"Open"),HYPERLINK("#Main!A1","Open"))</f>
        <v>Open</v>
      </c>
      <c r="L38" s="34"/>
    </row>
    <row r="39" spans="1:12" ht="30" customHeight="1" x14ac:dyDescent="0.25">
      <c r="A39" s="30" t="s">
        <v>483</v>
      </c>
      <c r="B39" s="37">
        <v>0</v>
      </c>
      <c r="C39" s="37">
        <v>0</v>
      </c>
      <c r="D39" s="35">
        <v>0</v>
      </c>
      <c r="E39" s="37">
        <v>0</v>
      </c>
      <c r="F39" s="35">
        <v>0</v>
      </c>
      <c r="G39" s="37">
        <v>0</v>
      </c>
      <c r="H39" s="37">
        <v>0</v>
      </c>
      <c r="I39" s="37">
        <v>0</v>
      </c>
      <c r="J39" s="37"/>
      <c r="K39" t="str">
        <f>IFERROR(HYPERLINK("#Main!A"&amp;MATCH(A39,Main!A:A,0),"Open"),HYPERLINK("#Main!A1","Open"))</f>
        <v>Open</v>
      </c>
    </row>
    <row r="40" spans="1:12" ht="120" customHeight="1" x14ac:dyDescent="0.25">
      <c r="A40" s="33" t="s">
        <v>546</v>
      </c>
      <c r="B40" s="28">
        <v>18</v>
      </c>
      <c r="C40" s="28">
        <v>10</v>
      </c>
      <c r="D40" s="29">
        <v>2</v>
      </c>
      <c r="E40" s="28">
        <v>0</v>
      </c>
      <c r="F40" s="35">
        <v>0</v>
      </c>
      <c r="G40" s="28">
        <v>3</v>
      </c>
      <c r="H40" s="28">
        <v>0</v>
      </c>
      <c r="I40" s="28">
        <v>0</v>
      </c>
      <c r="J40" s="28" t="s">
        <v>936</v>
      </c>
      <c r="K40" s="34" t="str">
        <f>IFERROR(HYPERLINK("#Main!A"&amp;MATCH(A40,Main!A:A,0),"Open"),HYPERLINK("#Main!A1","Open"))</f>
        <v>Open</v>
      </c>
      <c r="L40" s="34"/>
    </row>
    <row r="41" spans="1:12" ht="120" customHeight="1" x14ac:dyDescent="0.25">
      <c r="A41" s="30" t="s">
        <v>549</v>
      </c>
      <c r="B41" s="37">
        <v>16</v>
      </c>
      <c r="C41" s="37">
        <v>9</v>
      </c>
      <c r="D41" s="29">
        <v>1</v>
      </c>
      <c r="E41" s="37">
        <v>0</v>
      </c>
      <c r="F41" s="35">
        <v>0</v>
      </c>
      <c r="G41" s="37">
        <v>4</v>
      </c>
      <c r="H41" s="37">
        <v>0</v>
      </c>
      <c r="I41" s="37">
        <v>0</v>
      </c>
      <c r="J41" s="37" t="s">
        <v>916</v>
      </c>
      <c r="K41" t="str">
        <f>IFERROR(HYPERLINK("#Main!A"&amp;MATCH(A41,Main!A:A,0),"Open"),HYPERLINK("#Main!A1","Open"))</f>
        <v>Open</v>
      </c>
    </row>
    <row r="42" spans="1:12" ht="120" customHeight="1" x14ac:dyDescent="0.25">
      <c r="A42" s="33" t="s">
        <v>555</v>
      </c>
      <c r="B42" s="28">
        <v>31</v>
      </c>
      <c r="C42" s="28">
        <v>14</v>
      </c>
      <c r="D42" s="29">
        <v>1</v>
      </c>
      <c r="E42" s="28">
        <v>0</v>
      </c>
      <c r="F42" s="35">
        <v>0</v>
      </c>
      <c r="G42" s="28">
        <v>2</v>
      </c>
      <c r="H42" s="28">
        <v>0</v>
      </c>
      <c r="I42" s="28">
        <v>0</v>
      </c>
      <c r="J42" s="28" t="s">
        <v>914</v>
      </c>
      <c r="K42" s="34" t="str">
        <f>IFERROR(HYPERLINK("#Main!A"&amp;MATCH(A42,Main!A:A,0),"Open"),HYPERLINK("#Main!A1","Open"))</f>
        <v>Open</v>
      </c>
      <c r="L42" s="34"/>
    </row>
    <row r="43" spans="1:12" ht="30" customHeight="1" x14ac:dyDescent="0.25">
      <c r="A43" s="30" t="s">
        <v>557</v>
      </c>
      <c r="B43" s="37">
        <v>2</v>
      </c>
      <c r="C43" s="37">
        <v>1</v>
      </c>
      <c r="D43" s="29">
        <v>1</v>
      </c>
      <c r="E43" s="37">
        <v>0</v>
      </c>
      <c r="F43" s="35">
        <v>0</v>
      </c>
      <c r="G43" s="37">
        <v>0</v>
      </c>
      <c r="H43" s="37">
        <v>0</v>
      </c>
      <c r="I43" s="37">
        <v>0</v>
      </c>
      <c r="J43" s="37" t="s">
        <v>921</v>
      </c>
      <c r="K43" t="str">
        <f>IFERROR(HYPERLINK("#Main!A"&amp;MATCH(A43,Main!A:A,0),"Open"),HYPERLINK("#Main!A1","Open"))</f>
        <v>Open</v>
      </c>
    </row>
    <row r="44" spans="1:12" ht="120" customHeight="1" x14ac:dyDescent="0.25">
      <c r="A44" s="33" t="s">
        <v>552</v>
      </c>
      <c r="B44" s="28">
        <v>31</v>
      </c>
      <c r="C44" s="28">
        <v>14</v>
      </c>
      <c r="D44" s="29">
        <v>1</v>
      </c>
      <c r="E44" s="28">
        <v>0</v>
      </c>
      <c r="F44" s="35">
        <v>0</v>
      </c>
      <c r="G44" s="28">
        <v>2</v>
      </c>
      <c r="H44" s="28">
        <v>0</v>
      </c>
      <c r="I44" s="28">
        <v>0</v>
      </c>
      <c r="J44" s="28" t="s">
        <v>914</v>
      </c>
      <c r="K44" s="34" t="str">
        <f>IFERROR(HYPERLINK("#Main!A"&amp;MATCH(A44,Main!A:A,0),"Open"),HYPERLINK("#Main!A1","Open"))</f>
        <v>Open</v>
      </c>
      <c r="L44" s="34"/>
    </row>
    <row r="45" spans="1:12" ht="120" customHeight="1" x14ac:dyDescent="0.25">
      <c r="A45" s="30" t="s">
        <v>560</v>
      </c>
      <c r="B45" s="37">
        <v>31</v>
      </c>
      <c r="C45" s="37">
        <v>14</v>
      </c>
      <c r="D45" s="29">
        <v>1</v>
      </c>
      <c r="E45" s="37">
        <v>0</v>
      </c>
      <c r="F45" s="35">
        <v>0</v>
      </c>
      <c r="G45" s="37">
        <v>2</v>
      </c>
      <c r="H45" s="37">
        <v>0</v>
      </c>
      <c r="I45" s="37">
        <v>0</v>
      </c>
      <c r="J45" s="37" t="s">
        <v>914</v>
      </c>
      <c r="K45" t="str">
        <f>IFERROR(HYPERLINK("#Main!A"&amp;MATCH(A45,Main!A:A,0),"Open"),HYPERLINK("#Main!A1","Open"))</f>
        <v>Open</v>
      </c>
    </row>
    <row r="46" spans="1:12" ht="120" customHeight="1" x14ac:dyDescent="0.25">
      <c r="A46" s="33" t="s">
        <v>563</v>
      </c>
      <c r="B46" s="28">
        <v>16</v>
      </c>
      <c r="C46" s="28">
        <v>9</v>
      </c>
      <c r="D46" s="29">
        <v>1</v>
      </c>
      <c r="E46" s="28">
        <v>0</v>
      </c>
      <c r="F46" s="35">
        <v>0</v>
      </c>
      <c r="G46" s="28">
        <v>21</v>
      </c>
      <c r="H46" s="28">
        <v>0</v>
      </c>
      <c r="I46" s="28">
        <v>0</v>
      </c>
      <c r="J46" s="28" t="s">
        <v>916</v>
      </c>
      <c r="K46" s="34" t="str">
        <f>IFERROR(HYPERLINK("#Main!A"&amp;MATCH(A46,Main!A:A,0),"Open"),HYPERLINK("#Main!A1","Open"))</f>
        <v>Open</v>
      </c>
      <c r="L46" s="34"/>
    </row>
    <row r="47" spans="1:12" ht="120" customHeight="1" x14ac:dyDescent="0.25">
      <c r="A47" s="30" t="s">
        <v>566</v>
      </c>
      <c r="B47" s="37">
        <v>43</v>
      </c>
      <c r="C47" s="37">
        <v>21</v>
      </c>
      <c r="D47" s="29">
        <v>1</v>
      </c>
      <c r="E47" s="37">
        <v>0</v>
      </c>
      <c r="F47" s="35">
        <v>0</v>
      </c>
      <c r="G47" s="37">
        <v>24</v>
      </c>
      <c r="H47" s="37">
        <v>0</v>
      </c>
      <c r="I47" s="37">
        <v>0</v>
      </c>
      <c r="J47" s="37" t="s">
        <v>937</v>
      </c>
      <c r="K47" t="str">
        <f>IFERROR(HYPERLINK("#Main!A"&amp;MATCH(A47,Main!A:A,0),"Open"),HYPERLINK("#Main!A1","Open"))</f>
        <v>Open</v>
      </c>
    </row>
    <row r="48" spans="1:12" ht="120" customHeight="1" x14ac:dyDescent="0.25">
      <c r="A48" s="33" t="s">
        <v>570</v>
      </c>
      <c r="B48" s="28">
        <v>16</v>
      </c>
      <c r="C48" s="28">
        <v>9</v>
      </c>
      <c r="D48" s="29">
        <v>1</v>
      </c>
      <c r="E48" s="28">
        <v>0</v>
      </c>
      <c r="F48" s="35">
        <v>0</v>
      </c>
      <c r="G48" s="28">
        <v>21</v>
      </c>
      <c r="H48" s="28">
        <v>0</v>
      </c>
      <c r="I48" s="28">
        <v>0</v>
      </c>
      <c r="J48" s="28" t="s">
        <v>916</v>
      </c>
      <c r="K48" s="34" t="str">
        <f>IFERROR(HYPERLINK("#Main!A"&amp;MATCH(A48,Main!A:A,0),"Open"),HYPERLINK("#Main!A1","Open"))</f>
        <v>Open</v>
      </c>
      <c r="L48" s="34"/>
    </row>
    <row r="49" spans="1:12" ht="120" customHeight="1" x14ac:dyDescent="0.25">
      <c r="A49" s="30" t="s">
        <v>577</v>
      </c>
      <c r="B49" s="37">
        <v>34</v>
      </c>
      <c r="C49" s="37">
        <v>16</v>
      </c>
      <c r="D49" s="29">
        <v>1</v>
      </c>
      <c r="E49" s="37">
        <v>0</v>
      </c>
      <c r="F49" s="29">
        <v>1</v>
      </c>
      <c r="G49" s="37">
        <v>4</v>
      </c>
      <c r="H49" s="37">
        <v>0</v>
      </c>
      <c r="I49" s="37">
        <v>0</v>
      </c>
      <c r="J49" s="37" t="s">
        <v>938</v>
      </c>
      <c r="K49" t="str">
        <f>IFERROR(HYPERLINK("#Main!A"&amp;MATCH(A49,Main!A:A,0),"Open"),HYPERLINK("#Main!A1","Open"))</f>
        <v>Open</v>
      </c>
    </row>
    <row r="50" spans="1:12" ht="120" customHeight="1" x14ac:dyDescent="0.25">
      <c r="A50" s="33" t="s">
        <v>579</v>
      </c>
      <c r="B50" s="28">
        <v>62</v>
      </c>
      <c r="C50" s="28">
        <v>15</v>
      </c>
      <c r="D50" s="29">
        <v>1</v>
      </c>
      <c r="E50" s="28">
        <v>0</v>
      </c>
      <c r="F50" s="35">
        <v>0</v>
      </c>
      <c r="G50" s="28">
        <v>6</v>
      </c>
      <c r="H50" s="28">
        <v>0</v>
      </c>
      <c r="I50" s="28">
        <v>0</v>
      </c>
      <c r="J50" s="28" t="s">
        <v>939</v>
      </c>
      <c r="K50" s="34" t="str">
        <f>IFERROR(HYPERLINK("#Main!A"&amp;MATCH(A50,Main!A:A,0),"Open"),HYPERLINK("#Main!A1","Open"))</f>
        <v>Open</v>
      </c>
      <c r="L50" s="34"/>
    </row>
    <row r="51" spans="1:12" ht="120" customHeight="1" x14ac:dyDescent="0.25">
      <c r="A51" s="30" t="s">
        <v>573</v>
      </c>
      <c r="B51" s="37">
        <v>41</v>
      </c>
      <c r="C51" s="37">
        <v>19</v>
      </c>
      <c r="D51" s="29">
        <v>1</v>
      </c>
      <c r="E51" s="37">
        <v>0</v>
      </c>
      <c r="F51" s="29">
        <v>1</v>
      </c>
      <c r="G51" s="37">
        <v>2</v>
      </c>
      <c r="H51" s="37">
        <v>0</v>
      </c>
      <c r="I51" s="37">
        <v>0</v>
      </c>
      <c r="J51" s="37" t="s">
        <v>940</v>
      </c>
      <c r="K51" t="str">
        <f>IFERROR(HYPERLINK("#Main!A"&amp;MATCH(A51,Main!A:A,0),"Open"),HYPERLINK("#Main!A1","Open"))</f>
        <v>Open</v>
      </c>
    </row>
    <row r="52" spans="1:12" ht="120" customHeight="1" x14ac:dyDescent="0.25">
      <c r="A52" s="33" t="s">
        <v>582</v>
      </c>
      <c r="B52" s="28">
        <v>31</v>
      </c>
      <c r="C52" s="28">
        <v>14</v>
      </c>
      <c r="D52" s="29">
        <v>1</v>
      </c>
      <c r="E52" s="28">
        <v>0</v>
      </c>
      <c r="F52" s="35">
        <v>0</v>
      </c>
      <c r="G52" s="28">
        <v>2</v>
      </c>
      <c r="H52" s="28">
        <v>0</v>
      </c>
      <c r="I52" s="28">
        <v>0</v>
      </c>
      <c r="J52" s="28" t="s">
        <v>914</v>
      </c>
      <c r="K52" s="34" t="str">
        <f>IFERROR(HYPERLINK("#Main!A"&amp;MATCH(A52,Main!A:A,0),"Open"),HYPERLINK("#Main!A1","Open"))</f>
        <v>Open</v>
      </c>
      <c r="L52" s="34"/>
    </row>
    <row r="53" spans="1:12" ht="120" customHeight="1" x14ac:dyDescent="0.25">
      <c r="A53" s="30" t="s">
        <v>588</v>
      </c>
      <c r="B53" s="37">
        <v>57</v>
      </c>
      <c r="C53" s="37">
        <v>14</v>
      </c>
      <c r="D53" s="29">
        <v>1</v>
      </c>
      <c r="E53" s="37">
        <v>0</v>
      </c>
      <c r="F53" s="35">
        <v>0</v>
      </c>
      <c r="G53" s="37">
        <v>3</v>
      </c>
      <c r="H53" s="37">
        <v>0</v>
      </c>
      <c r="I53" s="37">
        <v>0</v>
      </c>
      <c r="J53" s="37" t="s">
        <v>914</v>
      </c>
      <c r="K53" t="str">
        <f>IFERROR(HYPERLINK("#Main!A"&amp;MATCH(A53,Main!A:A,0),"Open"),HYPERLINK("#Main!A1","Open"))</f>
        <v>Open</v>
      </c>
    </row>
    <row r="54" spans="1:12" ht="120" customHeight="1" x14ac:dyDescent="0.25">
      <c r="A54" s="33" t="s">
        <v>591</v>
      </c>
      <c r="B54" s="28">
        <v>57</v>
      </c>
      <c r="C54" s="28">
        <v>14</v>
      </c>
      <c r="D54" s="29">
        <v>1</v>
      </c>
      <c r="E54" s="28">
        <v>0</v>
      </c>
      <c r="F54" s="35">
        <v>0</v>
      </c>
      <c r="G54" s="28">
        <v>3</v>
      </c>
      <c r="H54" s="28">
        <v>0</v>
      </c>
      <c r="I54" s="28">
        <v>0</v>
      </c>
      <c r="J54" s="28" t="s">
        <v>914</v>
      </c>
      <c r="K54" s="34" t="str">
        <f>IFERROR(HYPERLINK("#Main!A"&amp;MATCH(A54,Main!A:A,0),"Open"),HYPERLINK("#Main!A1","Open"))</f>
        <v>Open</v>
      </c>
      <c r="L54" s="34"/>
    </row>
    <row r="55" spans="1:12" ht="120" customHeight="1" x14ac:dyDescent="0.25">
      <c r="A55" s="30" t="s">
        <v>594</v>
      </c>
      <c r="B55" s="37">
        <v>32</v>
      </c>
      <c r="C55" s="37">
        <v>15</v>
      </c>
      <c r="D55" s="29">
        <v>1</v>
      </c>
      <c r="E55" s="37">
        <v>0</v>
      </c>
      <c r="F55" s="35">
        <v>0</v>
      </c>
      <c r="G55" s="37">
        <v>2</v>
      </c>
      <c r="H55" s="37">
        <v>0</v>
      </c>
      <c r="I55" s="37">
        <v>0</v>
      </c>
      <c r="J55" s="37" t="s">
        <v>941</v>
      </c>
      <c r="K55" t="str">
        <f>IFERROR(HYPERLINK("#Main!A"&amp;MATCH(A55,Main!A:A,0),"Open"),HYPERLINK("#Main!A1","Open"))</f>
        <v>Open</v>
      </c>
    </row>
    <row r="56" spans="1:12" ht="120" customHeight="1" x14ac:dyDescent="0.25">
      <c r="A56" s="33" t="s">
        <v>585</v>
      </c>
      <c r="B56" s="28">
        <v>33</v>
      </c>
      <c r="C56" s="28">
        <v>16</v>
      </c>
      <c r="D56" s="29">
        <v>2</v>
      </c>
      <c r="E56" s="28">
        <v>0</v>
      </c>
      <c r="F56" s="35">
        <v>0</v>
      </c>
      <c r="G56" s="28">
        <v>2</v>
      </c>
      <c r="H56" s="28">
        <v>0</v>
      </c>
      <c r="I56" s="28">
        <v>0</v>
      </c>
      <c r="J56" s="28" t="s">
        <v>942</v>
      </c>
      <c r="K56" s="34" t="str">
        <f>IFERROR(HYPERLINK("#Main!A"&amp;MATCH(A56,Main!A:A,0),"Open"),HYPERLINK("#Main!A1","Open"))</f>
        <v>Open</v>
      </c>
      <c r="L56" s="34"/>
    </row>
    <row r="57" spans="1:12" ht="120" customHeight="1" x14ac:dyDescent="0.25">
      <c r="A57" s="30" t="s">
        <v>597</v>
      </c>
      <c r="B57" s="37">
        <v>58</v>
      </c>
      <c r="C57" s="37">
        <v>15</v>
      </c>
      <c r="D57" s="29">
        <v>1</v>
      </c>
      <c r="E57" s="37">
        <v>0</v>
      </c>
      <c r="F57" s="35">
        <v>0</v>
      </c>
      <c r="G57" s="37">
        <v>3</v>
      </c>
      <c r="H57" s="37">
        <v>0</v>
      </c>
      <c r="I57" s="37">
        <v>0</v>
      </c>
      <c r="J57" s="37" t="s">
        <v>943</v>
      </c>
      <c r="K57" t="str">
        <f>IFERROR(HYPERLINK("#Main!A"&amp;MATCH(A57,Main!A:A,0),"Open"),HYPERLINK("#Main!A1","Open"))</f>
        <v>Open</v>
      </c>
    </row>
    <row r="58" spans="1:12" ht="120" customHeight="1" x14ac:dyDescent="0.25">
      <c r="A58" s="33" t="s">
        <v>601</v>
      </c>
      <c r="B58" s="28">
        <v>42</v>
      </c>
      <c r="C58" s="28">
        <v>20</v>
      </c>
      <c r="D58" s="29">
        <v>1</v>
      </c>
      <c r="E58" s="28">
        <v>0</v>
      </c>
      <c r="F58" s="35">
        <v>0</v>
      </c>
      <c r="G58" s="28">
        <v>6</v>
      </c>
      <c r="H58" s="28">
        <v>0</v>
      </c>
      <c r="I58" s="28">
        <v>0</v>
      </c>
      <c r="J58" s="28" t="s">
        <v>934</v>
      </c>
      <c r="K58" s="34" t="str">
        <f>IFERROR(HYPERLINK("#Main!A"&amp;MATCH(A58,Main!A:A,0),"Open"),HYPERLINK("#Main!A1","Open"))</f>
        <v>Open</v>
      </c>
      <c r="L58" s="34"/>
    </row>
    <row r="59" spans="1:12" ht="120" customHeight="1" x14ac:dyDescent="0.25">
      <c r="A59" s="30" t="s">
        <v>604</v>
      </c>
      <c r="B59" s="37">
        <v>32</v>
      </c>
      <c r="C59" s="37">
        <v>15</v>
      </c>
      <c r="D59" s="29">
        <v>1</v>
      </c>
      <c r="E59" s="37">
        <v>0</v>
      </c>
      <c r="F59" s="35">
        <v>0</v>
      </c>
      <c r="G59" s="37">
        <v>2</v>
      </c>
      <c r="H59" s="37">
        <v>0</v>
      </c>
      <c r="I59" s="37">
        <v>0</v>
      </c>
      <c r="J59" s="37" t="s">
        <v>944</v>
      </c>
      <c r="K59" t="str">
        <f>IFERROR(HYPERLINK("#Main!A"&amp;MATCH(A59,Main!A:A,0),"Open"),HYPERLINK("#Main!A1","Open"))</f>
        <v>Open</v>
      </c>
    </row>
    <row r="60" spans="1:12" ht="120" customHeight="1" x14ac:dyDescent="0.25">
      <c r="A60" s="33" t="s">
        <v>608</v>
      </c>
      <c r="B60" s="28">
        <v>31</v>
      </c>
      <c r="C60" s="28">
        <v>14</v>
      </c>
      <c r="D60" s="29">
        <v>1</v>
      </c>
      <c r="E60" s="28">
        <v>0</v>
      </c>
      <c r="F60" s="35">
        <v>0</v>
      </c>
      <c r="G60" s="28">
        <v>2</v>
      </c>
      <c r="H60" s="28">
        <v>0</v>
      </c>
      <c r="I60" s="28">
        <v>0</v>
      </c>
      <c r="J60" s="28" t="s">
        <v>914</v>
      </c>
      <c r="K60" s="34" t="str">
        <f>IFERROR(HYPERLINK("#Main!A"&amp;MATCH(A60,Main!A:A,0),"Open"),HYPERLINK("#Main!A1","Open"))</f>
        <v>Open</v>
      </c>
      <c r="L60" s="34"/>
    </row>
    <row r="61" spans="1:12" ht="120" customHeight="1" x14ac:dyDescent="0.25">
      <c r="A61" s="30" t="s">
        <v>611</v>
      </c>
      <c r="B61" s="37">
        <v>34</v>
      </c>
      <c r="C61" s="37">
        <v>17</v>
      </c>
      <c r="D61" s="29">
        <v>1</v>
      </c>
      <c r="E61" s="37">
        <v>0</v>
      </c>
      <c r="F61" s="35">
        <v>0</v>
      </c>
      <c r="G61" s="37">
        <v>2</v>
      </c>
      <c r="H61" s="37">
        <v>0</v>
      </c>
      <c r="I61" s="37">
        <v>0</v>
      </c>
      <c r="J61" s="37" t="s">
        <v>945</v>
      </c>
      <c r="K61" t="str">
        <f>IFERROR(HYPERLINK("#Main!A"&amp;MATCH(A61,Main!A:A,0),"Open"),HYPERLINK("#Main!A1","Open"))</f>
        <v>Open</v>
      </c>
    </row>
    <row r="62" spans="1:12" ht="120" customHeight="1" x14ac:dyDescent="0.25">
      <c r="A62" s="33" t="s">
        <v>615</v>
      </c>
      <c r="B62" s="28">
        <v>32</v>
      </c>
      <c r="C62" s="28">
        <v>15</v>
      </c>
      <c r="D62" s="29">
        <v>1</v>
      </c>
      <c r="E62" s="28">
        <v>0</v>
      </c>
      <c r="F62" s="35">
        <v>0</v>
      </c>
      <c r="G62" s="28">
        <v>2</v>
      </c>
      <c r="H62" s="28">
        <v>0</v>
      </c>
      <c r="I62" s="28">
        <v>0</v>
      </c>
      <c r="J62" s="28" t="s">
        <v>946</v>
      </c>
      <c r="K62" s="34" t="str">
        <f>IFERROR(HYPERLINK("#Main!A"&amp;MATCH(A62,Main!A:A,0),"Open"),HYPERLINK("#Main!A1","Open"))</f>
        <v>Open</v>
      </c>
      <c r="L62" s="34"/>
    </row>
    <row r="63" spans="1:12" ht="120" customHeight="1" x14ac:dyDescent="0.25">
      <c r="A63" s="30" t="s">
        <v>618</v>
      </c>
      <c r="B63" s="37">
        <v>32</v>
      </c>
      <c r="C63" s="37">
        <v>14</v>
      </c>
      <c r="D63" s="29">
        <v>1</v>
      </c>
      <c r="E63" s="37">
        <v>0</v>
      </c>
      <c r="F63" s="35">
        <v>0</v>
      </c>
      <c r="G63" s="37">
        <v>3</v>
      </c>
      <c r="H63" s="37">
        <v>0</v>
      </c>
      <c r="I63" s="37">
        <v>0</v>
      </c>
      <c r="J63" s="37" t="s">
        <v>914</v>
      </c>
      <c r="K63" t="str">
        <f>IFERROR(HYPERLINK("#Main!A"&amp;MATCH(A63,Main!A:A,0),"Open"),HYPERLINK("#Main!A1","Open"))</f>
        <v>Open</v>
      </c>
    </row>
    <row r="64" spans="1:12" ht="120" customHeight="1" x14ac:dyDescent="0.25">
      <c r="A64" s="33" t="s">
        <v>621</v>
      </c>
      <c r="B64" s="28">
        <v>34</v>
      </c>
      <c r="C64" s="28">
        <v>17</v>
      </c>
      <c r="D64" s="29">
        <v>2</v>
      </c>
      <c r="E64" s="28">
        <v>0</v>
      </c>
      <c r="F64" s="35">
        <v>0</v>
      </c>
      <c r="G64" s="28">
        <v>2</v>
      </c>
      <c r="H64" s="28">
        <v>0</v>
      </c>
      <c r="I64" s="28">
        <v>0</v>
      </c>
      <c r="J64" s="28" t="s">
        <v>947</v>
      </c>
      <c r="K64" s="34" t="str">
        <f>IFERROR(HYPERLINK("#Main!A"&amp;MATCH(A64,Main!A:A,0),"Open"),HYPERLINK("#Main!A1","Open"))</f>
        <v>Open</v>
      </c>
      <c r="L64" s="34"/>
    </row>
    <row r="65" spans="1:12" ht="120" customHeight="1" x14ac:dyDescent="0.25">
      <c r="A65" s="30" t="s">
        <v>624</v>
      </c>
      <c r="B65" s="37">
        <v>31</v>
      </c>
      <c r="C65" s="37">
        <v>14</v>
      </c>
      <c r="D65" s="29">
        <v>1</v>
      </c>
      <c r="E65" s="37">
        <v>0</v>
      </c>
      <c r="F65" s="35">
        <v>0</v>
      </c>
      <c r="G65" s="37">
        <v>2</v>
      </c>
      <c r="H65" s="37">
        <v>0</v>
      </c>
      <c r="I65" s="37">
        <v>0</v>
      </c>
      <c r="J65" s="37" t="s">
        <v>914</v>
      </c>
      <c r="K65" t="str">
        <f>IFERROR(HYPERLINK("#Main!A"&amp;MATCH(A65,Main!A:A,0),"Open"),HYPERLINK("#Main!A1","Open"))</f>
        <v>Open</v>
      </c>
    </row>
    <row r="66" spans="1:12" ht="120" customHeight="1" x14ac:dyDescent="0.25">
      <c r="A66" s="33" t="s">
        <v>626</v>
      </c>
      <c r="B66" s="28">
        <v>32</v>
      </c>
      <c r="C66" s="28">
        <v>15</v>
      </c>
      <c r="D66" s="29">
        <v>1</v>
      </c>
      <c r="E66" s="28">
        <v>0</v>
      </c>
      <c r="F66" s="35">
        <v>0</v>
      </c>
      <c r="G66" s="28">
        <v>4</v>
      </c>
      <c r="H66" s="28">
        <v>0</v>
      </c>
      <c r="I66" s="28">
        <v>0</v>
      </c>
      <c r="J66" s="28" t="s">
        <v>948</v>
      </c>
      <c r="K66" s="34" t="str">
        <f>IFERROR(HYPERLINK("#Main!A"&amp;MATCH(A66,Main!A:A,0),"Open"),HYPERLINK("#Main!A1","Open"))</f>
        <v>Open</v>
      </c>
      <c r="L66" s="34"/>
    </row>
    <row r="67" spans="1:12" ht="120" customHeight="1" x14ac:dyDescent="0.25">
      <c r="A67" s="30" t="s">
        <v>629</v>
      </c>
      <c r="B67" s="37">
        <v>31</v>
      </c>
      <c r="C67" s="37">
        <v>14</v>
      </c>
      <c r="D67" s="29">
        <v>1</v>
      </c>
      <c r="E67" s="37">
        <v>0</v>
      </c>
      <c r="F67" s="35">
        <v>0</v>
      </c>
      <c r="G67" s="37">
        <v>2</v>
      </c>
      <c r="H67" s="37">
        <v>0</v>
      </c>
      <c r="I67" s="37">
        <v>0</v>
      </c>
      <c r="J67" s="37" t="s">
        <v>914</v>
      </c>
      <c r="K67" t="str">
        <f>IFERROR(HYPERLINK("#Main!A"&amp;MATCH(A67,Main!A:A,0),"Open"),HYPERLINK("#Main!A1","Open"))</f>
        <v>Open</v>
      </c>
    </row>
    <row r="68" spans="1:12" ht="120" customHeight="1" x14ac:dyDescent="0.25">
      <c r="A68" s="33" t="s">
        <v>632</v>
      </c>
      <c r="B68" s="28">
        <v>38</v>
      </c>
      <c r="C68" s="28">
        <v>16</v>
      </c>
      <c r="D68" s="29">
        <v>1</v>
      </c>
      <c r="E68" s="28">
        <v>0</v>
      </c>
      <c r="F68" s="29">
        <v>3</v>
      </c>
      <c r="G68" s="28">
        <v>6</v>
      </c>
      <c r="H68" s="28">
        <v>0</v>
      </c>
      <c r="I68" s="28">
        <v>0</v>
      </c>
      <c r="J68" s="28" t="s">
        <v>949</v>
      </c>
      <c r="K68" s="34" t="str">
        <f>IFERROR(HYPERLINK("#Main!A"&amp;MATCH(A68,Main!A:A,0),"Open"),HYPERLINK("#Main!A1","Open"))</f>
        <v>Open</v>
      </c>
      <c r="L68" s="34"/>
    </row>
    <row r="69" spans="1:12" ht="120" customHeight="1" x14ac:dyDescent="0.25">
      <c r="A69" s="30" t="s">
        <v>635</v>
      </c>
      <c r="B69" s="37">
        <v>31</v>
      </c>
      <c r="C69" s="37">
        <v>14</v>
      </c>
      <c r="D69" s="29">
        <v>1</v>
      </c>
      <c r="E69" s="37">
        <v>0</v>
      </c>
      <c r="F69" s="35">
        <v>0</v>
      </c>
      <c r="G69" s="37">
        <v>17</v>
      </c>
      <c r="H69" s="37">
        <v>0</v>
      </c>
      <c r="I69" s="37">
        <v>0</v>
      </c>
      <c r="J69" s="37" t="s">
        <v>914</v>
      </c>
      <c r="K69" t="str">
        <f>IFERROR(HYPERLINK("#Main!A"&amp;MATCH(A69,Main!A:A,0),"Open"),HYPERLINK("#Main!A1","Open"))</f>
        <v>Open</v>
      </c>
    </row>
    <row r="70" spans="1:12" ht="120" customHeight="1" x14ac:dyDescent="0.25">
      <c r="A70" s="33" t="s">
        <v>638</v>
      </c>
      <c r="B70" s="28">
        <v>78</v>
      </c>
      <c r="C70" s="28">
        <v>32</v>
      </c>
      <c r="D70" s="29">
        <v>1</v>
      </c>
      <c r="E70" s="28">
        <v>0</v>
      </c>
      <c r="F70" s="35">
        <v>0</v>
      </c>
      <c r="G70" s="28">
        <v>2</v>
      </c>
      <c r="H70" s="28">
        <v>0</v>
      </c>
      <c r="I70" s="28">
        <v>0</v>
      </c>
      <c r="J70" s="28" t="s">
        <v>950</v>
      </c>
      <c r="K70" s="34" t="str">
        <f>IFERROR(HYPERLINK("#Main!A"&amp;MATCH(A70,Main!A:A,0),"Open"),HYPERLINK("#Main!A1","Open"))</f>
        <v>Open</v>
      </c>
      <c r="L70" s="34"/>
    </row>
    <row r="71" spans="1:12" ht="120" customHeight="1" x14ac:dyDescent="0.25">
      <c r="A71" s="30" t="s">
        <v>641</v>
      </c>
      <c r="B71" s="37">
        <v>31</v>
      </c>
      <c r="C71" s="37">
        <v>14</v>
      </c>
      <c r="D71" s="29">
        <v>1</v>
      </c>
      <c r="E71" s="37">
        <v>0</v>
      </c>
      <c r="F71" s="35">
        <v>0</v>
      </c>
      <c r="G71" s="37">
        <v>2</v>
      </c>
      <c r="H71" s="37">
        <v>0</v>
      </c>
      <c r="I71" s="37">
        <v>0</v>
      </c>
      <c r="J71" s="37" t="s">
        <v>914</v>
      </c>
      <c r="K71" t="str">
        <f>IFERROR(HYPERLINK("#Main!A"&amp;MATCH(A71,Main!A:A,0),"Open"),HYPERLINK("#Main!A1","Open"))</f>
        <v>Open</v>
      </c>
    </row>
    <row r="72" spans="1:12" ht="120" customHeight="1" x14ac:dyDescent="0.25">
      <c r="A72" s="33" t="s">
        <v>644</v>
      </c>
      <c r="B72" s="28">
        <v>53</v>
      </c>
      <c r="C72" s="28">
        <v>36</v>
      </c>
      <c r="D72" s="29">
        <v>1</v>
      </c>
      <c r="E72" s="28">
        <v>0</v>
      </c>
      <c r="F72" s="35">
        <v>0</v>
      </c>
      <c r="G72" s="28">
        <v>2</v>
      </c>
      <c r="H72" s="28">
        <v>0</v>
      </c>
      <c r="I72" s="28">
        <v>0</v>
      </c>
      <c r="J72" s="28" t="s">
        <v>951</v>
      </c>
      <c r="K72" s="34" t="str">
        <f>IFERROR(HYPERLINK("#Main!A"&amp;MATCH(A72,Main!A:A,0),"Open"),HYPERLINK("#Main!A1","Open"))</f>
        <v>Open</v>
      </c>
      <c r="L72" s="34"/>
    </row>
    <row r="73" spans="1:12" ht="120" customHeight="1" x14ac:dyDescent="0.25">
      <c r="A73" s="30" t="s">
        <v>647</v>
      </c>
      <c r="B73" s="37">
        <v>31</v>
      </c>
      <c r="C73" s="37">
        <v>14</v>
      </c>
      <c r="D73" s="29">
        <v>1</v>
      </c>
      <c r="E73" s="37">
        <v>0</v>
      </c>
      <c r="F73" s="35">
        <v>0</v>
      </c>
      <c r="G73" s="37">
        <v>2</v>
      </c>
      <c r="H73" s="37">
        <v>0</v>
      </c>
      <c r="I73" s="37">
        <v>0</v>
      </c>
      <c r="J73" s="37" t="s">
        <v>914</v>
      </c>
      <c r="K73" t="str">
        <f>IFERROR(HYPERLINK("#Main!A"&amp;MATCH(A73,Main!A:A,0),"Open"),HYPERLINK("#Main!A1","Open"))</f>
        <v>Open</v>
      </c>
    </row>
    <row r="74" spans="1:12" ht="120" customHeight="1" x14ac:dyDescent="0.25">
      <c r="A74" s="33" t="s">
        <v>652</v>
      </c>
      <c r="B74" s="28">
        <v>42</v>
      </c>
      <c r="C74" s="28">
        <v>20</v>
      </c>
      <c r="D74" s="29">
        <v>1</v>
      </c>
      <c r="E74" s="28">
        <v>0</v>
      </c>
      <c r="F74" s="35">
        <v>0</v>
      </c>
      <c r="G74" s="28">
        <v>57</v>
      </c>
      <c r="H74" s="28">
        <v>0</v>
      </c>
      <c r="I74" s="28">
        <v>0</v>
      </c>
      <c r="J74" s="28" t="s">
        <v>934</v>
      </c>
      <c r="K74" s="34" t="str">
        <f>IFERROR(HYPERLINK("#Main!A"&amp;MATCH(A74,Main!A:A,0),"Open"),HYPERLINK("#Main!A1","Open"))</f>
        <v>Open</v>
      </c>
      <c r="L74" s="34"/>
    </row>
    <row r="75" spans="1:12" ht="120" customHeight="1" x14ac:dyDescent="0.25">
      <c r="A75" s="30" t="s">
        <v>650</v>
      </c>
      <c r="B75" s="37">
        <v>34</v>
      </c>
      <c r="C75" s="37">
        <v>15</v>
      </c>
      <c r="D75" s="29">
        <v>2</v>
      </c>
      <c r="E75" s="37">
        <v>0</v>
      </c>
      <c r="F75" s="35">
        <v>0</v>
      </c>
      <c r="G75" s="37">
        <v>2</v>
      </c>
      <c r="H75" s="37">
        <v>0</v>
      </c>
      <c r="I75" s="37">
        <v>0</v>
      </c>
      <c r="J75" s="37" t="s">
        <v>952</v>
      </c>
      <c r="K75" t="str">
        <f>IFERROR(HYPERLINK("#Main!A"&amp;MATCH(A75,Main!A:A,0),"Open"),HYPERLINK("#Main!A1","Open"))</f>
        <v>Open</v>
      </c>
    </row>
    <row r="76" spans="1:12" ht="120" customHeight="1" x14ac:dyDescent="0.25">
      <c r="A76" s="33" t="s">
        <v>655</v>
      </c>
      <c r="B76" s="28">
        <v>31</v>
      </c>
      <c r="C76" s="28">
        <v>14</v>
      </c>
      <c r="D76" s="29">
        <v>1</v>
      </c>
      <c r="E76" s="28">
        <v>0</v>
      </c>
      <c r="F76" s="35">
        <v>0</v>
      </c>
      <c r="G76" s="28">
        <v>2</v>
      </c>
      <c r="H76" s="28">
        <v>0</v>
      </c>
      <c r="I76" s="28">
        <v>0</v>
      </c>
      <c r="J76" s="28" t="s">
        <v>914</v>
      </c>
      <c r="K76" s="34" t="str">
        <f>IFERROR(HYPERLINK("#Main!A"&amp;MATCH(A76,Main!A:A,0),"Open"),HYPERLINK("#Main!A1","Open"))</f>
        <v>Open</v>
      </c>
      <c r="L76" s="34"/>
    </row>
    <row r="77" spans="1:12" ht="120" customHeight="1" x14ac:dyDescent="0.25">
      <c r="A77" s="30" t="s">
        <v>658</v>
      </c>
      <c r="B77" s="37">
        <v>31</v>
      </c>
      <c r="C77" s="37">
        <v>14</v>
      </c>
      <c r="D77" s="29">
        <v>1</v>
      </c>
      <c r="E77" s="37">
        <v>0</v>
      </c>
      <c r="F77" s="35">
        <v>0</v>
      </c>
      <c r="G77" s="37">
        <v>2</v>
      </c>
      <c r="H77" s="37">
        <v>0</v>
      </c>
      <c r="I77" s="37">
        <v>0</v>
      </c>
      <c r="J77" s="37" t="s">
        <v>914</v>
      </c>
      <c r="K77" t="str">
        <f>IFERROR(HYPERLINK("#Main!A"&amp;MATCH(A77,Main!A:A,0),"Open"),HYPERLINK("#Main!A1","Open"))</f>
        <v>Open</v>
      </c>
    </row>
    <row r="78" spans="1:12" ht="120" customHeight="1" x14ac:dyDescent="0.25">
      <c r="A78" s="33" t="s">
        <v>661</v>
      </c>
      <c r="B78" s="28">
        <v>43</v>
      </c>
      <c r="C78" s="28">
        <v>16</v>
      </c>
      <c r="D78" s="29">
        <v>1</v>
      </c>
      <c r="E78" s="28">
        <v>0</v>
      </c>
      <c r="F78" s="35">
        <v>0</v>
      </c>
      <c r="G78" s="28">
        <v>2</v>
      </c>
      <c r="H78" s="28">
        <v>0</v>
      </c>
      <c r="I78" s="28">
        <v>0</v>
      </c>
      <c r="J78" s="28" t="s">
        <v>953</v>
      </c>
      <c r="K78" s="34" t="str">
        <f>IFERROR(HYPERLINK("#Main!A"&amp;MATCH(A78,Main!A:A,0),"Open"),HYPERLINK("#Main!A1","Open"))</f>
        <v>Open</v>
      </c>
      <c r="L78" s="34"/>
    </row>
    <row r="79" spans="1:12" ht="120" customHeight="1" x14ac:dyDescent="0.25">
      <c r="A79" s="30" t="s">
        <v>664</v>
      </c>
      <c r="B79" s="37">
        <v>47</v>
      </c>
      <c r="C79" s="37">
        <v>22</v>
      </c>
      <c r="D79" s="29">
        <v>1</v>
      </c>
      <c r="E79" s="37">
        <v>0</v>
      </c>
      <c r="F79" s="35">
        <v>0</v>
      </c>
      <c r="G79" s="37">
        <v>2</v>
      </c>
      <c r="H79" s="37">
        <v>8</v>
      </c>
      <c r="I79" s="37">
        <v>0</v>
      </c>
      <c r="J79" s="37" t="s">
        <v>954</v>
      </c>
      <c r="K79" t="str">
        <f>IFERROR(HYPERLINK("#Main!A"&amp;MATCH(A79,Main!A:A,0),"Open"),HYPERLINK("#Main!A1","Open"))</f>
        <v>Open</v>
      </c>
    </row>
    <row r="80" spans="1:12" ht="120" customHeight="1" x14ac:dyDescent="0.25">
      <c r="A80" s="33" t="s">
        <v>670</v>
      </c>
      <c r="B80" s="28">
        <v>57</v>
      </c>
      <c r="C80" s="28">
        <v>14</v>
      </c>
      <c r="D80" s="29">
        <v>1</v>
      </c>
      <c r="E80" s="28">
        <v>0</v>
      </c>
      <c r="F80" s="35">
        <v>0</v>
      </c>
      <c r="G80" s="28">
        <v>4</v>
      </c>
      <c r="H80" s="28">
        <v>0</v>
      </c>
      <c r="I80" s="28">
        <v>0</v>
      </c>
      <c r="J80" s="28" t="s">
        <v>914</v>
      </c>
      <c r="K80" s="34" t="str">
        <f>IFERROR(HYPERLINK("#Main!A"&amp;MATCH(A80,Main!A:A,0),"Open"),HYPERLINK("#Main!A1","Open"))</f>
        <v>Open</v>
      </c>
      <c r="L80" s="34"/>
    </row>
    <row r="81" spans="1:12" ht="120" customHeight="1" x14ac:dyDescent="0.25">
      <c r="A81" s="30" t="s">
        <v>667</v>
      </c>
      <c r="B81" s="37">
        <v>59</v>
      </c>
      <c r="C81" s="37">
        <v>16</v>
      </c>
      <c r="D81" s="29">
        <v>1</v>
      </c>
      <c r="E81" s="37">
        <v>0</v>
      </c>
      <c r="F81" s="35">
        <v>0</v>
      </c>
      <c r="G81" s="37">
        <v>3</v>
      </c>
      <c r="H81" s="37">
        <v>0</v>
      </c>
      <c r="I81" s="37">
        <v>0</v>
      </c>
      <c r="J81" s="37" t="s">
        <v>955</v>
      </c>
      <c r="K81" t="str">
        <f>IFERROR(HYPERLINK("#Main!A"&amp;MATCH(A81,Main!A:A,0),"Open"),HYPERLINK("#Main!A1","Open"))</f>
        <v>Open</v>
      </c>
    </row>
    <row r="82" spans="1:12" ht="120" customHeight="1" x14ac:dyDescent="0.25">
      <c r="A82" s="33" t="s">
        <v>673</v>
      </c>
      <c r="B82" s="28">
        <v>31</v>
      </c>
      <c r="C82" s="28">
        <v>14</v>
      </c>
      <c r="D82" s="29">
        <v>1</v>
      </c>
      <c r="E82" s="28">
        <v>0</v>
      </c>
      <c r="F82" s="35">
        <v>0</v>
      </c>
      <c r="G82" s="28">
        <v>2</v>
      </c>
      <c r="H82" s="28">
        <v>0</v>
      </c>
      <c r="I82" s="28">
        <v>0</v>
      </c>
      <c r="J82" s="28" t="s">
        <v>914</v>
      </c>
      <c r="K82" s="34" t="str">
        <f>IFERROR(HYPERLINK("#Main!A"&amp;MATCH(A82,Main!A:A,0),"Open"),HYPERLINK("#Main!A1","Open"))</f>
        <v>Open</v>
      </c>
      <c r="L82" s="34"/>
    </row>
    <row r="83" spans="1:12" ht="120" customHeight="1" x14ac:dyDescent="0.25">
      <c r="A83" s="30" t="s">
        <v>677</v>
      </c>
      <c r="B83" s="37">
        <v>60</v>
      </c>
      <c r="C83" s="37">
        <v>17</v>
      </c>
      <c r="D83" s="29">
        <v>2</v>
      </c>
      <c r="E83" s="37">
        <v>0</v>
      </c>
      <c r="F83" s="35">
        <v>0</v>
      </c>
      <c r="G83" s="37">
        <v>3</v>
      </c>
      <c r="H83" s="37">
        <v>0</v>
      </c>
      <c r="I83" s="37">
        <v>0</v>
      </c>
      <c r="J83" s="37" t="s">
        <v>947</v>
      </c>
      <c r="K83" t="str">
        <f>IFERROR(HYPERLINK("#Main!A"&amp;MATCH(A83,Main!A:A,0),"Open"),HYPERLINK("#Main!A1","Open"))</f>
        <v>Open</v>
      </c>
    </row>
    <row r="84" spans="1:12" ht="120" customHeight="1" x14ac:dyDescent="0.25">
      <c r="A84" s="33" t="s">
        <v>680</v>
      </c>
      <c r="B84" s="28">
        <v>34</v>
      </c>
      <c r="C84" s="28">
        <v>17</v>
      </c>
      <c r="D84" s="29">
        <v>2</v>
      </c>
      <c r="E84" s="28">
        <v>0</v>
      </c>
      <c r="F84" s="35">
        <v>0</v>
      </c>
      <c r="G84" s="28">
        <v>2</v>
      </c>
      <c r="H84" s="28">
        <v>0</v>
      </c>
      <c r="I84" s="28">
        <v>0</v>
      </c>
      <c r="J84" s="28" t="s">
        <v>947</v>
      </c>
      <c r="K84" s="34" t="str">
        <f>IFERROR(HYPERLINK("#Main!A"&amp;MATCH(A84,Main!A:A,0),"Open"),HYPERLINK("#Main!A1","Open"))</f>
        <v>Open</v>
      </c>
      <c r="L84" s="34"/>
    </row>
    <row r="85" spans="1:12" ht="120" customHeight="1" x14ac:dyDescent="0.25">
      <c r="A85" s="30" t="s">
        <v>683</v>
      </c>
      <c r="B85" s="37">
        <v>32</v>
      </c>
      <c r="C85" s="37">
        <v>15</v>
      </c>
      <c r="D85" s="29">
        <v>1</v>
      </c>
      <c r="E85" s="37">
        <v>0</v>
      </c>
      <c r="F85" s="35">
        <v>0</v>
      </c>
      <c r="G85" s="37">
        <v>3</v>
      </c>
      <c r="H85" s="37">
        <v>0</v>
      </c>
      <c r="I85" s="37">
        <v>0</v>
      </c>
      <c r="J85" s="37" t="s">
        <v>956</v>
      </c>
      <c r="K85" t="str">
        <f>IFERROR(HYPERLINK("#Main!A"&amp;MATCH(A85,Main!A:A,0),"Open"),HYPERLINK("#Main!A1","Open"))</f>
        <v>Open</v>
      </c>
    </row>
    <row r="86" spans="1:12" ht="120" customHeight="1" x14ac:dyDescent="0.25">
      <c r="A86" s="33" t="s">
        <v>686</v>
      </c>
      <c r="B86" s="28">
        <v>31</v>
      </c>
      <c r="C86" s="28">
        <v>14</v>
      </c>
      <c r="D86" s="29">
        <v>1</v>
      </c>
      <c r="E86" s="28">
        <v>0</v>
      </c>
      <c r="F86" s="35">
        <v>0</v>
      </c>
      <c r="G86" s="28">
        <v>4</v>
      </c>
      <c r="H86" s="28">
        <v>0</v>
      </c>
      <c r="I86" s="28">
        <v>0</v>
      </c>
      <c r="J86" s="28" t="s">
        <v>914</v>
      </c>
      <c r="K86" s="34" t="str">
        <f>IFERROR(HYPERLINK("#Main!A"&amp;MATCH(A86,Main!A:A,0),"Open"),HYPERLINK("#Main!A1","Open"))</f>
        <v>Open</v>
      </c>
      <c r="L86" s="34"/>
    </row>
  </sheetData>
  <autoFilter ref="A1:L86" xr:uid="{00000000-0009-0000-0000-00000A000000}"/>
  <dataValidations count="12">
    <dataValidation type="custom" allowBlank="1" showInputMessage="1" promptTitle="URL" prompt="URL. Use this URL to inspect the page directly or jump to related tabs." sqref="A1" xr:uid="{00000000-0002-0000-0A00-000000000000}">
      <formula1>TRUE</formula1>
    </dataValidation>
    <dataValidation type="custom" allowBlank="1" showInputMessage="1" promptTitle="Internal Links Count" prompt="Link quality and crawl-path metric. Fix: repair broken links and improve internal linking relevance." sqref="B1" xr:uid="{00000000-0002-0000-0A00-000001000000}">
      <formula1>TRUE</formula1>
    </dataValidation>
    <dataValidation type="custom" allowBlank="1" showInputMessage="1" promptTitle="Unique Internal Links Count" prompt="Link quality and crawl-path metric. Fix: repair broken links and improve internal linking relevance." sqref="C1" xr:uid="{00000000-0002-0000-0A00-000002000000}">
      <formula1>TRUE</formula1>
    </dataValidation>
    <dataValidation type="custom" allowBlank="1" showInputMessage="1" promptTitle="Broken Internal Links Count" prompt="Link quality and crawl-path metric. Fix: repair broken links and improve internal linking relevance." sqref="D1" xr:uid="{00000000-0002-0000-0A00-000003000000}">
      <formula1>TRUE</formula1>
    </dataValidation>
    <dataValidation type="custom" allowBlank="1" showInputMessage="1" promptTitle="Unresolved Internal Links Count" prompt="Link quality and crawl-path metric. Fix: repair broken links and improve internal linking relevance." sqref="E1" xr:uid="{00000000-0002-0000-0A00-000004000000}">
      <formula1>TRUE</formula1>
    </dataValidation>
    <dataValidation type="custom" allowBlank="1" showInputMessage="1" promptTitle="Generic Anchor Text Count" prompt="Link quality and crawl-path metric. Fix: repair broken links and improve internal linking relevance." sqref="F1" xr:uid="{00000000-0002-0000-0A00-000005000000}">
      <formula1>TRUE</formula1>
    </dataValidation>
    <dataValidation type="custom" allowBlank="1" showInputMessage="1" promptTitle="External Links Count" prompt="Link quality and crawl-path metric. Fix: repair broken links and improve internal linking relevance." sqref="G1" xr:uid="{00000000-0002-0000-0A00-000006000000}">
      <formula1>TRUE</formula1>
    </dataValidation>
    <dataValidation type="custom" allowBlank="1" showInputMessage="1" promptTitle="Nofollow Internal Links Count" prompt="Link quality and crawl-path metric. Fix: repair broken links and improve internal linking relevance." sqref="H1" xr:uid="{00000000-0002-0000-0A00-000007000000}">
      <formula1>TRUE</formula1>
    </dataValidation>
    <dataValidation type="custom" allowBlank="1" showInputMessage="1" promptTitle="Nofollow External Links Count" prompt="Link quality and crawl-path metric. Fix: repair broken links and improve internal linking relevance." sqref="I1" xr:uid="{00000000-0002-0000-0A00-000008000000}">
      <formula1>TRUE</formula1>
    </dataValidation>
    <dataValidation type="custom" allowBlank="1" showInputMessage="1" promptTitle="Internal Link Statuses" prompt="Link quality and crawl-path metric. Fix: repair broken links and improve internal linking relevance." sqref="J1" xr:uid="{00000000-0002-0000-0A00-000009000000}">
      <formula1>TRUE</formula1>
    </dataValidation>
    <dataValidation type="custom" allowBlank="1" showInputMessage="1" promptTitle="Open in Main" prompt="Navigation helper. Click to jump directly to the related record in another tab." sqref="K1" xr:uid="{00000000-0002-0000-0A00-00000A000000}">
      <formula1>TRUE</formula1>
    </dataValidation>
    <dataValidation type="custom" allowBlank="1" showInputMessage="1" promptTitle="BACK TO DASHBOARD" prompt="BACK TO DASHBOARD. Review this metric to identify risk, then use linked tabs for details and remediation." sqref="L1" xr:uid="{00000000-0002-0000-0A00-00000B000000}">
      <formula1>TRUE</formula1>
    </dataValidation>
  </dataValidations>
  <hyperlinks>
    <hyperlink ref="L1" location="Dashboard!A1" display="BACK TO DASHBOARD" xr:uid="{00000000-0004-0000-0A00-000000000000}"/>
    <hyperlink ref="A2" r:id="rId1" xr:uid="{00000000-0004-0000-0A00-000001000000}"/>
    <hyperlink ref="A3" r:id="rId2" xr:uid="{00000000-0004-0000-0A00-000002000000}"/>
    <hyperlink ref="A4" r:id="rId3" xr:uid="{00000000-0004-0000-0A00-000003000000}"/>
    <hyperlink ref="A5" r:id="rId4" xr:uid="{00000000-0004-0000-0A00-000004000000}"/>
    <hyperlink ref="A6" r:id="rId5" xr:uid="{00000000-0004-0000-0A00-000005000000}"/>
    <hyperlink ref="A7" r:id="rId6" xr:uid="{00000000-0004-0000-0A00-000006000000}"/>
    <hyperlink ref="A8" r:id="rId7" xr:uid="{00000000-0004-0000-0A00-000007000000}"/>
    <hyperlink ref="A9" r:id="rId8" xr:uid="{00000000-0004-0000-0A00-000008000000}"/>
    <hyperlink ref="A10" r:id="rId9" xr:uid="{00000000-0004-0000-0A00-000009000000}"/>
    <hyperlink ref="A11" r:id="rId10" xr:uid="{00000000-0004-0000-0A00-00000A000000}"/>
    <hyperlink ref="A12" r:id="rId11" xr:uid="{00000000-0004-0000-0A00-00000B000000}"/>
    <hyperlink ref="A13" r:id="rId12" xr:uid="{00000000-0004-0000-0A00-00000C000000}"/>
    <hyperlink ref="A14" r:id="rId13" xr:uid="{00000000-0004-0000-0A00-00000D000000}"/>
    <hyperlink ref="A15" r:id="rId14" xr:uid="{00000000-0004-0000-0A00-00000E000000}"/>
    <hyperlink ref="A16" r:id="rId15" xr:uid="{00000000-0004-0000-0A00-00000F000000}"/>
    <hyperlink ref="A17" r:id="rId16" xr:uid="{00000000-0004-0000-0A00-000010000000}"/>
    <hyperlink ref="A18" r:id="rId17" xr:uid="{00000000-0004-0000-0A00-000011000000}"/>
    <hyperlink ref="A19" r:id="rId18" xr:uid="{00000000-0004-0000-0A00-000012000000}"/>
    <hyperlink ref="A20" r:id="rId19" xr:uid="{00000000-0004-0000-0A00-000013000000}"/>
    <hyperlink ref="A21" r:id="rId20" xr:uid="{00000000-0004-0000-0A00-000014000000}"/>
    <hyperlink ref="A22" r:id="rId21" xr:uid="{00000000-0004-0000-0A00-000015000000}"/>
    <hyperlink ref="A23" r:id="rId22" xr:uid="{00000000-0004-0000-0A00-000016000000}"/>
    <hyperlink ref="A24" r:id="rId23" xr:uid="{00000000-0004-0000-0A00-000017000000}"/>
    <hyperlink ref="A25" r:id="rId24" xr:uid="{00000000-0004-0000-0A00-000018000000}"/>
    <hyperlink ref="A26" r:id="rId25" xr:uid="{00000000-0004-0000-0A00-000019000000}"/>
    <hyperlink ref="A27" r:id="rId26" xr:uid="{00000000-0004-0000-0A00-00001A000000}"/>
    <hyperlink ref="A28" r:id="rId27" xr:uid="{00000000-0004-0000-0A00-00001B000000}"/>
    <hyperlink ref="A29" r:id="rId28" xr:uid="{00000000-0004-0000-0A00-00001C000000}"/>
    <hyperlink ref="A30" r:id="rId29" xr:uid="{00000000-0004-0000-0A00-00001D000000}"/>
    <hyperlink ref="A31" r:id="rId30" xr:uid="{00000000-0004-0000-0A00-00001E000000}"/>
    <hyperlink ref="A32" r:id="rId31" xr:uid="{00000000-0004-0000-0A00-00001F000000}"/>
    <hyperlink ref="A33" r:id="rId32" xr:uid="{00000000-0004-0000-0A00-000020000000}"/>
    <hyperlink ref="A34" r:id="rId33" xr:uid="{00000000-0004-0000-0A00-000021000000}"/>
    <hyperlink ref="A35" r:id="rId34" xr:uid="{00000000-0004-0000-0A00-000022000000}"/>
    <hyperlink ref="A36" r:id="rId35" xr:uid="{00000000-0004-0000-0A00-000023000000}"/>
    <hyperlink ref="A37" r:id="rId36" xr:uid="{00000000-0004-0000-0A00-000024000000}"/>
    <hyperlink ref="A38" r:id="rId37" xr:uid="{00000000-0004-0000-0A00-000025000000}"/>
    <hyperlink ref="A39" r:id="rId38" xr:uid="{00000000-0004-0000-0A00-000026000000}"/>
    <hyperlink ref="A40" r:id="rId39" xr:uid="{00000000-0004-0000-0A00-000027000000}"/>
    <hyperlink ref="A41" r:id="rId40" xr:uid="{00000000-0004-0000-0A00-000028000000}"/>
    <hyperlink ref="A42" r:id="rId41" xr:uid="{00000000-0004-0000-0A00-000029000000}"/>
    <hyperlink ref="A43" r:id="rId42" xr:uid="{00000000-0004-0000-0A00-00002A000000}"/>
    <hyperlink ref="A44" r:id="rId43" xr:uid="{00000000-0004-0000-0A00-00002B000000}"/>
    <hyperlink ref="A45" r:id="rId44" xr:uid="{00000000-0004-0000-0A00-00002C000000}"/>
    <hyperlink ref="A46" r:id="rId45" xr:uid="{00000000-0004-0000-0A00-00002D000000}"/>
    <hyperlink ref="A47" r:id="rId46" xr:uid="{00000000-0004-0000-0A00-00002E000000}"/>
    <hyperlink ref="A48" r:id="rId47" xr:uid="{00000000-0004-0000-0A00-00002F000000}"/>
    <hyperlink ref="A49" r:id="rId48" xr:uid="{00000000-0004-0000-0A00-000030000000}"/>
    <hyperlink ref="A50" r:id="rId49" xr:uid="{00000000-0004-0000-0A00-000031000000}"/>
    <hyperlink ref="A51" r:id="rId50" xr:uid="{00000000-0004-0000-0A00-000032000000}"/>
    <hyperlink ref="A52" r:id="rId51" xr:uid="{00000000-0004-0000-0A00-000033000000}"/>
    <hyperlink ref="A53" r:id="rId52" xr:uid="{00000000-0004-0000-0A00-000034000000}"/>
    <hyperlink ref="A54" r:id="rId53" xr:uid="{00000000-0004-0000-0A00-000035000000}"/>
    <hyperlink ref="A55" r:id="rId54" xr:uid="{00000000-0004-0000-0A00-000036000000}"/>
    <hyperlink ref="A56" r:id="rId55" xr:uid="{00000000-0004-0000-0A00-000037000000}"/>
    <hyperlink ref="A57" r:id="rId56" xr:uid="{00000000-0004-0000-0A00-000038000000}"/>
    <hyperlink ref="A58" r:id="rId57" xr:uid="{00000000-0004-0000-0A00-000039000000}"/>
    <hyperlink ref="A59" r:id="rId58" xr:uid="{00000000-0004-0000-0A00-00003A000000}"/>
    <hyperlink ref="A60" r:id="rId59" xr:uid="{00000000-0004-0000-0A00-00003B000000}"/>
    <hyperlink ref="A61" r:id="rId60" xr:uid="{00000000-0004-0000-0A00-00003C000000}"/>
    <hyperlink ref="A62" r:id="rId61" xr:uid="{00000000-0004-0000-0A00-00003D000000}"/>
    <hyperlink ref="A63" r:id="rId62" xr:uid="{00000000-0004-0000-0A00-00003E000000}"/>
    <hyperlink ref="A64" r:id="rId63" xr:uid="{00000000-0004-0000-0A00-00003F000000}"/>
    <hyperlink ref="A65" r:id="rId64" xr:uid="{00000000-0004-0000-0A00-000040000000}"/>
    <hyperlink ref="A66" r:id="rId65" xr:uid="{00000000-0004-0000-0A00-000041000000}"/>
    <hyperlink ref="A67" r:id="rId66" xr:uid="{00000000-0004-0000-0A00-000042000000}"/>
    <hyperlink ref="A68" r:id="rId67" xr:uid="{00000000-0004-0000-0A00-000043000000}"/>
    <hyperlink ref="A69" r:id="rId68" xr:uid="{00000000-0004-0000-0A00-000044000000}"/>
    <hyperlink ref="A70" r:id="rId69" xr:uid="{00000000-0004-0000-0A00-000045000000}"/>
    <hyperlink ref="A71" r:id="rId70" xr:uid="{00000000-0004-0000-0A00-000046000000}"/>
    <hyperlink ref="A72" r:id="rId71" xr:uid="{00000000-0004-0000-0A00-000047000000}"/>
    <hyperlink ref="A73" r:id="rId72" xr:uid="{00000000-0004-0000-0A00-000048000000}"/>
    <hyperlink ref="A74" r:id="rId73" xr:uid="{00000000-0004-0000-0A00-000049000000}"/>
    <hyperlink ref="A75" r:id="rId74" xr:uid="{00000000-0004-0000-0A00-00004A000000}"/>
    <hyperlink ref="A76" r:id="rId75" xr:uid="{00000000-0004-0000-0A00-00004B000000}"/>
    <hyperlink ref="A77" r:id="rId76" xr:uid="{00000000-0004-0000-0A00-00004C000000}"/>
    <hyperlink ref="A78" r:id="rId77" xr:uid="{00000000-0004-0000-0A00-00004D000000}"/>
    <hyperlink ref="A79" r:id="rId78" xr:uid="{00000000-0004-0000-0A00-00004E000000}"/>
    <hyperlink ref="A80" r:id="rId79" xr:uid="{00000000-0004-0000-0A00-00004F000000}"/>
    <hyperlink ref="A81" r:id="rId80" xr:uid="{00000000-0004-0000-0A00-000050000000}"/>
    <hyperlink ref="A82" r:id="rId81" xr:uid="{00000000-0004-0000-0A00-000051000000}"/>
    <hyperlink ref="A83" r:id="rId82" xr:uid="{00000000-0004-0000-0A00-000052000000}"/>
    <hyperlink ref="A84" r:id="rId83" xr:uid="{00000000-0004-0000-0A00-000053000000}"/>
    <hyperlink ref="A85" r:id="rId84" xr:uid="{00000000-0004-0000-0A00-000054000000}"/>
    <hyperlink ref="A86" r:id="rId85" xr:uid="{00000000-0004-0000-0A00-000055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3" width="14" customWidth="1"/>
    <col min="4" max="4" width="21" customWidth="1"/>
    <col min="5" max="5" width="45" customWidth="1"/>
    <col min="6" max="6" width="16" customWidth="1"/>
    <col min="7" max="7" width="29" customWidth="1"/>
    <col min="8" max="8" width="28" customWidth="1"/>
    <col min="9" max="9" width="34" customWidth="1"/>
    <col min="10" max="10" width="14" customWidth="1"/>
    <col min="11" max="11" width="45" customWidth="1"/>
  </cols>
  <sheetData>
    <row r="1" spans="1:13" ht="45" x14ac:dyDescent="0.25">
      <c r="A1" s="27" t="s">
        <v>102</v>
      </c>
      <c r="B1" s="27" t="s">
        <v>431</v>
      </c>
      <c r="C1" s="27" t="s">
        <v>689</v>
      </c>
      <c r="D1" s="27" t="s">
        <v>690</v>
      </c>
      <c r="E1" s="27" t="s">
        <v>694</v>
      </c>
      <c r="F1" s="27" t="s">
        <v>695</v>
      </c>
      <c r="G1" s="27" t="s">
        <v>709</v>
      </c>
      <c r="H1" s="27" t="s">
        <v>711</v>
      </c>
      <c r="I1" s="27" t="s">
        <v>708</v>
      </c>
      <c r="J1" s="27" t="s">
        <v>707</v>
      </c>
      <c r="K1" s="27" t="s">
        <v>693</v>
      </c>
      <c r="L1" s="27" t="s">
        <v>122</v>
      </c>
      <c r="M1" s="36" t="s">
        <v>251</v>
      </c>
    </row>
    <row r="2" spans="1:13" ht="15.75" x14ac:dyDescent="0.25">
      <c r="A2" s="33" t="s">
        <v>127</v>
      </c>
      <c r="B2" s="35">
        <v>200</v>
      </c>
      <c r="C2" s="28" t="s">
        <v>768</v>
      </c>
      <c r="D2" s="35" t="s">
        <v>477</v>
      </c>
      <c r="E2" s="31" t="s">
        <v>127</v>
      </c>
      <c r="F2" s="28" t="s">
        <v>769</v>
      </c>
      <c r="G2" s="54" t="b">
        <v>1</v>
      </c>
      <c r="H2" s="35" t="b">
        <v>1</v>
      </c>
      <c r="I2" s="28" t="s">
        <v>771</v>
      </c>
      <c r="J2" s="28"/>
      <c r="K2" s="31" t="s">
        <v>127</v>
      </c>
      <c r="L2" s="34" t="str">
        <f>IFERROR(HYPERLINK("#Main!A"&amp;MATCH(A2,Main!A:A,0),"Open"),HYPERLINK("#Main!A1","Open"))</f>
        <v>Open</v>
      </c>
      <c r="M2" s="34"/>
    </row>
    <row r="3" spans="1:13" ht="30" customHeight="1" x14ac:dyDescent="0.25">
      <c r="A3" s="30" t="s">
        <v>135</v>
      </c>
      <c r="B3" s="35">
        <v>200</v>
      </c>
      <c r="C3" s="37" t="s">
        <v>768</v>
      </c>
      <c r="D3" s="35" t="s">
        <v>477</v>
      </c>
      <c r="E3" s="43" t="s">
        <v>135</v>
      </c>
      <c r="F3" s="37" t="s">
        <v>769</v>
      </c>
      <c r="G3" s="54" t="b">
        <v>1</v>
      </c>
      <c r="H3" s="35" t="b">
        <v>1</v>
      </c>
      <c r="I3" s="37" t="s">
        <v>771</v>
      </c>
      <c r="J3" s="37"/>
      <c r="K3" s="43" t="s">
        <v>135</v>
      </c>
      <c r="L3" t="str">
        <f>IFERROR(HYPERLINK("#Main!A"&amp;MATCH(A3,Main!A:A,0),"Open"),HYPERLINK("#Main!A1","Open"))</f>
        <v>Open</v>
      </c>
    </row>
    <row r="4" spans="1:13" ht="30" customHeight="1" x14ac:dyDescent="0.25">
      <c r="A4" s="33" t="s">
        <v>144</v>
      </c>
      <c r="B4" s="35">
        <v>200</v>
      </c>
      <c r="C4" s="28" t="s">
        <v>768</v>
      </c>
      <c r="D4" s="35" t="s">
        <v>477</v>
      </c>
      <c r="E4" s="31" t="s">
        <v>144</v>
      </c>
      <c r="F4" s="28" t="s">
        <v>769</v>
      </c>
      <c r="G4" s="54" t="b">
        <v>1</v>
      </c>
      <c r="H4" s="35" t="b">
        <v>1</v>
      </c>
      <c r="I4" s="28" t="s">
        <v>771</v>
      </c>
      <c r="J4" s="28"/>
      <c r="K4" s="31" t="s">
        <v>144</v>
      </c>
      <c r="L4" s="34" t="str">
        <f>IFERROR(HYPERLINK("#Main!A"&amp;MATCH(A4,Main!A:A,0),"Open"),HYPERLINK("#Main!A1","Open"))</f>
        <v>Open</v>
      </c>
      <c r="M4" s="34"/>
    </row>
    <row r="5" spans="1:13" ht="30" customHeight="1" x14ac:dyDescent="0.25">
      <c r="A5" s="30" t="s">
        <v>152</v>
      </c>
      <c r="B5" s="35">
        <v>200</v>
      </c>
      <c r="C5" s="37" t="s">
        <v>768</v>
      </c>
      <c r="D5" s="35" t="s">
        <v>477</v>
      </c>
      <c r="E5" s="43" t="s">
        <v>152</v>
      </c>
      <c r="F5" s="37" t="s">
        <v>769</v>
      </c>
      <c r="G5" s="54" t="b">
        <v>1</v>
      </c>
      <c r="H5" s="35" t="b">
        <v>1</v>
      </c>
      <c r="I5" s="37" t="s">
        <v>771</v>
      </c>
      <c r="J5" s="37"/>
      <c r="K5" s="43" t="s">
        <v>152</v>
      </c>
      <c r="L5" t="str">
        <f>IFERROR(HYPERLINK("#Main!A"&amp;MATCH(A5,Main!A:A,0),"Open"),HYPERLINK("#Main!A1","Open"))</f>
        <v>Open</v>
      </c>
    </row>
    <row r="6" spans="1:13" ht="30" customHeight="1" x14ac:dyDescent="0.25">
      <c r="A6" s="33" t="s">
        <v>169</v>
      </c>
      <c r="B6" s="35">
        <v>200</v>
      </c>
      <c r="C6" s="28" t="s">
        <v>768</v>
      </c>
      <c r="D6" s="35" t="s">
        <v>477</v>
      </c>
      <c r="E6" s="31" t="s">
        <v>169</v>
      </c>
      <c r="F6" s="28" t="s">
        <v>769</v>
      </c>
      <c r="G6" s="54" t="b">
        <v>1</v>
      </c>
      <c r="H6" s="35" t="b">
        <v>1</v>
      </c>
      <c r="I6" s="28" t="s">
        <v>771</v>
      </c>
      <c r="J6" s="28"/>
      <c r="K6" s="31" t="s">
        <v>169</v>
      </c>
      <c r="L6" s="34" t="str">
        <f>IFERROR(HYPERLINK("#Main!A"&amp;MATCH(A6,Main!A:A,0),"Open"),HYPERLINK("#Main!A1","Open"))</f>
        <v>Open</v>
      </c>
      <c r="M6" s="34"/>
    </row>
    <row r="7" spans="1:13" ht="30" customHeight="1" x14ac:dyDescent="0.25">
      <c r="A7" s="30" t="s">
        <v>177</v>
      </c>
      <c r="B7" s="35">
        <v>200</v>
      </c>
      <c r="C7" s="37" t="s">
        <v>768</v>
      </c>
      <c r="D7" s="35" t="s">
        <v>477</v>
      </c>
      <c r="E7" s="43" t="s">
        <v>177</v>
      </c>
      <c r="F7" s="37" t="s">
        <v>769</v>
      </c>
      <c r="G7" s="54" t="b">
        <v>1</v>
      </c>
      <c r="H7" s="35" t="b">
        <v>1</v>
      </c>
      <c r="I7" s="37" t="s">
        <v>771</v>
      </c>
      <c r="J7" s="37"/>
      <c r="K7" s="43" t="s">
        <v>177</v>
      </c>
      <c r="L7" t="str">
        <f>IFERROR(HYPERLINK("#Main!A"&amp;MATCH(A7,Main!A:A,0),"Open"),HYPERLINK("#Main!A1","Open"))</f>
        <v>Open</v>
      </c>
    </row>
    <row r="8" spans="1:13" ht="30" customHeight="1" x14ac:dyDescent="0.25">
      <c r="A8" s="33" t="s">
        <v>161</v>
      </c>
      <c r="B8" s="35">
        <v>200</v>
      </c>
      <c r="C8" s="28" t="s">
        <v>768</v>
      </c>
      <c r="D8" s="35" t="s">
        <v>477</v>
      </c>
      <c r="E8" s="31" t="s">
        <v>161</v>
      </c>
      <c r="F8" s="28" t="s">
        <v>769</v>
      </c>
      <c r="G8" s="54" t="b">
        <v>1</v>
      </c>
      <c r="H8" s="35" t="b">
        <v>1</v>
      </c>
      <c r="I8" s="28" t="s">
        <v>771</v>
      </c>
      <c r="J8" s="28"/>
      <c r="K8" s="31" t="s">
        <v>161</v>
      </c>
      <c r="L8" s="34" t="str">
        <f>IFERROR(HYPERLINK("#Main!A"&amp;MATCH(A8,Main!A:A,0),"Open"),HYPERLINK("#Main!A1","Open"))</f>
        <v>Open</v>
      </c>
      <c r="M8" s="34"/>
    </row>
    <row r="9" spans="1:13" ht="30" customHeight="1" x14ac:dyDescent="0.25">
      <c r="A9" s="30" t="s">
        <v>185</v>
      </c>
      <c r="B9" s="35">
        <v>200</v>
      </c>
      <c r="C9" s="37" t="s">
        <v>768</v>
      </c>
      <c r="D9" s="35" t="s">
        <v>477</v>
      </c>
      <c r="E9" s="43" t="s">
        <v>185</v>
      </c>
      <c r="F9" s="37" t="s">
        <v>769</v>
      </c>
      <c r="G9" s="54" t="b">
        <v>1</v>
      </c>
      <c r="H9" s="35" t="b">
        <v>1</v>
      </c>
      <c r="I9" s="37" t="s">
        <v>771</v>
      </c>
      <c r="J9" s="37"/>
      <c r="K9" s="43" t="s">
        <v>185</v>
      </c>
      <c r="L9" t="str">
        <f>IFERROR(HYPERLINK("#Main!A"&amp;MATCH(A9,Main!A:A,0),"Open"),HYPERLINK("#Main!A1","Open"))</f>
        <v>Open</v>
      </c>
    </row>
    <row r="10" spans="1:13" ht="30" customHeight="1" x14ac:dyDescent="0.25">
      <c r="A10" s="33" t="s">
        <v>201</v>
      </c>
      <c r="B10" s="35">
        <v>200</v>
      </c>
      <c r="C10" s="28" t="s">
        <v>768</v>
      </c>
      <c r="D10" s="35" t="s">
        <v>477</v>
      </c>
      <c r="E10" s="31" t="s">
        <v>201</v>
      </c>
      <c r="F10" s="28" t="s">
        <v>769</v>
      </c>
      <c r="G10" s="54" t="b">
        <v>1</v>
      </c>
      <c r="H10" s="35" t="b">
        <v>1</v>
      </c>
      <c r="I10" s="28" t="s">
        <v>771</v>
      </c>
      <c r="J10" s="28"/>
      <c r="K10" s="31" t="s">
        <v>201</v>
      </c>
      <c r="L10" s="34" t="str">
        <f>IFERROR(HYPERLINK("#Main!A"&amp;MATCH(A10,Main!A:A,0),"Open"),HYPERLINK("#Main!A1","Open"))</f>
        <v>Open</v>
      </c>
      <c r="M10" s="34"/>
    </row>
    <row r="11" spans="1:13" ht="30" customHeight="1" x14ac:dyDescent="0.25">
      <c r="A11" s="30" t="s">
        <v>193</v>
      </c>
      <c r="B11" s="35">
        <v>200</v>
      </c>
      <c r="C11" s="37" t="s">
        <v>768</v>
      </c>
      <c r="D11" s="35" t="s">
        <v>477</v>
      </c>
      <c r="E11" s="43" t="s">
        <v>193</v>
      </c>
      <c r="F11" s="37" t="s">
        <v>769</v>
      </c>
      <c r="G11" s="54" t="b">
        <v>1</v>
      </c>
      <c r="H11" s="35" t="b">
        <v>1</v>
      </c>
      <c r="I11" s="37" t="s">
        <v>771</v>
      </c>
      <c r="J11" s="37"/>
      <c r="K11" s="43" t="s">
        <v>193</v>
      </c>
      <c r="L11" t="str">
        <f>IFERROR(HYPERLINK("#Main!A"&amp;MATCH(A11,Main!A:A,0),"Open"),HYPERLINK("#Main!A1","Open"))</f>
        <v>Open</v>
      </c>
    </row>
    <row r="12" spans="1:13" ht="30" customHeight="1" x14ac:dyDescent="0.25">
      <c r="A12" s="33" t="s">
        <v>216</v>
      </c>
      <c r="B12" s="35">
        <v>200</v>
      </c>
      <c r="C12" s="28" t="s">
        <v>768</v>
      </c>
      <c r="D12" s="35" t="s">
        <v>477</v>
      </c>
      <c r="E12" s="31" t="s">
        <v>216</v>
      </c>
      <c r="F12" s="28" t="s">
        <v>769</v>
      </c>
      <c r="G12" s="54" t="b">
        <v>1</v>
      </c>
      <c r="H12" s="35" t="b">
        <v>1</v>
      </c>
      <c r="I12" s="28" t="s">
        <v>771</v>
      </c>
      <c r="J12" s="28"/>
      <c r="K12" s="31" t="s">
        <v>216</v>
      </c>
      <c r="L12" s="34" t="str">
        <f>IFERROR(HYPERLINK("#Main!A"&amp;MATCH(A12,Main!A:A,0),"Open"),HYPERLINK("#Main!A1","Open"))</f>
        <v>Open</v>
      </c>
      <c r="M12" s="34"/>
    </row>
    <row r="13" spans="1:13" ht="30" customHeight="1" x14ac:dyDescent="0.25">
      <c r="A13" s="30" t="s">
        <v>208</v>
      </c>
      <c r="B13" s="35">
        <v>200</v>
      </c>
      <c r="C13" s="37" t="s">
        <v>768</v>
      </c>
      <c r="D13" s="35" t="s">
        <v>477</v>
      </c>
      <c r="E13" s="43" t="s">
        <v>208</v>
      </c>
      <c r="F13" s="37" t="s">
        <v>769</v>
      </c>
      <c r="G13" s="54" t="b">
        <v>1</v>
      </c>
      <c r="H13" s="35" t="b">
        <v>1</v>
      </c>
      <c r="I13" s="37" t="s">
        <v>771</v>
      </c>
      <c r="J13" s="37"/>
      <c r="K13" s="43" t="s">
        <v>208</v>
      </c>
      <c r="L13" t="str">
        <f>IFERROR(HYPERLINK("#Main!A"&amp;MATCH(A13,Main!A:A,0),"Open"),HYPERLINK("#Main!A1","Open"))</f>
        <v>Open</v>
      </c>
    </row>
    <row r="14" spans="1:13" ht="30" customHeight="1" x14ac:dyDescent="0.25">
      <c r="A14" s="33" t="s">
        <v>224</v>
      </c>
      <c r="B14" s="35">
        <v>200</v>
      </c>
      <c r="C14" s="28" t="s">
        <v>768</v>
      </c>
      <c r="D14" s="35" t="s">
        <v>477</v>
      </c>
      <c r="E14" s="31" t="s">
        <v>224</v>
      </c>
      <c r="F14" s="28" t="s">
        <v>769</v>
      </c>
      <c r="G14" s="54" t="b">
        <v>1</v>
      </c>
      <c r="H14" s="35" t="b">
        <v>1</v>
      </c>
      <c r="I14" s="28" t="s">
        <v>771</v>
      </c>
      <c r="J14" s="28"/>
      <c r="K14" s="31" t="s">
        <v>224</v>
      </c>
      <c r="L14" s="34" t="str">
        <f>IFERROR(HYPERLINK("#Main!A"&amp;MATCH(A14,Main!A:A,0),"Open"),HYPERLINK("#Main!A1","Open"))</f>
        <v>Open</v>
      </c>
      <c r="M14" s="34"/>
    </row>
    <row r="15" spans="1:13" ht="30" customHeight="1" x14ac:dyDescent="0.25">
      <c r="A15" s="30" t="s">
        <v>233</v>
      </c>
      <c r="B15" s="35">
        <v>200</v>
      </c>
      <c r="C15" s="37" t="s">
        <v>768</v>
      </c>
      <c r="D15" s="35" t="s">
        <v>477</v>
      </c>
      <c r="E15" s="43" t="s">
        <v>233</v>
      </c>
      <c r="F15" s="37" t="s">
        <v>769</v>
      </c>
      <c r="G15" s="54" t="b">
        <v>1</v>
      </c>
      <c r="H15" s="35" t="b">
        <v>1</v>
      </c>
      <c r="I15" s="37" t="s">
        <v>771</v>
      </c>
      <c r="J15" s="37"/>
      <c r="K15" s="43" t="s">
        <v>233</v>
      </c>
      <c r="L15" t="str">
        <f>IFERROR(HYPERLINK("#Main!A"&amp;MATCH(A15,Main!A:A,0),"Open"),HYPERLINK("#Main!A1","Open"))</f>
        <v>Open</v>
      </c>
    </row>
    <row r="16" spans="1:13" ht="30" customHeight="1" x14ac:dyDescent="0.25">
      <c r="A16" s="33" t="s">
        <v>241</v>
      </c>
      <c r="B16" s="35">
        <v>200</v>
      </c>
      <c r="C16" s="28" t="s">
        <v>768</v>
      </c>
      <c r="D16" s="35" t="s">
        <v>477</v>
      </c>
      <c r="E16" s="31" t="s">
        <v>241</v>
      </c>
      <c r="F16" s="28" t="s">
        <v>769</v>
      </c>
      <c r="G16" s="54" t="b">
        <v>1</v>
      </c>
      <c r="H16" s="35" t="b">
        <v>1</v>
      </c>
      <c r="I16" s="28" t="s">
        <v>771</v>
      </c>
      <c r="J16" s="28"/>
      <c r="K16" s="31" t="s">
        <v>241</v>
      </c>
      <c r="L16" s="34" t="str">
        <f>IFERROR(HYPERLINK("#Main!A"&amp;MATCH(A16,Main!A:A,0),"Open"),HYPERLINK("#Main!A1","Open"))</f>
        <v>Open</v>
      </c>
      <c r="M16" s="34"/>
    </row>
    <row r="17" spans="1:13" ht="30" customHeight="1" x14ac:dyDescent="0.25">
      <c r="A17" s="30" t="s">
        <v>485</v>
      </c>
      <c r="B17" s="35">
        <v>200</v>
      </c>
      <c r="C17" s="37" t="s">
        <v>768</v>
      </c>
      <c r="D17" s="35" t="s">
        <v>477</v>
      </c>
      <c r="E17" s="43" t="s">
        <v>485</v>
      </c>
      <c r="F17" s="37" t="s">
        <v>769</v>
      </c>
      <c r="G17" s="54" t="b">
        <v>1</v>
      </c>
      <c r="H17" s="35" t="b">
        <v>1</v>
      </c>
      <c r="I17" s="37" t="s">
        <v>771</v>
      </c>
      <c r="J17" s="37"/>
      <c r="K17" s="43" t="s">
        <v>485</v>
      </c>
      <c r="L17" t="str">
        <f>IFERROR(HYPERLINK("#Main!A"&amp;MATCH(A17,Main!A:A,0),"Open"),HYPERLINK("#Main!A1","Open"))</f>
        <v>Open</v>
      </c>
    </row>
    <row r="18" spans="1:13" ht="30" customHeight="1" x14ac:dyDescent="0.25">
      <c r="A18" s="33" t="s">
        <v>491</v>
      </c>
      <c r="B18" s="35">
        <v>200</v>
      </c>
      <c r="C18" s="28" t="s">
        <v>768</v>
      </c>
      <c r="D18" s="35" t="s">
        <v>477</v>
      </c>
      <c r="E18" s="31" t="s">
        <v>491</v>
      </c>
      <c r="F18" s="28" t="s">
        <v>769</v>
      </c>
      <c r="G18" s="54" t="b">
        <v>1</v>
      </c>
      <c r="H18" s="35" t="b">
        <v>1</v>
      </c>
      <c r="I18" s="28" t="s">
        <v>771</v>
      </c>
      <c r="J18" s="28"/>
      <c r="K18" s="31" t="s">
        <v>491</v>
      </c>
      <c r="L18" s="34" t="str">
        <f>IFERROR(HYPERLINK("#Main!A"&amp;MATCH(A18,Main!A:A,0),"Open"),HYPERLINK("#Main!A1","Open"))</f>
        <v>Open</v>
      </c>
      <c r="M18" s="34"/>
    </row>
    <row r="19" spans="1:13" ht="30" customHeight="1" x14ac:dyDescent="0.25">
      <c r="A19" s="30" t="s">
        <v>488</v>
      </c>
      <c r="B19" s="35">
        <v>200</v>
      </c>
      <c r="C19" s="37" t="s">
        <v>768</v>
      </c>
      <c r="D19" s="35" t="s">
        <v>477</v>
      </c>
      <c r="E19" s="43" t="s">
        <v>488</v>
      </c>
      <c r="F19" s="37" t="s">
        <v>769</v>
      </c>
      <c r="G19" s="54" t="b">
        <v>1</v>
      </c>
      <c r="H19" s="35" t="b">
        <v>1</v>
      </c>
      <c r="I19" s="37" t="s">
        <v>771</v>
      </c>
      <c r="J19" s="37"/>
      <c r="K19" s="43" t="s">
        <v>488</v>
      </c>
      <c r="L19" t="str">
        <f>IFERROR(HYPERLINK("#Main!A"&amp;MATCH(A19,Main!A:A,0),"Open"),HYPERLINK("#Main!A1","Open"))</f>
        <v>Open</v>
      </c>
    </row>
    <row r="20" spans="1:13" ht="30" customHeight="1" x14ac:dyDescent="0.25">
      <c r="A20" s="33" t="s">
        <v>494</v>
      </c>
      <c r="B20" s="35">
        <v>200</v>
      </c>
      <c r="C20" s="28" t="s">
        <v>768</v>
      </c>
      <c r="D20" s="35" t="s">
        <v>477</v>
      </c>
      <c r="E20" s="31" t="s">
        <v>494</v>
      </c>
      <c r="F20" s="28" t="s">
        <v>769</v>
      </c>
      <c r="G20" s="54" t="b">
        <v>1</v>
      </c>
      <c r="H20" s="35" t="b">
        <v>1</v>
      </c>
      <c r="I20" s="28" t="s">
        <v>771</v>
      </c>
      <c r="J20" s="28"/>
      <c r="K20" s="31" t="s">
        <v>494</v>
      </c>
      <c r="L20" s="34" t="str">
        <f>IFERROR(HYPERLINK("#Main!A"&amp;MATCH(A20,Main!A:A,0),"Open"),HYPERLINK("#Main!A1","Open"))</f>
        <v>Open</v>
      </c>
      <c r="M20" s="34"/>
    </row>
    <row r="21" spans="1:13" ht="30" customHeight="1" x14ac:dyDescent="0.25">
      <c r="A21" s="30" t="s">
        <v>500</v>
      </c>
      <c r="B21" s="35">
        <v>200</v>
      </c>
      <c r="C21" s="37" t="s">
        <v>768</v>
      </c>
      <c r="D21" s="35" t="s">
        <v>477</v>
      </c>
      <c r="E21" s="43" t="s">
        <v>500</v>
      </c>
      <c r="F21" s="37" t="s">
        <v>769</v>
      </c>
      <c r="G21" s="54" t="b">
        <v>1</v>
      </c>
      <c r="H21" s="35" t="b">
        <v>1</v>
      </c>
      <c r="I21" s="37" t="s">
        <v>771</v>
      </c>
      <c r="J21" s="37"/>
      <c r="K21" s="43" t="s">
        <v>500</v>
      </c>
      <c r="L21" t="str">
        <f>IFERROR(HYPERLINK("#Main!A"&amp;MATCH(A21,Main!A:A,0),"Open"),HYPERLINK("#Main!A1","Open"))</f>
        <v>Open</v>
      </c>
    </row>
    <row r="22" spans="1:13" ht="30" customHeight="1" x14ac:dyDescent="0.25">
      <c r="A22" s="33" t="s">
        <v>497</v>
      </c>
      <c r="B22" s="35">
        <v>200</v>
      </c>
      <c r="C22" s="28" t="s">
        <v>768</v>
      </c>
      <c r="D22" s="35" t="s">
        <v>477</v>
      </c>
      <c r="E22" s="31" t="s">
        <v>497</v>
      </c>
      <c r="F22" s="28" t="s">
        <v>769</v>
      </c>
      <c r="G22" s="54" t="b">
        <v>1</v>
      </c>
      <c r="H22" s="35" t="b">
        <v>1</v>
      </c>
      <c r="I22" s="28" t="s">
        <v>771</v>
      </c>
      <c r="J22" s="28"/>
      <c r="K22" s="31" t="s">
        <v>497</v>
      </c>
      <c r="L22" s="34" t="str">
        <f>IFERROR(HYPERLINK("#Main!A"&amp;MATCH(A22,Main!A:A,0),"Open"),HYPERLINK("#Main!A1","Open"))</f>
        <v>Open</v>
      </c>
      <c r="M22" s="34"/>
    </row>
    <row r="23" spans="1:13" ht="30" customHeight="1" x14ac:dyDescent="0.25">
      <c r="A23" s="30" t="s">
        <v>506</v>
      </c>
      <c r="B23" s="35">
        <v>200</v>
      </c>
      <c r="C23" s="37" t="s">
        <v>768</v>
      </c>
      <c r="D23" s="35" t="s">
        <v>477</v>
      </c>
      <c r="E23" s="43" t="s">
        <v>506</v>
      </c>
      <c r="F23" s="37" t="s">
        <v>769</v>
      </c>
      <c r="G23" s="54" t="b">
        <v>1</v>
      </c>
      <c r="H23" s="35" t="b">
        <v>1</v>
      </c>
      <c r="I23" s="37" t="s">
        <v>771</v>
      </c>
      <c r="J23" s="37"/>
      <c r="K23" s="43" t="s">
        <v>506</v>
      </c>
      <c r="L23" t="str">
        <f>IFERROR(HYPERLINK("#Main!A"&amp;MATCH(A23,Main!A:A,0),"Open"),HYPERLINK("#Main!A1","Open"))</f>
        <v>Open</v>
      </c>
    </row>
    <row r="24" spans="1:13" ht="30" customHeight="1" x14ac:dyDescent="0.25">
      <c r="A24" s="33" t="s">
        <v>509</v>
      </c>
      <c r="B24" s="35">
        <v>200</v>
      </c>
      <c r="C24" s="28" t="s">
        <v>768</v>
      </c>
      <c r="D24" s="35" t="s">
        <v>477</v>
      </c>
      <c r="E24" s="31" t="s">
        <v>509</v>
      </c>
      <c r="F24" s="28" t="s">
        <v>769</v>
      </c>
      <c r="G24" s="54" t="b">
        <v>1</v>
      </c>
      <c r="H24" s="35" t="b">
        <v>1</v>
      </c>
      <c r="I24" s="28" t="s">
        <v>771</v>
      </c>
      <c r="J24" s="28"/>
      <c r="K24" s="31" t="s">
        <v>509</v>
      </c>
      <c r="L24" s="34" t="str">
        <f>IFERROR(HYPERLINK("#Main!A"&amp;MATCH(A24,Main!A:A,0),"Open"),HYPERLINK("#Main!A1","Open"))</f>
        <v>Open</v>
      </c>
      <c r="M24" s="34"/>
    </row>
    <row r="25" spans="1:13" ht="30" customHeight="1" x14ac:dyDescent="0.25">
      <c r="A25" s="30" t="s">
        <v>503</v>
      </c>
      <c r="B25" s="35">
        <v>200</v>
      </c>
      <c r="C25" s="37" t="s">
        <v>768</v>
      </c>
      <c r="D25" s="35" t="s">
        <v>477</v>
      </c>
      <c r="E25" s="43" t="s">
        <v>503</v>
      </c>
      <c r="F25" s="37" t="s">
        <v>769</v>
      </c>
      <c r="G25" s="54" t="b">
        <v>1</v>
      </c>
      <c r="H25" s="35" t="b">
        <v>1</v>
      </c>
      <c r="I25" s="37" t="s">
        <v>771</v>
      </c>
      <c r="J25" s="37"/>
      <c r="K25" s="43" t="s">
        <v>503</v>
      </c>
      <c r="L25" t="str">
        <f>IFERROR(HYPERLINK("#Main!A"&amp;MATCH(A25,Main!A:A,0),"Open"),HYPERLINK("#Main!A1","Open"))</f>
        <v>Open</v>
      </c>
    </row>
    <row r="26" spans="1:13" ht="30" customHeight="1" x14ac:dyDescent="0.25">
      <c r="A26" s="33" t="s">
        <v>476</v>
      </c>
      <c r="B26" s="29">
        <v>404</v>
      </c>
      <c r="C26" s="28" t="s">
        <v>751</v>
      </c>
      <c r="D26" s="29" t="s">
        <v>752</v>
      </c>
      <c r="E26" s="31"/>
      <c r="F26" s="28"/>
      <c r="G26" s="31"/>
      <c r="H26" s="28"/>
      <c r="I26" s="28"/>
      <c r="J26" s="28"/>
      <c r="K26" s="31" t="s">
        <v>753</v>
      </c>
      <c r="L26" s="34" t="str">
        <f>IFERROR(HYPERLINK("#Main!A"&amp;MATCH(A26,Main!A:A,0),"Open"),HYPERLINK("#Main!A1","Open"))</f>
        <v>Open</v>
      </c>
      <c r="M26" s="34"/>
    </row>
    <row r="27" spans="1:13" ht="30" customHeight="1" x14ac:dyDescent="0.25">
      <c r="A27" s="30" t="s">
        <v>512</v>
      </c>
      <c r="B27" s="35">
        <v>200</v>
      </c>
      <c r="C27" s="37" t="s">
        <v>768</v>
      </c>
      <c r="D27" s="35" t="s">
        <v>477</v>
      </c>
      <c r="E27" s="43" t="s">
        <v>512</v>
      </c>
      <c r="F27" s="37" t="s">
        <v>769</v>
      </c>
      <c r="G27" s="54" t="b">
        <v>1</v>
      </c>
      <c r="H27" s="35" t="b">
        <v>1</v>
      </c>
      <c r="I27" s="37" t="s">
        <v>771</v>
      </c>
      <c r="J27" s="37"/>
      <c r="K27" s="43" t="s">
        <v>512</v>
      </c>
      <c r="L27" t="str">
        <f>IFERROR(HYPERLINK("#Main!A"&amp;MATCH(A27,Main!A:A,0),"Open"),HYPERLINK("#Main!A1","Open"))</f>
        <v>Open</v>
      </c>
    </row>
    <row r="28" spans="1:13" ht="30" customHeight="1" x14ac:dyDescent="0.25">
      <c r="A28" s="33" t="s">
        <v>515</v>
      </c>
      <c r="B28" s="35">
        <v>200</v>
      </c>
      <c r="C28" s="28" t="s">
        <v>768</v>
      </c>
      <c r="D28" s="35" t="s">
        <v>477</v>
      </c>
      <c r="E28" s="31" t="s">
        <v>515</v>
      </c>
      <c r="F28" s="28" t="s">
        <v>769</v>
      </c>
      <c r="G28" s="54" t="b">
        <v>1</v>
      </c>
      <c r="H28" s="35" t="b">
        <v>1</v>
      </c>
      <c r="I28" s="28" t="s">
        <v>771</v>
      </c>
      <c r="J28" s="28"/>
      <c r="K28" s="31" t="s">
        <v>515</v>
      </c>
      <c r="L28" s="34" t="str">
        <f>IFERROR(HYPERLINK("#Main!A"&amp;MATCH(A28,Main!A:A,0),"Open"),HYPERLINK("#Main!A1","Open"))</f>
        <v>Open</v>
      </c>
      <c r="M28" s="34"/>
    </row>
    <row r="29" spans="1:13" ht="30" customHeight="1" x14ac:dyDescent="0.25">
      <c r="A29" s="30" t="s">
        <v>518</v>
      </c>
      <c r="B29" s="35">
        <v>200</v>
      </c>
      <c r="C29" s="37" t="s">
        <v>768</v>
      </c>
      <c r="D29" s="35" t="s">
        <v>477</v>
      </c>
      <c r="E29" s="43" t="s">
        <v>518</v>
      </c>
      <c r="F29" s="37" t="s">
        <v>769</v>
      </c>
      <c r="G29" s="54" t="b">
        <v>1</v>
      </c>
      <c r="H29" s="35" t="b">
        <v>1</v>
      </c>
      <c r="I29" s="37" t="s">
        <v>771</v>
      </c>
      <c r="J29" s="37"/>
      <c r="K29" s="43" t="s">
        <v>518</v>
      </c>
      <c r="L29" t="str">
        <f>IFERROR(HYPERLINK("#Main!A"&amp;MATCH(A29,Main!A:A,0),"Open"),HYPERLINK("#Main!A1","Open"))</f>
        <v>Open</v>
      </c>
    </row>
    <row r="30" spans="1:13" ht="30" customHeight="1" x14ac:dyDescent="0.25">
      <c r="A30" s="33" t="s">
        <v>521</v>
      </c>
      <c r="B30" s="35">
        <v>200</v>
      </c>
      <c r="C30" s="28" t="s">
        <v>768</v>
      </c>
      <c r="D30" s="35" t="s">
        <v>477</v>
      </c>
      <c r="E30" s="31" t="s">
        <v>521</v>
      </c>
      <c r="F30" s="28" t="s">
        <v>769</v>
      </c>
      <c r="G30" s="54" t="b">
        <v>1</v>
      </c>
      <c r="H30" s="35" t="b">
        <v>1</v>
      </c>
      <c r="I30" s="28" t="s">
        <v>771</v>
      </c>
      <c r="J30" s="28"/>
      <c r="K30" s="31" t="s">
        <v>521</v>
      </c>
      <c r="L30" s="34" t="str">
        <f>IFERROR(HYPERLINK("#Main!A"&amp;MATCH(A30,Main!A:A,0),"Open"),HYPERLINK("#Main!A1","Open"))</f>
        <v>Open</v>
      </c>
      <c r="M30" s="34"/>
    </row>
    <row r="31" spans="1:13" ht="30" customHeight="1" x14ac:dyDescent="0.25">
      <c r="A31" s="30" t="s">
        <v>524</v>
      </c>
      <c r="B31" s="35">
        <v>200</v>
      </c>
      <c r="C31" s="37" t="s">
        <v>768</v>
      </c>
      <c r="D31" s="35" t="s">
        <v>477</v>
      </c>
      <c r="E31" s="43" t="s">
        <v>524</v>
      </c>
      <c r="F31" s="37" t="s">
        <v>769</v>
      </c>
      <c r="G31" s="54" t="b">
        <v>1</v>
      </c>
      <c r="H31" s="35" t="b">
        <v>1</v>
      </c>
      <c r="I31" s="37" t="s">
        <v>771</v>
      </c>
      <c r="J31" s="37"/>
      <c r="K31" s="43" t="s">
        <v>524</v>
      </c>
      <c r="L31" t="str">
        <f>IFERROR(HYPERLINK("#Main!A"&amp;MATCH(A31,Main!A:A,0),"Open"),HYPERLINK("#Main!A1","Open"))</f>
        <v>Open</v>
      </c>
    </row>
    <row r="32" spans="1:13" ht="30" customHeight="1" x14ac:dyDescent="0.25">
      <c r="A32" s="33" t="s">
        <v>527</v>
      </c>
      <c r="B32" s="35">
        <v>200</v>
      </c>
      <c r="C32" s="28" t="s">
        <v>768</v>
      </c>
      <c r="D32" s="35" t="s">
        <v>477</v>
      </c>
      <c r="E32" s="31" t="s">
        <v>518</v>
      </c>
      <c r="F32" s="28" t="s">
        <v>769</v>
      </c>
      <c r="G32" s="54" t="b">
        <v>1</v>
      </c>
      <c r="H32" s="46" t="b">
        <v>0</v>
      </c>
      <c r="I32" s="28" t="s">
        <v>771</v>
      </c>
      <c r="J32" s="28"/>
      <c r="K32" s="31" t="s">
        <v>518</v>
      </c>
      <c r="L32" s="34" t="str">
        <f>IFERROR(HYPERLINK("#Main!A"&amp;MATCH(A32,Main!A:A,0),"Open"),HYPERLINK("#Main!A1","Open"))</f>
        <v>Open</v>
      </c>
      <c r="M32" s="34"/>
    </row>
    <row r="33" spans="1:13" ht="45" customHeight="1" x14ac:dyDescent="0.25">
      <c r="A33" s="30" t="s">
        <v>528</v>
      </c>
      <c r="B33" s="35">
        <v>200</v>
      </c>
      <c r="C33" s="37" t="s">
        <v>768</v>
      </c>
      <c r="D33" s="35" t="s">
        <v>477</v>
      </c>
      <c r="E33" s="43" t="s">
        <v>528</v>
      </c>
      <c r="F33" s="37" t="s">
        <v>769</v>
      </c>
      <c r="G33" s="54" t="b">
        <v>1</v>
      </c>
      <c r="H33" s="35" t="b">
        <v>1</v>
      </c>
      <c r="I33" s="37" t="s">
        <v>771</v>
      </c>
      <c r="J33" s="37"/>
      <c r="K33" s="43" t="s">
        <v>528</v>
      </c>
      <c r="L33" t="str">
        <f>IFERROR(HYPERLINK("#Main!A"&amp;MATCH(A33,Main!A:A,0),"Open"),HYPERLINK("#Main!A1","Open"))</f>
        <v>Open</v>
      </c>
    </row>
    <row r="34" spans="1:13" ht="30" customHeight="1" x14ac:dyDescent="0.25">
      <c r="A34" s="33" t="s">
        <v>531</v>
      </c>
      <c r="B34" s="35">
        <v>200</v>
      </c>
      <c r="C34" s="28" t="s">
        <v>768</v>
      </c>
      <c r="D34" s="35" t="s">
        <v>477</v>
      </c>
      <c r="E34" s="31" t="s">
        <v>531</v>
      </c>
      <c r="F34" s="28" t="s">
        <v>769</v>
      </c>
      <c r="G34" s="54" t="b">
        <v>1</v>
      </c>
      <c r="H34" s="35" t="b">
        <v>1</v>
      </c>
      <c r="I34" s="28" t="s">
        <v>771</v>
      </c>
      <c r="J34" s="28"/>
      <c r="K34" s="31" t="s">
        <v>531</v>
      </c>
      <c r="L34" s="34" t="str">
        <f>IFERROR(HYPERLINK("#Main!A"&amp;MATCH(A34,Main!A:A,0),"Open"),HYPERLINK("#Main!A1","Open"))</f>
        <v>Open</v>
      </c>
      <c r="M34" s="34"/>
    </row>
    <row r="35" spans="1:13" ht="30" customHeight="1" x14ac:dyDescent="0.25">
      <c r="A35" s="30" t="s">
        <v>534</v>
      </c>
      <c r="B35" s="35">
        <v>200</v>
      </c>
      <c r="C35" s="37" t="s">
        <v>768</v>
      </c>
      <c r="D35" s="35" t="s">
        <v>477</v>
      </c>
      <c r="E35" s="43" t="s">
        <v>534</v>
      </c>
      <c r="F35" s="37" t="s">
        <v>769</v>
      </c>
      <c r="G35" s="54" t="b">
        <v>1</v>
      </c>
      <c r="H35" s="35" t="b">
        <v>1</v>
      </c>
      <c r="I35" s="37" t="s">
        <v>771</v>
      </c>
      <c r="J35" s="37"/>
      <c r="K35" s="43" t="s">
        <v>534</v>
      </c>
      <c r="L35" t="str">
        <f>IFERROR(HYPERLINK("#Main!A"&amp;MATCH(A35,Main!A:A,0),"Open"),HYPERLINK("#Main!A1","Open"))</f>
        <v>Open</v>
      </c>
    </row>
    <row r="36" spans="1:13" ht="30" customHeight="1" x14ac:dyDescent="0.25">
      <c r="A36" s="33" t="s">
        <v>537</v>
      </c>
      <c r="B36" s="35">
        <v>200</v>
      </c>
      <c r="C36" s="28" t="s">
        <v>768</v>
      </c>
      <c r="D36" s="35" t="s">
        <v>477</v>
      </c>
      <c r="E36" s="31" t="s">
        <v>537</v>
      </c>
      <c r="F36" s="28" t="s">
        <v>769</v>
      </c>
      <c r="G36" s="54" t="b">
        <v>1</v>
      </c>
      <c r="H36" s="35" t="b">
        <v>1</v>
      </c>
      <c r="I36" s="28" t="s">
        <v>771</v>
      </c>
      <c r="J36" s="28"/>
      <c r="K36" s="31" t="s">
        <v>537</v>
      </c>
      <c r="L36" s="34" t="str">
        <f>IFERROR(HYPERLINK("#Main!A"&amp;MATCH(A36,Main!A:A,0),"Open"),HYPERLINK("#Main!A1","Open"))</f>
        <v>Open</v>
      </c>
      <c r="M36" s="34"/>
    </row>
    <row r="37" spans="1:13" ht="45" customHeight="1" x14ac:dyDescent="0.25">
      <c r="A37" s="30" t="s">
        <v>540</v>
      </c>
      <c r="B37" s="35">
        <v>200</v>
      </c>
      <c r="C37" s="37" t="s">
        <v>768</v>
      </c>
      <c r="D37" s="35" t="s">
        <v>477</v>
      </c>
      <c r="E37" s="43" t="s">
        <v>540</v>
      </c>
      <c r="F37" s="37" t="s">
        <v>769</v>
      </c>
      <c r="G37" s="54" t="b">
        <v>1</v>
      </c>
      <c r="H37" s="35" t="b">
        <v>1</v>
      </c>
      <c r="I37" s="37" t="s">
        <v>771</v>
      </c>
      <c r="J37" s="37"/>
      <c r="K37" s="43" t="s">
        <v>540</v>
      </c>
      <c r="L37" t="str">
        <f>IFERROR(HYPERLINK("#Main!A"&amp;MATCH(A37,Main!A:A,0),"Open"),HYPERLINK("#Main!A1","Open"))</f>
        <v>Open</v>
      </c>
    </row>
    <row r="38" spans="1:13" ht="30" customHeight="1" x14ac:dyDescent="0.25">
      <c r="A38" s="33" t="s">
        <v>543</v>
      </c>
      <c r="B38" s="35">
        <v>200</v>
      </c>
      <c r="C38" s="28" t="s">
        <v>768</v>
      </c>
      <c r="D38" s="35" t="s">
        <v>477</v>
      </c>
      <c r="E38" s="31" t="s">
        <v>543</v>
      </c>
      <c r="F38" s="28" t="s">
        <v>769</v>
      </c>
      <c r="G38" s="54" t="b">
        <v>1</v>
      </c>
      <c r="H38" s="35" t="b">
        <v>1</v>
      </c>
      <c r="I38" s="28" t="s">
        <v>771</v>
      </c>
      <c r="J38" s="28"/>
      <c r="K38" s="31" t="s">
        <v>543</v>
      </c>
      <c r="L38" s="34" t="str">
        <f>IFERROR(HYPERLINK("#Main!A"&amp;MATCH(A38,Main!A:A,0),"Open"),HYPERLINK("#Main!A1","Open"))</f>
        <v>Open</v>
      </c>
      <c r="M38" s="34"/>
    </row>
    <row r="39" spans="1:13" ht="30" customHeight="1" x14ac:dyDescent="0.25">
      <c r="A39" s="30" t="s">
        <v>483</v>
      </c>
      <c r="B39" s="29">
        <v>404</v>
      </c>
      <c r="C39" s="37" t="s">
        <v>751</v>
      </c>
      <c r="D39" s="29" t="s">
        <v>752</v>
      </c>
      <c r="E39" s="43"/>
      <c r="F39" s="37"/>
      <c r="G39" s="43"/>
      <c r="H39" s="37"/>
      <c r="I39" s="37"/>
      <c r="J39" s="37"/>
      <c r="K39" s="43" t="s">
        <v>764</v>
      </c>
      <c r="L39" t="str">
        <f>IFERROR(HYPERLINK("#Main!A"&amp;MATCH(A39,Main!A:A,0),"Open"),HYPERLINK("#Main!A1","Open"))</f>
        <v>Open</v>
      </c>
    </row>
    <row r="40" spans="1:13" ht="30" customHeight="1" x14ac:dyDescent="0.25">
      <c r="A40" s="33" t="s">
        <v>546</v>
      </c>
      <c r="B40" s="35">
        <v>200</v>
      </c>
      <c r="C40" s="28" t="s">
        <v>768</v>
      </c>
      <c r="D40" s="35" t="s">
        <v>477</v>
      </c>
      <c r="E40" s="31" t="s">
        <v>546</v>
      </c>
      <c r="F40" s="28" t="s">
        <v>769</v>
      </c>
      <c r="G40" s="54" t="b">
        <v>1</v>
      </c>
      <c r="H40" s="35" t="b">
        <v>1</v>
      </c>
      <c r="I40" s="28" t="s">
        <v>771</v>
      </c>
      <c r="J40" s="28"/>
      <c r="K40" s="31" t="s">
        <v>546</v>
      </c>
      <c r="L40" s="34" t="str">
        <f>IFERROR(HYPERLINK("#Main!A"&amp;MATCH(A40,Main!A:A,0),"Open"),HYPERLINK("#Main!A1","Open"))</f>
        <v>Open</v>
      </c>
      <c r="M40" s="34"/>
    </row>
    <row r="41" spans="1:13" ht="30" customHeight="1" x14ac:dyDescent="0.25">
      <c r="A41" s="30" t="s">
        <v>549</v>
      </c>
      <c r="B41" s="35">
        <v>200</v>
      </c>
      <c r="C41" s="37" t="s">
        <v>768</v>
      </c>
      <c r="D41" s="35" t="s">
        <v>477</v>
      </c>
      <c r="E41" s="43" t="s">
        <v>549</v>
      </c>
      <c r="F41" s="37" t="s">
        <v>769</v>
      </c>
      <c r="G41" s="54" t="b">
        <v>1</v>
      </c>
      <c r="H41" s="35" t="b">
        <v>1</v>
      </c>
      <c r="I41" s="37" t="s">
        <v>771</v>
      </c>
      <c r="J41" s="37"/>
      <c r="K41" s="43" t="s">
        <v>549</v>
      </c>
      <c r="L41" t="str">
        <f>IFERROR(HYPERLINK("#Main!A"&amp;MATCH(A41,Main!A:A,0),"Open"),HYPERLINK("#Main!A1","Open"))</f>
        <v>Open</v>
      </c>
    </row>
    <row r="42" spans="1:13" ht="30" customHeight="1" x14ac:dyDescent="0.25">
      <c r="A42" s="33" t="s">
        <v>555</v>
      </c>
      <c r="B42" s="35">
        <v>200</v>
      </c>
      <c r="C42" s="28" t="s">
        <v>768</v>
      </c>
      <c r="D42" s="35" t="s">
        <v>477</v>
      </c>
      <c r="E42" s="31" t="s">
        <v>555</v>
      </c>
      <c r="F42" s="28" t="s">
        <v>769</v>
      </c>
      <c r="G42" s="54" t="b">
        <v>1</v>
      </c>
      <c r="H42" s="35" t="b">
        <v>1</v>
      </c>
      <c r="I42" s="28" t="s">
        <v>771</v>
      </c>
      <c r="J42" s="28"/>
      <c r="K42" s="31" t="s">
        <v>555</v>
      </c>
      <c r="L42" s="34" t="str">
        <f>IFERROR(HYPERLINK("#Main!A"&amp;MATCH(A42,Main!A:A,0),"Open"),HYPERLINK("#Main!A1","Open"))</f>
        <v>Open</v>
      </c>
      <c r="M42" s="34"/>
    </row>
    <row r="43" spans="1:13" ht="30" customHeight="1" x14ac:dyDescent="0.25">
      <c r="A43" s="30" t="s">
        <v>557</v>
      </c>
      <c r="B43" s="35">
        <v>200</v>
      </c>
      <c r="C43" s="37" t="s">
        <v>768</v>
      </c>
      <c r="D43" s="35" t="s">
        <v>477</v>
      </c>
      <c r="E43" s="43" t="s">
        <v>557</v>
      </c>
      <c r="F43" s="37" t="s">
        <v>769</v>
      </c>
      <c r="G43" s="54" t="b">
        <v>1</v>
      </c>
      <c r="H43" s="35" t="b">
        <v>1</v>
      </c>
      <c r="I43" s="37" t="s">
        <v>771</v>
      </c>
      <c r="J43" s="37"/>
      <c r="K43" s="43" t="s">
        <v>557</v>
      </c>
      <c r="L43" t="str">
        <f>IFERROR(HYPERLINK("#Main!A"&amp;MATCH(A43,Main!A:A,0),"Open"),HYPERLINK("#Main!A1","Open"))</f>
        <v>Open</v>
      </c>
    </row>
    <row r="44" spans="1:13" ht="30" customHeight="1" x14ac:dyDescent="0.25">
      <c r="A44" s="33" t="s">
        <v>552</v>
      </c>
      <c r="B44" s="35">
        <v>200</v>
      </c>
      <c r="C44" s="28" t="s">
        <v>768</v>
      </c>
      <c r="D44" s="35" t="s">
        <v>477</v>
      </c>
      <c r="E44" s="31" t="s">
        <v>552</v>
      </c>
      <c r="F44" s="28" t="s">
        <v>769</v>
      </c>
      <c r="G44" s="54" t="b">
        <v>1</v>
      </c>
      <c r="H44" s="35" t="b">
        <v>1</v>
      </c>
      <c r="I44" s="28" t="s">
        <v>771</v>
      </c>
      <c r="J44" s="28"/>
      <c r="K44" s="31" t="s">
        <v>552</v>
      </c>
      <c r="L44" s="34" t="str">
        <f>IFERROR(HYPERLINK("#Main!A"&amp;MATCH(A44,Main!A:A,0),"Open"),HYPERLINK("#Main!A1","Open"))</f>
        <v>Open</v>
      </c>
      <c r="M44" s="34"/>
    </row>
    <row r="45" spans="1:13" ht="30" customHeight="1" x14ac:dyDescent="0.25">
      <c r="A45" s="30" t="s">
        <v>560</v>
      </c>
      <c r="B45" s="35">
        <v>200</v>
      </c>
      <c r="C45" s="37" t="s">
        <v>768</v>
      </c>
      <c r="D45" s="35" t="s">
        <v>477</v>
      </c>
      <c r="E45" s="43" t="s">
        <v>560</v>
      </c>
      <c r="F45" s="37" t="s">
        <v>769</v>
      </c>
      <c r="G45" s="54" t="b">
        <v>1</v>
      </c>
      <c r="H45" s="35" t="b">
        <v>1</v>
      </c>
      <c r="I45" s="37" t="s">
        <v>771</v>
      </c>
      <c r="J45" s="37"/>
      <c r="K45" s="43" t="s">
        <v>560</v>
      </c>
      <c r="L45" t="str">
        <f>IFERROR(HYPERLINK("#Main!A"&amp;MATCH(A45,Main!A:A,0),"Open"),HYPERLINK("#Main!A1","Open"))</f>
        <v>Open</v>
      </c>
    </row>
    <row r="46" spans="1:13" ht="30" customHeight="1" x14ac:dyDescent="0.25">
      <c r="A46" s="33" t="s">
        <v>563</v>
      </c>
      <c r="B46" s="35">
        <v>200</v>
      </c>
      <c r="C46" s="28" t="s">
        <v>768</v>
      </c>
      <c r="D46" s="35" t="s">
        <v>477</v>
      </c>
      <c r="E46" s="31" t="s">
        <v>563</v>
      </c>
      <c r="F46" s="28" t="s">
        <v>769</v>
      </c>
      <c r="G46" s="54" t="b">
        <v>1</v>
      </c>
      <c r="H46" s="35" t="b">
        <v>1</v>
      </c>
      <c r="I46" s="28" t="s">
        <v>771</v>
      </c>
      <c r="J46" s="28"/>
      <c r="K46" s="31" t="s">
        <v>563</v>
      </c>
      <c r="L46" s="34" t="str">
        <f>IFERROR(HYPERLINK("#Main!A"&amp;MATCH(A46,Main!A:A,0),"Open"),HYPERLINK("#Main!A1","Open"))</f>
        <v>Open</v>
      </c>
      <c r="M46" s="34"/>
    </row>
    <row r="47" spans="1:13" ht="30" customHeight="1" x14ac:dyDescent="0.25">
      <c r="A47" s="30" t="s">
        <v>566</v>
      </c>
      <c r="B47" s="35">
        <v>200</v>
      </c>
      <c r="C47" s="37" t="s">
        <v>768</v>
      </c>
      <c r="D47" s="35" t="s">
        <v>477</v>
      </c>
      <c r="E47" s="43" t="s">
        <v>566</v>
      </c>
      <c r="F47" s="37" t="s">
        <v>769</v>
      </c>
      <c r="G47" s="54" t="b">
        <v>1</v>
      </c>
      <c r="H47" s="35" t="b">
        <v>1</v>
      </c>
      <c r="I47" s="37" t="s">
        <v>771</v>
      </c>
      <c r="J47" s="37"/>
      <c r="K47" s="43" t="s">
        <v>566</v>
      </c>
      <c r="L47" t="str">
        <f>IFERROR(HYPERLINK("#Main!A"&amp;MATCH(A47,Main!A:A,0),"Open"),HYPERLINK("#Main!A1","Open"))</f>
        <v>Open</v>
      </c>
    </row>
    <row r="48" spans="1:13" ht="30" customHeight="1" x14ac:dyDescent="0.25">
      <c r="A48" s="33" t="s">
        <v>570</v>
      </c>
      <c r="B48" s="35">
        <v>200</v>
      </c>
      <c r="C48" s="28" t="s">
        <v>768</v>
      </c>
      <c r="D48" s="35" t="s">
        <v>477</v>
      </c>
      <c r="E48" s="31" t="s">
        <v>570</v>
      </c>
      <c r="F48" s="28" t="s">
        <v>769</v>
      </c>
      <c r="G48" s="54" t="b">
        <v>1</v>
      </c>
      <c r="H48" s="35" t="b">
        <v>1</v>
      </c>
      <c r="I48" s="28" t="s">
        <v>771</v>
      </c>
      <c r="J48" s="28"/>
      <c r="K48" s="31" t="s">
        <v>570</v>
      </c>
      <c r="L48" s="34" t="str">
        <f>IFERROR(HYPERLINK("#Main!A"&amp;MATCH(A48,Main!A:A,0),"Open"),HYPERLINK("#Main!A1","Open"))</f>
        <v>Open</v>
      </c>
      <c r="M48" s="34"/>
    </row>
    <row r="49" spans="1:13" ht="30" customHeight="1" x14ac:dyDescent="0.25">
      <c r="A49" s="30" t="s">
        <v>577</v>
      </c>
      <c r="B49" s="35">
        <v>200</v>
      </c>
      <c r="C49" s="37" t="s">
        <v>768</v>
      </c>
      <c r="D49" s="35" t="s">
        <v>477</v>
      </c>
      <c r="E49" s="43" t="s">
        <v>577</v>
      </c>
      <c r="F49" s="37" t="s">
        <v>769</v>
      </c>
      <c r="G49" s="54" t="b">
        <v>1</v>
      </c>
      <c r="H49" s="35" t="b">
        <v>1</v>
      </c>
      <c r="I49" s="37" t="s">
        <v>771</v>
      </c>
      <c r="J49" s="37"/>
      <c r="K49" s="43" t="s">
        <v>577</v>
      </c>
      <c r="L49" t="str">
        <f>IFERROR(HYPERLINK("#Main!A"&amp;MATCH(A49,Main!A:A,0),"Open"),HYPERLINK("#Main!A1","Open"))</f>
        <v>Open</v>
      </c>
    </row>
    <row r="50" spans="1:13" ht="30" customHeight="1" x14ac:dyDescent="0.25">
      <c r="A50" s="33" t="s">
        <v>579</v>
      </c>
      <c r="B50" s="35">
        <v>200</v>
      </c>
      <c r="C50" s="28" t="s">
        <v>768</v>
      </c>
      <c r="D50" s="35" t="s">
        <v>477</v>
      </c>
      <c r="E50" s="31" t="s">
        <v>579</v>
      </c>
      <c r="F50" s="28" t="s">
        <v>769</v>
      </c>
      <c r="G50" s="54" t="b">
        <v>1</v>
      </c>
      <c r="H50" s="35" t="b">
        <v>1</v>
      </c>
      <c r="I50" s="28" t="s">
        <v>771</v>
      </c>
      <c r="J50" s="28"/>
      <c r="K50" s="31" t="s">
        <v>579</v>
      </c>
      <c r="L50" s="34" t="str">
        <f>IFERROR(HYPERLINK("#Main!A"&amp;MATCH(A50,Main!A:A,0),"Open"),HYPERLINK("#Main!A1","Open"))</f>
        <v>Open</v>
      </c>
      <c r="M50" s="34"/>
    </row>
    <row r="51" spans="1:13" ht="30" customHeight="1" x14ac:dyDescent="0.25">
      <c r="A51" s="30" t="s">
        <v>573</v>
      </c>
      <c r="B51" s="35">
        <v>200</v>
      </c>
      <c r="C51" s="37" t="s">
        <v>768</v>
      </c>
      <c r="D51" s="35" t="s">
        <v>477</v>
      </c>
      <c r="E51" s="43" t="s">
        <v>573</v>
      </c>
      <c r="F51" s="37" t="s">
        <v>769</v>
      </c>
      <c r="G51" s="54" t="b">
        <v>1</v>
      </c>
      <c r="H51" s="35" t="b">
        <v>1</v>
      </c>
      <c r="I51" s="37" t="s">
        <v>771</v>
      </c>
      <c r="J51" s="37"/>
      <c r="K51" s="43" t="s">
        <v>573</v>
      </c>
      <c r="L51" t="str">
        <f>IFERROR(HYPERLINK("#Main!A"&amp;MATCH(A51,Main!A:A,0),"Open"),HYPERLINK("#Main!A1","Open"))</f>
        <v>Open</v>
      </c>
    </row>
    <row r="52" spans="1:13" ht="30" customHeight="1" x14ac:dyDescent="0.25">
      <c r="A52" s="33" t="s">
        <v>582</v>
      </c>
      <c r="B52" s="35">
        <v>200</v>
      </c>
      <c r="C52" s="28" t="s">
        <v>768</v>
      </c>
      <c r="D52" s="35" t="s">
        <v>477</v>
      </c>
      <c r="E52" s="31" t="s">
        <v>582</v>
      </c>
      <c r="F52" s="28" t="s">
        <v>769</v>
      </c>
      <c r="G52" s="54" t="b">
        <v>1</v>
      </c>
      <c r="H52" s="35" t="b">
        <v>1</v>
      </c>
      <c r="I52" s="28" t="s">
        <v>771</v>
      </c>
      <c r="J52" s="28"/>
      <c r="K52" s="31" t="s">
        <v>582</v>
      </c>
      <c r="L52" s="34" t="str">
        <f>IFERROR(HYPERLINK("#Main!A"&amp;MATCH(A52,Main!A:A,0),"Open"),HYPERLINK("#Main!A1","Open"))</f>
        <v>Open</v>
      </c>
      <c r="M52" s="34"/>
    </row>
    <row r="53" spans="1:13" ht="30" customHeight="1" x14ac:dyDescent="0.25">
      <c r="A53" s="30" t="s">
        <v>588</v>
      </c>
      <c r="B53" s="35">
        <v>200</v>
      </c>
      <c r="C53" s="37" t="s">
        <v>768</v>
      </c>
      <c r="D53" s="35" t="s">
        <v>477</v>
      </c>
      <c r="E53" s="43" t="s">
        <v>588</v>
      </c>
      <c r="F53" s="37" t="s">
        <v>769</v>
      </c>
      <c r="G53" s="54" t="b">
        <v>1</v>
      </c>
      <c r="H53" s="35" t="b">
        <v>1</v>
      </c>
      <c r="I53" s="37" t="s">
        <v>771</v>
      </c>
      <c r="J53" s="37"/>
      <c r="K53" s="43" t="s">
        <v>588</v>
      </c>
      <c r="L53" t="str">
        <f>IFERROR(HYPERLINK("#Main!A"&amp;MATCH(A53,Main!A:A,0),"Open"),HYPERLINK("#Main!A1","Open"))</f>
        <v>Open</v>
      </c>
    </row>
    <row r="54" spans="1:13" ht="30" customHeight="1" x14ac:dyDescent="0.25">
      <c r="A54" s="33" t="s">
        <v>591</v>
      </c>
      <c r="B54" s="35">
        <v>200</v>
      </c>
      <c r="C54" s="28" t="s">
        <v>768</v>
      </c>
      <c r="D54" s="35" t="s">
        <v>477</v>
      </c>
      <c r="E54" s="31" t="s">
        <v>591</v>
      </c>
      <c r="F54" s="28" t="s">
        <v>769</v>
      </c>
      <c r="G54" s="54" t="b">
        <v>1</v>
      </c>
      <c r="H54" s="35" t="b">
        <v>1</v>
      </c>
      <c r="I54" s="28" t="s">
        <v>771</v>
      </c>
      <c r="J54" s="28"/>
      <c r="K54" s="31" t="s">
        <v>591</v>
      </c>
      <c r="L54" s="34" t="str">
        <f>IFERROR(HYPERLINK("#Main!A"&amp;MATCH(A54,Main!A:A,0),"Open"),HYPERLINK("#Main!A1","Open"))</f>
        <v>Open</v>
      </c>
      <c r="M54" s="34"/>
    </row>
    <row r="55" spans="1:13" ht="30" customHeight="1" x14ac:dyDescent="0.25">
      <c r="A55" s="30" t="s">
        <v>594</v>
      </c>
      <c r="B55" s="35">
        <v>200</v>
      </c>
      <c r="C55" s="37" t="s">
        <v>768</v>
      </c>
      <c r="D55" s="35" t="s">
        <v>477</v>
      </c>
      <c r="E55" s="43" t="s">
        <v>594</v>
      </c>
      <c r="F55" s="37" t="s">
        <v>769</v>
      </c>
      <c r="G55" s="54" t="b">
        <v>1</v>
      </c>
      <c r="H55" s="35" t="b">
        <v>1</v>
      </c>
      <c r="I55" s="37" t="s">
        <v>771</v>
      </c>
      <c r="J55" s="37"/>
      <c r="K55" s="43" t="s">
        <v>594</v>
      </c>
      <c r="L55" t="str">
        <f>IFERROR(HYPERLINK("#Main!A"&amp;MATCH(A55,Main!A:A,0),"Open"),HYPERLINK("#Main!A1","Open"))</f>
        <v>Open</v>
      </c>
    </row>
    <row r="56" spans="1:13" ht="30" customHeight="1" x14ac:dyDescent="0.25">
      <c r="A56" s="33" t="s">
        <v>585</v>
      </c>
      <c r="B56" s="35">
        <v>200</v>
      </c>
      <c r="C56" s="28" t="s">
        <v>768</v>
      </c>
      <c r="D56" s="35" t="s">
        <v>477</v>
      </c>
      <c r="E56" s="31" t="s">
        <v>585</v>
      </c>
      <c r="F56" s="28" t="s">
        <v>769</v>
      </c>
      <c r="G56" s="54" t="b">
        <v>1</v>
      </c>
      <c r="H56" s="35" t="b">
        <v>1</v>
      </c>
      <c r="I56" s="28" t="s">
        <v>771</v>
      </c>
      <c r="J56" s="28"/>
      <c r="K56" s="31" t="s">
        <v>585</v>
      </c>
      <c r="L56" s="34" t="str">
        <f>IFERROR(HYPERLINK("#Main!A"&amp;MATCH(A56,Main!A:A,0),"Open"),HYPERLINK("#Main!A1","Open"))</f>
        <v>Open</v>
      </c>
      <c r="M56" s="34"/>
    </row>
    <row r="57" spans="1:13" ht="30" customHeight="1" x14ac:dyDescent="0.25">
      <c r="A57" s="30" t="s">
        <v>597</v>
      </c>
      <c r="B57" s="35">
        <v>200</v>
      </c>
      <c r="C57" s="37" t="s">
        <v>768</v>
      </c>
      <c r="D57" s="29" t="s">
        <v>598</v>
      </c>
      <c r="E57" s="43" t="s">
        <v>836</v>
      </c>
      <c r="F57" s="37" t="s">
        <v>769</v>
      </c>
      <c r="G57" s="54" t="b">
        <v>1</v>
      </c>
      <c r="H57" s="46" t="b">
        <v>0</v>
      </c>
      <c r="I57" s="37" t="s">
        <v>840</v>
      </c>
      <c r="J57" s="37"/>
      <c r="K57" s="43" t="s">
        <v>836</v>
      </c>
      <c r="L57" t="str">
        <f>IFERROR(HYPERLINK("#Main!A"&amp;MATCH(A57,Main!A:A,0),"Open"),HYPERLINK("#Main!A1","Open"))</f>
        <v>Open</v>
      </c>
    </row>
    <row r="58" spans="1:13" ht="30" customHeight="1" x14ac:dyDescent="0.25">
      <c r="A58" s="33" t="s">
        <v>601</v>
      </c>
      <c r="B58" s="35">
        <v>200</v>
      </c>
      <c r="C58" s="28" t="s">
        <v>768</v>
      </c>
      <c r="D58" s="35" t="s">
        <v>477</v>
      </c>
      <c r="E58" s="31" t="s">
        <v>601</v>
      </c>
      <c r="F58" s="28" t="s">
        <v>769</v>
      </c>
      <c r="G58" s="54" t="b">
        <v>1</v>
      </c>
      <c r="H58" s="35" t="b">
        <v>1</v>
      </c>
      <c r="I58" s="28" t="s">
        <v>771</v>
      </c>
      <c r="J58" s="28"/>
      <c r="K58" s="31" t="s">
        <v>601</v>
      </c>
      <c r="L58" s="34" t="str">
        <f>IFERROR(HYPERLINK("#Main!A"&amp;MATCH(A58,Main!A:A,0),"Open"),HYPERLINK("#Main!A1","Open"))</f>
        <v>Open</v>
      </c>
      <c r="M58" s="34"/>
    </row>
    <row r="59" spans="1:13" ht="30" customHeight="1" x14ac:dyDescent="0.25">
      <c r="A59" s="30" t="s">
        <v>604</v>
      </c>
      <c r="B59" s="35">
        <v>200</v>
      </c>
      <c r="C59" s="37" t="s">
        <v>768</v>
      </c>
      <c r="D59" s="35" t="s">
        <v>477</v>
      </c>
      <c r="E59" s="43" t="s">
        <v>604</v>
      </c>
      <c r="F59" s="37" t="s">
        <v>769</v>
      </c>
      <c r="G59" s="54" t="b">
        <v>1</v>
      </c>
      <c r="H59" s="35" t="b">
        <v>1</v>
      </c>
      <c r="I59" s="37" t="s">
        <v>771</v>
      </c>
      <c r="J59" s="37"/>
      <c r="K59" s="43" t="s">
        <v>604</v>
      </c>
      <c r="L59" t="str">
        <f>IFERROR(HYPERLINK("#Main!A"&amp;MATCH(A59,Main!A:A,0),"Open"),HYPERLINK("#Main!A1","Open"))</f>
        <v>Open</v>
      </c>
    </row>
    <row r="60" spans="1:13" ht="30" customHeight="1" x14ac:dyDescent="0.25">
      <c r="A60" s="33" t="s">
        <v>608</v>
      </c>
      <c r="B60" s="35">
        <v>200</v>
      </c>
      <c r="C60" s="28" t="s">
        <v>768</v>
      </c>
      <c r="D60" s="35" t="s">
        <v>477</v>
      </c>
      <c r="E60" s="31" t="s">
        <v>608</v>
      </c>
      <c r="F60" s="28" t="s">
        <v>769</v>
      </c>
      <c r="G60" s="54" t="b">
        <v>1</v>
      </c>
      <c r="H60" s="35" t="b">
        <v>1</v>
      </c>
      <c r="I60" s="28" t="s">
        <v>771</v>
      </c>
      <c r="J60" s="28"/>
      <c r="K60" s="31" t="s">
        <v>608</v>
      </c>
      <c r="L60" s="34" t="str">
        <f>IFERROR(HYPERLINK("#Main!A"&amp;MATCH(A60,Main!A:A,0),"Open"),HYPERLINK("#Main!A1","Open"))</f>
        <v>Open</v>
      </c>
      <c r="M60" s="34"/>
    </row>
    <row r="61" spans="1:13" ht="30" customHeight="1" x14ac:dyDescent="0.25">
      <c r="A61" s="30" t="s">
        <v>611</v>
      </c>
      <c r="B61" s="35">
        <v>200</v>
      </c>
      <c r="C61" s="37" t="s">
        <v>768</v>
      </c>
      <c r="D61" s="35" t="s">
        <v>477</v>
      </c>
      <c r="E61" s="43" t="s">
        <v>611</v>
      </c>
      <c r="F61" s="37" t="s">
        <v>769</v>
      </c>
      <c r="G61" s="54" t="b">
        <v>1</v>
      </c>
      <c r="H61" s="35" t="b">
        <v>1</v>
      </c>
      <c r="I61" s="37" t="s">
        <v>771</v>
      </c>
      <c r="J61" s="37"/>
      <c r="K61" s="43" t="s">
        <v>611</v>
      </c>
      <c r="L61" t="str">
        <f>IFERROR(HYPERLINK("#Main!A"&amp;MATCH(A61,Main!A:A,0),"Open"),HYPERLINK("#Main!A1","Open"))</f>
        <v>Open</v>
      </c>
    </row>
    <row r="62" spans="1:13" ht="30" customHeight="1" x14ac:dyDescent="0.25">
      <c r="A62" s="33" t="s">
        <v>615</v>
      </c>
      <c r="B62" s="35">
        <v>200</v>
      </c>
      <c r="C62" s="28" t="s">
        <v>768</v>
      </c>
      <c r="D62" s="35" t="s">
        <v>477</v>
      </c>
      <c r="E62" s="31" t="s">
        <v>615</v>
      </c>
      <c r="F62" s="28" t="s">
        <v>769</v>
      </c>
      <c r="G62" s="54" t="b">
        <v>1</v>
      </c>
      <c r="H62" s="35" t="b">
        <v>1</v>
      </c>
      <c r="I62" s="28" t="s">
        <v>771</v>
      </c>
      <c r="J62" s="28"/>
      <c r="K62" s="31" t="s">
        <v>615</v>
      </c>
      <c r="L62" s="34" t="str">
        <f>IFERROR(HYPERLINK("#Main!A"&amp;MATCH(A62,Main!A:A,0),"Open"),HYPERLINK("#Main!A1","Open"))</f>
        <v>Open</v>
      </c>
      <c r="M62" s="34"/>
    </row>
    <row r="63" spans="1:13" ht="30" customHeight="1" x14ac:dyDescent="0.25">
      <c r="A63" s="30" t="s">
        <v>618</v>
      </c>
      <c r="B63" s="35">
        <v>200</v>
      </c>
      <c r="C63" s="37" t="s">
        <v>768</v>
      </c>
      <c r="D63" s="35" t="s">
        <v>477</v>
      </c>
      <c r="E63" s="43" t="s">
        <v>618</v>
      </c>
      <c r="F63" s="37" t="s">
        <v>769</v>
      </c>
      <c r="G63" s="54" t="b">
        <v>1</v>
      </c>
      <c r="H63" s="35" t="b">
        <v>1</v>
      </c>
      <c r="I63" s="37" t="s">
        <v>771</v>
      </c>
      <c r="J63" s="37"/>
      <c r="K63" s="43" t="s">
        <v>618</v>
      </c>
      <c r="L63" t="str">
        <f>IFERROR(HYPERLINK("#Main!A"&amp;MATCH(A63,Main!A:A,0),"Open"),HYPERLINK("#Main!A1","Open"))</f>
        <v>Open</v>
      </c>
    </row>
    <row r="64" spans="1:13" ht="30" customHeight="1" x14ac:dyDescent="0.25">
      <c r="A64" s="33" t="s">
        <v>621</v>
      </c>
      <c r="B64" s="35">
        <v>200</v>
      </c>
      <c r="C64" s="28" t="s">
        <v>768</v>
      </c>
      <c r="D64" s="35" t="s">
        <v>477</v>
      </c>
      <c r="E64" s="31" t="s">
        <v>621</v>
      </c>
      <c r="F64" s="28" t="s">
        <v>769</v>
      </c>
      <c r="G64" s="54" t="b">
        <v>1</v>
      </c>
      <c r="H64" s="35" t="b">
        <v>1</v>
      </c>
      <c r="I64" s="28" t="s">
        <v>771</v>
      </c>
      <c r="J64" s="28"/>
      <c r="K64" s="31" t="s">
        <v>621</v>
      </c>
      <c r="L64" s="34" t="str">
        <f>IFERROR(HYPERLINK("#Main!A"&amp;MATCH(A64,Main!A:A,0),"Open"),HYPERLINK("#Main!A1","Open"))</f>
        <v>Open</v>
      </c>
      <c r="M64" s="34"/>
    </row>
    <row r="65" spans="1:13" ht="30" customHeight="1" x14ac:dyDescent="0.25">
      <c r="A65" s="30" t="s">
        <v>624</v>
      </c>
      <c r="B65" s="35">
        <v>200</v>
      </c>
      <c r="C65" s="37" t="s">
        <v>768</v>
      </c>
      <c r="D65" s="35" t="s">
        <v>477</v>
      </c>
      <c r="E65" s="43" t="s">
        <v>624</v>
      </c>
      <c r="F65" s="37" t="s">
        <v>769</v>
      </c>
      <c r="G65" s="54" t="b">
        <v>1</v>
      </c>
      <c r="H65" s="35" t="b">
        <v>1</v>
      </c>
      <c r="I65" s="37" t="s">
        <v>771</v>
      </c>
      <c r="J65" s="37"/>
      <c r="K65" s="43" t="s">
        <v>624</v>
      </c>
      <c r="L65" t="str">
        <f>IFERROR(HYPERLINK("#Main!A"&amp;MATCH(A65,Main!A:A,0),"Open"),HYPERLINK("#Main!A1","Open"))</f>
        <v>Open</v>
      </c>
    </row>
    <row r="66" spans="1:13" ht="30" customHeight="1" x14ac:dyDescent="0.25">
      <c r="A66" s="33" t="s">
        <v>626</v>
      </c>
      <c r="B66" s="35">
        <v>200</v>
      </c>
      <c r="C66" s="28" t="s">
        <v>768</v>
      </c>
      <c r="D66" s="35" t="s">
        <v>477</v>
      </c>
      <c r="E66" s="31" t="s">
        <v>626</v>
      </c>
      <c r="F66" s="28" t="s">
        <v>769</v>
      </c>
      <c r="G66" s="54" t="b">
        <v>1</v>
      </c>
      <c r="H66" s="35" t="b">
        <v>1</v>
      </c>
      <c r="I66" s="28" t="s">
        <v>771</v>
      </c>
      <c r="J66" s="28"/>
      <c r="K66" s="31" t="s">
        <v>626</v>
      </c>
      <c r="L66" s="34" t="str">
        <f>IFERROR(HYPERLINK("#Main!A"&amp;MATCH(A66,Main!A:A,0),"Open"),HYPERLINK("#Main!A1","Open"))</f>
        <v>Open</v>
      </c>
      <c r="M66" s="34"/>
    </row>
    <row r="67" spans="1:13" ht="30" customHeight="1" x14ac:dyDescent="0.25">
      <c r="A67" s="30" t="s">
        <v>629</v>
      </c>
      <c r="B67" s="35">
        <v>200</v>
      </c>
      <c r="C67" s="37" t="s">
        <v>768</v>
      </c>
      <c r="D67" s="35" t="s">
        <v>477</v>
      </c>
      <c r="E67" s="43" t="s">
        <v>629</v>
      </c>
      <c r="F67" s="37" t="s">
        <v>769</v>
      </c>
      <c r="G67" s="54" t="b">
        <v>1</v>
      </c>
      <c r="H67" s="35" t="b">
        <v>1</v>
      </c>
      <c r="I67" s="37" t="s">
        <v>771</v>
      </c>
      <c r="J67" s="37"/>
      <c r="K67" s="43" t="s">
        <v>629</v>
      </c>
      <c r="L67" t="str">
        <f>IFERROR(HYPERLINK("#Main!A"&amp;MATCH(A67,Main!A:A,0),"Open"),HYPERLINK("#Main!A1","Open"))</f>
        <v>Open</v>
      </c>
    </row>
    <row r="68" spans="1:13" ht="30" customHeight="1" x14ac:dyDescent="0.25">
      <c r="A68" s="33" t="s">
        <v>632</v>
      </c>
      <c r="B68" s="35">
        <v>200</v>
      </c>
      <c r="C68" s="28" t="s">
        <v>768</v>
      </c>
      <c r="D68" s="35" t="s">
        <v>477</v>
      </c>
      <c r="E68" s="31" t="s">
        <v>632</v>
      </c>
      <c r="F68" s="28" t="s">
        <v>769</v>
      </c>
      <c r="G68" s="54" t="b">
        <v>1</v>
      </c>
      <c r="H68" s="35" t="b">
        <v>1</v>
      </c>
      <c r="I68" s="28" t="s">
        <v>771</v>
      </c>
      <c r="J68" s="28"/>
      <c r="K68" s="31" t="s">
        <v>632</v>
      </c>
      <c r="L68" s="34" t="str">
        <f>IFERROR(HYPERLINK("#Main!A"&amp;MATCH(A68,Main!A:A,0),"Open"),HYPERLINK("#Main!A1","Open"))</f>
        <v>Open</v>
      </c>
      <c r="M68" s="34"/>
    </row>
    <row r="69" spans="1:13" ht="31.5" x14ac:dyDescent="0.25">
      <c r="A69" s="30" t="s">
        <v>635</v>
      </c>
      <c r="B69" s="35">
        <v>200</v>
      </c>
      <c r="C69" s="37" t="s">
        <v>768</v>
      </c>
      <c r="D69" s="35" t="s">
        <v>477</v>
      </c>
      <c r="E69" s="43" t="s">
        <v>635</v>
      </c>
      <c r="F69" s="37" t="s">
        <v>769</v>
      </c>
      <c r="G69" s="54" t="b">
        <v>1</v>
      </c>
      <c r="H69" s="35" t="b">
        <v>1</v>
      </c>
      <c r="I69" s="37" t="s">
        <v>771</v>
      </c>
      <c r="J69" s="37"/>
      <c r="K69" s="43" t="s">
        <v>635</v>
      </c>
      <c r="L69" t="str">
        <f>IFERROR(HYPERLINK("#Main!A"&amp;MATCH(A69,Main!A:A,0),"Open"),HYPERLINK("#Main!A1","Open"))</f>
        <v>Open</v>
      </c>
    </row>
    <row r="70" spans="1:13" ht="30" customHeight="1" x14ac:dyDescent="0.25">
      <c r="A70" s="33" t="s">
        <v>638</v>
      </c>
      <c r="B70" s="35">
        <v>200</v>
      </c>
      <c r="C70" s="28" t="s">
        <v>768</v>
      </c>
      <c r="D70" s="35" t="s">
        <v>477</v>
      </c>
      <c r="E70" s="31" t="s">
        <v>638</v>
      </c>
      <c r="F70" s="28" t="s">
        <v>769</v>
      </c>
      <c r="G70" s="54" t="b">
        <v>1</v>
      </c>
      <c r="H70" s="35" t="b">
        <v>1</v>
      </c>
      <c r="I70" s="28" t="s">
        <v>771</v>
      </c>
      <c r="J70" s="28"/>
      <c r="K70" s="31" t="s">
        <v>638</v>
      </c>
      <c r="L70" s="34" t="str">
        <f>IFERROR(HYPERLINK("#Main!A"&amp;MATCH(A70,Main!A:A,0),"Open"),HYPERLINK("#Main!A1","Open"))</f>
        <v>Open</v>
      </c>
      <c r="M70" s="34"/>
    </row>
    <row r="71" spans="1:13" ht="30" customHeight="1" x14ac:dyDescent="0.25">
      <c r="A71" s="30" t="s">
        <v>641</v>
      </c>
      <c r="B71" s="35">
        <v>200</v>
      </c>
      <c r="C71" s="37" t="s">
        <v>768</v>
      </c>
      <c r="D71" s="35" t="s">
        <v>477</v>
      </c>
      <c r="E71" s="43" t="s">
        <v>641</v>
      </c>
      <c r="F71" s="37" t="s">
        <v>769</v>
      </c>
      <c r="G71" s="54" t="b">
        <v>1</v>
      </c>
      <c r="H71" s="35" t="b">
        <v>1</v>
      </c>
      <c r="I71" s="37" t="s">
        <v>771</v>
      </c>
      <c r="J71" s="37"/>
      <c r="K71" s="43" t="s">
        <v>641</v>
      </c>
      <c r="L71" t="str">
        <f>IFERROR(HYPERLINK("#Main!A"&amp;MATCH(A71,Main!A:A,0),"Open"),HYPERLINK("#Main!A1","Open"))</f>
        <v>Open</v>
      </c>
    </row>
    <row r="72" spans="1:13" ht="30" customHeight="1" x14ac:dyDescent="0.25">
      <c r="A72" s="33" t="s">
        <v>644</v>
      </c>
      <c r="B72" s="35">
        <v>200</v>
      </c>
      <c r="C72" s="28" t="s">
        <v>768</v>
      </c>
      <c r="D72" s="35" t="s">
        <v>477</v>
      </c>
      <c r="E72" s="31" t="s">
        <v>644</v>
      </c>
      <c r="F72" s="28" t="s">
        <v>769</v>
      </c>
      <c r="G72" s="54" t="b">
        <v>1</v>
      </c>
      <c r="H72" s="35" t="b">
        <v>1</v>
      </c>
      <c r="I72" s="28" t="s">
        <v>771</v>
      </c>
      <c r="J72" s="28"/>
      <c r="K72" s="31" t="s">
        <v>644</v>
      </c>
      <c r="L72" s="34" t="str">
        <f>IFERROR(HYPERLINK("#Main!A"&amp;MATCH(A72,Main!A:A,0),"Open"),HYPERLINK("#Main!A1","Open"))</f>
        <v>Open</v>
      </c>
      <c r="M72" s="34"/>
    </row>
    <row r="73" spans="1:13" ht="30" customHeight="1" x14ac:dyDescent="0.25">
      <c r="A73" s="30" t="s">
        <v>647</v>
      </c>
      <c r="B73" s="35">
        <v>200</v>
      </c>
      <c r="C73" s="37" t="s">
        <v>768</v>
      </c>
      <c r="D73" s="35" t="s">
        <v>477</v>
      </c>
      <c r="E73" s="43" t="s">
        <v>647</v>
      </c>
      <c r="F73" s="37" t="s">
        <v>769</v>
      </c>
      <c r="G73" s="54" t="b">
        <v>1</v>
      </c>
      <c r="H73" s="35" t="b">
        <v>1</v>
      </c>
      <c r="I73" s="37" t="s">
        <v>771</v>
      </c>
      <c r="J73" s="37"/>
      <c r="K73" s="43" t="s">
        <v>647</v>
      </c>
      <c r="L73" t="str">
        <f>IFERROR(HYPERLINK("#Main!A"&amp;MATCH(A73,Main!A:A,0),"Open"),HYPERLINK("#Main!A1","Open"))</f>
        <v>Open</v>
      </c>
    </row>
    <row r="74" spans="1:13" ht="30" customHeight="1" x14ac:dyDescent="0.25">
      <c r="A74" s="33" t="s">
        <v>652</v>
      </c>
      <c r="B74" s="35">
        <v>200</v>
      </c>
      <c r="C74" s="28" t="s">
        <v>768</v>
      </c>
      <c r="D74" s="35" t="s">
        <v>477</v>
      </c>
      <c r="E74" s="31" t="s">
        <v>652</v>
      </c>
      <c r="F74" s="28" t="s">
        <v>769</v>
      </c>
      <c r="G74" s="54" t="b">
        <v>1</v>
      </c>
      <c r="H74" s="35" t="b">
        <v>1</v>
      </c>
      <c r="I74" s="28" t="s">
        <v>771</v>
      </c>
      <c r="J74" s="28"/>
      <c r="K74" s="31" t="s">
        <v>652</v>
      </c>
      <c r="L74" s="34" t="str">
        <f>IFERROR(HYPERLINK("#Main!A"&amp;MATCH(A74,Main!A:A,0),"Open"),HYPERLINK("#Main!A1","Open"))</f>
        <v>Open</v>
      </c>
      <c r="M74" s="34"/>
    </row>
    <row r="75" spans="1:13" ht="30" customHeight="1" x14ac:dyDescent="0.25">
      <c r="A75" s="30" t="s">
        <v>650</v>
      </c>
      <c r="B75" s="35">
        <v>200</v>
      </c>
      <c r="C75" s="37" t="s">
        <v>768</v>
      </c>
      <c r="D75" s="35" t="s">
        <v>477</v>
      </c>
      <c r="E75" s="43" t="s">
        <v>650</v>
      </c>
      <c r="F75" s="37" t="s">
        <v>769</v>
      </c>
      <c r="G75" s="54" t="b">
        <v>1</v>
      </c>
      <c r="H75" s="35" t="b">
        <v>1</v>
      </c>
      <c r="I75" s="37" t="s">
        <v>771</v>
      </c>
      <c r="J75" s="37"/>
      <c r="K75" s="43" t="s">
        <v>650</v>
      </c>
      <c r="L75" t="str">
        <f>IFERROR(HYPERLINK("#Main!A"&amp;MATCH(A75,Main!A:A,0),"Open"),HYPERLINK("#Main!A1","Open"))</f>
        <v>Open</v>
      </c>
    </row>
    <row r="76" spans="1:13" ht="30" customHeight="1" x14ac:dyDescent="0.25">
      <c r="A76" s="33" t="s">
        <v>655</v>
      </c>
      <c r="B76" s="35">
        <v>200</v>
      </c>
      <c r="C76" s="28" t="s">
        <v>768</v>
      </c>
      <c r="D76" s="35" t="s">
        <v>477</v>
      </c>
      <c r="E76" s="31" t="s">
        <v>655</v>
      </c>
      <c r="F76" s="28" t="s">
        <v>769</v>
      </c>
      <c r="G76" s="54" t="b">
        <v>1</v>
      </c>
      <c r="H76" s="35" t="b">
        <v>1</v>
      </c>
      <c r="I76" s="28" t="s">
        <v>771</v>
      </c>
      <c r="J76" s="28"/>
      <c r="K76" s="31" t="s">
        <v>655</v>
      </c>
      <c r="L76" s="34" t="str">
        <f>IFERROR(HYPERLINK("#Main!A"&amp;MATCH(A76,Main!A:A,0),"Open"),HYPERLINK("#Main!A1","Open"))</f>
        <v>Open</v>
      </c>
      <c r="M76" s="34"/>
    </row>
    <row r="77" spans="1:13" ht="30" customHeight="1" x14ac:dyDescent="0.25">
      <c r="A77" s="30" t="s">
        <v>658</v>
      </c>
      <c r="B77" s="35">
        <v>200</v>
      </c>
      <c r="C77" s="37" t="s">
        <v>768</v>
      </c>
      <c r="D77" s="35" t="s">
        <v>477</v>
      </c>
      <c r="E77" s="43" t="s">
        <v>658</v>
      </c>
      <c r="F77" s="37" t="s">
        <v>769</v>
      </c>
      <c r="G77" s="54" t="b">
        <v>1</v>
      </c>
      <c r="H77" s="35" t="b">
        <v>1</v>
      </c>
      <c r="I77" s="37" t="s">
        <v>771</v>
      </c>
      <c r="J77" s="37"/>
      <c r="K77" s="43" t="s">
        <v>658</v>
      </c>
      <c r="L77" t="str">
        <f>IFERROR(HYPERLINK("#Main!A"&amp;MATCH(A77,Main!A:A,0),"Open"),HYPERLINK("#Main!A1","Open"))</f>
        <v>Open</v>
      </c>
    </row>
    <row r="78" spans="1:13" ht="30" customHeight="1" x14ac:dyDescent="0.25">
      <c r="A78" s="33" t="s">
        <v>661</v>
      </c>
      <c r="B78" s="35">
        <v>200</v>
      </c>
      <c r="C78" s="28" t="s">
        <v>768</v>
      </c>
      <c r="D78" s="35" t="s">
        <v>477</v>
      </c>
      <c r="E78" s="31" t="s">
        <v>661</v>
      </c>
      <c r="F78" s="28" t="s">
        <v>769</v>
      </c>
      <c r="G78" s="54" t="b">
        <v>1</v>
      </c>
      <c r="H78" s="35" t="b">
        <v>1</v>
      </c>
      <c r="I78" s="28" t="s">
        <v>771</v>
      </c>
      <c r="J78" s="28"/>
      <c r="K78" s="31" t="s">
        <v>661</v>
      </c>
      <c r="L78" s="34" t="str">
        <f>IFERROR(HYPERLINK("#Main!A"&amp;MATCH(A78,Main!A:A,0),"Open"),HYPERLINK("#Main!A1","Open"))</f>
        <v>Open</v>
      </c>
      <c r="M78" s="34"/>
    </row>
    <row r="79" spans="1:13" ht="30" customHeight="1" x14ac:dyDescent="0.25">
      <c r="A79" s="30" t="s">
        <v>664</v>
      </c>
      <c r="B79" s="35">
        <v>200</v>
      </c>
      <c r="C79" s="37" t="s">
        <v>768</v>
      </c>
      <c r="D79" s="35" t="s">
        <v>477</v>
      </c>
      <c r="E79" s="43" t="s">
        <v>664</v>
      </c>
      <c r="F79" s="37" t="s">
        <v>769</v>
      </c>
      <c r="G79" s="54" t="b">
        <v>1</v>
      </c>
      <c r="H79" s="35" t="b">
        <v>1</v>
      </c>
      <c r="I79" s="37" t="s">
        <v>771</v>
      </c>
      <c r="J79" s="37"/>
      <c r="K79" s="43" t="s">
        <v>664</v>
      </c>
      <c r="L79" t="str">
        <f>IFERROR(HYPERLINK("#Main!A"&amp;MATCH(A79,Main!A:A,0),"Open"),HYPERLINK("#Main!A1","Open"))</f>
        <v>Open</v>
      </c>
    </row>
    <row r="80" spans="1:13" ht="30" customHeight="1" x14ac:dyDescent="0.25">
      <c r="A80" s="33" t="s">
        <v>670</v>
      </c>
      <c r="B80" s="35">
        <v>200</v>
      </c>
      <c r="C80" s="28" t="s">
        <v>768</v>
      </c>
      <c r="D80" s="35" t="s">
        <v>477</v>
      </c>
      <c r="E80" s="31" t="s">
        <v>670</v>
      </c>
      <c r="F80" s="28" t="s">
        <v>769</v>
      </c>
      <c r="G80" s="54" t="b">
        <v>1</v>
      </c>
      <c r="H80" s="35" t="b">
        <v>1</v>
      </c>
      <c r="I80" s="28" t="s">
        <v>771</v>
      </c>
      <c r="J80" s="28"/>
      <c r="K80" s="31" t="s">
        <v>670</v>
      </c>
      <c r="L80" s="34" t="str">
        <f>IFERROR(HYPERLINK("#Main!A"&amp;MATCH(A80,Main!A:A,0),"Open"),HYPERLINK("#Main!A1","Open"))</f>
        <v>Open</v>
      </c>
      <c r="M80" s="34"/>
    </row>
    <row r="81" spans="1:13" ht="30" customHeight="1" x14ac:dyDescent="0.25">
      <c r="A81" s="30" t="s">
        <v>667</v>
      </c>
      <c r="B81" s="35">
        <v>200</v>
      </c>
      <c r="C81" s="37" t="s">
        <v>768</v>
      </c>
      <c r="D81" s="35" t="s">
        <v>477</v>
      </c>
      <c r="E81" s="43" t="s">
        <v>667</v>
      </c>
      <c r="F81" s="37" t="s">
        <v>769</v>
      </c>
      <c r="G81" s="54" t="b">
        <v>1</v>
      </c>
      <c r="H81" s="35" t="b">
        <v>1</v>
      </c>
      <c r="I81" s="37" t="s">
        <v>771</v>
      </c>
      <c r="J81" s="37"/>
      <c r="K81" s="43" t="s">
        <v>667</v>
      </c>
      <c r="L81" t="str">
        <f>IFERROR(HYPERLINK("#Main!A"&amp;MATCH(A81,Main!A:A,0),"Open"),HYPERLINK("#Main!A1","Open"))</f>
        <v>Open</v>
      </c>
    </row>
    <row r="82" spans="1:13" ht="30" customHeight="1" x14ac:dyDescent="0.25">
      <c r="A82" s="33" t="s">
        <v>673</v>
      </c>
      <c r="B82" s="35">
        <v>200</v>
      </c>
      <c r="C82" s="28" t="s">
        <v>768</v>
      </c>
      <c r="D82" s="35" t="s">
        <v>477</v>
      </c>
      <c r="E82" s="31" t="s">
        <v>673</v>
      </c>
      <c r="F82" s="28" t="s">
        <v>769</v>
      </c>
      <c r="G82" s="54" t="b">
        <v>1</v>
      </c>
      <c r="H82" s="35" t="b">
        <v>1</v>
      </c>
      <c r="I82" s="28" t="s">
        <v>771</v>
      </c>
      <c r="J82" s="28"/>
      <c r="K82" s="31" t="s">
        <v>673</v>
      </c>
      <c r="L82" s="34" t="str">
        <f>IFERROR(HYPERLINK("#Main!A"&amp;MATCH(A82,Main!A:A,0),"Open"),HYPERLINK("#Main!A1","Open"))</f>
        <v>Open</v>
      </c>
      <c r="M82" s="34"/>
    </row>
    <row r="83" spans="1:13" ht="30" customHeight="1" x14ac:dyDescent="0.25">
      <c r="A83" s="30" t="s">
        <v>677</v>
      </c>
      <c r="B83" s="35">
        <v>200</v>
      </c>
      <c r="C83" s="37" t="s">
        <v>768</v>
      </c>
      <c r="D83" s="35" t="s">
        <v>477</v>
      </c>
      <c r="E83" s="43" t="s">
        <v>677</v>
      </c>
      <c r="F83" s="37" t="s">
        <v>769</v>
      </c>
      <c r="G83" s="54" t="b">
        <v>1</v>
      </c>
      <c r="H83" s="35" t="b">
        <v>1</v>
      </c>
      <c r="I83" s="37" t="s">
        <v>771</v>
      </c>
      <c r="J83" s="37"/>
      <c r="K83" s="43" t="s">
        <v>677</v>
      </c>
      <c r="L83" t="str">
        <f>IFERROR(HYPERLINK("#Main!A"&amp;MATCH(A83,Main!A:A,0),"Open"),HYPERLINK("#Main!A1","Open"))</f>
        <v>Open</v>
      </c>
    </row>
    <row r="84" spans="1:13" ht="30" customHeight="1" x14ac:dyDescent="0.25">
      <c r="A84" s="33" t="s">
        <v>680</v>
      </c>
      <c r="B84" s="35">
        <v>200</v>
      </c>
      <c r="C84" s="28" t="s">
        <v>768</v>
      </c>
      <c r="D84" s="35" t="s">
        <v>477</v>
      </c>
      <c r="E84" s="31" t="s">
        <v>680</v>
      </c>
      <c r="F84" s="28" t="s">
        <v>769</v>
      </c>
      <c r="G84" s="54" t="b">
        <v>1</v>
      </c>
      <c r="H84" s="35" t="b">
        <v>1</v>
      </c>
      <c r="I84" s="28" t="s">
        <v>771</v>
      </c>
      <c r="J84" s="28"/>
      <c r="K84" s="31" t="s">
        <v>680</v>
      </c>
      <c r="L84" s="34" t="str">
        <f>IFERROR(HYPERLINK("#Main!A"&amp;MATCH(A84,Main!A:A,0),"Open"),HYPERLINK("#Main!A1","Open"))</f>
        <v>Open</v>
      </c>
      <c r="M84" s="34"/>
    </row>
    <row r="85" spans="1:13" ht="30" customHeight="1" x14ac:dyDescent="0.25">
      <c r="A85" s="30" t="s">
        <v>683</v>
      </c>
      <c r="B85" s="35">
        <v>200</v>
      </c>
      <c r="C85" s="37" t="s">
        <v>768</v>
      </c>
      <c r="D85" s="35" t="s">
        <v>477</v>
      </c>
      <c r="E85" s="43" t="s">
        <v>683</v>
      </c>
      <c r="F85" s="37" t="s">
        <v>769</v>
      </c>
      <c r="G85" s="54" t="b">
        <v>1</v>
      </c>
      <c r="H85" s="35" t="b">
        <v>1</v>
      </c>
      <c r="I85" s="37" t="s">
        <v>771</v>
      </c>
      <c r="J85" s="37"/>
      <c r="K85" s="43" t="s">
        <v>683</v>
      </c>
      <c r="L85" t="str">
        <f>IFERROR(HYPERLINK("#Main!A"&amp;MATCH(A85,Main!A:A,0),"Open"),HYPERLINK("#Main!A1","Open"))</f>
        <v>Open</v>
      </c>
    </row>
    <row r="86" spans="1:13" ht="30" customHeight="1" x14ac:dyDescent="0.25">
      <c r="A86" s="33" t="s">
        <v>686</v>
      </c>
      <c r="B86" s="35">
        <v>200</v>
      </c>
      <c r="C86" s="28" t="s">
        <v>768</v>
      </c>
      <c r="D86" s="35" t="s">
        <v>477</v>
      </c>
      <c r="E86" s="31" t="s">
        <v>686</v>
      </c>
      <c r="F86" s="28" t="s">
        <v>769</v>
      </c>
      <c r="G86" s="54" t="b">
        <v>1</v>
      </c>
      <c r="H86" s="35" t="b">
        <v>1</v>
      </c>
      <c r="I86" s="28" t="s">
        <v>771</v>
      </c>
      <c r="J86" s="28"/>
      <c r="K86" s="31" t="s">
        <v>686</v>
      </c>
      <c r="L86" s="34" t="str">
        <f>IFERROR(HYPERLINK("#Main!A"&amp;MATCH(A86,Main!A:A,0),"Open"),HYPERLINK("#Main!A1","Open"))</f>
        <v>Open</v>
      </c>
      <c r="M86" s="34"/>
    </row>
  </sheetData>
  <autoFilter ref="A1:M86" xr:uid="{00000000-0009-0000-0000-00000B000000}"/>
  <conditionalFormatting sqref="B2:B86">
    <cfRule type="cellIs" dxfId="36" priority="1" operator="equal">
      <formula>200</formula>
    </cfRule>
    <cfRule type="cellIs" dxfId="35" priority="2" operator="between">
      <formula>300</formula>
      <formula>399</formula>
    </cfRule>
    <cfRule type="cellIs" dxfId="34" priority="3" operator="greaterThanOrEqual">
      <formula>400</formula>
    </cfRule>
  </conditionalFormatting>
  <dataValidations count="13">
    <dataValidation type="custom" allowBlank="1" showInputMessage="1" promptTitle="URL" prompt="URL. Use this URL to inspect the page directly or jump to related tabs." sqref="A1" xr:uid="{00000000-0002-0000-0B00-000000000000}">
      <formula1>TRUE</formula1>
    </dataValidation>
    <dataValidation type="custom" allowBlank="1" showInputMessage="1" promptTitle="Status Code" prompt="HTTP response code returned for this page/resource. Fix: Resolve 4xx/5xx errors and reduce unnecessary redirects." sqref="B1" xr:uid="{00000000-0002-0000-0B00-000001000000}">
      <formula1>TRUE</formula1>
    </dataValidation>
    <dataValidation type="custom" allowBlank="1" showInputMessage="1" promptTitle="Status Class" prompt="Grouped HTTP class (2xx/3xx/4xx/5xx). Use this to quickly triage crawl health and error concentration." sqref="C1" xr:uid="{00000000-0002-0000-0B00-000002000000}">
      <formula1>TRUE</formula1>
    </dataValidation>
    <dataValidation type="custom" allowBlank="1" showInputMessage="1" promptTitle="Indexability Reason" prompt="Indexing/canonicalization signal. Fix: ensure indexable pages use correct canonicals and non-conflicting directives." sqref="D1" xr:uid="{00000000-0002-0000-0B00-000003000000}">
      <formula1>TRUE</formula1>
    </dataValidation>
    <dataValidation type="custom" allowBlank="1" showInputMessage="1" promptTitle="Canonical URL" prompt="Canonical URL. Use this URL to inspect the page directly or jump to related tabs." sqref="E1" xr:uid="{00000000-0002-0000-0B00-000004000000}">
      <formula1>TRUE</formula1>
    </dataValidation>
    <dataValidation type="custom" allowBlank="1" showInputMessage="1" promptTitle="Canonical Type" prompt="Indexing/canonicalization signal. Fix: ensure indexable pages use correct canonicals and non-conflicting directives." sqref="F1" xr:uid="{00000000-0002-0000-0B00-000005000000}">
      <formula1>TRUE</formula1>
    </dataValidation>
    <dataValidation type="custom" allowBlank="1" showInputMessage="1" promptTitle="Canonical Matches Final URL" prompt="Canonical Matches Final URL. Use this URL to inspect the page directly or jump to related tabs." sqref="G1" xr:uid="{00000000-0002-0000-0B00-000006000000}">
      <formula1>TRUE</formula1>
    </dataValidation>
    <dataValidation type="custom" allowBlank="1" showInputMessage="1" promptTitle="Canonical in Sitemap Match" prompt="Indexing/canonicalization signal. Fix: ensure indexable pages use correct canonicals and non-conflicting directives." sqref="H1" xr:uid="{00000000-0002-0000-0B00-000007000000}">
      <formula1>TRUE</formula1>
    </dataValidation>
    <dataValidation type="custom" allowBlank="1" showInputMessage="1" promptTitle="Meta Robots Raw" prompt="Robots directives that influence indexation. Fix: remove unintended noindex/nofollow values on important pages." sqref="I1" xr:uid="{00000000-0002-0000-0B00-000008000000}">
      <formula1>TRUE</formula1>
    </dataValidation>
    <dataValidation type="custom" allowBlank="1" showInputMessage="1" promptTitle="X-Robots-Tag" prompt="Robots directives that influence indexation. Fix: remove unintended noindex/nofollow values on important pages." sqref="J1" xr:uid="{00000000-0002-0000-0B00-000009000000}">
      <formula1>TRUE</formula1>
    </dataValidation>
    <dataValidation type="custom" allowBlank="1" showInputMessage="1" promptTitle="Final URL" prompt="Final URL. Use this URL to inspect the page directly or jump to related tabs." sqref="K1" xr:uid="{00000000-0002-0000-0B00-00000A000000}">
      <formula1>TRUE</formula1>
    </dataValidation>
    <dataValidation type="custom" allowBlank="1" showInputMessage="1" promptTitle="Open in Main" prompt="Navigation helper. Click to jump directly to the related record in another tab." sqref="L1" xr:uid="{00000000-0002-0000-0B00-00000B000000}">
      <formula1>TRUE</formula1>
    </dataValidation>
    <dataValidation type="custom" allowBlank="1" showInputMessage="1" promptTitle="BACK TO DASHBOARD" prompt="BACK TO DASHBOARD. Review this metric to identify risk, then use linked tabs for details and remediation." sqref="M1" xr:uid="{00000000-0002-0000-0B00-00000C000000}">
      <formula1>TRUE</formula1>
    </dataValidation>
  </dataValidations>
  <hyperlinks>
    <hyperlink ref="M1" location="Dashboard!A1" display="BACK TO DASHBOARD" xr:uid="{00000000-0004-0000-0B00-000000000000}"/>
    <hyperlink ref="A2" r:id="rId1" xr:uid="{00000000-0004-0000-0B00-000001000000}"/>
    <hyperlink ref="A3" r:id="rId2" xr:uid="{00000000-0004-0000-0B00-000002000000}"/>
    <hyperlink ref="A4" r:id="rId3" xr:uid="{00000000-0004-0000-0B00-000003000000}"/>
    <hyperlink ref="A5" r:id="rId4" xr:uid="{00000000-0004-0000-0B00-000004000000}"/>
    <hyperlink ref="A6" r:id="rId5" xr:uid="{00000000-0004-0000-0B00-000005000000}"/>
    <hyperlink ref="A7" r:id="rId6" xr:uid="{00000000-0004-0000-0B00-000006000000}"/>
    <hyperlink ref="A8" r:id="rId7" xr:uid="{00000000-0004-0000-0B00-000007000000}"/>
    <hyperlink ref="A9" r:id="rId8" xr:uid="{00000000-0004-0000-0B00-000008000000}"/>
    <hyperlink ref="A10" r:id="rId9" xr:uid="{00000000-0004-0000-0B00-000009000000}"/>
    <hyperlink ref="A11" r:id="rId10" xr:uid="{00000000-0004-0000-0B00-00000A000000}"/>
    <hyperlink ref="A12" r:id="rId11" xr:uid="{00000000-0004-0000-0B00-00000B000000}"/>
    <hyperlink ref="A13" r:id="rId12" xr:uid="{00000000-0004-0000-0B00-00000C000000}"/>
    <hyperlink ref="A14" r:id="rId13" xr:uid="{00000000-0004-0000-0B00-00000D000000}"/>
    <hyperlink ref="A15" r:id="rId14" xr:uid="{00000000-0004-0000-0B00-00000E000000}"/>
    <hyperlink ref="A16" r:id="rId15" xr:uid="{00000000-0004-0000-0B00-00000F000000}"/>
    <hyperlink ref="A17" r:id="rId16" xr:uid="{00000000-0004-0000-0B00-000010000000}"/>
    <hyperlink ref="A18" r:id="rId17" xr:uid="{00000000-0004-0000-0B00-000011000000}"/>
    <hyperlink ref="A19" r:id="rId18" xr:uid="{00000000-0004-0000-0B00-000012000000}"/>
    <hyperlink ref="A20" r:id="rId19" xr:uid="{00000000-0004-0000-0B00-000013000000}"/>
    <hyperlink ref="A21" r:id="rId20" xr:uid="{00000000-0004-0000-0B00-000014000000}"/>
    <hyperlink ref="A22" r:id="rId21" xr:uid="{00000000-0004-0000-0B00-000015000000}"/>
    <hyperlink ref="A23" r:id="rId22" xr:uid="{00000000-0004-0000-0B00-000016000000}"/>
    <hyperlink ref="A24" r:id="rId23" xr:uid="{00000000-0004-0000-0B00-000017000000}"/>
    <hyperlink ref="A25" r:id="rId24" xr:uid="{00000000-0004-0000-0B00-000018000000}"/>
    <hyperlink ref="A26" r:id="rId25" xr:uid="{00000000-0004-0000-0B00-000019000000}"/>
    <hyperlink ref="A27" r:id="rId26" xr:uid="{00000000-0004-0000-0B00-00001A000000}"/>
    <hyperlink ref="A28" r:id="rId27" xr:uid="{00000000-0004-0000-0B00-00001B000000}"/>
    <hyperlink ref="A29" r:id="rId28" xr:uid="{00000000-0004-0000-0B00-00001C000000}"/>
    <hyperlink ref="A30" r:id="rId29" xr:uid="{00000000-0004-0000-0B00-00001D000000}"/>
    <hyperlink ref="A31" r:id="rId30" xr:uid="{00000000-0004-0000-0B00-00001E000000}"/>
    <hyperlink ref="A32" r:id="rId31" xr:uid="{00000000-0004-0000-0B00-00001F000000}"/>
    <hyperlink ref="A33" r:id="rId32" xr:uid="{00000000-0004-0000-0B00-000020000000}"/>
    <hyperlink ref="A34" r:id="rId33" xr:uid="{00000000-0004-0000-0B00-000021000000}"/>
    <hyperlink ref="A35" r:id="rId34" xr:uid="{00000000-0004-0000-0B00-000022000000}"/>
    <hyperlink ref="A36" r:id="rId35" xr:uid="{00000000-0004-0000-0B00-000023000000}"/>
    <hyperlink ref="A37" r:id="rId36" xr:uid="{00000000-0004-0000-0B00-000024000000}"/>
    <hyperlink ref="A38" r:id="rId37" xr:uid="{00000000-0004-0000-0B00-000025000000}"/>
    <hyperlink ref="A39" r:id="rId38" xr:uid="{00000000-0004-0000-0B00-000026000000}"/>
    <hyperlink ref="A40" r:id="rId39" xr:uid="{00000000-0004-0000-0B00-000027000000}"/>
    <hyperlink ref="A41" r:id="rId40" xr:uid="{00000000-0004-0000-0B00-000028000000}"/>
    <hyperlink ref="A42" r:id="rId41" xr:uid="{00000000-0004-0000-0B00-000029000000}"/>
    <hyperlink ref="A43" r:id="rId42" xr:uid="{00000000-0004-0000-0B00-00002A000000}"/>
    <hyperlink ref="A44" r:id="rId43" xr:uid="{00000000-0004-0000-0B00-00002B000000}"/>
    <hyperlink ref="A45" r:id="rId44" xr:uid="{00000000-0004-0000-0B00-00002C000000}"/>
    <hyperlink ref="A46" r:id="rId45" xr:uid="{00000000-0004-0000-0B00-00002D000000}"/>
    <hyperlink ref="A47" r:id="rId46" xr:uid="{00000000-0004-0000-0B00-00002E000000}"/>
    <hyperlink ref="A48" r:id="rId47" xr:uid="{00000000-0004-0000-0B00-00002F000000}"/>
    <hyperlink ref="A49" r:id="rId48" xr:uid="{00000000-0004-0000-0B00-000030000000}"/>
    <hyperlink ref="A50" r:id="rId49" xr:uid="{00000000-0004-0000-0B00-000031000000}"/>
    <hyperlink ref="A51" r:id="rId50" xr:uid="{00000000-0004-0000-0B00-000032000000}"/>
    <hyperlink ref="A52" r:id="rId51" xr:uid="{00000000-0004-0000-0B00-000033000000}"/>
    <hyperlink ref="A53" r:id="rId52" xr:uid="{00000000-0004-0000-0B00-000034000000}"/>
    <hyperlink ref="A54" r:id="rId53" xr:uid="{00000000-0004-0000-0B00-000035000000}"/>
    <hyperlink ref="A55" r:id="rId54" xr:uid="{00000000-0004-0000-0B00-000036000000}"/>
    <hyperlink ref="A56" r:id="rId55" xr:uid="{00000000-0004-0000-0B00-000037000000}"/>
    <hyperlink ref="A57" r:id="rId56" xr:uid="{00000000-0004-0000-0B00-000038000000}"/>
    <hyperlink ref="A58" r:id="rId57" xr:uid="{00000000-0004-0000-0B00-000039000000}"/>
    <hyperlink ref="A59" r:id="rId58" xr:uid="{00000000-0004-0000-0B00-00003A000000}"/>
    <hyperlink ref="A60" r:id="rId59" xr:uid="{00000000-0004-0000-0B00-00003B000000}"/>
    <hyperlink ref="A61" r:id="rId60" xr:uid="{00000000-0004-0000-0B00-00003C000000}"/>
    <hyperlink ref="A62" r:id="rId61" xr:uid="{00000000-0004-0000-0B00-00003D000000}"/>
    <hyperlink ref="A63" r:id="rId62" xr:uid="{00000000-0004-0000-0B00-00003E000000}"/>
    <hyperlink ref="A64" r:id="rId63" xr:uid="{00000000-0004-0000-0B00-00003F000000}"/>
    <hyperlink ref="A65" r:id="rId64" xr:uid="{00000000-0004-0000-0B00-000040000000}"/>
    <hyperlink ref="A66" r:id="rId65" xr:uid="{00000000-0004-0000-0B00-000041000000}"/>
    <hyperlink ref="A67" r:id="rId66" xr:uid="{00000000-0004-0000-0B00-000042000000}"/>
    <hyperlink ref="A68" r:id="rId67" xr:uid="{00000000-0004-0000-0B00-000043000000}"/>
    <hyperlink ref="A69" r:id="rId68" xr:uid="{00000000-0004-0000-0B00-000044000000}"/>
    <hyperlink ref="A70" r:id="rId69" xr:uid="{00000000-0004-0000-0B00-000045000000}"/>
    <hyperlink ref="A71" r:id="rId70" xr:uid="{00000000-0004-0000-0B00-000046000000}"/>
    <hyperlink ref="A72" r:id="rId71" xr:uid="{00000000-0004-0000-0B00-000047000000}"/>
    <hyperlink ref="A73" r:id="rId72" xr:uid="{00000000-0004-0000-0B00-000048000000}"/>
    <hyperlink ref="A74" r:id="rId73" xr:uid="{00000000-0004-0000-0B00-000049000000}"/>
    <hyperlink ref="A75" r:id="rId74" xr:uid="{00000000-0004-0000-0B00-00004A000000}"/>
    <hyperlink ref="A76" r:id="rId75" xr:uid="{00000000-0004-0000-0B00-00004B000000}"/>
    <hyperlink ref="A77" r:id="rId76" xr:uid="{00000000-0004-0000-0B00-00004C000000}"/>
    <hyperlink ref="A78" r:id="rId77" xr:uid="{00000000-0004-0000-0B00-00004D000000}"/>
    <hyperlink ref="A79" r:id="rId78" xr:uid="{00000000-0004-0000-0B00-00004E000000}"/>
    <hyperlink ref="A80" r:id="rId79" xr:uid="{00000000-0004-0000-0B00-00004F000000}"/>
    <hyperlink ref="A81" r:id="rId80" xr:uid="{00000000-0004-0000-0B00-000050000000}"/>
    <hyperlink ref="A82" r:id="rId81" xr:uid="{00000000-0004-0000-0B00-000051000000}"/>
    <hyperlink ref="A83" r:id="rId82" xr:uid="{00000000-0004-0000-0B00-000052000000}"/>
    <hyperlink ref="A84" r:id="rId83" xr:uid="{00000000-0004-0000-0B00-000053000000}"/>
    <hyperlink ref="A85" r:id="rId84" xr:uid="{00000000-0004-0000-0B00-000054000000}"/>
    <hyperlink ref="A86" r:id="rId85" xr:uid="{00000000-0004-0000-0B00-000055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3" width="45" customWidth="1"/>
    <col min="4" max="4" width="23" customWidth="1"/>
    <col min="5" max="6" width="60" customWidth="1"/>
    <col min="7" max="7" width="22" customWidth="1"/>
    <col min="8" max="8" width="20" customWidth="1"/>
  </cols>
  <sheetData>
    <row r="1" spans="1:10" ht="45" x14ac:dyDescent="0.25">
      <c r="A1" s="27" t="s">
        <v>102</v>
      </c>
      <c r="B1" s="27" t="s">
        <v>431</v>
      </c>
      <c r="C1" s="27" t="s">
        <v>693</v>
      </c>
      <c r="D1" s="27" t="s">
        <v>697</v>
      </c>
      <c r="E1" s="27" t="s">
        <v>698</v>
      </c>
      <c r="F1" s="27" t="s">
        <v>699</v>
      </c>
      <c r="G1" s="27" t="s">
        <v>700</v>
      </c>
      <c r="H1" s="27" t="s">
        <v>957</v>
      </c>
      <c r="I1" s="27" t="s">
        <v>122</v>
      </c>
      <c r="J1" s="36" t="s">
        <v>251</v>
      </c>
    </row>
    <row r="2" spans="1:10" ht="15.75" x14ac:dyDescent="0.25">
      <c r="A2" s="33" t="s">
        <v>127</v>
      </c>
      <c r="B2" s="35">
        <v>200</v>
      </c>
      <c r="C2" s="31" t="s">
        <v>127</v>
      </c>
      <c r="D2" s="28">
        <v>0</v>
      </c>
      <c r="E2" s="28"/>
      <c r="F2" s="31"/>
      <c r="G2" s="28" t="b">
        <v>0</v>
      </c>
      <c r="H2" s="35" t="b">
        <v>0</v>
      </c>
      <c r="I2" s="34" t="str">
        <f>IFERROR(HYPERLINK("#Main!A"&amp;MATCH(A2,Main!A:A,0),"Open"),HYPERLINK("#Main!A1","Open"))</f>
        <v>Open</v>
      </c>
      <c r="J2" s="34"/>
    </row>
    <row r="3" spans="1:10" ht="30" customHeight="1" x14ac:dyDescent="0.25">
      <c r="A3" s="30" t="s">
        <v>135</v>
      </c>
      <c r="B3" s="35">
        <v>200</v>
      </c>
      <c r="C3" s="43" t="s">
        <v>135</v>
      </c>
      <c r="D3" s="37">
        <v>0</v>
      </c>
      <c r="E3" s="37"/>
      <c r="F3" s="43"/>
      <c r="G3" s="37" t="b">
        <v>0</v>
      </c>
      <c r="H3" s="35" t="b">
        <v>0</v>
      </c>
      <c r="I3" t="str">
        <f>IFERROR(HYPERLINK("#Main!A"&amp;MATCH(A3,Main!A:A,0),"Open"),HYPERLINK("#Main!A1","Open"))</f>
        <v>Open</v>
      </c>
    </row>
    <row r="4" spans="1:10" ht="30" customHeight="1" x14ac:dyDescent="0.25">
      <c r="A4" s="33" t="s">
        <v>144</v>
      </c>
      <c r="B4" s="35">
        <v>200</v>
      </c>
      <c r="C4" s="31" t="s">
        <v>144</v>
      </c>
      <c r="D4" s="28">
        <v>0</v>
      </c>
      <c r="E4" s="28"/>
      <c r="F4" s="31"/>
      <c r="G4" s="28" t="b">
        <v>0</v>
      </c>
      <c r="H4" s="35" t="b">
        <v>0</v>
      </c>
      <c r="I4" s="34" t="str">
        <f>IFERROR(HYPERLINK("#Main!A"&amp;MATCH(A4,Main!A:A,0),"Open"),HYPERLINK("#Main!A1","Open"))</f>
        <v>Open</v>
      </c>
      <c r="J4" s="34"/>
    </row>
    <row r="5" spans="1:10" ht="30" customHeight="1" x14ac:dyDescent="0.25">
      <c r="A5" s="30" t="s">
        <v>152</v>
      </c>
      <c r="B5" s="35">
        <v>200</v>
      </c>
      <c r="C5" s="43" t="s">
        <v>152</v>
      </c>
      <c r="D5" s="37">
        <v>0</v>
      </c>
      <c r="E5" s="37"/>
      <c r="F5" s="43"/>
      <c r="G5" s="37" t="b">
        <v>0</v>
      </c>
      <c r="H5" s="35" t="b">
        <v>0</v>
      </c>
      <c r="I5" t="str">
        <f>IFERROR(HYPERLINK("#Main!A"&amp;MATCH(A5,Main!A:A,0),"Open"),HYPERLINK("#Main!A1","Open"))</f>
        <v>Open</v>
      </c>
    </row>
    <row r="6" spans="1:10" ht="30" customHeight="1" x14ac:dyDescent="0.25">
      <c r="A6" s="33" t="s">
        <v>169</v>
      </c>
      <c r="B6" s="35">
        <v>200</v>
      </c>
      <c r="C6" s="31" t="s">
        <v>169</v>
      </c>
      <c r="D6" s="28">
        <v>0</v>
      </c>
      <c r="E6" s="28"/>
      <c r="F6" s="31"/>
      <c r="G6" s="28" t="b">
        <v>0</v>
      </c>
      <c r="H6" s="35" t="b">
        <v>0</v>
      </c>
      <c r="I6" s="34" t="str">
        <f>IFERROR(HYPERLINK("#Main!A"&amp;MATCH(A6,Main!A:A,0),"Open"),HYPERLINK("#Main!A1","Open"))</f>
        <v>Open</v>
      </c>
      <c r="J6" s="34"/>
    </row>
    <row r="7" spans="1:10" ht="30" customHeight="1" x14ac:dyDescent="0.25">
      <c r="A7" s="30" t="s">
        <v>177</v>
      </c>
      <c r="B7" s="35">
        <v>200</v>
      </c>
      <c r="C7" s="43" t="s">
        <v>177</v>
      </c>
      <c r="D7" s="37">
        <v>0</v>
      </c>
      <c r="E7" s="37"/>
      <c r="F7" s="43"/>
      <c r="G7" s="37" t="b">
        <v>0</v>
      </c>
      <c r="H7" s="35" t="b">
        <v>0</v>
      </c>
      <c r="I7" t="str">
        <f>IFERROR(HYPERLINK("#Main!A"&amp;MATCH(A7,Main!A:A,0),"Open"),HYPERLINK("#Main!A1","Open"))</f>
        <v>Open</v>
      </c>
    </row>
    <row r="8" spans="1:10" ht="30" customHeight="1" x14ac:dyDescent="0.25">
      <c r="A8" s="33" t="s">
        <v>161</v>
      </c>
      <c r="B8" s="35">
        <v>200</v>
      </c>
      <c r="C8" s="31" t="s">
        <v>161</v>
      </c>
      <c r="D8" s="28">
        <v>0</v>
      </c>
      <c r="E8" s="28"/>
      <c r="F8" s="31"/>
      <c r="G8" s="28" t="b">
        <v>0</v>
      </c>
      <c r="H8" s="35" t="b">
        <v>0</v>
      </c>
      <c r="I8" s="34" t="str">
        <f>IFERROR(HYPERLINK("#Main!A"&amp;MATCH(A8,Main!A:A,0),"Open"),HYPERLINK("#Main!A1","Open"))</f>
        <v>Open</v>
      </c>
      <c r="J8" s="34"/>
    </row>
    <row r="9" spans="1:10" ht="30" customHeight="1" x14ac:dyDescent="0.25">
      <c r="A9" s="30" t="s">
        <v>185</v>
      </c>
      <c r="B9" s="35">
        <v>200</v>
      </c>
      <c r="C9" s="43" t="s">
        <v>185</v>
      </c>
      <c r="D9" s="37">
        <v>0</v>
      </c>
      <c r="E9" s="37"/>
      <c r="F9" s="43"/>
      <c r="G9" s="37" t="b">
        <v>0</v>
      </c>
      <c r="H9" s="35" t="b">
        <v>0</v>
      </c>
      <c r="I9" t="str">
        <f>IFERROR(HYPERLINK("#Main!A"&amp;MATCH(A9,Main!A:A,0),"Open"),HYPERLINK("#Main!A1","Open"))</f>
        <v>Open</v>
      </c>
    </row>
    <row r="10" spans="1:10" ht="30" customHeight="1" x14ac:dyDescent="0.25">
      <c r="A10" s="33" t="s">
        <v>201</v>
      </c>
      <c r="B10" s="35">
        <v>200</v>
      </c>
      <c r="C10" s="31" t="s">
        <v>201</v>
      </c>
      <c r="D10" s="28">
        <v>0</v>
      </c>
      <c r="E10" s="28"/>
      <c r="F10" s="31"/>
      <c r="G10" s="28" t="b">
        <v>0</v>
      </c>
      <c r="H10" s="35" t="b">
        <v>0</v>
      </c>
      <c r="I10" s="34" t="str">
        <f>IFERROR(HYPERLINK("#Main!A"&amp;MATCH(A10,Main!A:A,0),"Open"),HYPERLINK("#Main!A1","Open"))</f>
        <v>Open</v>
      </c>
      <c r="J10" s="34"/>
    </row>
    <row r="11" spans="1:10" ht="30" customHeight="1" x14ac:dyDescent="0.25">
      <c r="A11" s="30" t="s">
        <v>193</v>
      </c>
      <c r="B11" s="35">
        <v>200</v>
      </c>
      <c r="C11" s="43" t="s">
        <v>193</v>
      </c>
      <c r="D11" s="37">
        <v>0</v>
      </c>
      <c r="E11" s="37"/>
      <c r="F11" s="43"/>
      <c r="G11" s="37" t="b">
        <v>0</v>
      </c>
      <c r="H11" s="35" t="b">
        <v>0</v>
      </c>
      <c r="I11" t="str">
        <f>IFERROR(HYPERLINK("#Main!A"&amp;MATCH(A11,Main!A:A,0),"Open"),HYPERLINK("#Main!A1","Open"))</f>
        <v>Open</v>
      </c>
    </row>
    <row r="12" spans="1:10" ht="30" customHeight="1" x14ac:dyDescent="0.25">
      <c r="A12" s="33" t="s">
        <v>216</v>
      </c>
      <c r="B12" s="35">
        <v>200</v>
      </c>
      <c r="C12" s="31" t="s">
        <v>216</v>
      </c>
      <c r="D12" s="28">
        <v>0</v>
      </c>
      <c r="E12" s="28"/>
      <c r="F12" s="31"/>
      <c r="G12" s="28" t="b">
        <v>0</v>
      </c>
      <c r="H12" s="35" t="b">
        <v>0</v>
      </c>
      <c r="I12" s="34" t="str">
        <f>IFERROR(HYPERLINK("#Main!A"&amp;MATCH(A12,Main!A:A,0),"Open"),HYPERLINK("#Main!A1","Open"))</f>
        <v>Open</v>
      </c>
      <c r="J12" s="34"/>
    </row>
    <row r="13" spans="1:10" ht="30" customHeight="1" x14ac:dyDescent="0.25">
      <c r="A13" s="30" t="s">
        <v>208</v>
      </c>
      <c r="B13" s="35">
        <v>200</v>
      </c>
      <c r="C13" s="43" t="s">
        <v>208</v>
      </c>
      <c r="D13" s="37">
        <v>0</v>
      </c>
      <c r="E13" s="37"/>
      <c r="F13" s="43"/>
      <c r="G13" s="37" t="b">
        <v>0</v>
      </c>
      <c r="H13" s="35" t="b">
        <v>0</v>
      </c>
      <c r="I13" t="str">
        <f>IFERROR(HYPERLINK("#Main!A"&amp;MATCH(A13,Main!A:A,0),"Open"),HYPERLINK("#Main!A1","Open"))</f>
        <v>Open</v>
      </c>
    </row>
    <row r="14" spans="1:10" ht="30" customHeight="1" x14ac:dyDescent="0.25">
      <c r="A14" s="33" t="s">
        <v>224</v>
      </c>
      <c r="B14" s="35">
        <v>200</v>
      </c>
      <c r="C14" s="31" t="s">
        <v>224</v>
      </c>
      <c r="D14" s="28">
        <v>0</v>
      </c>
      <c r="E14" s="28"/>
      <c r="F14" s="31"/>
      <c r="G14" s="28" t="b">
        <v>0</v>
      </c>
      <c r="H14" s="35" t="b">
        <v>0</v>
      </c>
      <c r="I14" s="34" t="str">
        <f>IFERROR(HYPERLINK("#Main!A"&amp;MATCH(A14,Main!A:A,0),"Open"),HYPERLINK("#Main!A1","Open"))</f>
        <v>Open</v>
      </c>
      <c r="J14" s="34"/>
    </row>
    <row r="15" spans="1:10" ht="30" customHeight="1" x14ac:dyDescent="0.25">
      <c r="A15" s="30" t="s">
        <v>233</v>
      </c>
      <c r="B15" s="35">
        <v>200</v>
      </c>
      <c r="C15" s="43" t="s">
        <v>233</v>
      </c>
      <c r="D15" s="37">
        <v>0</v>
      </c>
      <c r="E15" s="37"/>
      <c r="F15" s="43"/>
      <c r="G15" s="37" t="b">
        <v>0</v>
      </c>
      <c r="H15" s="35" t="b">
        <v>0</v>
      </c>
      <c r="I15" t="str">
        <f>IFERROR(HYPERLINK("#Main!A"&amp;MATCH(A15,Main!A:A,0),"Open"),HYPERLINK("#Main!A1","Open"))</f>
        <v>Open</v>
      </c>
    </row>
    <row r="16" spans="1:10" ht="30" customHeight="1" x14ac:dyDescent="0.25">
      <c r="A16" s="33" t="s">
        <v>241</v>
      </c>
      <c r="B16" s="35">
        <v>200</v>
      </c>
      <c r="C16" s="31" t="s">
        <v>241</v>
      </c>
      <c r="D16" s="28">
        <v>0</v>
      </c>
      <c r="E16" s="28"/>
      <c r="F16" s="31"/>
      <c r="G16" s="28" t="b">
        <v>0</v>
      </c>
      <c r="H16" s="35" t="b">
        <v>0</v>
      </c>
      <c r="I16" s="34" t="str">
        <f>IFERROR(HYPERLINK("#Main!A"&amp;MATCH(A16,Main!A:A,0),"Open"),HYPERLINK("#Main!A1","Open"))</f>
        <v>Open</v>
      </c>
      <c r="J16" s="34"/>
    </row>
    <row r="17" spans="1:10" ht="30" customHeight="1" x14ac:dyDescent="0.25">
      <c r="A17" s="30" t="s">
        <v>485</v>
      </c>
      <c r="B17" s="35">
        <v>200</v>
      </c>
      <c r="C17" s="43" t="s">
        <v>485</v>
      </c>
      <c r="D17" s="37">
        <v>0</v>
      </c>
      <c r="E17" s="37"/>
      <c r="F17" s="43"/>
      <c r="G17" s="37" t="b">
        <v>0</v>
      </c>
      <c r="H17" s="35" t="b">
        <v>0</v>
      </c>
      <c r="I17" t="str">
        <f>IFERROR(HYPERLINK("#Main!A"&amp;MATCH(A17,Main!A:A,0),"Open"),HYPERLINK("#Main!A1","Open"))</f>
        <v>Open</v>
      </c>
    </row>
    <row r="18" spans="1:10" ht="30" customHeight="1" x14ac:dyDescent="0.25">
      <c r="A18" s="33" t="s">
        <v>491</v>
      </c>
      <c r="B18" s="35">
        <v>200</v>
      </c>
      <c r="C18" s="31" t="s">
        <v>491</v>
      </c>
      <c r="D18" s="28">
        <v>0</v>
      </c>
      <c r="E18" s="28"/>
      <c r="F18" s="31"/>
      <c r="G18" s="28" t="b">
        <v>0</v>
      </c>
      <c r="H18" s="35" t="b">
        <v>0</v>
      </c>
      <c r="I18" s="34" t="str">
        <f>IFERROR(HYPERLINK("#Main!A"&amp;MATCH(A18,Main!A:A,0),"Open"),HYPERLINK("#Main!A1","Open"))</f>
        <v>Open</v>
      </c>
      <c r="J18" s="34"/>
    </row>
    <row r="19" spans="1:10" ht="30" customHeight="1" x14ac:dyDescent="0.25">
      <c r="A19" s="30" t="s">
        <v>488</v>
      </c>
      <c r="B19" s="35">
        <v>200</v>
      </c>
      <c r="C19" s="43" t="s">
        <v>488</v>
      </c>
      <c r="D19" s="37">
        <v>0</v>
      </c>
      <c r="E19" s="37"/>
      <c r="F19" s="43"/>
      <c r="G19" s="37" t="b">
        <v>0</v>
      </c>
      <c r="H19" s="35" t="b">
        <v>0</v>
      </c>
      <c r="I19" t="str">
        <f>IFERROR(HYPERLINK("#Main!A"&amp;MATCH(A19,Main!A:A,0),"Open"),HYPERLINK("#Main!A1","Open"))</f>
        <v>Open</v>
      </c>
    </row>
    <row r="20" spans="1:10" ht="30" customHeight="1" x14ac:dyDescent="0.25">
      <c r="A20" s="33" t="s">
        <v>494</v>
      </c>
      <c r="B20" s="35">
        <v>200</v>
      </c>
      <c r="C20" s="31" t="s">
        <v>494</v>
      </c>
      <c r="D20" s="28">
        <v>0</v>
      </c>
      <c r="E20" s="28"/>
      <c r="F20" s="31"/>
      <c r="G20" s="28" t="b">
        <v>0</v>
      </c>
      <c r="H20" s="35" t="b">
        <v>0</v>
      </c>
      <c r="I20" s="34" t="str">
        <f>IFERROR(HYPERLINK("#Main!A"&amp;MATCH(A20,Main!A:A,0),"Open"),HYPERLINK("#Main!A1","Open"))</f>
        <v>Open</v>
      </c>
      <c r="J20" s="34"/>
    </row>
    <row r="21" spans="1:10" ht="30" customHeight="1" x14ac:dyDescent="0.25">
      <c r="A21" s="30" t="s">
        <v>500</v>
      </c>
      <c r="B21" s="35">
        <v>200</v>
      </c>
      <c r="C21" s="43" t="s">
        <v>500</v>
      </c>
      <c r="D21" s="37">
        <v>0</v>
      </c>
      <c r="E21" s="37"/>
      <c r="F21" s="43"/>
      <c r="G21" s="37" t="b">
        <v>0</v>
      </c>
      <c r="H21" s="35" t="b">
        <v>0</v>
      </c>
      <c r="I21" t="str">
        <f>IFERROR(HYPERLINK("#Main!A"&amp;MATCH(A21,Main!A:A,0),"Open"),HYPERLINK("#Main!A1","Open"))</f>
        <v>Open</v>
      </c>
    </row>
    <row r="22" spans="1:10" ht="30" customHeight="1" x14ac:dyDescent="0.25">
      <c r="A22" s="33" t="s">
        <v>497</v>
      </c>
      <c r="B22" s="35">
        <v>200</v>
      </c>
      <c r="C22" s="31" t="s">
        <v>497</v>
      </c>
      <c r="D22" s="28">
        <v>0</v>
      </c>
      <c r="E22" s="28"/>
      <c r="F22" s="31"/>
      <c r="G22" s="28" t="b">
        <v>0</v>
      </c>
      <c r="H22" s="35" t="b">
        <v>0</v>
      </c>
      <c r="I22" s="34" t="str">
        <f>IFERROR(HYPERLINK("#Main!A"&amp;MATCH(A22,Main!A:A,0),"Open"),HYPERLINK("#Main!A1","Open"))</f>
        <v>Open</v>
      </c>
      <c r="J22" s="34"/>
    </row>
    <row r="23" spans="1:10" ht="30" customHeight="1" x14ac:dyDescent="0.25">
      <c r="A23" s="30" t="s">
        <v>506</v>
      </c>
      <c r="B23" s="35">
        <v>200</v>
      </c>
      <c r="C23" s="43" t="s">
        <v>506</v>
      </c>
      <c r="D23" s="37">
        <v>0</v>
      </c>
      <c r="E23" s="37"/>
      <c r="F23" s="43"/>
      <c r="G23" s="37" t="b">
        <v>0</v>
      </c>
      <c r="H23" s="35" t="b">
        <v>0</v>
      </c>
      <c r="I23" t="str">
        <f>IFERROR(HYPERLINK("#Main!A"&amp;MATCH(A23,Main!A:A,0),"Open"),HYPERLINK("#Main!A1","Open"))</f>
        <v>Open</v>
      </c>
    </row>
    <row r="24" spans="1:10" ht="30" customHeight="1" x14ac:dyDescent="0.25">
      <c r="A24" s="33" t="s">
        <v>509</v>
      </c>
      <c r="B24" s="35">
        <v>200</v>
      </c>
      <c r="C24" s="31" t="s">
        <v>509</v>
      </c>
      <c r="D24" s="28">
        <v>0</v>
      </c>
      <c r="E24" s="28"/>
      <c r="F24" s="31"/>
      <c r="G24" s="28" t="b">
        <v>0</v>
      </c>
      <c r="H24" s="35" t="b">
        <v>0</v>
      </c>
      <c r="I24" s="34" t="str">
        <f>IFERROR(HYPERLINK("#Main!A"&amp;MATCH(A24,Main!A:A,0),"Open"),HYPERLINK("#Main!A1","Open"))</f>
        <v>Open</v>
      </c>
      <c r="J24" s="34"/>
    </row>
    <row r="25" spans="1:10" ht="30" customHeight="1" x14ac:dyDescent="0.25">
      <c r="A25" s="30" t="s">
        <v>503</v>
      </c>
      <c r="B25" s="35">
        <v>200</v>
      </c>
      <c r="C25" s="43" t="s">
        <v>503</v>
      </c>
      <c r="D25" s="37">
        <v>0</v>
      </c>
      <c r="E25" s="37"/>
      <c r="F25" s="43"/>
      <c r="G25" s="37" t="b">
        <v>0</v>
      </c>
      <c r="H25" s="35" t="b">
        <v>0</v>
      </c>
      <c r="I25" t="str">
        <f>IFERROR(HYPERLINK("#Main!A"&amp;MATCH(A25,Main!A:A,0),"Open"),HYPERLINK("#Main!A1","Open"))</f>
        <v>Open</v>
      </c>
    </row>
    <row r="26" spans="1:10" ht="30" customHeight="1" x14ac:dyDescent="0.25">
      <c r="A26" s="33" t="s">
        <v>476</v>
      </c>
      <c r="B26" s="29">
        <v>404</v>
      </c>
      <c r="C26" s="31" t="s">
        <v>753</v>
      </c>
      <c r="D26" s="28">
        <v>1</v>
      </c>
      <c r="E26" s="28" t="s">
        <v>755</v>
      </c>
      <c r="F26" s="31" t="s">
        <v>756</v>
      </c>
      <c r="G26" s="28" t="b">
        <v>0</v>
      </c>
      <c r="H26" s="35" t="b">
        <v>0</v>
      </c>
      <c r="I26" s="34" t="str">
        <f>IFERROR(HYPERLINK("#Main!A"&amp;MATCH(A26,Main!A:A,0),"Open"),HYPERLINK("#Main!A1","Open"))</f>
        <v>Open</v>
      </c>
      <c r="J26" s="34"/>
    </row>
    <row r="27" spans="1:10" ht="30" customHeight="1" x14ac:dyDescent="0.25">
      <c r="A27" s="30" t="s">
        <v>512</v>
      </c>
      <c r="B27" s="35">
        <v>200</v>
      </c>
      <c r="C27" s="43" t="s">
        <v>512</v>
      </c>
      <c r="D27" s="37">
        <v>0</v>
      </c>
      <c r="E27" s="37"/>
      <c r="F27" s="43"/>
      <c r="G27" s="37" t="b">
        <v>0</v>
      </c>
      <c r="H27" s="35" t="b">
        <v>0</v>
      </c>
      <c r="I27" t="str">
        <f>IFERROR(HYPERLINK("#Main!A"&amp;MATCH(A27,Main!A:A,0),"Open"),HYPERLINK("#Main!A1","Open"))</f>
        <v>Open</v>
      </c>
    </row>
    <row r="28" spans="1:10" ht="30" customHeight="1" x14ac:dyDescent="0.25">
      <c r="A28" s="33" t="s">
        <v>515</v>
      </c>
      <c r="B28" s="35">
        <v>200</v>
      </c>
      <c r="C28" s="31" t="s">
        <v>515</v>
      </c>
      <c r="D28" s="28">
        <v>0</v>
      </c>
      <c r="E28" s="28"/>
      <c r="F28" s="31"/>
      <c r="G28" s="28" t="b">
        <v>0</v>
      </c>
      <c r="H28" s="35" t="b">
        <v>0</v>
      </c>
      <c r="I28" s="34" t="str">
        <f>IFERROR(HYPERLINK("#Main!A"&amp;MATCH(A28,Main!A:A,0),"Open"),HYPERLINK("#Main!A1","Open"))</f>
        <v>Open</v>
      </c>
      <c r="J28" s="34"/>
    </row>
    <row r="29" spans="1:10" ht="30" customHeight="1" x14ac:dyDescent="0.25">
      <c r="A29" s="30" t="s">
        <v>518</v>
      </c>
      <c r="B29" s="35">
        <v>200</v>
      </c>
      <c r="C29" s="43" t="s">
        <v>518</v>
      </c>
      <c r="D29" s="37">
        <v>0</v>
      </c>
      <c r="E29" s="37"/>
      <c r="F29" s="43"/>
      <c r="G29" s="37" t="b">
        <v>0</v>
      </c>
      <c r="H29" s="35" t="b">
        <v>0</v>
      </c>
      <c r="I29" t="str">
        <f>IFERROR(HYPERLINK("#Main!A"&amp;MATCH(A29,Main!A:A,0),"Open"),HYPERLINK("#Main!A1","Open"))</f>
        <v>Open</v>
      </c>
    </row>
    <row r="30" spans="1:10" ht="30" customHeight="1" x14ac:dyDescent="0.25">
      <c r="A30" s="33" t="s">
        <v>521</v>
      </c>
      <c r="B30" s="35">
        <v>200</v>
      </c>
      <c r="C30" s="31" t="s">
        <v>521</v>
      </c>
      <c r="D30" s="28">
        <v>0</v>
      </c>
      <c r="E30" s="28"/>
      <c r="F30" s="31"/>
      <c r="G30" s="28" t="b">
        <v>0</v>
      </c>
      <c r="H30" s="35" t="b">
        <v>0</v>
      </c>
      <c r="I30" s="34" t="str">
        <f>IFERROR(HYPERLINK("#Main!A"&amp;MATCH(A30,Main!A:A,0),"Open"),HYPERLINK("#Main!A1","Open"))</f>
        <v>Open</v>
      </c>
      <c r="J30" s="34"/>
    </row>
    <row r="31" spans="1:10" ht="30" customHeight="1" x14ac:dyDescent="0.25">
      <c r="A31" s="30" t="s">
        <v>524</v>
      </c>
      <c r="B31" s="35">
        <v>200</v>
      </c>
      <c r="C31" s="43" t="s">
        <v>524</v>
      </c>
      <c r="D31" s="37">
        <v>0</v>
      </c>
      <c r="E31" s="37"/>
      <c r="F31" s="43"/>
      <c r="G31" s="37" t="b">
        <v>0</v>
      </c>
      <c r="H31" s="35" t="b">
        <v>0</v>
      </c>
      <c r="I31" t="str">
        <f>IFERROR(HYPERLINK("#Main!A"&amp;MATCH(A31,Main!A:A,0),"Open"),HYPERLINK("#Main!A1","Open"))</f>
        <v>Open</v>
      </c>
    </row>
    <row r="32" spans="1:10" ht="30" customHeight="1" x14ac:dyDescent="0.25">
      <c r="A32" s="33" t="s">
        <v>527</v>
      </c>
      <c r="B32" s="35">
        <v>200</v>
      </c>
      <c r="C32" s="31" t="s">
        <v>518</v>
      </c>
      <c r="D32" s="28">
        <v>1</v>
      </c>
      <c r="E32" s="28" t="s">
        <v>809</v>
      </c>
      <c r="F32" s="31" t="s">
        <v>810</v>
      </c>
      <c r="G32" s="28" t="b">
        <v>0</v>
      </c>
      <c r="H32" s="35" t="b">
        <v>0</v>
      </c>
      <c r="I32" s="34" t="str">
        <f>IFERROR(HYPERLINK("#Main!A"&amp;MATCH(A32,Main!A:A,0),"Open"),HYPERLINK("#Main!A1","Open"))</f>
        <v>Open</v>
      </c>
      <c r="J32" s="34"/>
    </row>
    <row r="33" spans="1:10" ht="45" customHeight="1" x14ac:dyDescent="0.25">
      <c r="A33" s="30" t="s">
        <v>528</v>
      </c>
      <c r="B33" s="35">
        <v>200</v>
      </c>
      <c r="C33" s="43" t="s">
        <v>528</v>
      </c>
      <c r="D33" s="37">
        <v>0</v>
      </c>
      <c r="E33" s="37"/>
      <c r="F33" s="43"/>
      <c r="G33" s="37" t="b">
        <v>0</v>
      </c>
      <c r="H33" s="35" t="b">
        <v>0</v>
      </c>
      <c r="I33" t="str">
        <f>IFERROR(HYPERLINK("#Main!A"&amp;MATCH(A33,Main!A:A,0),"Open"),HYPERLINK("#Main!A1","Open"))</f>
        <v>Open</v>
      </c>
    </row>
    <row r="34" spans="1:10" ht="30" customHeight="1" x14ac:dyDescent="0.25">
      <c r="A34" s="33" t="s">
        <v>531</v>
      </c>
      <c r="B34" s="35">
        <v>200</v>
      </c>
      <c r="C34" s="31" t="s">
        <v>531</v>
      </c>
      <c r="D34" s="28">
        <v>0</v>
      </c>
      <c r="E34" s="28"/>
      <c r="F34" s="31"/>
      <c r="G34" s="28" t="b">
        <v>0</v>
      </c>
      <c r="H34" s="35" t="b">
        <v>0</v>
      </c>
      <c r="I34" s="34" t="str">
        <f>IFERROR(HYPERLINK("#Main!A"&amp;MATCH(A34,Main!A:A,0),"Open"),HYPERLINK("#Main!A1","Open"))</f>
        <v>Open</v>
      </c>
      <c r="J34" s="34"/>
    </row>
    <row r="35" spans="1:10" ht="30" customHeight="1" x14ac:dyDescent="0.25">
      <c r="A35" s="30" t="s">
        <v>534</v>
      </c>
      <c r="B35" s="35">
        <v>200</v>
      </c>
      <c r="C35" s="43" t="s">
        <v>534</v>
      </c>
      <c r="D35" s="37">
        <v>0</v>
      </c>
      <c r="E35" s="37"/>
      <c r="F35" s="43"/>
      <c r="G35" s="37" t="b">
        <v>0</v>
      </c>
      <c r="H35" s="35" t="b">
        <v>0</v>
      </c>
      <c r="I35" t="str">
        <f>IFERROR(HYPERLINK("#Main!A"&amp;MATCH(A35,Main!A:A,0),"Open"),HYPERLINK("#Main!A1","Open"))</f>
        <v>Open</v>
      </c>
    </row>
    <row r="36" spans="1:10" ht="30" customHeight="1" x14ac:dyDescent="0.25">
      <c r="A36" s="33" t="s">
        <v>537</v>
      </c>
      <c r="B36" s="35">
        <v>200</v>
      </c>
      <c r="C36" s="31" t="s">
        <v>537</v>
      </c>
      <c r="D36" s="28">
        <v>0</v>
      </c>
      <c r="E36" s="28"/>
      <c r="F36" s="31"/>
      <c r="G36" s="28" t="b">
        <v>0</v>
      </c>
      <c r="H36" s="35" t="b">
        <v>0</v>
      </c>
      <c r="I36" s="34" t="str">
        <f>IFERROR(HYPERLINK("#Main!A"&amp;MATCH(A36,Main!A:A,0),"Open"),HYPERLINK("#Main!A1","Open"))</f>
        <v>Open</v>
      </c>
      <c r="J36" s="34"/>
    </row>
    <row r="37" spans="1:10" ht="45" customHeight="1" x14ac:dyDescent="0.25">
      <c r="A37" s="30" t="s">
        <v>540</v>
      </c>
      <c r="B37" s="35">
        <v>200</v>
      </c>
      <c r="C37" s="43" t="s">
        <v>540</v>
      </c>
      <c r="D37" s="37">
        <v>0</v>
      </c>
      <c r="E37" s="37"/>
      <c r="F37" s="43"/>
      <c r="G37" s="37" t="b">
        <v>0</v>
      </c>
      <c r="H37" s="35" t="b">
        <v>0</v>
      </c>
      <c r="I37" t="str">
        <f>IFERROR(HYPERLINK("#Main!A"&amp;MATCH(A37,Main!A:A,0),"Open"),HYPERLINK("#Main!A1","Open"))</f>
        <v>Open</v>
      </c>
    </row>
    <row r="38" spans="1:10" ht="30" customHeight="1" x14ac:dyDescent="0.25">
      <c r="A38" s="33" t="s">
        <v>543</v>
      </c>
      <c r="B38" s="35">
        <v>200</v>
      </c>
      <c r="C38" s="31" t="s">
        <v>543</v>
      </c>
      <c r="D38" s="28">
        <v>0</v>
      </c>
      <c r="E38" s="28"/>
      <c r="F38" s="31"/>
      <c r="G38" s="28" t="b">
        <v>0</v>
      </c>
      <c r="H38" s="35" t="b">
        <v>0</v>
      </c>
      <c r="I38" s="34" t="str">
        <f>IFERROR(HYPERLINK("#Main!A"&amp;MATCH(A38,Main!A:A,0),"Open"),HYPERLINK("#Main!A1","Open"))</f>
        <v>Open</v>
      </c>
      <c r="J38" s="34"/>
    </row>
    <row r="39" spans="1:10" ht="30" customHeight="1" x14ac:dyDescent="0.25">
      <c r="A39" s="30" t="s">
        <v>483</v>
      </c>
      <c r="B39" s="29">
        <v>404</v>
      </c>
      <c r="C39" s="43" t="s">
        <v>764</v>
      </c>
      <c r="D39" s="37">
        <v>1</v>
      </c>
      <c r="E39" s="37" t="s">
        <v>765</v>
      </c>
      <c r="F39" s="43" t="s">
        <v>766</v>
      </c>
      <c r="G39" s="37" t="b">
        <v>0</v>
      </c>
      <c r="H39" s="35" t="b">
        <v>0</v>
      </c>
      <c r="I39" t="str">
        <f>IFERROR(HYPERLINK("#Main!A"&amp;MATCH(A39,Main!A:A,0),"Open"),HYPERLINK("#Main!A1","Open"))</f>
        <v>Open</v>
      </c>
    </row>
    <row r="40" spans="1:10" ht="30" customHeight="1" x14ac:dyDescent="0.25">
      <c r="A40" s="33" t="s">
        <v>546</v>
      </c>
      <c r="B40" s="35">
        <v>200</v>
      </c>
      <c r="C40" s="31" t="s">
        <v>546</v>
      </c>
      <c r="D40" s="28">
        <v>0</v>
      </c>
      <c r="E40" s="28"/>
      <c r="F40" s="31"/>
      <c r="G40" s="28" t="b">
        <v>0</v>
      </c>
      <c r="H40" s="35" t="b">
        <v>0</v>
      </c>
      <c r="I40" s="34" t="str">
        <f>IFERROR(HYPERLINK("#Main!A"&amp;MATCH(A40,Main!A:A,0),"Open"),HYPERLINK("#Main!A1","Open"))</f>
        <v>Open</v>
      </c>
      <c r="J40" s="34"/>
    </row>
    <row r="41" spans="1:10" ht="30" customHeight="1" x14ac:dyDescent="0.25">
      <c r="A41" s="30" t="s">
        <v>549</v>
      </c>
      <c r="B41" s="35">
        <v>200</v>
      </c>
      <c r="C41" s="43" t="s">
        <v>549</v>
      </c>
      <c r="D41" s="37">
        <v>0</v>
      </c>
      <c r="E41" s="37"/>
      <c r="F41" s="43"/>
      <c r="G41" s="37" t="b">
        <v>0</v>
      </c>
      <c r="H41" s="35" t="b">
        <v>0</v>
      </c>
      <c r="I41" t="str">
        <f>IFERROR(HYPERLINK("#Main!A"&amp;MATCH(A41,Main!A:A,0),"Open"),HYPERLINK("#Main!A1","Open"))</f>
        <v>Open</v>
      </c>
    </row>
    <row r="42" spans="1:10" ht="30" customHeight="1" x14ac:dyDescent="0.25">
      <c r="A42" s="33" t="s">
        <v>555</v>
      </c>
      <c r="B42" s="35">
        <v>200</v>
      </c>
      <c r="C42" s="31" t="s">
        <v>555</v>
      </c>
      <c r="D42" s="28">
        <v>0</v>
      </c>
      <c r="E42" s="28"/>
      <c r="F42" s="31"/>
      <c r="G42" s="28" t="b">
        <v>0</v>
      </c>
      <c r="H42" s="35" t="b">
        <v>0</v>
      </c>
      <c r="I42" s="34" t="str">
        <f>IFERROR(HYPERLINK("#Main!A"&amp;MATCH(A42,Main!A:A,0),"Open"),HYPERLINK("#Main!A1","Open"))</f>
        <v>Open</v>
      </c>
      <c r="J42" s="34"/>
    </row>
    <row r="43" spans="1:10" ht="30" customHeight="1" x14ac:dyDescent="0.25">
      <c r="A43" s="30" t="s">
        <v>557</v>
      </c>
      <c r="B43" s="35">
        <v>200</v>
      </c>
      <c r="C43" s="43" t="s">
        <v>557</v>
      </c>
      <c r="D43" s="37">
        <v>0</v>
      </c>
      <c r="E43" s="37"/>
      <c r="F43" s="43"/>
      <c r="G43" s="37" t="b">
        <v>0</v>
      </c>
      <c r="H43" s="35" t="b">
        <v>0</v>
      </c>
      <c r="I43" t="str">
        <f>IFERROR(HYPERLINK("#Main!A"&amp;MATCH(A43,Main!A:A,0),"Open"),HYPERLINK("#Main!A1","Open"))</f>
        <v>Open</v>
      </c>
    </row>
    <row r="44" spans="1:10" ht="30" customHeight="1" x14ac:dyDescent="0.25">
      <c r="A44" s="33" t="s">
        <v>552</v>
      </c>
      <c r="B44" s="35">
        <v>200</v>
      </c>
      <c r="C44" s="31" t="s">
        <v>552</v>
      </c>
      <c r="D44" s="28">
        <v>0</v>
      </c>
      <c r="E44" s="28"/>
      <c r="F44" s="31"/>
      <c r="G44" s="28" t="b">
        <v>0</v>
      </c>
      <c r="H44" s="35" t="b">
        <v>0</v>
      </c>
      <c r="I44" s="34" t="str">
        <f>IFERROR(HYPERLINK("#Main!A"&amp;MATCH(A44,Main!A:A,0),"Open"),HYPERLINK("#Main!A1","Open"))</f>
        <v>Open</v>
      </c>
      <c r="J44" s="34"/>
    </row>
    <row r="45" spans="1:10" ht="30" customHeight="1" x14ac:dyDescent="0.25">
      <c r="A45" s="30" t="s">
        <v>560</v>
      </c>
      <c r="B45" s="35">
        <v>200</v>
      </c>
      <c r="C45" s="43" t="s">
        <v>560</v>
      </c>
      <c r="D45" s="37">
        <v>0</v>
      </c>
      <c r="E45" s="37"/>
      <c r="F45" s="43"/>
      <c r="G45" s="37" t="b">
        <v>0</v>
      </c>
      <c r="H45" s="35" t="b">
        <v>0</v>
      </c>
      <c r="I45" t="str">
        <f>IFERROR(HYPERLINK("#Main!A"&amp;MATCH(A45,Main!A:A,0),"Open"),HYPERLINK("#Main!A1","Open"))</f>
        <v>Open</v>
      </c>
    </row>
    <row r="46" spans="1:10" ht="30" customHeight="1" x14ac:dyDescent="0.25">
      <c r="A46" s="33" t="s">
        <v>563</v>
      </c>
      <c r="B46" s="35">
        <v>200</v>
      </c>
      <c r="C46" s="31" t="s">
        <v>563</v>
      </c>
      <c r="D46" s="28">
        <v>0</v>
      </c>
      <c r="E46" s="28"/>
      <c r="F46" s="31"/>
      <c r="G46" s="28" t="b">
        <v>0</v>
      </c>
      <c r="H46" s="35" t="b">
        <v>0</v>
      </c>
      <c r="I46" s="34" t="str">
        <f>IFERROR(HYPERLINK("#Main!A"&amp;MATCH(A46,Main!A:A,0),"Open"),HYPERLINK("#Main!A1","Open"))</f>
        <v>Open</v>
      </c>
      <c r="J46" s="34"/>
    </row>
    <row r="47" spans="1:10" ht="30" customHeight="1" x14ac:dyDescent="0.25">
      <c r="A47" s="30" t="s">
        <v>566</v>
      </c>
      <c r="B47" s="35">
        <v>200</v>
      </c>
      <c r="C47" s="43" t="s">
        <v>566</v>
      </c>
      <c r="D47" s="37">
        <v>0</v>
      </c>
      <c r="E47" s="37"/>
      <c r="F47" s="43"/>
      <c r="G47" s="37" t="b">
        <v>0</v>
      </c>
      <c r="H47" s="35" t="b">
        <v>0</v>
      </c>
      <c r="I47" t="str">
        <f>IFERROR(HYPERLINK("#Main!A"&amp;MATCH(A47,Main!A:A,0),"Open"),HYPERLINK("#Main!A1","Open"))</f>
        <v>Open</v>
      </c>
    </row>
    <row r="48" spans="1:10" ht="30" customHeight="1" x14ac:dyDescent="0.25">
      <c r="A48" s="33" t="s">
        <v>570</v>
      </c>
      <c r="B48" s="35">
        <v>200</v>
      </c>
      <c r="C48" s="31" t="s">
        <v>570</v>
      </c>
      <c r="D48" s="28">
        <v>0</v>
      </c>
      <c r="E48" s="28"/>
      <c r="F48" s="31"/>
      <c r="G48" s="28" t="b">
        <v>0</v>
      </c>
      <c r="H48" s="35" t="b">
        <v>0</v>
      </c>
      <c r="I48" s="34" t="str">
        <f>IFERROR(HYPERLINK("#Main!A"&amp;MATCH(A48,Main!A:A,0),"Open"),HYPERLINK("#Main!A1","Open"))</f>
        <v>Open</v>
      </c>
      <c r="J48" s="34"/>
    </row>
    <row r="49" spans="1:10" ht="30" customHeight="1" x14ac:dyDescent="0.25">
      <c r="A49" s="30" t="s">
        <v>577</v>
      </c>
      <c r="B49" s="35">
        <v>200</v>
      </c>
      <c r="C49" s="43" t="s">
        <v>577</v>
      </c>
      <c r="D49" s="37">
        <v>0</v>
      </c>
      <c r="E49" s="37"/>
      <c r="F49" s="43"/>
      <c r="G49" s="37" t="b">
        <v>0</v>
      </c>
      <c r="H49" s="35" t="b">
        <v>0</v>
      </c>
      <c r="I49" t="str">
        <f>IFERROR(HYPERLINK("#Main!A"&amp;MATCH(A49,Main!A:A,0),"Open"),HYPERLINK("#Main!A1","Open"))</f>
        <v>Open</v>
      </c>
    </row>
    <row r="50" spans="1:10" ht="30" customHeight="1" x14ac:dyDescent="0.25">
      <c r="A50" s="33" t="s">
        <v>579</v>
      </c>
      <c r="B50" s="35">
        <v>200</v>
      </c>
      <c r="C50" s="31" t="s">
        <v>579</v>
      </c>
      <c r="D50" s="28">
        <v>0</v>
      </c>
      <c r="E50" s="28"/>
      <c r="F50" s="31"/>
      <c r="G50" s="28" t="b">
        <v>0</v>
      </c>
      <c r="H50" s="35" t="b">
        <v>0</v>
      </c>
      <c r="I50" s="34" t="str">
        <f>IFERROR(HYPERLINK("#Main!A"&amp;MATCH(A50,Main!A:A,0),"Open"),HYPERLINK("#Main!A1","Open"))</f>
        <v>Open</v>
      </c>
      <c r="J50" s="34"/>
    </row>
    <row r="51" spans="1:10" ht="30" customHeight="1" x14ac:dyDescent="0.25">
      <c r="A51" s="30" t="s">
        <v>573</v>
      </c>
      <c r="B51" s="35">
        <v>200</v>
      </c>
      <c r="C51" s="43" t="s">
        <v>573</v>
      </c>
      <c r="D51" s="37">
        <v>0</v>
      </c>
      <c r="E51" s="37"/>
      <c r="F51" s="43"/>
      <c r="G51" s="37" t="b">
        <v>0</v>
      </c>
      <c r="H51" s="35" t="b">
        <v>0</v>
      </c>
      <c r="I51" t="str">
        <f>IFERROR(HYPERLINK("#Main!A"&amp;MATCH(A51,Main!A:A,0),"Open"),HYPERLINK("#Main!A1","Open"))</f>
        <v>Open</v>
      </c>
    </row>
    <row r="52" spans="1:10" ht="30" customHeight="1" x14ac:dyDescent="0.25">
      <c r="A52" s="33" t="s">
        <v>582</v>
      </c>
      <c r="B52" s="35">
        <v>200</v>
      </c>
      <c r="C52" s="31" t="s">
        <v>582</v>
      </c>
      <c r="D52" s="28">
        <v>0</v>
      </c>
      <c r="E52" s="28"/>
      <c r="F52" s="31"/>
      <c r="G52" s="28" t="b">
        <v>0</v>
      </c>
      <c r="H52" s="35" t="b">
        <v>0</v>
      </c>
      <c r="I52" s="34" t="str">
        <f>IFERROR(HYPERLINK("#Main!A"&amp;MATCH(A52,Main!A:A,0),"Open"),HYPERLINK("#Main!A1","Open"))</f>
        <v>Open</v>
      </c>
      <c r="J52" s="34"/>
    </row>
    <row r="53" spans="1:10" ht="30" customHeight="1" x14ac:dyDescent="0.25">
      <c r="A53" s="30" t="s">
        <v>588</v>
      </c>
      <c r="B53" s="35">
        <v>200</v>
      </c>
      <c r="C53" s="43" t="s">
        <v>588</v>
      </c>
      <c r="D53" s="37">
        <v>0</v>
      </c>
      <c r="E53" s="37"/>
      <c r="F53" s="43"/>
      <c r="G53" s="37" t="b">
        <v>0</v>
      </c>
      <c r="H53" s="35" t="b">
        <v>0</v>
      </c>
      <c r="I53" t="str">
        <f>IFERROR(HYPERLINK("#Main!A"&amp;MATCH(A53,Main!A:A,0),"Open"),HYPERLINK("#Main!A1","Open"))</f>
        <v>Open</v>
      </c>
    </row>
    <row r="54" spans="1:10" ht="30" customHeight="1" x14ac:dyDescent="0.25">
      <c r="A54" s="33" t="s">
        <v>591</v>
      </c>
      <c r="B54" s="35">
        <v>200</v>
      </c>
      <c r="C54" s="31" t="s">
        <v>591</v>
      </c>
      <c r="D54" s="28">
        <v>0</v>
      </c>
      <c r="E54" s="28"/>
      <c r="F54" s="31"/>
      <c r="G54" s="28" t="b">
        <v>0</v>
      </c>
      <c r="H54" s="35" t="b">
        <v>0</v>
      </c>
      <c r="I54" s="34" t="str">
        <f>IFERROR(HYPERLINK("#Main!A"&amp;MATCH(A54,Main!A:A,0),"Open"),HYPERLINK("#Main!A1","Open"))</f>
        <v>Open</v>
      </c>
      <c r="J54" s="34"/>
    </row>
    <row r="55" spans="1:10" ht="30" customHeight="1" x14ac:dyDescent="0.25">
      <c r="A55" s="30" t="s">
        <v>594</v>
      </c>
      <c r="B55" s="35">
        <v>200</v>
      </c>
      <c r="C55" s="43" t="s">
        <v>594</v>
      </c>
      <c r="D55" s="37">
        <v>0</v>
      </c>
      <c r="E55" s="37"/>
      <c r="F55" s="43"/>
      <c r="G55" s="37" t="b">
        <v>0</v>
      </c>
      <c r="H55" s="35" t="b">
        <v>0</v>
      </c>
      <c r="I55" t="str">
        <f>IFERROR(HYPERLINK("#Main!A"&amp;MATCH(A55,Main!A:A,0),"Open"),HYPERLINK("#Main!A1","Open"))</f>
        <v>Open</v>
      </c>
    </row>
    <row r="56" spans="1:10" ht="30" customHeight="1" x14ac:dyDescent="0.25">
      <c r="A56" s="33" t="s">
        <v>585</v>
      </c>
      <c r="B56" s="35">
        <v>200</v>
      </c>
      <c r="C56" s="31" t="s">
        <v>585</v>
      </c>
      <c r="D56" s="28">
        <v>0</v>
      </c>
      <c r="E56" s="28"/>
      <c r="F56" s="31"/>
      <c r="G56" s="28" t="b">
        <v>0</v>
      </c>
      <c r="H56" s="35" t="b">
        <v>0</v>
      </c>
      <c r="I56" s="34" t="str">
        <f>IFERROR(HYPERLINK("#Main!A"&amp;MATCH(A56,Main!A:A,0),"Open"),HYPERLINK("#Main!A1","Open"))</f>
        <v>Open</v>
      </c>
      <c r="J56" s="34"/>
    </row>
    <row r="57" spans="1:10" ht="30" customHeight="1" x14ac:dyDescent="0.25">
      <c r="A57" s="30" t="s">
        <v>597</v>
      </c>
      <c r="B57" s="35">
        <v>200</v>
      </c>
      <c r="C57" s="43" t="s">
        <v>836</v>
      </c>
      <c r="D57" s="37">
        <v>1</v>
      </c>
      <c r="E57" s="37" t="s">
        <v>837</v>
      </c>
      <c r="F57" s="43" t="s">
        <v>838</v>
      </c>
      <c r="G57" s="37" t="b">
        <v>0</v>
      </c>
      <c r="H57" s="35" t="b">
        <v>0</v>
      </c>
      <c r="I57" t="str">
        <f>IFERROR(HYPERLINK("#Main!A"&amp;MATCH(A57,Main!A:A,0),"Open"),HYPERLINK("#Main!A1","Open"))</f>
        <v>Open</v>
      </c>
    </row>
    <row r="58" spans="1:10" ht="30" customHeight="1" x14ac:dyDescent="0.25">
      <c r="A58" s="33" t="s">
        <v>601</v>
      </c>
      <c r="B58" s="35">
        <v>200</v>
      </c>
      <c r="C58" s="31" t="s">
        <v>601</v>
      </c>
      <c r="D58" s="28">
        <v>0</v>
      </c>
      <c r="E58" s="28"/>
      <c r="F58" s="31"/>
      <c r="G58" s="28" t="b">
        <v>0</v>
      </c>
      <c r="H58" s="35" t="b">
        <v>0</v>
      </c>
      <c r="I58" s="34" t="str">
        <f>IFERROR(HYPERLINK("#Main!A"&amp;MATCH(A58,Main!A:A,0),"Open"),HYPERLINK("#Main!A1","Open"))</f>
        <v>Open</v>
      </c>
      <c r="J58" s="34"/>
    </row>
    <row r="59" spans="1:10" ht="30" customHeight="1" x14ac:dyDescent="0.25">
      <c r="A59" s="30" t="s">
        <v>604</v>
      </c>
      <c r="B59" s="35">
        <v>200</v>
      </c>
      <c r="C59" s="43" t="s">
        <v>604</v>
      </c>
      <c r="D59" s="37">
        <v>0</v>
      </c>
      <c r="E59" s="37"/>
      <c r="F59" s="43"/>
      <c r="G59" s="37" t="b">
        <v>0</v>
      </c>
      <c r="H59" s="35" t="b">
        <v>0</v>
      </c>
      <c r="I59" t="str">
        <f>IFERROR(HYPERLINK("#Main!A"&amp;MATCH(A59,Main!A:A,0),"Open"),HYPERLINK("#Main!A1","Open"))</f>
        <v>Open</v>
      </c>
    </row>
    <row r="60" spans="1:10" ht="30" customHeight="1" x14ac:dyDescent="0.25">
      <c r="A60" s="33" t="s">
        <v>608</v>
      </c>
      <c r="B60" s="35">
        <v>200</v>
      </c>
      <c r="C60" s="31" t="s">
        <v>608</v>
      </c>
      <c r="D60" s="28">
        <v>0</v>
      </c>
      <c r="E60" s="28"/>
      <c r="F60" s="31"/>
      <c r="G60" s="28" t="b">
        <v>0</v>
      </c>
      <c r="H60" s="35" t="b">
        <v>0</v>
      </c>
      <c r="I60" s="34" t="str">
        <f>IFERROR(HYPERLINK("#Main!A"&amp;MATCH(A60,Main!A:A,0),"Open"),HYPERLINK("#Main!A1","Open"))</f>
        <v>Open</v>
      </c>
      <c r="J60" s="34"/>
    </row>
    <row r="61" spans="1:10" ht="30" customHeight="1" x14ac:dyDescent="0.25">
      <c r="A61" s="30" t="s">
        <v>611</v>
      </c>
      <c r="B61" s="35">
        <v>200</v>
      </c>
      <c r="C61" s="43" t="s">
        <v>611</v>
      </c>
      <c r="D61" s="37">
        <v>0</v>
      </c>
      <c r="E61" s="37"/>
      <c r="F61" s="43"/>
      <c r="G61" s="37" t="b">
        <v>0</v>
      </c>
      <c r="H61" s="35" t="b">
        <v>0</v>
      </c>
      <c r="I61" t="str">
        <f>IFERROR(HYPERLINK("#Main!A"&amp;MATCH(A61,Main!A:A,0),"Open"),HYPERLINK("#Main!A1","Open"))</f>
        <v>Open</v>
      </c>
    </row>
    <row r="62" spans="1:10" ht="30" customHeight="1" x14ac:dyDescent="0.25">
      <c r="A62" s="33" t="s">
        <v>615</v>
      </c>
      <c r="B62" s="35">
        <v>200</v>
      </c>
      <c r="C62" s="31" t="s">
        <v>615</v>
      </c>
      <c r="D62" s="28">
        <v>0</v>
      </c>
      <c r="E62" s="28"/>
      <c r="F62" s="31"/>
      <c r="G62" s="28" t="b">
        <v>0</v>
      </c>
      <c r="H62" s="35" t="b">
        <v>0</v>
      </c>
      <c r="I62" s="34" t="str">
        <f>IFERROR(HYPERLINK("#Main!A"&amp;MATCH(A62,Main!A:A,0),"Open"),HYPERLINK("#Main!A1","Open"))</f>
        <v>Open</v>
      </c>
      <c r="J62" s="34"/>
    </row>
    <row r="63" spans="1:10" ht="30" customHeight="1" x14ac:dyDescent="0.25">
      <c r="A63" s="30" t="s">
        <v>618</v>
      </c>
      <c r="B63" s="35">
        <v>200</v>
      </c>
      <c r="C63" s="43" t="s">
        <v>618</v>
      </c>
      <c r="D63" s="37">
        <v>0</v>
      </c>
      <c r="E63" s="37"/>
      <c r="F63" s="43"/>
      <c r="G63" s="37" t="b">
        <v>0</v>
      </c>
      <c r="H63" s="35" t="b">
        <v>0</v>
      </c>
      <c r="I63" t="str">
        <f>IFERROR(HYPERLINK("#Main!A"&amp;MATCH(A63,Main!A:A,0),"Open"),HYPERLINK("#Main!A1","Open"))</f>
        <v>Open</v>
      </c>
    </row>
    <row r="64" spans="1:10" ht="30" customHeight="1" x14ac:dyDescent="0.25">
      <c r="A64" s="33" t="s">
        <v>621</v>
      </c>
      <c r="B64" s="35">
        <v>200</v>
      </c>
      <c r="C64" s="31" t="s">
        <v>621</v>
      </c>
      <c r="D64" s="28">
        <v>0</v>
      </c>
      <c r="E64" s="28"/>
      <c r="F64" s="31"/>
      <c r="G64" s="28" t="b">
        <v>0</v>
      </c>
      <c r="H64" s="35" t="b">
        <v>0</v>
      </c>
      <c r="I64" s="34" t="str">
        <f>IFERROR(HYPERLINK("#Main!A"&amp;MATCH(A64,Main!A:A,0),"Open"),HYPERLINK("#Main!A1","Open"))</f>
        <v>Open</v>
      </c>
      <c r="J64" s="34"/>
    </row>
    <row r="65" spans="1:10" ht="30" customHeight="1" x14ac:dyDescent="0.25">
      <c r="A65" s="30" t="s">
        <v>624</v>
      </c>
      <c r="B65" s="35">
        <v>200</v>
      </c>
      <c r="C65" s="43" t="s">
        <v>624</v>
      </c>
      <c r="D65" s="37">
        <v>0</v>
      </c>
      <c r="E65" s="37"/>
      <c r="F65" s="43"/>
      <c r="G65" s="37" t="b">
        <v>0</v>
      </c>
      <c r="H65" s="35" t="b">
        <v>0</v>
      </c>
      <c r="I65" t="str">
        <f>IFERROR(HYPERLINK("#Main!A"&amp;MATCH(A65,Main!A:A,0),"Open"),HYPERLINK("#Main!A1","Open"))</f>
        <v>Open</v>
      </c>
    </row>
    <row r="66" spans="1:10" ht="30" customHeight="1" x14ac:dyDescent="0.25">
      <c r="A66" s="33" t="s">
        <v>626</v>
      </c>
      <c r="B66" s="35">
        <v>200</v>
      </c>
      <c r="C66" s="31" t="s">
        <v>626</v>
      </c>
      <c r="D66" s="28">
        <v>0</v>
      </c>
      <c r="E66" s="28"/>
      <c r="F66" s="31"/>
      <c r="G66" s="28" t="b">
        <v>0</v>
      </c>
      <c r="H66" s="35" t="b">
        <v>0</v>
      </c>
      <c r="I66" s="34" t="str">
        <f>IFERROR(HYPERLINK("#Main!A"&amp;MATCH(A66,Main!A:A,0),"Open"),HYPERLINK("#Main!A1","Open"))</f>
        <v>Open</v>
      </c>
      <c r="J66" s="34"/>
    </row>
    <row r="67" spans="1:10" ht="30" customHeight="1" x14ac:dyDescent="0.25">
      <c r="A67" s="30" t="s">
        <v>629</v>
      </c>
      <c r="B67" s="35">
        <v>200</v>
      </c>
      <c r="C67" s="43" t="s">
        <v>629</v>
      </c>
      <c r="D67" s="37">
        <v>0</v>
      </c>
      <c r="E67" s="37"/>
      <c r="F67" s="43"/>
      <c r="G67" s="37" t="b">
        <v>0</v>
      </c>
      <c r="H67" s="35" t="b">
        <v>0</v>
      </c>
      <c r="I67" t="str">
        <f>IFERROR(HYPERLINK("#Main!A"&amp;MATCH(A67,Main!A:A,0),"Open"),HYPERLINK("#Main!A1","Open"))</f>
        <v>Open</v>
      </c>
    </row>
    <row r="68" spans="1:10" ht="30" customHeight="1" x14ac:dyDescent="0.25">
      <c r="A68" s="33" t="s">
        <v>632</v>
      </c>
      <c r="B68" s="35">
        <v>200</v>
      </c>
      <c r="C68" s="31" t="s">
        <v>632</v>
      </c>
      <c r="D68" s="28">
        <v>0</v>
      </c>
      <c r="E68" s="28"/>
      <c r="F68" s="31"/>
      <c r="G68" s="28" t="b">
        <v>0</v>
      </c>
      <c r="H68" s="35" t="b">
        <v>0</v>
      </c>
      <c r="I68" s="34" t="str">
        <f>IFERROR(HYPERLINK("#Main!A"&amp;MATCH(A68,Main!A:A,0),"Open"),HYPERLINK("#Main!A1","Open"))</f>
        <v>Open</v>
      </c>
      <c r="J68" s="34"/>
    </row>
    <row r="69" spans="1:10" ht="31.5" x14ac:dyDescent="0.25">
      <c r="A69" s="30" t="s">
        <v>635</v>
      </c>
      <c r="B69" s="35">
        <v>200</v>
      </c>
      <c r="C69" s="43" t="s">
        <v>635</v>
      </c>
      <c r="D69" s="37">
        <v>0</v>
      </c>
      <c r="E69" s="37"/>
      <c r="F69" s="43"/>
      <c r="G69" s="37" t="b">
        <v>0</v>
      </c>
      <c r="H69" s="35" t="b">
        <v>0</v>
      </c>
      <c r="I69" t="str">
        <f>IFERROR(HYPERLINK("#Main!A"&amp;MATCH(A69,Main!A:A,0),"Open"),HYPERLINK("#Main!A1","Open"))</f>
        <v>Open</v>
      </c>
    </row>
    <row r="70" spans="1:10" ht="30" customHeight="1" x14ac:dyDescent="0.25">
      <c r="A70" s="33" t="s">
        <v>638</v>
      </c>
      <c r="B70" s="35">
        <v>200</v>
      </c>
      <c r="C70" s="31" t="s">
        <v>638</v>
      </c>
      <c r="D70" s="28">
        <v>0</v>
      </c>
      <c r="E70" s="28"/>
      <c r="F70" s="31"/>
      <c r="G70" s="28" t="b">
        <v>0</v>
      </c>
      <c r="H70" s="35" t="b">
        <v>0</v>
      </c>
      <c r="I70" s="34" t="str">
        <f>IFERROR(HYPERLINK("#Main!A"&amp;MATCH(A70,Main!A:A,0),"Open"),HYPERLINK("#Main!A1","Open"))</f>
        <v>Open</v>
      </c>
      <c r="J70" s="34"/>
    </row>
    <row r="71" spans="1:10" ht="30" customHeight="1" x14ac:dyDescent="0.25">
      <c r="A71" s="30" t="s">
        <v>641</v>
      </c>
      <c r="B71" s="35">
        <v>200</v>
      </c>
      <c r="C71" s="43" t="s">
        <v>641</v>
      </c>
      <c r="D71" s="37">
        <v>0</v>
      </c>
      <c r="E71" s="37"/>
      <c r="F71" s="43"/>
      <c r="G71" s="37" t="b">
        <v>0</v>
      </c>
      <c r="H71" s="35" t="b">
        <v>0</v>
      </c>
      <c r="I71" t="str">
        <f>IFERROR(HYPERLINK("#Main!A"&amp;MATCH(A71,Main!A:A,0),"Open"),HYPERLINK("#Main!A1","Open"))</f>
        <v>Open</v>
      </c>
    </row>
    <row r="72" spans="1:10" ht="30" customHeight="1" x14ac:dyDescent="0.25">
      <c r="A72" s="33" t="s">
        <v>644</v>
      </c>
      <c r="B72" s="35">
        <v>200</v>
      </c>
      <c r="C72" s="31" t="s">
        <v>644</v>
      </c>
      <c r="D72" s="28">
        <v>0</v>
      </c>
      <c r="E72" s="28"/>
      <c r="F72" s="31"/>
      <c r="G72" s="28" t="b">
        <v>0</v>
      </c>
      <c r="H72" s="35" t="b">
        <v>0</v>
      </c>
      <c r="I72" s="34" t="str">
        <f>IFERROR(HYPERLINK("#Main!A"&amp;MATCH(A72,Main!A:A,0),"Open"),HYPERLINK("#Main!A1","Open"))</f>
        <v>Open</v>
      </c>
      <c r="J72" s="34"/>
    </row>
    <row r="73" spans="1:10" ht="30" customHeight="1" x14ac:dyDescent="0.25">
      <c r="A73" s="30" t="s">
        <v>647</v>
      </c>
      <c r="B73" s="35">
        <v>200</v>
      </c>
      <c r="C73" s="43" t="s">
        <v>647</v>
      </c>
      <c r="D73" s="37">
        <v>0</v>
      </c>
      <c r="E73" s="37"/>
      <c r="F73" s="43"/>
      <c r="G73" s="37" t="b">
        <v>0</v>
      </c>
      <c r="H73" s="35" t="b">
        <v>0</v>
      </c>
      <c r="I73" t="str">
        <f>IFERROR(HYPERLINK("#Main!A"&amp;MATCH(A73,Main!A:A,0),"Open"),HYPERLINK("#Main!A1","Open"))</f>
        <v>Open</v>
      </c>
    </row>
    <row r="74" spans="1:10" ht="30" customHeight="1" x14ac:dyDescent="0.25">
      <c r="A74" s="33" t="s">
        <v>652</v>
      </c>
      <c r="B74" s="35">
        <v>200</v>
      </c>
      <c r="C74" s="31" t="s">
        <v>652</v>
      </c>
      <c r="D74" s="28">
        <v>0</v>
      </c>
      <c r="E74" s="28"/>
      <c r="F74" s="31"/>
      <c r="G74" s="28" t="b">
        <v>0</v>
      </c>
      <c r="H74" s="35" t="b">
        <v>0</v>
      </c>
      <c r="I74" s="34" t="str">
        <f>IFERROR(HYPERLINK("#Main!A"&amp;MATCH(A74,Main!A:A,0),"Open"),HYPERLINK("#Main!A1","Open"))</f>
        <v>Open</v>
      </c>
      <c r="J74" s="34"/>
    </row>
    <row r="75" spans="1:10" ht="30" customHeight="1" x14ac:dyDescent="0.25">
      <c r="A75" s="30" t="s">
        <v>650</v>
      </c>
      <c r="B75" s="35">
        <v>200</v>
      </c>
      <c r="C75" s="43" t="s">
        <v>650</v>
      </c>
      <c r="D75" s="37">
        <v>0</v>
      </c>
      <c r="E75" s="37"/>
      <c r="F75" s="43"/>
      <c r="G75" s="37" t="b">
        <v>0</v>
      </c>
      <c r="H75" s="35" t="b">
        <v>0</v>
      </c>
      <c r="I75" t="str">
        <f>IFERROR(HYPERLINK("#Main!A"&amp;MATCH(A75,Main!A:A,0),"Open"),HYPERLINK("#Main!A1","Open"))</f>
        <v>Open</v>
      </c>
    </row>
    <row r="76" spans="1:10" ht="30" customHeight="1" x14ac:dyDescent="0.25">
      <c r="A76" s="33" t="s">
        <v>655</v>
      </c>
      <c r="B76" s="35">
        <v>200</v>
      </c>
      <c r="C76" s="31" t="s">
        <v>655</v>
      </c>
      <c r="D76" s="28">
        <v>0</v>
      </c>
      <c r="E76" s="28"/>
      <c r="F76" s="31"/>
      <c r="G76" s="28" t="b">
        <v>0</v>
      </c>
      <c r="H76" s="35" t="b">
        <v>0</v>
      </c>
      <c r="I76" s="34" t="str">
        <f>IFERROR(HYPERLINK("#Main!A"&amp;MATCH(A76,Main!A:A,0),"Open"),HYPERLINK("#Main!A1","Open"))</f>
        <v>Open</v>
      </c>
      <c r="J76" s="34"/>
    </row>
    <row r="77" spans="1:10" ht="30" customHeight="1" x14ac:dyDescent="0.25">
      <c r="A77" s="30" t="s">
        <v>658</v>
      </c>
      <c r="B77" s="35">
        <v>200</v>
      </c>
      <c r="C77" s="43" t="s">
        <v>658</v>
      </c>
      <c r="D77" s="37">
        <v>0</v>
      </c>
      <c r="E77" s="37"/>
      <c r="F77" s="43"/>
      <c r="G77" s="37" t="b">
        <v>0</v>
      </c>
      <c r="H77" s="35" t="b">
        <v>0</v>
      </c>
      <c r="I77" t="str">
        <f>IFERROR(HYPERLINK("#Main!A"&amp;MATCH(A77,Main!A:A,0),"Open"),HYPERLINK("#Main!A1","Open"))</f>
        <v>Open</v>
      </c>
    </row>
    <row r="78" spans="1:10" ht="30" customHeight="1" x14ac:dyDescent="0.25">
      <c r="A78" s="33" t="s">
        <v>661</v>
      </c>
      <c r="B78" s="35">
        <v>200</v>
      </c>
      <c r="C78" s="31" t="s">
        <v>661</v>
      </c>
      <c r="D78" s="28">
        <v>0</v>
      </c>
      <c r="E78" s="28"/>
      <c r="F78" s="31"/>
      <c r="G78" s="28" t="b">
        <v>0</v>
      </c>
      <c r="H78" s="35" t="b">
        <v>0</v>
      </c>
      <c r="I78" s="34" t="str">
        <f>IFERROR(HYPERLINK("#Main!A"&amp;MATCH(A78,Main!A:A,0),"Open"),HYPERLINK("#Main!A1","Open"))</f>
        <v>Open</v>
      </c>
      <c r="J78" s="34"/>
    </row>
    <row r="79" spans="1:10" ht="30" customHeight="1" x14ac:dyDescent="0.25">
      <c r="A79" s="30" t="s">
        <v>664</v>
      </c>
      <c r="B79" s="35">
        <v>200</v>
      </c>
      <c r="C79" s="43" t="s">
        <v>664</v>
      </c>
      <c r="D79" s="37">
        <v>0</v>
      </c>
      <c r="E79" s="37"/>
      <c r="F79" s="43"/>
      <c r="G79" s="37" t="b">
        <v>0</v>
      </c>
      <c r="H79" s="35" t="b">
        <v>0</v>
      </c>
      <c r="I79" t="str">
        <f>IFERROR(HYPERLINK("#Main!A"&amp;MATCH(A79,Main!A:A,0),"Open"),HYPERLINK("#Main!A1","Open"))</f>
        <v>Open</v>
      </c>
    </row>
    <row r="80" spans="1:10" ht="30" customHeight="1" x14ac:dyDescent="0.25">
      <c r="A80" s="33" t="s">
        <v>670</v>
      </c>
      <c r="B80" s="35">
        <v>200</v>
      </c>
      <c r="C80" s="31" t="s">
        <v>670</v>
      </c>
      <c r="D80" s="28">
        <v>0</v>
      </c>
      <c r="E80" s="28"/>
      <c r="F80" s="31"/>
      <c r="G80" s="28" t="b">
        <v>0</v>
      </c>
      <c r="H80" s="35" t="b">
        <v>0</v>
      </c>
      <c r="I80" s="34" t="str">
        <f>IFERROR(HYPERLINK("#Main!A"&amp;MATCH(A80,Main!A:A,0),"Open"),HYPERLINK("#Main!A1","Open"))</f>
        <v>Open</v>
      </c>
      <c r="J80" s="34"/>
    </row>
    <row r="81" spans="1:10" ht="30" customHeight="1" x14ac:dyDescent="0.25">
      <c r="A81" s="30" t="s">
        <v>667</v>
      </c>
      <c r="B81" s="35">
        <v>200</v>
      </c>
      <c r="C81" s="43" t="s">
        <v>667</v>
      </c>
      <c r="D81" s="37">
        <v>0</v>
      </c>
      <c r="E81" s="37"/>
      <c r="F81" s="43"/>
      <c r="G81" s="37" t="b">
        <v>0</v>
      </c>
      <c r="H81" s="35" t="b">
        <v>0</v>
      </c>
      <c r="I81" t="str">
        <f>IFERROR(HYPERLINK("#Main!A"&amp;MATCH(A81,Main!A:A,0),"Open"),HYPERLINK("#Main!A1","Open"))</f>
        <v>Open</v>
      </c>
    </row>
    <row r="82" spans="1:10" ht="30" customHeight="1" x14ac:dyDescent="0.25">
      <c r="A82" s="33" t="s">
        <v>673</v>
      </c>
      <c r="B82" s="35">
        <v>200</v>
      </c>
      <c r="C82" s="31" t="s">
        <v>673</v>
      </c>
      <c r="D82" s="28">
        <v>0</v>
      </c>
      <c r="E82" s="28"/>
      <c r="F82" s="31"/>
      <c r="G82" s="28" t="b">
        <v>0</v>
      </c>
      <c r="H82" s="35" t="b">
        <v>0</v>
      </c>
      <c r="I82" s="34" t="str">
        <f>IFERROR(HYPERLINK("#Main!A"&amp;MATCH(A82,Main!A:A,0),"Open"),HYPERLINK("#Main!A1","Open"))</f>
        <v>Open</v>
      </c>
      <c r="J82" s="34"/>
    </row>
    <row r="83" spans="1:10" ht="30" customHeight="1" x14ac:dyDescent="0.25">
      <c r="A83" s="30" t="s">
        <v>677</v>
      </c>
      <c r="B83" s="35">
        <v>200</v>
      </c>
      <c r="C83" s="43" t="s">
        <v>677</v>
      </c>
      <c r="D83" s="37">
        <v>0</v>
      </c>
      <c r="E83" s="37"/>
      <c r="F83" s="43"/>
      <c r="G83" s="37" t="b">
        <v>0</v>
      </c>
      <c r="H83" s="35" t="b">
        <v>0</v>
      </c>
      <c r="I83" t="str">
        <f>IFERROR(HYPERLINK("#Main!A"&amp;MATCH(A83,Main!A:A,0),"Open"),HYPERLINK("#Main!A1","Open"))</f>
        <v>Open</v>
      </c>
    </row>
    <row r="84" spans="1:10" ht="30" customHeight="1" x14ac:dyDescent="0.25">
      <c r="A84" s="33" t="s">
        <v>680</v>
      </c>
      <c r="B84" s="35">
        <v>200</v>
      </c>
      <c r="C84" s="31" t="s">
        <v>680</v>
      </c>
      <c r="D84" s="28">
        <v>0</v>
      </c>
      <c r="E84" s="28"/>
      <c r="F84" s="31"/>
      <c r="G84" s="28" t="b">
        <v>0</v>
      </c>
      <c r="H84" s="35" t="b">
        <v>0</v>
      </c>
      <c r="I84" s="34" t="str">
        <f>IFERROR(HYPERLINK("#Main!A"&amp;MATCH(A84,Main!A:A,0),"Open"),HYPERLINK("#Main!A1","Open"))</f>
        <v>Open</v>
      </c>
      <c r="J84" s="34"/>
    </row>
    <row r="85" spans="1:10" ht="30" customHeight="1" x14ac:dyDescent="0.25">
      <c r="A85" s="30" t="s">
        <v>683</v>
      </c>
      <c r="B85" s="35">
        <v>200</v>
      </c>
      <c r="C85" s="43" t="s">
        <v>683</v>
      </c>
      <c r="D85" s="37">
        <v>0</v>
      </c>
      <c r="E85" s="37"/>
      <c r="F85" s="43"/>
      <c r="G85" s="37" t="b">
        <v>0</v>
      </c>
      <c r="H85" s="35" t="b">
        <v>0</v>
      </c>
      <c r="I85" t="str">
        <f>IFERROR(HYPERLINK("#Main!A"&amp;MATCH(A85,Main!A:A,0),"Open"),HYPERLINK("#Main!A1","Open"))</f>
        <v>Open</v>
      </c>
    </row>
    <row r="86" spans="1:10" ht="30" customHeight="1" x14ac:dyDescent="0.25">
      <c r="A86" s="33" t="s">
        <v>686</v>
      </c>
      <c r="B86" s="35">
        <v>200</v>
      </c>
      <c r="C86" s="31" t="s">
        <v>686</v>
      </c>
      <c r="D86" s="28">
        <v>0</v>
      </c>
      <c r="E86" s="28"/>
      <c r="F86" s="31"/>
      <c r="G86" s="28" t="b">
        <v>0</v>
      </c>
      <c r="H86" s="35" t="b">
        <v>0</v>
      </c>
      <c r="I86" s="34" t="str">
        <f>IFERROR(HYPERLINK("#Main!A"&amp;MATCH(A86,Main!A:A,0),"Open"),HYPERLINK("#Main!A1","Open"))</f>
        <v>Open</v>
      </c>
      <c r="J86" s="34"/>
    </row>
  </sheetData>
  <autoFilter ref="A1:J86" xr:uid="{00000000-0009-0000-0000-00000C000000}"/>
  <conditionalFormatting sqref="B2:B86">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dataValidations count="10">
    <dataValidation type="custom" allowBlank="1" showInputMessage="1" promptTitle="URL" prompt="URL. Use this URL to inspect the page directly or jump to related tabs." sqref="A1" xr:uid="{00000000-0002-0000-0C00-000000000000}">
      <formula1>TRUE</formula1>
    </dataValidation>
    <dataValidation type="custom" allowBlank="1" showInputMessage="1" promptTitle="Status Code" prompt="HTTP response code returned for this page/resource. Fix: Resolve 4xx/5xx errors and reduce unnecessary redirects." sqref="B1" xr:uid="{00000000-0002-0000-0C00-000001000000}">
      <formula1>TRUE</formula1>
    </dataValidation>
    <dataValidation type="custom" allowBlank="1" showInputMessage="1" promptTitle="Final URL" prompt="Final URL. Use this URL to inspect the page directly or jump to related tabs." sqref="C1" xr:uid="{00000000-0002-0000-0C00-000002000000}">
      <formula1>TRUE</formula1>
    </dataValidation>
    <dataValidation type="custom" allowBlank="1" showInputMessage="1" promptTitle="Redirect Chain Length" prompt="Redirect Chain Length. Review this metric to identify risk, then use linked tabs for details and remediation." sqref="D1" xr:uid="{00000000-0002-0000-0C00-000003000000}">
      <formula1>TRUE</formula1>
    </dataValidation>
    <dataValidation type="custom" allowBlank="1" showInputMessage="1" promptTitle="Redirect Target" prompt="Redirect Target. Review this metric to identify risk, then use linked tabs for details and remediation." sqref="E1" xr:uid="{00000000-0002-0000-0C00-000004000000}">
      <formula1>TRUE</formula1>
    </dataValidation>
    <dataValidation type="custom" allowBlank="1" showInputMessage="1" promptTitle="Redirect Hops" prompt="Redirect Hops. Review this metric to identify risk, then use linked tabs for details and remediation." sqref="F1" xr:uid="{00000000-0002-0000-0C00-000005000000}">
      <formula1>TRUE</formula1>
    </dataValidation>
    <dataValidation type="custom" allowBlank="1" showInputMessage="1" promptTitle="HTTP-&gt;HTTPS Redirect" prompt="HTTP-&gt;HTTPS Redirect. Review this metric to identify risk, then use linked tabs for details and remediation." sqref="G1" xr:uid="{00000000-0002-0000-0C00-000006000000}">
      <formula1>TRUE</formula1>
    </dataValidation>
    <dataValidation type="custom" allowBlank="1" showInputMessage="1" promptTitle="Redirect Loop Flag" prompt="Redirect Loop Flag. Review this metric to identify risk, then use linked tabs for details and remediation." sqref="H1" xr:uid="{00000000-0002-0000-0C00-000007000000}">
      <formula1>TRUE</formula1>
    </dataValidation>
    <dataValidation type="custom" allowBlank="1" showInputMessage="1" promptTitle="Open in Main" prompt="Navigation helper. Click to jump directly to the related record in another tab." sqref="I1" xr:uid="{00000000-0002-0000-0C00-000008000000}">
      <formula1>TRUE</formula1>
    </dataValidation>
    <dataValidation type="custom" allowBlank="1" showInputMessage="1" promptTitle="BACK TO DASHBOARD" prompt="BACK TO DASHBOARD. Review this metric to identify risk, then use linked tabs for details and remediation." sqref="J1" xr:uid="{00000000-0002-0000-0C00-000009000000}">
      <formula1>TRUE</formula1>
    </dataValidation>
  </dataValidations>
  <hyperlinks>
    <hyperlink ref="J1" location="Dashboard!A1" display="BACK TO DASHBOARD" xr:uid="{00000000-0004-0000-0C00-000000000000}"/>
    <hyperlink ref="A2" r:id="rId1" xr:uid="{00000000-0004-0000-0C00-000001000000}"/>
    <hyperlink ref="A3" r:id="rId2" xr:uid="{00000000-0004-0000-0C00-000002000000}"/>
    <hyperlink ref="A4" r:id="rId3" xr:uid="{00000000-0004-0000-0C00-000003000000}"/>
    <hyperlink ref="A5" r:id="rId4" xr:uid="{00000000-0004-0000-0C00-000004000000}"/>
    <hyperlink ref="A6" r:id="rId5" xr:uid="{00000000-0004-0000-0C00-000005000000}"/>
    <hyperlink ref="A7" r:id="rId6" xr:uid="{00000000-0004-0000-0C00-000006000000}"/>
    <hyperlink ref="A8" r:id="rId7" xr:uid="{00000000-0004-0000-0C00-000007000000}"/>
    <hyperlink ref="A9" r:id="rId8" xr:uid="{00000000-0004-0000-0C00-000008000000}"/>
    <hyperlink ref="A10" r:id="rId9" xr:uid="{00000000-0004-0000-0C00-000009000000}"/>
    <hyperlink ref="A11" r:id="rId10" xr:uid="{00000000-0004-0000-0C00-00000A000000}"/>
    <hyperlink ref="A12" r:id="rId11" xr:uid="{00000000-0004-0000-0C00-00000B000000}"/>
    <hyperlink ref="A13" r:id="rId12" xr:uid="{00000000-0004-0000-0C00-00000C000000}"/>
    <hyperlink ref="A14" r:id="rId13" xr:uid="{00000000-0004-0000-0C00-00000D000000}"/>
    <hyperlink ref="A15" r:id="rId14" xr:uid="{00000000-0004-0000-0C00-00000E000000}"/>
    <hyperlink ref="A16" r:id="rId15" xr:uid="{00000000-0004-0000-0C00-00000F000000}"/>
    <hyperlink ref="A17" r:id="rId16" xr:uid="{00000000-0004-0000-0C00-000010000000}"/>
    <hyperlink ref="A18" r:id="rId17" xr:uid="{00000000-0004-0000-0C00-000011000000}"/>
    <hyperlink ref="A19" r:id="rId18" xr:uid="{00000000-0004-0000-0C00-000012000000}"/>
    <hyperlink ref="A20" r:id="rId19" xr:uid="{00000000-0004-0000-0C00-000013000000}"/>
    <hyperlink ref="A21" r:id="rId20" xr:uid="{00000000-0004-0000-0C00-000014000000}"/>
    <hyperlink ref="A22" r:id="rId21" xr:uid="{00000000-0004-0000-0C00-000015000000}"/>
    <hyperlink ref="A23" r:id="rId22" xr:uid="{00000000-0004-0000-0C00-000016000000}"/>
    <hyperlink ref="A24" r:id="rId23" xr:uid="{00000000-0004-0000-0C00-000017000000}"/>
    <hyperlink ref="A25" r:id="rId24" xr:uid="{00000000-0004-0000-0C00-000018000000}"/>
    <hyperlink ref="A26" r:id="rId25" xr:uid="{00000000-0004-0000-0C00-000019000000}"/>
    <hyperlink ref="A27" r:id="rId26" xr:uid="{00000000-0004-0000-0C00-00001A000000}"/>
    <hyperlink ref="A28" r:id="rId27" xr:uid="{00000000-0004-0000-0C00-00001B000000}"/>
    <hyperlink ref="A29" r:id="rId28" xr:uid="{00000000-0004-0000-0C00-00001C000000}"/>
    <hyperlink ref="A30" r:id="rId29" xr:uid="{00000000-0004-0000-0C00-00001D000000}"/>
    <hyperlink ref="A31" r:id="rId30" xr:uid="{00000000-0004-0000-0C00-00001E000000}"/>
    <hyperlink ref="A32" r:id="rId31" xr:uid="{00000000-0004-0000-0C00-00001F000000}"/>
    <hyperlink ref="A33" r:id="rId32" xr:uid="{00000000-0004-0000-0C00-000020000000}"/>
    <hyperlink ref="A34" r:id="rId33" xr:uid="{00000000-0004-0000-0C00-000021000000}"/>
    <hyperlink ref="A35" r:id="rId34" xr:uid="{00000000-0004-0000-0C00-000022000000}"/>
    <hyperlink ref="A36" r:id="rId35" xr:uid="{00000000-0004-0000-0C00-000023000000}"/>
    <hyperlink ref="A37" r:id="rId36" xr:uid="{00000000-0004-0000-0C00-000024000000}"/>
    <hyperlink ref="A38" r:id="rId37" xr:uid="{00000000-0004-0000-0C00-000025000000}"/>
    <hyperlink ref="A39" r:id="rId38" xr:uid="{00000000-0004-0000-0C00-000026000000}"/>
    <hyperlink ref="A40" r:id="rId39" xr:uid="{00000000-0004-0000-0C00-000027000000}"/>
    <hyperlink ref="A41" r:id="rId40" xr:uid="{00000000-0004-0000-0C00-000028000000}"/>
    <hyperlink ref="A42" r:id="rId41" xr:uid="{00000000-0004-0000-0C00-000029000000}"/>
    <hyperlink ref="A43" r:id="rId42" xr:uid="{00000000-0004-0000-0C00-00002A000000}"/>
    <hyperlink ref="A44" r:id="rId43" xr:uid="{00000000-0004-0000-0C00-00002B000000}"/>
    <hyperlink ref="A45" r:id="rId44" xr:uid="{00000000-0004-0000-0C00-00002C000000}"/>
    <hyperlink ref="A46" r:id="rId45" xr:uid="{00000000-0004-0000-0C00-00002D000000}"/>
    <hyperlink ref="A47" r:id="rId46" xr:uid="{00000000-0004-0000-0C00-00002E000000}"/>
    <hyperlink ref="A48" r:id="rId47" xr:uid="{00000000-0004-0000-0C00-00002F000000}"/>
    <hyperlink ref="A49" r:id="rId48" xr:uid="{00000000-0004-0000-0C00-000030000000}"/>
    <hyperlink ref="A50" r:id="rId49" xr:uid="{00000000-0004-0000-0C00-000031000000}"/>
    <hyperlink ref="A51" r:id="rId50" xr:uid="{00000000-0004-0000-0C00-000032000000}"/>
    <hyperlink ref="A52" r:id="rId51" xr:uid="{00000000-0004-0000-0C00-000033000000}"/>
    <hyperlink ref="A53" r:id="rId52" xr:uid="{00000000-0004-0000-0C00-000034000000}"/>
    <hyperlink ref="A54" r:id="rId53" xr:uid="{00000000-0004-0000-0C00-000035000000}"/>
    <hyperlink ref="A55" r:id="rId54" xr:uid="{00000000-0004-0000-0C00-000036000000}"/>
    <hyperlink ref="A56" r:id="rId55" xr:uid="{00000000-0004-0000-0C00-000037000000}"/>
    <hyperlink ref="A57" r:id="rId56" xr:uid="{00000000-0004-0000-0C00-000038000000}"/>
    <hyperlink ref="A58" r:id="rId57" xr:uid="{00000000-0004-0000-0C00-000039000000}"/>
    <hyperlink ref="A59" r:id="rId58" xr:uid="{00000000-0004-0000-0C00-00003A000000}"/>
    <hyperlink ref="A60" r:id="rId59" xr:uid="{00000000-0004-0000-0C00-00003B000000}"/>
    <hyperlink ref="A61" r:id="rId60" xr:uid="{00000000-0004-0000-0C00-00003C000000}"/>
    <hyperlink ref="A62" r:id="rId61" xr:uid="{00000000-0004-0000-0C00-00003D000000}"/>
    <hyperlink ref="A63" r:id="rId62" xr:uid="{00000000-0004-0000-0C00-00003E000000}"/>
    <hyperlink ref="A64" r:id="rId63" xr:uid="{00000000-0004-0000-0C00-00003F000000}"/>
    <hyperlink ref="A65" r:id="rId64" xr:uid="{00000000-0004-0000-0C00-000040000000}"/>
    <hyperlink ref="A66" r:id="rId65" xr:uid="{00000000-0004-0000-0C00-000041000000}"/>
    <hyperlink ref="A67" r:id="rId66" xr:uid="{00000000-0004-0000-0C00-000042000000}"/>
    <hyperlink ref="A68" r:id="rId67" xr:uid="{00000000-0004-0000-0C00-000043000000}"/>
    <hyperlink ref="A69" r:id="rId68" xr:uid="{00000000-0004-0000-0C00-000044000000}"/>
    <hyperlink ref="A70" r:id="rId69" xr:uid="{00000000-0004-0000-0C00-000045000000}"/>
    <hyperlink ref="A71" r:id="rId70" xr:uid="{00000000-0004-0000-0C00-000046000000}"/>
    <hyperlink ref="A72" r:id="rId71" xr:uid="{00000000-0004-0000-0C00-000047000000}"/>
    <hyperlink ref="A73" r:id="rId72" xr:uid="{00000000-0004-0000-0C00-000048000000}"/>
    <hyperlink ref="A74" r:id="rId73" xr:uid="{00000000-0004-0000-0C00-000049000000}"/>
    <hyperlink ref="A75" r:id="rId74" xr:uid="{00000000-0004-0000-0C00-00004A000000}"/>
    <hyperlink ref="A76" r:id="rId75" xr:uid="{00000000-0004-0000-0C00-00004B000000}"/>
    <hyperlink ref="A77" r:id="rId76" xr:uid="{00000000-0004-0000-0C00-00004C000000}"/>
    <hyperlink ref="A78" r:id="rId77" xr:uid="{00000000-0004-0000-0C00-00004D000000}"/>
    <hyperlink ref="A79" r:id="rId78" xr:uid="{00000000-0004-0000-0C00-00004E000000}"/>
    <hyperlink ref="A80" r:id="rId79" xr:uid="{00000000-0004-0000-0C00-00004F000000}"/>
    <hyperlink ref="A81" r:id="rId80" xr:uid="{00000000-0004-0000-0C00-000050000000}"/>
    <hyperlink ref="A82" r:id="rId81" xr:uid="{00000000-0004-0000-0C00-000051000000}"/>
    <hyperlink ref="A83" r:id="rId82" xr:uid="{00000000-0004-0000-0C00-000052000000}"/>
    <hyperlink ref="A84" r:id="rId83" xr:uid="{00000000-0004-0000-0C00-000053000000}"/>
    <hyperlink ref="A85" r:id="rId84" xr:uid="{00000000-0004-0000-0C00-000054000000}"/>
    <hyperlink ref="A86" r:id="rId85" xr:uid="{00000000-0004-0000-0C00-000055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9" customWidth="1"/>
    <col min="7" max="7" width="16" customWidth="1"/>
    <col min="8" max="8" width="23" customWidth="1"/>
    <col min="9" max="9" width="22" customWidth="1"/>
    <col min="10" max="10" width="15" customWidth="1"/>
    <col min="11" max="11" width="33" customWidth="1"/>
    <col min="12" max="12" width="7" customWidth="1"/>
    <col min="13" max="14" width="8" customWidth="1"/>
    <col min="15" max="15" width="21" customWidth="1"/>
    <col min="16" max="16" width="29" customWidth="1"/>
    <col min="17" max="17" width="16" customWidth="1"/>
  </cols>
  <sheetData>
    <row r="1" spans="1:20" ht="45" x14ac:dyDescent="0.25">
      <c r="A1" s="27" t="s">
        <v>102</v>
      </c>
      <c r="B1" s="27" t="s">
        <v>958</v>
      </c>
      <c r="C1" s="27" t="s">
        <v>436</v>
      </c>
      <c r="D1" s="27" t="s">
        <v>435</v>
      </c>
      <c r="E1" s="27" t="s">
        <v>465</v>
      </c>
      <c r="F1" s="27" t="s">
        <v>466</v>
      </c>
      <c r="G1" s="27" t="s">
        <v>959</v>
      </c>
      <c r="H1" s="27" t="s">
        <v>738</v>
      </c>
      <c r="I1" s="27" t="s">
        <v>739</v>
      </c>
      <c r="J1" s="27" t="s">
        <v>305</v>
      </c>
      <c r="K1" s="27" t="s">
        <v>960</v>
      </c>
      <c r="L1" s="27" t="s">
        <v>68</v>
      </c>
      <c r="M1" s="27" t="s">
        <v>64</v>
      </c>
      <c r="N1" s="27" t="s">
        <v>307</v>
      </c>
      <c r="O1" s="27" t="s">
        <v>690</v>
      </c>
      <c r="P1" s="27" t="s">
        <v>907</v>
      </c>
      <c r="Q1" s="27" t="s">
        <v>695</v>
      </c>
      <c r="R1" s="27" t="s">
        <v>122</v>
      </c>
      <c r="S1" s="27" t="s">
        <v>961</v>
      </c>
      <c r="T1" s="36" t="s">
        <v>251</v>
      </c>
    </row>
    <row r="2" spans="1:20" ht="15.75" x14ac:dyDescent="0.25">
      <c r="A2" s="33" t="s">
        <v>127</v>
      </c>
      <c r="B2" s="28">
        <v>0</v>
      </c>
      <c r="C2" s="28" t="s">
        <v>478</v>
      </c>
      <c r="D2" s="49"/>
      <c r="E2" s="28">
        <v>0</v>
      </c>
      <c r="F2" s="28">
        <v>0</v>
      </c>
      <c r="G2" s="28" t="s">
        <v>962</v>
      </c>
      <c r="H2" s="28"/>
      <c r="I2" s="28"/>
      <c r="J2" s="28" t="s">
        <v>392</v>
      </c>
      <c r="K2" s="28" t="s">
        <v>963</v>
      </c>
      <c r="L2" s="28" t="s">
        <v>335</v>
      </c>
      <c r="M2" s="29" t="s">
        <v>2</v>
      </c>
      <c r="N2" s="28"/>
      <c r="O2" s="35" t="s">
        <v>477</v>
      </c>
      <c r="P2" s="29">
        <v>1</v>
      </c>
      <c r="Q2" s="28" t="s">
        <v>769</v>
      </c>
      <c r="R2" s="34" t="str">
        <f>IFERROR(HYPERLINK("#Main!A"&amp;MATCH(A2,Main!A:A,0),"Open"),HYPERLINK("#Main!A1","Open"))</f>
        <v>Open</v>
      </c>
      <c r="S2" s="34" t="str">
        <f>IFERROR(HYPERLINK("#Technical!A"&amp;MATCH(A2,Technical!A:A,0),"Open"),HYPERLINK("#Technical!A1","Open"))</f>
        <v>Open</v>
      </c>
      <c r="T2" s="34"/>
    </row>
    <row r="3" spans="1:20" ht="30" customHeight="1" x14ac:dyDescent="0.25">
      <c r="A3" s="30" t="s">
        <v>135</v>
      </c>
      <c r="B3" s="37">
        <v>0</v>
      </c>
      <c r="C3" s="37" t="s">
        <v>478</v>
      </c>
      <c r="D3" s="50"/>
      <c r="E3" s="37">
        <v>0</v>
      </c>
      <c r="F3" s="37">
        <v>0</v>
      </c>
      <c r="G3" s="37" t="s">
        <v>962</v>
      </c>
      <c r="H3" s="37"/>
      <c r="I3" s="37"/>
      <c r="J3" s="37" t="s">
        <v>392</v>
      </c>
      <c r="K3" s="37" t="s">
        <v>963</v>
      </c>
      <c r="L3" s="37" t="s">
        <v>335</v>
      </c>
      <c r="M3" s="29" t="s">
        <v>2</v>
      </c>
      <c r="N3" s="37"/>
      <c r="O3" s="35" t="s">
        <v>477</v>
      </c>
      <c r="P3" s="29">
        <v>1</v>
      </c>
      <c r="Q3" s="37" t="s">
        <v>769</v>
      </c>
      <c r="R3" t="str">
        <f>IFERROR(HYPERLINK("#Main!A"&amp;MATCH(A3,Main!A:A,0),"Open"),HYPERLINK("#Main!A1","Open"))</f>
        <v>Open</v>
      </c>
      <c r="S3" t="str">
        <f>IFERROR(HYPERLINK("#Technical!A"&amp;MATCH(A3,Technical!A:A,0),"Open"),HYPERLINK("#Technical!A1","Open"))</f>
        <v>Open</v>
      </c>
    </row>
    <row r="4" spans="1:20" ht="30" customHeight="1" x14ac:dyDescent="0.25">
      <c r="A4" s="33" t="s">
        <v>144</v>
      </c>
      <c r="B4" s="28">
        <v>0</v>
      </c>
      <c r="C4" s="28" t="s">
        <v>478</v>
      </c>
      <c r="D4" s="49"/>
      <c r="E4" s="28">
        <v>0</v>
      </c>
      <c r="F4" s="28">
        <v>0</v>
      </c>
      <c r="G4" s="28" t="s">
        <v>962</v>
      </c>
      <c r="H4" s="28"/>
      <c r="I4" s="28"/>
      <c r="J4" s="28" t="s">
        <v>392</v>
      </c>
      <c r="K4" s="28" t="s">
        <v>963</v>
      </c>
      <c r="L4" s="28" t="s">
        <v>335</v>
      </c>
      <c r="M4" s="29" t="s">
        <v>2</v>
      </c>
      <c r="N4" s="28"/>
      <c r="O4" s="35" t="s">
        <v>477</v>
      </c>
      <c r="P4" s="29">
        <v>1</v>
      </c>
      <c r="Q4" s="28" t="s">
        <v>769</v>
      </c>
      <c r="R4" s="34" t="str">
        <f>IFERROR(HYPERLINK("#Main!A"&amp;MATCH(A4,Main!A:A,0),"Open"),HYPERLINK("#Main!A1","Open"))</f>
        <v>Open</v>
      </c>
      <c r="S4" s="34" t="str">
        <f>IFERROR(HYPERLINK("#Technical!A"&amp;MATCH(A4,Technical!A:A,0),"Open"),HYPERLINK("#Technical!A1","Open"))</f>
        <v>Open</v>
      </c>
      <c r="T4" s="34"/>
    </row>
    <row r="5" spans="1:20" ht="30" customHeight="1" x14ac:dyDescent="0.25">
      <c r="A5" s="30" t="s">
        <v>152</v>
      </c>
      <c r="B5" s="37">
        <v>0</v>
      </c>
      <c r="C5" s="37" t="s">
        <v>478</v>
      </c>
      <c r="D5" s="50"/>
      <c r="E5" s="37">
        <v>0</v>
      </c>
      <c r="F5" s="37">
        <v>0</v>
      </c>
      <c r="G5" s="37" t="s">
        <v>962</v>
      </c>
      <c r="H5" s="37"/>
      <c r="I5" s="37"/>
      <c r="J5" s="37" t="s">
        <v>392</v>
      </c>
      <c r="K5" s="37" t="s">
        <v>963</v>
      </c>
      <c r="L5" s="37" t="s">
        <v>335</v>
      </c>
      <c r="M5" s="29" t="s">
        <v>2</v>
      </c>
      <c r="N5" s="37"/>
      <c r="O5" s="35" t="s">
        <v>477</v>
      </c>
      <c r="P5" s="29">
        <v>1</v>
      </c>
      <c r="Q5" s="37" t="s">
        <v>769</v>
      </c>
      <c r="R5" t="str">
        <f>IFERROR(HYPERLINK("#Main!A"&amp;MATCH(A5,Main!A:A,0),"Open"),HYPERLINK("#Main!A1","Open"))</f>
        <v>Open</v>
      </c>
      <c r="S5" t="str">
        <f>IFERROR(HYPERLINK("#Technical!A"&amp;MATCH(A5,Technical!A:A,0),"Open"),HYPERLINK("#Technical!A1","Open"))</f>
        <v>Open</v>
      </c>
    </row>
    <row r="6" spans="1:20" ht="30" customHeight="1" x14ac:dyDescent="0.25">
      <c r="A6" s="33" t="s">
        <v>169</v>
      </c>
      <c r="B6" s="28">
        <v>0</v>
      </c>
      <c r="C6" s="28" t="s">
        <v>478</v>
      </c>
      <c r="D6" s="49"/>
      <c r="E6" s="28">
        <v>0</v>
      </c>
      <c r="F6" s="28">
        <v>0</v>
      </c>
      <c r="G6" s="28" t="s">
        <v>962</v>
      </c>
      <c r="H6" s="28"/>
      <c r="I6" s="28"/>
      <c r="J6" s="28" t="s">
        <v>392</v>
      </c>
      <c r="K6" s="28" t="s">
        <v>963</v>
      </c>
      <c r="L6" s="28" t="s">
        <v>335</v>
      </c>
      <c r="M6" s="29" t="s">
        <v>2</v>
      </c>
      <c r="N6" s="28"/>
      <c r="O6" s="35" t="s">
        <v>477</v>
      </c>
      <c r="P6" s="29">
        <v>1</v>
      </c>
      <c r="Q6" s="28" t="s">
        <v>769</v>
      </c>
      <c r="R6" s="34" t="str">
        <f>IFERROR(HYPERLINK("#Main!A"&amp;MATCH(A6,Main!A:A,0),"Open"),HYPERLINK("#Main!A1","Open"))</f>
        <v>Open</v>
      </c>
      <c r="S6" s="34" t="str">
        <f>IFERROR(HYPERLINK("#Technical!A"&amp;MATCH(A6,Technical!A:A,0),"Open"),HYPERLINK("#Technical!A1","Open"))</f>
        <v>Open</v>
      </c>
      <c r="T6" s="34"/>
    </row>
    <row r="7" spans="1:20" ht="30" customHeight="1" x14ac:dyDescent="0.25">
      <c r="A7" s="30" t="s">
        <v>177</v>
      </c>
      <c r="B7" s="37">
        <v>0</v>
      </c>
      <c r="C7" s="37" t="s">
        <v>478</v>
      </c>
      <c r="D7" s="50"/>
      <c r="E7" s="37">
        <v>0</v>
      </c>
      <c r="F7" s="37">
        <v>0</v>
      </c>
      <c r="G7" s="37" t="s">
        <v>962</v>
      </c>
      <c r="H7" s="37"/>
      <c r="I7" s="37"/>
      <c r="J7" s="37" t="s">
        <v>392</v>
      </c>
      <c r="K7" s="37" t="s">
        <v>963</v>
      </c>
      <c r="L7" s="37" t="s">
        <v>335</v>
      </c>
      <c r="M7" s="29" t="s">
        <v>2</v>
      </c>
      <c r="N7" s="37"/>
      <c r="O7" s="35" t="s">
        <v>477</v>
      </c>
      <c r="P7" s="29">
        <v>2</v>
      </c>
      <c r="Q7" s="37" t="s">
        <v>769</v>
      </c>
      <c r="R7" t="str">
        <f>IFERROR(HYPERLINK("#Main!A"&amp;MATCH(A7,Main!A:A,0),"Open"),HYPERLINK("#Main!A1","Open"))</f>
        <v>Open</v>
      </c>
      <c r="S7" t="str">
        <f>IFERROR(HYPERLINK("#Technical!A"&amp;MATCH(A7,Technical!A:A,0),"Open"),HYPERLINK("#Technical!A1","Open"))</f>
        <v>Open</v>
      </c>
    </row>
    <row r="8" spans="1:20" ht="30" customHeight="1" x14ac:dyDescent="0.25">
      <c r="A8" s="33" t="s">
        <v>161</v>
      </c>
      <c r="B8" s="28">
        <v>0</v>
      </c>
      <c r="C8" s="28" t="s">
        <v>478</v>
      </c>
      <c r="D8" s="49"/>
      <c r="E8" s="28">
        <v>0</v>
      </c>
      <c r="F8" s="28">
        <v>0</v>
      </c>
      <c r="G8" s="28" t="s">
        <v>962</v>
      </c>
      <c r="H8" s="28"/>
      <c r="I8" s="28"/>
      <c r="J8" s="28" t="s">
        <v>392</v>
      </c>
      <c r="K8" s="28" t="s">
        <v>963</v>
      </c>
      <c r="L8" s="28" t="s">
        <v>335</v>
      </c>
      <c r="M8" s="29" t="s">
        <v>2</v>
      </c>
      <c r="N8" s="28"/>
      <c r="O8" s="35" t="s">
        <v>477</v>
      </c>
      <c r="P8" s="29">
        <v>1</v>
      </c>
      <c r="Q8" s="28" t="s">
        <v>769</v>
      </c>
      <c r="R8" s="34" t="str">
        <f>IFERROR(HYPERLINK("#Main!A"&amp;MATCH(A8,Main!A:A,0),"Open"),HYPERLINK("#Main!A1","Open"))</f>
        <v>Open</v>
      </c>
      <c r="S8" s="34" t="str">
        <f>IFERROR(HYPERLINK("#Technical!A"&amp;MATCH(A8,Technical!A:A,0),"Open"),HYPERLINK("#Technical!A1","Open"))</f>
        <v>Open</v>
      </c>
      <c r="T8" s="34"/>
    </row>
    <row r="9" spans="1:20" ht="30" customHeight="1" x14ac:dyDescent="0.25">
      <c r="A9" s="30" t="s">
        <v>185</v>
      </c>
      <c r="B9" s="37">
        <v>0</v>
      </c>
      <c r="C9" s="37" t="s">
        <v>478</v>
      </c>
      <c r="D9" s="50"/>
      <c r="E9" s="37">
        <v>0</v>
      </c>
      <c r="F9" s="37">
        <v>0</v>
      </c>
      <c r="G9" s="37" t="s">
        <v>962</v>
      </c>
      <c r="H9" s="37"/>
      <c r="I9" s="37"/>
      <c r="J9" s="37" t="s">
        <v>392</v>
      </c>
      <c r="K9" s="37" t="s">
        <v>963</v>
      </c>
      <c r="L9" s="37" t="s">
        <v>335</v>
      </c>
      <c r="M9" s="29" t="s">
        <v>2</v>
      </c>
      <c r="N9" s="37"/>
      <c r="O9" s="35" t="s">
        <v>477</v>
      </c>
      <c r="P9" s="29">
        <v>2</v>
      </c>
      <c r="Q9" s="37" t="s">
        <v>769</v>
      </c>
      <c r="R9" t="str">
        <f>IFERROR(HYPERLINK("#Main!A"&amp;MATCH(A9,Main!A:A,0),"Open"),HYPERLINK("#Main!A1","Open"))</f>
        <v>Open</v>
      </c>
      <c r="S9" t="str">
        <f>IFERROR(HYPERLINK("#Technical!A"&amp;MATCH(A9,Technical!A:A,0),"Open"),HYPERLINK("#Technical!A1","Open"))</f>
        <v>Open</v>
      </c>
    </row>
    <row r="10" spans="1:20" ht="30" customHeight="1" x14ac:dyDescent="0.25">
      <c r="A10" s="33" t="s">
        <v>201</v>
      </c>
      <c r="B10" s="28">
        <v>0</v>
      </c>
      <c r="C10" s="28" t="s">
        <v>478</v>
      </c>
      <c r="D10" s="49"/>
      <c r="E10" s="28">
        <v>0</v>
      </c>
      <c r="F10" s="28">
        <v>0</v>
      </c>
      <c r="G10" s="28" t="s">
        <v>962</v>
      </c>
      <c r="H10" s="28"/>
      <c r="I10" s="28"/>
      <c r="J10" s="28" t="s">
        <v>392</v>
      </c>
      <c r="K10" s="28" t="s">
        <v>963</v>
      </c>
      <c r="L10" s="28" t="s">
        <v>335</v>
      </c>
      <c r="M10" s="29" t="s">
        <v>2</v>
      </c>
      <c r="N10" s="28"/>
      <c r="O10" s="35" t="s">
        <v>477</v>
      </c>
      <c r="P10" s="29">
        <v>1</v>
      </c>
      <c r="Q10" s="28" t="s">
        <v>769</v>
      </c>
      <c r="R10" s="34" t="str">
        <f>IFERROR(HYPERLINK("#Main!A"&amp;MATCH(A10,Main!A:A,0),"Open"),HYPERLINK("#Main!A1","Open"))</f>
        <v>Open</v>
      </c>
      <c r="S10" s="34" t="str">
        <f>IFERROR(HYPERLINK("#Technical!A"&amp;MATCH(A10,Technical!A:A,0),"Open"),HYPERLINK("#Technical!A1","Open"))</f>
        <v>Open</v>
      </c>
      <c r="T10" s="34"/>
    </row>
    <row r="11" spans="1:20" ht="30" customHeight="1" x14ac:dyDescent="0.25">
      <c r="A11" s="30" t="s">
        <v>193</v>
      </c>
      <c r="B11" s="37">
        <v>0</v>
      </c>
      <c r="C11" s="37" t="s">
        <v>478</v>
      </c>
      <c r="D11" s="50"/>
      <c r="E11" s="37">
        <v>0</v>
      </c>
      <c r="F11" s="37">
        <v>0</v>
      </c>
      <c r="G11" s="37" t="s">
        <v>962</v>
      </c>
      <c r="H11" s="37"/>
      <c r="I11" s="37"/>
      <c r="J11" s="37" t="s">
        <v>392</v>
      </c>
      <c r="K11" s="37" t="s">
        <v>963</v>
      </c>
      <c r="L11" s="37" t="s">
        <v>335</v>
      </c>
      <c r="M11" s="29" t="s">
        <v>2</v>
      </c>
      <c r="N11" s="37"/>
      <c r="O11" s="35" t="s">
        <v>477</v>
      </c>
      <c r="P11" s="29">
        <v>1</v>
      </c>
      <c r="Q11" s="37" t="s">
        <v>769</v>
      </c>
      <c r="R11" t="str">
        <f>IFERROR(HYPERLINK("#Main!A"&amp;MATCH(A11,Main!A:A,0),"Open"),HYPERLINK("#Main!A1","Open"))</f>
        <v>Open</v>
      </c>
      <c r="S11" t="str">
        <f>IFERROR(HYPERLINK("#Technical!A"&amp;MATCH(A11,Technical!A:A,0),"Open"),HYPERLINK("#Technical!A1","Open"))</f>
        <v>Open</v>
      </c>
    </row>
    <row r="12" spans="1:20" ht="30" customHeight="1" x14ac:dyDescent="0.25">
      <c r="A12" s="33" t="s">
        <v>216</v>
      </c>
      <c r="B12" s="28">
        <v>0</v>
      </c>
      <c r="C12" s="28" t="s">
        <v>478</v>
      </c>
      <c r="D12" s="49"/>
      <c r="E12" s="28">
        <v>0</v>
      </c>
      <c r="F12" s="28">
        <v>0</v>
      </c>
      <c r="G12" s="28" t="s">
        <v>962</v>
      </c>
      <c r="H12" s="28"/>
      <c r="I12" s="28"/>
      <c r="J12" s="28" t="s">
        <v>392</v>
      </c>
      <c r="K12" s="28" t="s">
        <v>963</v>
      </c>
      <c r="L12" s="28" t="s">
        <v>335</v>
      </c>
      <c r="M12" s="29" t="s">
        <v>2</v>
      </c>
      <c r="N12" s="28"/>
      <c r="O12" s="35" t="s">
        <v>477</v>
      </c>
      <c r="P12" s="29">
        <v>1</v>
      </c>
      <c r="Q12" s="28" t="s">
        <v>769</v>
      </c>
      <c r="R12" s="34" t="str">
        <f>IFERROR(HYPERLINK("#Main!A"&amp;MATCH(A12,Main!A:A,0),"Open"),HYPERLINK("#Main!A1","Open"))</f>
        <v>Open</v>
      </c>
      <c r="S12" s="34" t="str">
        <f>IFERROR(HYPERLINK("#Technical!A"&amp;MATCH(A12,Technical!A:A,0),"Open"),HYPERLINK("#Technical!A1","Open"))</f>
        <v>Open</v>
      </c>
      <c r="T12" s="34"/>
    </row>
    <row r="13" spans="1:20" ht="30" customHeight="1" x14ac:dyDescent="0.25">
      <c r="A13" s="30" t="s">
        <v>208</v>
      </c>
      <c r="B13" s="37">
        <v>0</v>
      </c>
      <c r="C13" s="37" t="s">
        <v>478</v>
      </c>
      <c r="D13" s="50"/>
      <c r="E13" s="37">
        <v>0</v>
      </c>
      <c r="F13" s="37">
        <v>0</v>
      </c>
      <c r="G13" s="37" t="s">
        <v>962</v>
      </c>
      <c r="H13" s="37"/>
      <c r="I13" s="37"/>
      <c r="J13" s="37" t="s">
        <v>392</v>
      </c>
      <c r="K13" s="37" t="s">
        <v>963</v>
      </c>
      <c r="L13" s="37" t="s">
        <v>335</v>
      </c>
      <c r="M13" s="29" t="s">
        <v>2</v>
      </c>
      <c r="N13" s="37"/>
      <c r="O13" s="35" t="s">
        <v>477</v>
      </c>
      <c r="P13" s="29">
        <v>1</v>
      </c>
      <c r="Q13" s="37" t="s">
        <v>769</v>
      </c>
      <c r="R13" t="str">
        <f>IFERROR(HYPERLINK("#Main!A"&amp;MATCH(A13,Main!A:A,0),"Open"),HYPERLINK("#Main!A1","Open"))</f>
        <v>Open</v>
      </c>
      <c r="S13" t="str">
        <f>IFERROR(HYPERLINK("#Technical!A"&amp;MATCH(A13,Technical!A:A,0),"Open"),HYPERLINK("#Technical!A1","Open"))</f>
        <v>Open</v>
      </c>
    </row>
    <row r="14" spans="1:20" ht="30" customHeight="1" x14ac:dyDescent="0.25">
      <c r="A14" s="33" t="s">
        <v>224</v>
      </c>
      <c r="B14" s="28">
        <v>0</v>
      </c>
      <c r="C14" s="28" t="s">
        <v>478</v>
      </c>
      <c r="D14" s="49"/>
      <c r="E14" s="28">
        <v>0</v>
      </c>
      <c r="F14" s="28">
        <v>0</v>
      </c>
      <c r="G14" s="28" t="s">
        <v>962</v>
      </c>
      <c r="H14" s="28"/>
      <c r="I14" s="28"/>
      <c r="J14" s="28" t="s">
        <v>392</v>
      </c>
      <c r="K14" s="28" t="s">
        <v>963</v>
      </c>
      <c r="L14" s="28" t="s">
        <v>335</v>
      </c>
      <c r="M14" s="29" t="s">
        <v>2</v>
      </c>
      <c r="N14" s="28"/>
      <c r="O14" s="35" t="s">
        <v>477</v>
      </c>
      <c r="P14" s="29">
        <v>2</v>
      </c>
      <c r="Q14" s="28" t="s">
        <v>769</v>
      </c>
      <c r="R14" s="34" t="str">
        <f>IFERROR(HYPERLINK("#Main!A"&amp;MATCH(A14,Main!A:A,0),"Open"),HYPERLINK("#Main!A1","Open"))</f>
        <v>Open</v>
      </c>
      <c r="S14" s="34" t="str">
        <f>IFERROR(HYPERLINK("#Technical!A"&amp;MATCH(A14,Technical!A:A,0),"Open"),HYPERLINK("#Technical!A1","Open"))</f>
        <v>Open</v>
      </c>
      <c r="T14" s="34"/>
    </row>
    <row r="15" spans="1:20" ht="30" customHeight="1" x14ac:dyDescent="0.25">
      <c r="A15" s="30" t="s">
        <v>233</v>
      </c>
      <c r="B15" s="37">
        <v>0</v>
      </c>
      <c r="C15" s="37" t="s">
        <v>478</v>
      </c>
      <c r="D15" s="50"/>
      <c r="E15" s="37">
        <v>0</v>
      </c>
      <c r="F15" s="37">
        <v>0</v>
      </c>
      <c r="G15" s="37" t="s">
        <v>962</v>
      </c>
      <c r="H15" s="37"/>
      <c r="I15" s="37"/>
      <c r="J15" s="37" t="s">
        <v>392</v>
      </c>
      <c r="K15" s="37" t="s">
        <v>963</v>
      </c>
      <c r="L15" s="37" t="s">
        <v>335</v>
      </c>
      <c r="M15" s="29" t="s">
        <v>2</v>
      </c>
      <c r="N15" s="37"/>
      <c r="O15" s="35" t="s">
        <v>477</v>
      </c>
      <c r="P15" s="29">
        <v>1</v>
      </c>
      <c r="Q15" s="37" t="s">
        <v>769</v>
      </c>
      <c r="R15" t="str">
        <f>IFERROR(HYPERLINK("#Main!A"&amp;MATCH(A15,Main!A:A,0),"Open"),HYPERLINK("#Main!A1","Open"))</f>
        <v>Open</v>
      </c>
      <c r="S15" t="str">
        <f>IFERROR(HYPERLINK("#Technical!A"&amp;MATCH(A15,Technical!A:A,0),"Open"),HYPERLINK("#Technical!A1","Open"))</f>
        <v>Open</v>
      </c>
    </row>
    <row r="16" spans="1:20" ht="30" customHeight="1" x14ac:dyDescent="0.25">
      <c r="A16" s="33" t="s">
        <v>241</v>
      </c>
      <c r="B16" s="28">
        <v>0</v>
      </c>
      <c r="C16" s="28" t="s">
        <v>478</v>
      </c>
      <c r="D16" s="49"/>
      <c r="E16" s="28">
        <v>0</v>
      </c>
      <c r="F16" s="28">
        <v>0</v>
      </c>
      <c r="G16" s="28" t="s">
        <v>962</v>
      </c>
      <c r="H16" s="28"/>
      <c r="I16" s="28"/>
      <c r="J16" s="28" t="s">
        <v>392</v>
      </c>
      <c r="K16" s="28" t="s">
        <v>963</v>
      </c>
      <c r="L16" s="28" t="s">
        <v>335</v>
      </c>
      <c r="M16" s="29" t="s">
        <v>2</v>
      </c>
      <c r="N16" s="28"/>
      <c r="O16" s="35" t="s">
        <v>477</v>
      </c>
      <c r="P16" s="29">
        <v>1</v>
      </c>
      <c r="Q16" s="28" t="s">
        <v>769</v>
      </c>
      <c r="R16" s="34" t="str">
        <f>IFERROR(HYPERLINK("#Main!A"&amp;MATCH(A16,Main!A:A,0),"Open"),HYPERLINK("#Main!A1","Open"))</f>
        <v>Open</v>
      </c>
      <c r="S16" s="34" t="str">
        <f>IFERROR(HYPERLINK("#Technical!A"&amp;MATCH(A16,Technical!A:A,0),"Open"),HYPERLINK("#Technical!A1","Open"))</f>
        <v>Open</v>
      </c>
      <c r="T16" s="34"/>
    </row>
    <row r="17" spans="1:20" ht="30" customHeight="1" x14ac:dyDescent="0.25">
      <c r="A17" s="30" t="s">
        <v>485</v>
      </c>
      <c r="B17" s="37">
        <v>0</v>
      </c>
      <c r="C17" s="37" t="s">
        <v>478</v>
      </c>
      <c r="D17" s="50"/>
      <c r="E17" s="37">
        <v>0</v>
      </c>
      <c r="F17" s="37">
        <v>0</v>
      </c>
      <c r="G17" s="37" t="s">
        <v>962</v>
      </c>
      <c r="H17" s="37"/>
      <c r="I17" s="37"/>
      <c r="J17" s="37" t="s">
        <v>392</v>
      </c>
      <c r="K17" s="37" t="s">
        <v>963</v>
      </c>
      <c r="L17" s="37" t="s">
        <v>335</v>
      </c>
      <c r="M17" s="29" t="s">
        <v>2</v>
      </c>
      <c r="N17" s="37"/>
      <c r="O17" s="35" t="s">
        <v>477</v>
      </c>
      <c r="P17" s="29">
        <v>1</v>
      </c>
      <c r="Q17" s="37" t="s">
        <v>769</v>
      </c>
      <c r="R17" t="str">
        <f>IFERROR(HYPERLINK("#Main!A"&amp;MATCH(A17,Main!A:A,0),"Open"),HYPERLINK("#Main!A1","Open"))</f>
        <v>Open</v>
      </c>
      <c r="S17" t="str">
        <f>IFERROR(HYPERLINK("#Technical!A"&amp;MATCH(A17,Technical!A:A,0),"Open"),HYPERLINK("#Technical!A1","Open"))</f>
        <v>Open</v>
      </c>
    </row>
    <row r="18" spans="1:20" ht="30" customHeight="1" x14ac:dyDescent="0.25">
      <c r="A18" s="33" t="s">
        <v>491</v>
      </c>
      <c r="B18" s="28">
        <v>0</v>
      </c>
      <c r="C18" s="28" t="s">
        <v>478</v>
      </c>
      <c r="D18" s="49"/>
      <c r="E18" s="28">
        <v>0</v>
      </c>
      <c r="F18" s="28">
        <v>0</v>
      </c>
      <c r="G18" s="28" t="s">
        <v>962</v>
      </c>
      <c r="H18" s="28"/>
      <c r="I18" s="28"/>
      <c r="J18" s="28" t="s">
        <v>392</v>
      </c>
      <c r="K18" s="28" t="s">
        <v>963</v>
      </c>
      <c r="L18" s="28" t="s">
        <v>335</v>
      </c>
      <c r="M18" s="29" t="s">
        <v>2</v>
      </c>
      <c r="N18" s="28"/>
      <c r="O18" s="35" t="s">
        <v>477</v>
      </c>
      <c r="P18" s="29">
        <v>1</v>
      </c>
      <c r="Q18" s="28" t="s">
        <v>769</v>
      </c>
      <c r="R18" s="34" t="str">
        <f>IFERROR(HYPERLINK("#Main!A"&amp;MATCH(A18,Main!A:A,0),"Open"),HYPERLINK("#Main!A1","Open"))</f>
        <v>Open</v>
      </c>
      <c r="S18" s="34" t="str">
        <f>IFERROR(HYPERLINK("#Technical!A"&amp;MATCH(A18,Technical!A:A,0),"Open"),HYPERLINK("#Technical!A1","Open"))</f>
        <v>Open</v>
      </c>
      <c r="T18" s="34"/>
    </row>
    <row r="19" spans="1:20" ht="30" customHeight="1" x14ac:dyDescent="0.25">
      <c r="A19" s="30" t="s">
        <v>488</v>
      </c>
      <c r="B19" s="37">
        <v>0</v>
      </c>
      <c r="C19" s="37" t="s">
        <v>478</v>
      </c>
      <c r="D19" s="50"/>
      <c r="E19" s="37">
        <v>0</v>
      </c>
      <c r="F19" s="37">
        <v>0</v>
      </c>
      <c r="G19" s="37" t="s">
        <v>962</v>
      </c>
      <c r="H19" s="37"/>
      <c r="I19" s="37"/>
      <c r="J19" s="37" t="s">
        <v>392</v>
      </c>
      <c r="K19" s="37" t="s">
        <v>963</v>
      </c>
      <c r="L19" s="37" t="s">
        <v>335</v>
      </c>
      <c r="M19" s="29" t="s">
        <v>2</v>
      </c>
      <c r="N19" s="37"/>
      <c r="O19" s="35" t="s">
        <v>477</v>
      </c>
      <c r="P19" s="29">
        <v>1</v>
      </c>
      <c r="Q19" s="37" t="s">
        <v>769</v>
      </c>
      <c r="R19" t="str">
        <f>IFERROR(HYPERLINK("#Main!A"&amp;MATCH(A19,Main!A:A,0),"Open"),HYPERLINK("#Main!A1","Open"))</f>
        <v>Open</v>
      </c>
      <c r="S19" t="str">
        <f>IFERROR(HYPERLINK("#Technical!A"&amp;MATCH(A19,Technical!A:A,0),"Open"),HYPERLINK("#Technical!A1","Open"))</f>
        <v>Open</v>
      </c>
    </row>
    <row r="20" spans="1:20" ht="30" customHeight="1" x14ac:dyDescent="0.25">
      <c r="A20" s="33" t="s">
        <v>494</v>
      </c>
      <c r="B20" s="28">
        <v>0</v>
      </c>
      <c r="C20" s="28" t="s">
        <v>478</v>
      </c>
      <c r="D20" s="49"/>
      <c r="E20" s="28">
        <v>0</v>
      </c>
      <c r="F20" s="28">
        <v>0</v>
      </c>
      <c r="G20" s="28" t="s">
        <v>962</v>
      </c>
      <c r="H20" s="28"/>
      <c r="I20" s="28"/>
      <c r="J20" s="28" t="s">
        <v>392</v>
      </c>
      <c r="K20" s="28" t="s">
        <v>963</v>
      </c>
      <c r="L20" s="28" t="s">
        <v>335</v>
      </c>
      <c r="M20" s="29" t="s">
        <v>2</v>
      </c>
      <c r="N20" s="28"/>
      <c r="O20" s="35" t="s">
        <v>477</v>
      </c>
      <c r="P20" s="29">
        <v>2</v>
      </c>
      <c r="Q20" s="28" t="s">
        <v>769</v>
      </c>
      <c r="R20" s="34" t="str">
        <f>IFERROR(HYPERLINK("#Main!A"&amp;MATCH(A20,Main!A:A,0),"Open"),HYPERLINK("#Main!A1","Open"))</f>
        <v>Open</v>
      </c>
      <c r="S20" s="34" t="str">
        <f>IFERROR(HYPERLINK("#Technical!A"&amp;MATCH(A20,Technical!A:A,0),"Open"),HYPERLINK("#Technical!A1","Open"))</f>
        <v>Open</v>
      </c>
      <c r="T20" s="34"/>
    </row>
    <row r="21" spans="1:20" ht="30" customHeight="1" x14ac:dyDescent="0.25">
      <c r="A21" s="30" t="s">
        <v>500</v>
      </c>
      <c r="B21" s="37">
        <v>0</v>
      </c>
      <c r="C21" s="37" t="s">
        <v>478</v>
      </c>
      <c r="D21" s="50"/>
      <c r="E21" s="37">
        <v>0</v>
      </c>
      <c r="F21" s="37">
        <v>0</v>
      </c>
      <c r="G21" s="37" t="s">
        <v>962</v>
      </c>
      <c r="H21" s="37"/>
      <c r="I21" s="37"/>
      <c r="J21" s="37" t="s">
        <v>392</v>
      </c>
      <c r="K21" s="37" t="s">
        <v>963</v>
      </c>
      <c r="L21" s="37" t="s">
        <v>335</v>
      </c>
      <c r="M21" s="29" t="s">
        <v>2</v>
      </c>
      <c r="N21" s="37"/>
      <c r="O21" s="35" t="s">
        <v>477</v>
      </c>
      <c r="P21" s="29">
        <v>1</v>
      </c>
      <c r="Q21" s="37" t="s">
        <v>769</v>
      </c>
      <c r="R21" t="str">
        <f>IFERROR(HYPERLINK("#Main!A"&amp;MATCH(A21,Main!A:A,0),"Open"),HYPERLINK("#Main!A1","Open"))</f>
        <v>Open</v>
      </c>
      <c r="S21" t="str">
        <f>IFERROR(HYPERLINK("#Technical!A"&amp;MATCH(A21,Technical!A:A,0),"Open"),HYPERLINK("#Technical!A1","Open"))</f>
        <v>Open</v>
      </c>
    </row>
    <row r="22" spans="1:20" ht="30" customHeight="1" x14ac:dyDescent="0.25">
      <c r="A22" s="33" t="s">
        <v>497</v>
      </c>
      <c r="B22" s="28">
        <v>0</v>
      </c>
      <c r="C22" s="28" t="s">
        <v>478</v>
      </c>
      <c r="D22" s="49"/>
      <c r="E22" s="28">
        <v>0</v>
      </c>
      <c r="F22" s="28">
        <v>0</v>
      </c>
      <c r="G22" s="28" t="s">
        <v>962</v>
      </c>
      <c r="H22" s="28"/>
      <c r="I22" s="28"/>
      <c r="J22" s="28" t="s">
        <v>392</v>
      </c>
      <c r="K22" s="28" t="s">
        <v>963</v>
      </c>
      <c r="L22" s="28" t="s">
        <v>335</v>
      </c>
      <c r="M22" s="29" t="s">
        <v>2</v>
      </c>
      <c r="N22" s="28"/>
      <c r="O22" s="35" t="s">
        <v>477</v>
      </c>
      <c r="P22" s="29">
        <v>1</v>
      </c>
      <c r="Q22" s="28" t="s">
        <v>769</v>
      </c>
      <c r="R22" s="34" t="str">
        <f>IFERROR(HYPERLINK("#Main!A"&amp;MATCH(A22,Main!A:A,0),"Open"),HYPERLINK("#Main!A1","Open"))</f>
        <v>Open</v>
      </c>
      <c r="S22" s="34" t="str">
        <f>IFERROR(HYPERLINK("#Technical!A"&amp;MATCH(A22,Technical!A:A,0),"Open"),HYPERLINK("#Technical!A1","Open"))</f>
        <v>Open</v>
      </c>
      <c r="T22" s="34"/>
    </row>
    <row r="23" spans="1:20" ht="30" customHeight="1" x14ac:dyDescent="0.25">
      <c r="A23" s="30" t="s">
        <v>506</v>
      </c>
      <c r="B23" s="37">
        <v>0</v>
      </c>
      <c r="C23" s="37" t="s">
        <v>478</v>
      </c>
      <c r="D23" s="50"/>
      <c r="E23" s="37">
        <v>0</v>
      </c>
      <c r="F23" s="37">
        <v>0</v>
      </c>
      <c r="G23" s="37" t="s">
        <v>962</v>
      </c>
      <c r="H23" s="37"/>
      <c r="I23" s="37"/>
      <c r="J23" s="37" t="s">
        <v>392</v>
      </c>
      <c r="K23" s="37" t="s">
        <v>963</v>
      </c>
      <c r="L23" s="37" t="s">
        <v>335</v>
      </c>
      <c r="M23" s="29" t="s">
        <v>2</v>
      </c>
      <c r="N23" s="37"/>
      <c r="O23" s="35" t="s">
        <v>477</v>
      </c>
      <c r="P23" s="29">
        <v>1</v>
      </c>
      <c r="Q23" s="37" t="s">
        <v>769</v>
      </c>
      <c r="R23" t="str">
        <f>IFERROR(HYPERLINK("#Main!A"&amp;MATCH(A23,Main!A:A,0),"Open"),HYPERLINK("#Main!A1","Open"))</f>
        <v>Open</v>
      </c>
      <c r="S23" t="str">
        <f>IFERROR(HYPERLINK("#Technical!A"&amp;MATCH(A23,Technical!A:A,0),"Open"),HYPERLINK("#Technical!A1","Open"))</f>
        <v>Open</v>
      </c>
    </row>
    <row r="24" spans="1:20" ht="30" customHeight="1" x14ac:dyDescent="0.25">
      <c r="A24" s="33" t="s">
        <v>509</v>
      </c>
      <c r="B24" s="28">
        <v>0</v>
      </c>
      <c r="C24" s="28" t="s">
        <v>478</v>
      </c>
      <c r="D24" s="49"/>
      <c r="E24" s="28">
        <v>0</v>
      </c>
      <c r="F24" s="28">
        <v>0</v>
      </c>
      <c r="G24" s="28" t="s">
        <v>962</v>
      </c>
      <c r="H24" s="28"/>
      <c r="I24" s="28"/>
      <c r="J24" s="28" t="s">
        <v>392</v>
      </c>
      <c r="K24" s="28" t="s">
        <v>963</v>
      </c>
      <c r="L24" s="28" t="s">
        <v>335</v>
      </c>
      <c r="M24" s="29" t="s">
        <v>2</v>
      </c>
      <c r="N24" s="28"/>
      <c r="O24" s="35" t="s">
        <v>477</v>
      </c>
      <c r="P24" s="29">
        <v>1</v>
      </c>
      <c r="Q24" s="28" t="s">
        <v>769</v>
      </c>
      <c r="R24" s="34" t="str">
        <f>IFERROR(HYPERLINK("#Main!A"&amp;MATCH(A24,Main!A:A,0),"Open"),HYPERLINK("#Main!A1","Open"))</f>
        <v>Open</v>
      </c>
      <c r="S24" s="34" t="str">
        <f>IFERROR(HYPERLINK("#Technical!A"&amp;MATCH(A24,Technical!A:A,0),"Open"),HYPERLINK("#Technical!A1","Open"))</f>
        <v>Open</v>
      </c>
      <c r="T24" s="34"/>
    </row>
    <row r="25" spans="1:20" ht="30" customHeight="1" x14ac:dyDescent="0.25">
      <c r="A25" s="30" t="s">
        <v>503</v>
      </c>
      <c r="B25" s="37">
        <v>0</v>
      </c>
      <c r="C25" s="37" t="s">
        <v>478</v>
      </c>
      <c r="D25" s="50"/>
      <c r="E25" s="37">
        <v>0</v>
      </c>
      <c r="F25" s="37">
        <v>0</v>
      </c>
      <c r="G25" s="37" t="s">
        <v>962</v>
      </c>
      <c r="H25" s="37"/>
      <c r="I25" s="37"/>
      <c r="J25" s="37" t="s">
        <v>392</v>
      </c>
      <c r="K25" s="37" t="s">
        <v>963</v>
      </c>
      <c r="L25" s="37" t="s">
        <v>335</v>
      </c>
      <c r="M25" s="29" t="s">
        <v>2</v>
      </c>
      <c r="N25" s="37"/>
      <c r="O25" s="35" t="s">
        <v>477</v>
      </c>
      <c r="P25" s="29">
        <v>1</v>
      </c>
      <c r="Q25" s="37" t="s">
        <v>769</v>
      </c>
      <c r="R25" t="str">
        <f>IFERROR(HYPERLINK("#Main!A"&amp;MATCH(A25,Main!A:A,0),"Open"),HYPERLINK("#Main!A1","Open"))</f>
        <v>Open</v>
      </c>
      <c r="S25" t="str">
        <f>IFERROR(HYPERLINK("#Technical!A"&amp;MATCH(A25,Technical!A:A,0),"Open"),HYPERLINK("#Technical!A1","Open"))</f>
        <v>Open</v>
      </c>
    </row>
    <row r="26" spans="1:20" ht="30" customHeight="1" x14ac:dyDescent="0.25">
      <c r="A26" s="33" t="s">
        <v>476</v>
      </c>
      <c r="B26" s="28">
        <v>0</v>
      </c>
      <c r="C26" s="28" t="s">
        <v>478</v>
      </c>
      <c r="D26" s="49"/>
      <c r="E26" s="28">
        <v>0</v>
      </c>
      <c r="F26" s="28">
        <v>0</v>
      </c>
      <c r="G26" s="28" t="s">
        <v>962</v>
      </c>
      <c r="H26" s="28"/>
      <c r="I26" s="28"/>
      <c r="J26" s="28" t="s">
        <v>392</v>
      </c>
      <c r="K26" s="28" t="s">
        <v>391</v>
      </c>
      <c r="L26" s="28" t="s">
        <v>335</v>
      </c>
      <c r="M26" s="29" t="s">
        <v>2</v>
      </c>
      <c r="N26" s="28"/>
      <c r="O26" s="29" t="s">
        <v>752</v>
      </c>
      <c r="P26" s="35">
        <v>0</v>
      </c>
      <c r="Q26" s="28"/>
      <c r="R26" s="34" t="str">
        <f>IFERROR(HYPERLINK("#Main!A"&amp;MATCH(A26,Main!A:A,0),"Open"),HYPERLINK("#Main!A1","Open"))</f>
        <v>Open</v>
      </c>
      <c r="S26" s="34" t="str">
        <f>IFERROR(HYPERLINK("#Technical!A"&amp;MATCH(A26,Technical!A:A,0),"Open"),HYPERLINK("#Technical!A1","Open"))</f>
        <v>Open</v>
      </c>
      <c r="T26" s="34"/>
    </row>
    <row r="27" spans="1:20" ht="30" customHeight="1" x14ac:dyDescent="0.25">
      <c r="A27" s="30" t="s">
        <v>512</v>
      </c>
      <c r="B27" s="37">
        <v>0</v>
      </c>
      <c r="C27" s="37" t="s">
        <v>478</v>
      </c>
      <c r="D27" s="50"/>
      <c r="E27" s="37">
        <v>0</v>
      </c>
      <c r="F27" s="37">
        <v>0</v>
      </c>
      <c r="G27" s="37" t="s">
        <v>962</v>
      </c>
      <c r="H27" s="37"/>
      <c r="I27" s="37"/>
      <c r="J27" s="37" t="s">
        <v>392</v>
      </c>
      <c r="K27" s="37" t="s">
        <v>963</v>
      </c>
      <c r="L27" s="37" t="s">
        <v>335</v>
      </c>
      <c r="M27" s="29" t="s">
        <v>2</v>
      </c>
      <c r="N27" s="37"/>
      <c r="O27" s="35" t="s">
        <v>477</v>
      </c>
      <c r="P27" s="29">
        <v>1</v>
      </c>
      <c r="Q27" s="37" t="s">
        <v>769</v>
      </c>
      <c r="R27" t="str">
        <f>IFERROR(HYPERLINK("#Main!A"&amp;MATCH(A27,Main!A:A,0),"Open"),HYPERLINK("#Main!A1","Open"))</f>
        <v>Open</v>
      </c>
      <c r="S27" t="str">
        <f>IFERROR(HYPERLINK("#Technical!A"&amp;MATCH(A27,Technical!A:A,0),"Open"),HYPERLINK("#Technical!A1","Open"))</f>
        <v>Open</v>
      </c>
    </row>
    <row r="28" spans="1:20" ht="30" customHeight="1" x14ac:dyDescent="0.25">
      <c r="A28" s="33" t="s">
        <v>515</v>
      </c>
      <c r="B28" s="28">
        <v>0</v>
      </c>
      <c r="C28" s="28" t="s">
        <v>478</v>
      </c>
      <c r="D28" s="49"/>
      <c r="E28" s="28">
        <v>0</v>
      </c>
      <c r="F28" s="28">
        <v>0</v>
      </c>
      <c r="G28" s="28" t="s">
        <v>962</v>
      </c>
      <c r="H28" s="28"/>
      <c r="I28" s="28"/>
      <c r="J28" s="28" t="s">
        <v>392</v>
      </c>
      <c r="K28" s="28" t="s">
        <v>963</v>
      </c>
      <c r="L28" s="28" t="s">
        <v>335</v>
      </c>
      <c r="M28" s="29" t="s">
        <v>2</v>
      </c>
      <c r="N28" s="28"/>
      <c r="O28" s="35" t="s">
        <v>477</v>
      </c>
      <c r="P28" s="29">
        <v>2</v>
      </c>
      <c r="Q28" s="28" t="s">
        <v>769</v>
      </c>
      <c r="R28" s="34" t="str">
        <f>IFERROR(HYPERLINK("#Main!A"&amp;MATCH(A28,Main!A:A,0),"Open"),HYPERLINK("#Main!A1","Open"))</f>
        <v>Open</v>
      </c>
      <c r="S28" s="34" t="str">
        <f>IFERROR(HYPERLINK("#Technical!A"&amp;MATCH(A28,Technical!A:A,0),"Open"),HYPERLINK("#Technical!A1","Open"))</f>
        <v>Open</v>
      </c>
      <c r="T28" s="34"/>
    </row>
    <row r="29" spans="1:20" ht="30" customHeight="1" x14ac:dyDescent="0.25">
      <c r="A29" s="30" t="s">
        <v>518</v>
      </c>
      <c r="B29" s="37">
        <v>0</v>
      </c>
      <c r="C29" s="37" t="s">
        <v>478</v>
      </c>
      <c r="D29" s="50"/>
      <c r="E29" s="37">
        <v>0</v>
      </c>
      <c r="F29" s="37">
        <v>0</v>
      </c>
      <c r="G29" s="37" t="s">
        <v>962</v>
      </c>
      <c r="H29" s="37"/>
      <c r="I29" s="37"/>
      <c r="J29" s="37" t="s">
        <v>392</v>
      </c>
      <c r="K29" s="37" t="s">
        <v>963</v>
      </c>
      <c r="L29" s="37" t="s">
        <v>335</v>
      </c>
      <c r="M29" s="29" t="s">
        <v>2</v>
      </c>
      <c r="N29" s="37"/>
      <c r="O29" s="35" t="s">
        <v>477</v>
      </c>
      <c r="P29" s="29">
        <v>3</v>
      </c>
      <c r="Q29" s="37" t="s">
        <v>769</v>
      </c>
      <c r="R29" t="str">
        <f>IFERROR(HYPERLINK("#Main!A"&amp;MATCH(A29,Main!A:A,0),"Open"),HYPERLINK("#Main!A1","Open"))</f>
        <v>Open</v>
      </c>
      <c r="S29" t="str">
        <f>IFERROR(HYPERLINK("#Technical!A"&amp;MATCH(A29,Technical!A:A,0),"Open"),HYPERLINK("#Technical!A1","Open"))</f>
        <v>Open</v>
      </c>
    </row>
    <row r="30" spans="1:20" ht="30" customHeight="1" x14ac:dyDescent="0.25">
      <c r="A30" s="33" t="s">
        <v>521</v>
      </c>
      <c r="B30" s="28">
        <v>0</v>
      </c>
      <c r="C30" s="28" t="s">
        <v>478</v>
      </c>
      <c r="D30" s="49"/>
      <c r="E30" s="28">
        <v>0</v>
      </c>
      <c r="F30" s="28">
        <v>0</v>
      </c>
      <c r="G30" s="28" t="s">
        <v>962</v>
      </c>
      <c r="H30" s="28"/>
      <c r="I30" s="28"/>
      <c r="J30" s="28" t="s">
        <v>392</v>
      </c>
      <c r="K30" s="28" t="s">
        <v>963</v>
      </c>
      <c r="L30" s="28" t="s">
        <v>335</v>
      </c>
      <c r="M30" s="29" t="s">
        <v>2</v>
      </c>
      <c r="N30" s="28"/>
      <c r="O30" s="35" t="s">
        <v>477</v>
      </c>
      <c r="P30" s="29">
        <v>1</v>
      </c>
      <c r="Q30" s="28" t="s">
        <v>769</v>
      </c>
      <c r="R30" s="34" t="str">
        <f>IFERROR(HYPERLINK("#Main!A"&amp;MATCH(A30,Main!A:A,0),"Open"),HYPERLINK("#Main!A1","Open"))</f>
        <v>Open</v>
      </c>
      <c r="S30" s="34" t="str">
        <f>IFERROR(HYPERLINK("#Technical!A"&amp;MATCH(A30,Technical!A:A,0),"Open"),HYPERLINK("#Technical!A1","Open"))</f>
        <v>Open</v>
      </c>
      <c r="T30" s="34"/>
    </row>
    <row r="31" spans="1:20" ht="30" customHeight="1" x14ac:dyDescent="0.25">
      <c r="A31" s="30" t="s">
        <v>524</v>
      </c>
      <c r="B31" s="37">
        <v>0</v>
      </c>
      <c r="C31" s="37" t="s">
        <v>478</v>
      </c>
      <c r="D31" s="50"/>
      <c r="E31" s="37">
        <v>0</v>
      </c>
      <c r="F31" s="37">
        <v>0</v>
      </c>
      <c r="G31" s="37" t="s">
        <v>962</v>
      </c>
      <c r="H31" s="37"/>
      <c r="I31" s="37"/>
      <c r="J31" s="37" t="s">
        <v>392</v>
      </c>
      <c r="K31" s="37" t="s">
        <v>963</v>
      </c>
      <c r="L31" s="37" t="s">
        <v>335</v>
      </c>
      <c r="M31" s="29" t="s">
        <v>2</v>
      </c>
      <c r="N31" s="37"/>
      <c r="O31" s="35" t="s">
        <v>477</v>
      </c>
      <c r="P31" s="29">
        <v>1</v>
      </c>
      <c r="Q31" s="37" t="s">
        <v>769</v>
      </c>
      <c r="R31" t="str">
        <f>IFERROR(HYPERLINK("#Main!A"&amp;MATCH(A31,Main!A:A,0),"Open"),HYPERLINK("#Main!A1","Open"))</f>
        <v>Open</v>
      </c>
      <c r="S31" t="str">
        <f>IFERROR(HYPERLINK("#Technical!A"&amp;MATCH(A31,Technical!A:A,0),"Open"),HYPERLINK("#Technical!A1","Open"))</f>
        <v>Open</v>
      </c>
    </row>
    <row r="32" spans="1:20" ht="30" customHeight="1" x14ac:dyDescent="0.25">
      <c r="A32" s="33" t="s">
        <v>527</v>
      </c>
      <c r="B32" s="28">
        <v>0</v>
      </c>
      <c r="C32" s="28" t="s">
        <v>478</v>
      </c>
      <c r="D32" s="49"/>
      <c r="E32" s="28">
        <v>0</v>
      </c>
      <c r="F32" s="28">
        <v>0</v>
      </c>
      <c r="G32" s="28" t="s">
        <v>962</v>
      </c>
      <c r="H32" s="28"/>
      <c r="I32" s="28"/>
      <c r="J32" s="28" t="s">
        <v>392</v>
      </c>
      <c r="K32" s="28" t="s">
        <v>963</v>
      </c>
      <c r="L32" s="28" t="s">
        <v>335</v>
      </c>
      <c r="M32" s="29" t="s">
        <v>2</v>
      </c>
      <c r="N32" s="28"/>
      <c r="O32" s="35" t="s">
        <v>477</v>
      </c>
      <c r="P32" s="29">
        <v>3</v>
      </c>
      <c r="Q32" s="28" t="s">
        <v>769</v>
      </c>
      <c r="R32" s="34" t="str">
        <f>IFERROR(HYPERLINK("#Main!A"&amp;MATCH(A32,Main!A:A,0),"Open"),HYPERLINK("#Main!A1","Open"))</f>
        <v>Open</v>
      </c>
      <c r="S32" s="34" t="str">
        <f>IFERROR(HYPERLINK("#Technical!A"&amp;MATCH(A32,Technical!A:A,0),"Open"),HYPERLINK("#Technical!A1","Open"))</f>
        <v>Open</v>
      </c>
      <c r="T32" s="34"/>
    </row>
    <row r="33" spans="1:20" ht="45" customHeight="1" x14ac:dyDescent="0.25">
      <c r="A33" s="30" t="s">
        <v>528</v>
      </c>
      <c r="B33" s="37">
        <v>0</v>
      </c>
      <c r="C33" s="37" t="s">
        <v>478</v>
      </c>
      <c r="D33" s="50"/>
      <c r="E33" s="37">
        <v>0</v>
      </c>
      <c r="F33" s="37">
        <v>0</v>
      </c>
      <c r="G33" s="37" t="s">
        <v>962</v>
      </c>
      <c r="H33" s="37"/>
      <c r="I33" s="37"/>
      <c r="J33" s="37" t="s">
        <v>392</v>
      </c>
      <c r="K33" s="37" t="s">
        <v>963</v>
      </c>
      <c r="L33" s="37" t="s">
        <v>335</v>
      </c>
      <c r="M33" s="29" t="s">
        <v>2</v>
      </c>
      <c r="N33" s="37"/>
      <c r="O33" s="35" t="s">
        <v>477</v>
      </c>
      <c r="P33" s="29">
        <v>1</v>
      </c>
      <c r="Q33" s="37" t="s">
        <v>769</v>
      </c>
      <c r="R33" t="str">
        <f>IFERROR(HYPERLINK("#Main!A"&amp;MATCH(A33,Main!A:A,0),"Open"),HYPERLINK("#Main!A1","Open"))</f>
        <v>Open</v>
      </c>
      <c r="S33" t="str">
        <f>IFERROR(HYPERLINK("#Technical!A"&amp;MATCH(A33,Technical!A:A,0),"Open"),HYPERLINK("#Technical!A1","Open"))</f>
        <v>Open</v>
      </c>
    </row>
    <row r="34" spans="1:20" ht="30" customHeight="1" x14ac:dyDescent="0.25">
      <c r="A34" s="33" t="s">
        <v>531</v>
      </c>
      <c r="B34" s="28">
        <v>0</v>
      </c>
      <c r="C34" s="28" t="s">
        <v>478</v>
      </c>
      <c r="D34" s="49"/>
      <c r="E34" s="28">
        <v>0</v>
      </c>
      <c r="F34" s="28">
        <v>0</v>
      </c>
      <c r="G34" s="28" t="s">
        <v>962</v>
      </c>
      <c r="H34" s="28"/>
      <c r="I34" s="28"/>
      <c r="J34" s="28" t="s">
        <v>392</v>
      </c>
      <c r="K34" s="28" t="s">
        <v>963</v>
      </c>
      <c r="L34" s="28" t="s">
        <v>335</v>
      </c>
      <c r="M34" s="29" t="s">
        <v>2</v>
      </c>
      <c r="N34" s="28"/>
      <c r="O34" s="35" t="s">
        <v>477</v>
      </c>
      <c r="P34" s="29">
        <v>1</v>
      </c>
      <c r="Q34" s="28" t="s">
        <v>769</v>
      </c>
      <c r="R34" s="34" t="str">
        <f>IFERROR(HYPERLINK("#Main!A"&amp;MATCH(A34,Main!A:A,0),"Open"),HYPERLINK("#Main!A1","Open"))</f>
        <v>Open</v>
      </c>
      <c r="S34" s="34" t="str">
        <f>IFERROR(HYPERLINK("#Technical!A"&amp;MATCH(A34,Technical!A:A,0),"Open"),HYPERLINK("#Technical!A1","Open"))</f>
        <v>Open</v>
      </c>
      <c r="T34" s="34"/>
    </row>
    <row r="35" spans="1:20" ht="30" customHeight="1" x14ac:dyDescent="0.25">
      <c r="A35" s="30" t="s">
        <v>534</v>
      </c>
      <c r="B35" s="37">
        <v>0</v>
      </c>
      <c r="C35" s="37" t="s">
        <v>478</v>
      </c>
      <c r="D35" s="50"/>
      <c r="E35" s="37">
        <v>0</v>
      </c>
      <c r="F35" s="37">
        <v>0</v>
      </c>
      <c r="G35" s="37" t="s">
        <v>962</v>
      </c>
      <c r="H35" s="37"/>
      <c r="I35" s="37"/>
      <c r="J35" s="37" t="s">
        <v>392</v>
      </c>
      <c r="K35" s="37" t="s">
        <v>963</v>
      </c>
      <c r="L35" s="37" t="s">
        <v>335</v>
      </c>
      <c r="M35" s="29" t="s">
        <v>2</v>
      </c>
      <c r="N35" s="37"/>
      <c r="O35" s="35" t="s">
        <v>477</v>
      </c>
      <c r="P35" s="29">
        <v>1</v>
      </c>
      <c r="Q35" s="37" t="s">
        <v>769</v>
      </c>
      <c r="R35" t="str">
        <f>IFERROR(HYPERLINK("#Main!A"&amp;MATCH(A35,Main!A:A,0),"Open"),HYPERLINK("#Main!A1","Open"))</f>
        <v>Open</v>
      </c>
      <c r="S35" t="str">
        <f>IFERROR(HYPERLINK("#Technical!A"&amp;MATCH(A35,Technical!A:A,0),"Open"),HYPERLINK("#Technical!A1","Open"))</f>
        <v>Open</v>
      </c>
    </row>
    <row r="36" spans="1:20" ht="30" customHeight="1" x14ac:dyDescent="0.25">
      <c r="A36" s="33" t="s">
        <v>537</v>
      </c>
      <c r="B36" s="28">
        <v>0</v>
      </c>
      <c r="C36" s="28" t="s">
        <v>478</v>
      </c>
      <c r="D36" s="49"/>
      <c r="E36" s="28">
        <v>0</v>
      </c>
      <c r="F36" s="28">
        <v>0</v>
      </c>
      <c r="G36" s="28" t="s">
        <v>962</v>
      </c>
      <c r="H36" s="28"/>
      <c r="I36" s="28"/>
      <c r="J36" s="28" t="s">
        <v>392</v>
      </c>
      <c r="K36" s="28" t="s">
        <v>963</v>
      </c>
      <c r="L36" s="28" t="s">
        <v>335</v>
      </c>
      <c r="M36" s="29" t="s">
        <v>2</v>
      </c>
      <c r="N36" s="28"/>
      <c r="O36" s="35" t="s">
        <v>477</v>
      </c>
      <c r="P36" s="29">
        <v>1</v>
      </c>
      <c r="Q36" s="28" t="s">
        <v>769</v>
      </c>
      <c r="R36" s="34" t="str">
        <f>IFERROR(HYPERLINK("#Main!A"&amp;MATCH(A36,Main!A:A,0),"Open"),HYPERLINK("#Main!A1","Open"))</f>
        <v>Open</v>
      </c>
      <c r="S36" s="34" t="str">
        <f>IFERROR(HYPERLINK("#Technical!A"&amp;MATCH(A36,Technical!A:A,0),"Open"),HYPERLINK("#Technical!A1","Open"))</f>
        <v>Open</v>
      </c>
      <c r="T36" s="34"/>
    </row>
    <row r="37" spans="1:20" ht="45" customHeight="1" x14ac:dyDescent="0.25">
      <c r="A37" s="30" t="s">
        <v>540</v>
      </c>
      <c r="B37" s="37">
        <v>0</v>
      </c>
      <c r="C37" s="37" t="s">
        <v>478</v>
      </c>
      <c r="D37" s="50"/>
      <c r="E37" s="37">
        <v>0</v>
      </c>
      <c r="F37" s="37">
        <v>0</v>
      </c>
      <c r="G37" s="37" t="s">
        <v>962</v>
      </c>
      <c r="H37" s="37"/>
      <c r="I37" s="37"/>
      <c r="J37" s="37" t="s">
        <v>392</v>
      </c>
      <c r="K37" s="37" t="s">
        <v>963</v>
      </c>
      <c r="L37" s="37" t="s">
        <v>335</v>
      </c>
      <c r="M37" s="29" t="s">
        <v>2</v>
      </c>
      <c r="N37" s="37"/>
      <c r="O37" s="35" t="s">
        <v>477</v>
      </c>
      <c r="P37" s="29">
        <v>1</v>
      </c>
      <c r="Q37" s="37" t="s">
        <v>769</v>
      </c>
      <c r="R37" t="str">
        <f>IFERROR(HYPERLINK("#Main!A"&amp;MATCH(A37,Main!A:A,0),"Open"),HYPERLINK("#Main!A1","Open"))</f>
        <v>Open</v>
      </c>
      <c r="S37" t="str">
        <f>IFERROR(HYPERLINK("#Technical!A"&amp;MATCH(A37,Technical!A:A,0),"Open"),HYPERLINK("#Technical!A1","Open"))</f>
        <v>Open</v>
      </c>
    </row>
    <row r="38" spans="1:20" ht="30" customHeight="1" x14ac:dyDescent="0.25">
      <c r="A38" s="33" t="s">
        <v>543</v>
      </c>
      <c r="B38" s="28">
        <v>0</v>
      </c>
      <c r="C38" s="28" t="s">
        <v>478</v>
      </c>
      <c r="D38" s="49"/>
      <c r="E38" s="28">
        <v>0</v>
      </c>
      <c r="F38" s="28">
        <v>0</v>
      </c>
      <c r="G38" s="28" t="s">
        <v>962</v>
      </c>
      <c r="H38" s="28"/>
      <c r="I38" s="28"/>
      <c r="J38" s="28" t="s">
        <v>392</v>
      </c>
      <c r="K38" s="28" t="s">
        <v>963</v>
      </c>
      <c r="L38" s="28" t="s">
        <v>335</v>
      </c>
      <c r="M38" s="29" t="s">
        <v>2</v>
      </c>
      <c r="N38" s="28"/>
      <c r="O38" s="35" t="s">
        <v>477</v>
      </c>
      <c r="P38" s="29">
        <v>1</v>
      </c>
      <c r="Q38" s="28" t="s">
        <v>769</v>
      </c>
      <c r="R38" s="34" t="str">
        <f>IFERROR(HYPERLINK("#Main!A"&amp;MATCH(A38,Main!A:A,0),"Open"),HYPERLINK("#Main!A1","Open"))</f>
        <v>Open</v>
      </c>
      <c r="S38" s="34" t="str">
        <f>IFERROR(HYPERLINK("#Technical!A"&amp;MATCH(A38,Technical!A:A,0),"Open"),HYPERLINK("#Technical!A1","Open"))</f>
        <v>Open</v>
      </c>
      <c r="T38" s="34"/>
    </row>
    <row r="39" spans="1:20" ht="30" customHeight="1" x14ac:dyDescent="0.25">
      <c r="A39" s="30" t="s">
        <v>483</v>
      </c>
      <c r="B39" s="37">
        <v>0</v>
      </c>
      <c r="C39" s="37" t="s">
        <v>478</v>
      </c>
      <c r="D39" s="50"/>
      <c r="E39" s="37">
        <v>0</v>
      </c>
      <c r="F39" s="37">
        <v>0</v>
      </c>
      <c r="G39" s="37" t="s">
        <v>962</v>
      </c>
      <c r="H39" s="37"/>
      <c r="I39" s="37"/>
      <c r="J39" s="37" t="s">
        <v>392</v>
      </c>
      <c r="K39" s="37" t="s">
        <v>391</v>
      </c>
      <c r="L39" s="37" t="s">
        <v>335</v>
      </c>
      <c r="M39" s="29" t="s">
        <v>2</v>
      </c>
      <c r="N39" s="37"/>
      <c r="O39" s="29" t="s">
        <v>752</v>
      </c>
      <c r="P39" s="35">
        <v>0</v>
      </c>
      <c r="Q39" s="37"/>
      <c r="R39" t="str">
        <f>IFERROR(HYPERLINK("#Main!A"&amp;MATCH(A39,Main!A:A,0),"Open"),HYPERLINK("#Main!A1","Open"))</f>
        <v>Open</v>
      </c>
      <c r="S39" t="str">
        <f>IFERROR(HYPERLINK("#Technical!A"&amp;MATCH(A39,Technical!A:A,0),"Open"),HYPERLINK("#Technical!A1","Open"))</f>
        <v>Open</v>
      </c>
    </row>
    <row r="40" spans="1:20" ht="30" customHeight="1" x14ac:dyDescent="0.25">
      <c r="A40" s="33" t="s">
        <v>546</v>
      </c>
      <c r="B40" s="28">
        <v>0</v>
      </c>
      <c r="C40" s="28" t="s">
        <v>478</v>
      </c>
      <c r="D40" s="49"/>
      <c r="E40" s="28">
        <v>0</v>
      </c>
      <c r="F40" s="28">
        <v>0</v>
      </c>
      <c r="G40" s="28" t="s">
        <v>962</v>
      </c>
      <c r="H40" s="28"/>
      <c r="I40" s="28"/>
      <c r="J40" s="28" t="s">
        <v>392</v>
      </c>
      <c r="K40" s="28" t="s">
        <v>963</v>
      </c>
      <c r="L40" s="28" t="s">
        <v>335</v>
      </c>
      <c r="M40" s="29" t="s">
        <v>2</v>
      </c>
      <c r="N40" s="28"/>
      <c r="O40" s="35" t="s">
        <v>477</v>
      </c>
      <c r="P40" s="29">
        <v>2</v>
      </c>
      <c r="Q40" s="28" t="s">
        <v>769</v>
      </c>
      <c r="R40" s="34" t="str">
        <f>IFERROR(HYPERLINK("#Main!A"&amp;MATCH(A40,Main!A:A,0),"Open"),HYPERLINK("#Main!A1","Open"))</f>
        <v>Open</v>
      </c>
      <c r="S40" s="34" t="str">
        <f>IFERROR(HYPERLINK("#Technical!A"&amp;MATCH(A40,Technical!A:A,0),"Open"),HYPERLINK("#Technical!A1","Open"))</f>
        <v>Open</v>
      </c>
      <c r="T40" s="34"/>
    </row>
    <row r="41" spans="1:20" ht="30" customHeight="1" x14ac:dyDescent="0.25">
      <c r="A41" s="30" t="s">
        <v>549</v>
      </c>
      <c r="B41" s="37">
        <v>0</v>
      </c>
      <c r="C41" s="37" t="s">
        <v>478</v>
      </c>
      <c r="D41" s="50"/>
      <c r="E41" s="37">
        <v>0</v>
      </c>
      <c r="F41" s="37">
        <v>0</v>
      </c>
      <c r="G41" s="37" t="s">
        <v>962</v>
      </c>
      <c r="H41" s="37"/>
      <c r="I41" s="37"/>
      <c r="J41" s="37" t="s">
        <v>392</v>
      </c>
      <c r="K41" s="37" t="s">
        <v>963</v>
      </c>
      <c r="L41" s="37" t="s">
        <v>335</v>
      </c>
      <c r="M41" s="29" t="s">
        <v>2</v>
      </c>
      <c r="N41" s="37"/>
      <c r="O41" s="35" t="s">
        <v>477</v>
      </c>
      <c r="P41" s="29">
        <v>1</v>
      </c>
      <c r="Q41" s="37" t="s">
        <v>769</v>
      </c>
      <c r="R41" t="str">
        <f>IFERROR(HYPERLINK("#Main!A"&amp;MATCH(A41,Main!A:A,0),"Open"),HYPERLINK("#Main!A1","Open"))</f>
        <v>Open</v>
      </c>
      <c r="S41" t="str">
        <f>IFERROR(HYPERLINK("#Technical!A"&amp;MATCH(A41,Technical!A:A,0),"Open"),HYPERLINK("#Technical!A1","Open"))</f>
        <v>Open</v>
      </c>
    </row>
    <row r="42" spans="1:20" ht="30" customHeight="1" x14ac:dyDescent="0.25">
      <c r="A42" s="33" t="s">
        <v>555</v>
      </c>
      <c r="B42" s="28">
        <v>0</v>
      </c>
      <c r="C42" s="28" t="s">
        <v>478</v>
      </c>
      <c r="D42" s="49"/>
      <c r="E42" s="28">
        <v>0</v>
      </c>
      <c r="F42" s="28">
        <v>0</v>
      </c>
      <c r="G42" s="28" t="s">
        <v>962</v>
      </c>
      <c r="H42" s="28"/>
      <c r="I42" s="28"/>
      <c r="J42" s="28" t="s">
        <v>392</v>
      </c>
      <c r="K42" s="28" t="s">
        <v>963</v>
      </c>
      <c r="L42" s="28" t="s">
        <v>335</v>
      </c>
      <c r="M42" s="29" t="s">
        <v>2</v>
      </c>
      <c r="N42" s="28"/>
      <c r="O42" s="35" t="s">
        <v>477</v>
      </c>
      <c r="P42" s="29">
        <v>1</v>
      </c>
      <c r="Q42" s="28" t="s">
        <v>769</v>
      </c>
      <c r="R42" s="34" t="str">
        <f>IFERROR(HYPERLINK("#Main!A"&amp;MATCH(A42,Main!A:A,0),"Open"),HYPERLINK("#Main!A1","Open"))</f>
        <v>Open</v>
      </c>
      <c r="S42" s="34" t="str">
        <f>IFERROR(HYPERLINK("#Technical!A"&amp;MATCH(A42,Technical!A:A,0),"Open"),HYPERLINK("#Technical!A1","Open"))</f>
        <v>Open</v>
      </c>
      <c r="T42" s="34"/>
    </row>
    <row r="43" spans="1:20" ht="30" customHeight="1" x14ac:dyDescent="0.25">
      <c r="A43" s="30" t="s">
        <v>557</v>
      </c>
      <c r="B43" s="37">
        <v>0</v>
      </c>
      <c r="C43" s="37" t="s">
        <v>478</v>
      </c>
      <c r="D43" s="50"/>
      <c r="E43" s="37">
        <v>0</v>
      </c>
      <c r="F43" s="37">
        <v>0</v>
      </c>
      <c r="G43" s="37" t="s">
        <v>962</v>
      </c>
      <c r="H43" s="37"/>
      <c r="I43" s="37"/>
      <c r="J43" s="37" t="s">
        <v>392</v>
      </c>
      <c r="K43" s="37" t="s">
        <v>963</v>
      </c>
      <c r="L43" s="37" t="s">
        <v>335</v>
      </c>
      <c r="M43" s="29" t="s">
        <v>2</v>
      </c>
      <c r="N43" s="37"/>
      <c r="O43" s="35" t="s">
        <v>477</v>
      </c>
      <c r="P43" s="29">
        <v>1</v>
      </c>
      <c r="Q43" s="37" t="s">
        <v>769</v>
      </c>
      <c r="R43" t="str">
        <f>IFERROR(HYPERLINK("#Main!A"&amp;MATCH(A43,Main!A:A,0),"Open"),HYPERLINK("#Main!A1","Open"))</f>
        <v>Open</v>
      </c>
      <c r="S43" t="str">
        <f>IFERROR(HYPERLINK("#Technical!A"&amp;MATCH(A43,Technical!A:A,0),"Open"),HYPERLINK("#Technical!A1","Open"))</f>
        <v>Open</v>
      </c>
    </row>
    <row r="44" spans="1:20" ht="30" customHeight="1" x14ac:dyDescent="0.25">
      <c r="A44" s="33" t="s">
        <v>552</v>
      </c>
      <c r="B44" s="28">
        <v>0</v>
      </c>
      <c r="C44" s="28" t="s">
        <v>478</v>
      </c>
      <c r="D44" s="49"/>
      <c r="E44" s="28">
        <v>0</v>
      </c>
      <c r="F44" s="28">
        <v>0</v>
      </c>
      <c r="G44" s="28" t="s">
        <v>962</v>
      </c>
      <c r="H44" s="28"/>
      <c r="I44" s="28"/>
      <c r="J44" s="28" t="s">
        <v>392</v>
      </c>
      <c r="K44" s="28" t="s">
        <v>963</v>
      </c>
      <c r="L44" s="28" t="s">
        <v>335</v>
      </c>
      <c r="M44" s="29" t="s">
        <v>2</v>
      </c>
      <c r="N44" s="28"/>
      <c r="O44" s="35" t="s">
        <v>477</v>
      </c>
      <c r="P44" s="29">
        <v>1</v>
      </c>
      <c r="Q44" s="28" t="s">
        <v>769</v>
      </c>
      <c r="R44" s="34" t="str">
        <f>IFERROR(HYPERLINK("#Main!A"&amp;MATCH(A44,Main!A:A,0),"Open"),HYPERLINK("#Main!A1","Open"))</f>
        <v>Open</v>
      </c>
      <c r="S44" s="34" t="str">
        <f>IFERROR(HYPERLINK("#Technical!A"&amp;MATCH(A44,Technical!A:A,0),"Open"),HYPERLINK("#Technical!A1","Open"))</f>
        <v>Open</v>
      </c>
      <c r="T44" s="34"/>
    </row>
    <row r="45" spans="1:20" ht="30" customHeight="1" x14ac:dyDescent="0.25">
      <c r="A45" s="30" t="s">
        <v>560</v>
      </c>
      <c r="B45" s="37">
        <v>0</v>
      </c>
      <c r="C45" s="37" t="s">
        <v>478</v>
      </c>
      <c r="D45" s="50"/>
      <c r="E45" s="37">
        <v>0</v>
      </c>
      <c r="F45" s="37">
        <v>0</v>
      </c>
      <c r="G45" s="37" t="s">
        <v>962</v>
      </c>
      <c r="H45" s="37"/>
      <c r="I45" s="37"/>
      <c r="J45" s="37" t="s">
        <v>392</v>
      </c>
      <c r="K45" s="37" t="s">
        <v>963</v>
      </c>
      <c r="L45" s="37" t="s">
        <v>335</v>
      </c>
      <c r="M45" s="29" t="s">
        <v>2</v>
      </c>
      <c r="N45" s="37"/>
      <c r="O45" s="35" t="s">
        <v>477</v>
      </c>
      <c r="P45" s="29">
        <v>1</v>
      </c>
      <c r="Q45" s="37" t="s">
        <v>769</v>
      </c>
      <c r="R45" t="str">
        <f>IFERROR(HYPERLINK("#Main!A"&amp;MATCH(A45,Main!A:A,0),"Open"),HYPERLINK("#Main!A1","Open"))</f>
        <v>Open</v>
      </c>
      <c r="S45" t="str">
        <f>IFERROR(HYPERLINK("#Technical!A"&amp;MATCH(A45,Technical!A:A,0),"Open"),HYPERLINK("#Technical!A1","Open"))</f>
        <v>Open</v>
      </c>
    </row>
    <row r="46" spans="1:20" ht="30" customHeight="1" x14ac:dyDescent="0.25">
      <c r="A46" s="33" t="s">
        <v>563</v>
      </c>
      <c r="B46" s="28">
        <v>0</v>
      </c>
      <c r="C46" s="28" t="s">
        <v>478</v>
      </c>
      <c r="D46" s="49"/>
      <c r="E46" s="28">
        <v>0</v>
      </c>
      <c r="F46" s="28">
        <v>0</v>
      </c>
      <c r="G46" s="28" t="s">
        <v>962</v>
      </c>
      <c r="H46" s="28"/>
      <c r="I46" s="28"/>
      <c r="J46" s="28" t="s">
        <v>392</v>
      </c>
      <c r="K46" s="28" t="s">
        <v>963</v>
      </c>
      <c r="L46" s="28" t="s">
        <v>335</v>
      </c>
      <c r="M46" s="29" t="s">
        <v>2</v>
      </c>
      <c r="N46" s="28"/>
      <c r="O46" s="35" t="s">
        <v>477</v>
      </c>
      <c r="P46" s="29">
        <v>1</v>
      </c>
      <c r="Q46" s="28" t="s">
        <v>769</v>
      </c>
      <c r="R46" s="34" t="str">
        <f>IFERROR(HYPERLINK("#Main!A"&amp;MATCH(A46,Main!A:A,0),"Open"),HYPERLINK("#Main!A1","Open"))</f>
        <v>Open</v>
      </c>
      <c r="S46" s="34" t="str">
        <f>IFERROR(HYPERLINK("#Technical!A"&amp;MATCH(A46,Technical!A:A,0),"Open"),HYPERLINK("#Technical!A1","Open"))</f>
        <v>Open</v>
      </c>
      <c r="T46" s="34"/>
    </row>
    <row r="47" spans="1:20" ht="30" customHeight="1" x14ac:dyDescent="0.25">
      <c r="A47" s="30" t="s">
        <v>566</v>
      </c>
      <c r="B47" s="37">
        <v>0</v>
      </c>
      <c r="C47" s="37" t="s">
        <v>478</v>
      </c>
      <c r="D47" s="50"/>
      <c r="E47" s="37">
        <v>0</v>
      </c>
      <c r="F47" s="37">
        <v>0</v>
      </c>
      <c r="G47" s="37" t="s">
        <v>962</v>
      </c>
      <c r="H47" s="37"/>
      <c r="I47" s="37"/>
      <c r="J47" s="37" t="s">
        <v>392</v>
      </c>
      <c r="K47" s="37" t="s">
        <v>963</v>
      </c>
      <c r="L47" s="37" t="s">
        <v>335</v>
      </c>
      <c r="M47" s="29" t="s">
        <v>2</v>
      </c>
      <c r="N47" s="37"/>
      <c r="O47" s="35" t="s">
        <v>477</v>
      </c>
      <c r="P47" s="29">
        <v>1</v>
      </c>
      <c r="Q47" s="37" t="s">
        <v>769</v>
      </c>
      <c r="R47" t="str">
        <f>IFERROR(HYPERLINK("#Main!A"&amp;MATCH(A47,Main!A:A,0),"Open"),HYPERLINK("#Main!A1","Open"))</f>
        <v>Open</v>
      </c>
      <c r="S47" t="str">
        <f>IFERROR(HYPERLINK("#Technical!A"&amp;MATCH(A47,Technical!A:A,0),"Open"),HYPERLINK("#Technical!A1","Open"))</f>
        <v>Open</v>
      </c>
    </row>
    <row r="48" spans="1:20" ht="30" customHeight="1" x14ac:dyDescent="0.25">
      <c r="A48" s="33" t="s">
        <v>570</v>
      </c>
      <c r="B48" s="28">
        <v>0</v>
      </c>
      <c r="C48" s="28" t="s">
        <v>478</v>
      </c>
      <c r="D48" s="49"/>
      <c r="E48" s="28">
        <v>0</v>
      </c>
      <c r="F48" s="28">
        <v>0</v>
      </c>
      <c r="G48" s="28" t="s">
        <v>962</v>
      </c>
      <c r="H48" s="28"/>
      <c r="I48" s="28"/>
      <c r="J48" s="28" t="s">
        <v>392</v>
      </c>
      <c r="K48" s="28" t="s">
        <v>963</v>
      </c>
      <c r="L48" s="28" t="s">
        <v>335</v>
      </c>
      <c r="M48" s="29" t="s">
        <v>2</v>
      </c>
      <c r="N48" s="28"/>
      <c r="O48" s="35" t="s">
        <v>477</v>
      </c>
      <c r="P48" s="29">
        <v>1</v>
      </c>
      <c r="Q48" s="28" t="s">
        <v>769</v>
      </c>
      <c r="R48" s="34" t="str">
        <f>IFERROR(HYPERLINK("#Main!A"&amp;MATCH(A48,Main!A:A,0),"Open"),HYPERLINK("#Main!A1","Open"))</f>
        <v>Open</v>
      </c>
      <c r="S48" s="34" t="str">
        <f>IFERROR(HYPERLINK("#Technical!A"&amp;MATCH(A48,Technical!A:A,0),"Open"),HYPERLINK("#Technical!A1","Open"))</f>
        <v>Open</v>
      </c>
      <c r="T48" s="34"/>
    </row>
    <row r="49" spans="1:20" ht="30" customHeight="1" x14ac:dyDescent="0.25">
      <c r="A49" s="30" t="s">
        <v>577</v>
      </c>
      <c r="B49" s="37">
        <v>0</v>
      </c>
      <c r="C49" s="37" t="s">
        <v>478</v>
      </c>
      <c r="D49" s="50"/>
      <c r="E49" s="37">
        <v>0</v>
      </c>
      <c r="F49" s="37">
        <v>0</v>
      </c>
      <c r="G49" s="37" t="s">
        <v>962</v>
      </c>
      <c r="H49" s="37"/>
      <c r="I49" s="37"/>
      <c r="J49" s="37" t="s">
        <v>392</v>
      </c>
      <c r="K49" s="37" t="s">
        <v>963</v>
      </c>
      <c r="L49" s="37" t="s">
        <v>335</v>
      </c>
      <c r="M49" s="29" t="s">
        <v>2</v>
      </c>
      <c r="N49" s="37"/>
      <c r="O49" s="35" t="s">
        <v>477</v>
      </c>
      <c r="P49" s="29">
        <v>1</v>
      </c>
      <c r="Q49" s="37" t="s">
        <v>769</v>
      </c>
      <c r="R49" t="str">
        <f>IFERROR(HYPERLINK("#Main!A"&amp;MATCH(A49,Main!A:A,0),"Open"),HYPERLINK("#Main!A1","Open"))</f>
        <v>Open</v>
      </c>
      <c r="S49" t="str">
        <f>IFERROR(HYPERLINK("#Technical!A"&amp;MATCH(A49,Technical!A:A,0),"Open"),HYPERLINK("#Technical!A1","Open"))</f>
        <v>Open</v>
      </c>
    </row>
    <row r="50" spans="1:20" ht="30" customHeight="1" x14ac:dyDescent="0.25">
      <c r="A50" s="33" t="s">
        <v>579</v>
      </c>
      <c r="B50" s="28">
        <v>0</v>
      </c>
      <c r="C50" s="28" t="s">
        <v>478</v>
      </c>
      <c r="D50" s="49"/>
      <c r="E50" s="28">
        <v>0</v>
      </c>
      <c r="F50" s="28">
        <v>0</v>
      </c>
      <c r="G50" s="28" t="s">
        <v>962</v>
      </c>
      <c r="H50" s="28"/>
      <c r="I50" s="28"/>
      <c r="J50" s="28" t="s">
        <v>392</v>
      </c>
      <c r="K50" s="28" t="s">
        <v>963</v>
      </c>
      <c r="L50" s="28" t="s">
        <v>335</v>
      </c>
      <c r="M50" s="29" t="s">
        <v>2</v>
      </c>
      <c r="N50" s="28"/>
      <c r="O50" s="35" t="s">
        <v>477</v>
      </c>
      <c r="P50" s="29">
        <v>1</v>
      </c>
      <c r="Q50" s="28" t="s">
        <v>769</v>
      </c>
      <c r="R50" s="34" t="str">
        <f>IFERROR(HYPERLINK("#Main!A"&amp;MATCH(A50,Main!A:A,0),"Open"),HYPERLINK("#Main!A1","Open"))</f>
        <v>Open</v>
      </c>
      <c r="S50" s="34" t="str">
        <f>IFERROR(HYPERLINK("#Technical!A"&amp;MATCH(A50,Technical!A:A,0),"Open"),HYPERLINK("#Technical!A1","Open"))</f>
        <v>Open</v>
      </c>
      <c r="T50" s="34"/>
    </row>
    <row r="51" spans="1:20" ht="30" customHeight="1" x14ac:dyDescent="0.25">
      <c r="A51" s="30" t="s">
        <v>573</v>
      </c>
      <c r="B51" s="37">
        <v>0</v>
      </c>
      <c r="C51" s="37" t="s">
        <v>478</v>
      </c>
      <c r="D51" s="50"/>
      <c r="E51" s="37">
        <v>0</v>
      </c>
      <c r="F51" s="37">
        <v>0</v>
      </c>
      <c r="G51" s="37" t="s">
        <v>962</v>
      </c>
      <c r="H51" s="37"/>
      <c r="I51" s="37"/>
      <c r="J51" s="37" t="s">
        <v>392</v>
      </c>
      <c r="K51" s="37" t="s">
        <v>963</v>
      </c>
      <c r="L51" s="37" t="s">
        <v>335</v>
      </c>
      <c r="M51" s="29" t="s">
        <v>2</v>
      </c>
      <c r="N51" s="37"/>
      <c r="O51" s="35" t="s">
        <v>477</v>
      </c>
      <c r="P51" s="29">
        <v>1</v>
      </c>
      <c r="Q51" s="37" t="s">
        <v>769</v>
      </c>
      <c r="R51" t="str">
        <f>IFERROR(HYPERLINK("#Main!A"&amp;MATCH(A51,Main!A:A,0),"Open"),HYPERLINK("#Main!A1","Open"))</f>
        <v>Open</v>
      </c>
      <c r="S51" t="str">
        <f>IFERROR(HYPERLINK("#Technical!A"&amp;MATCH(A51,Technical!A:A,0),"Open"),HYPERLINK("#Technical!A1","Open"))</f>
        <v>Open</v>
      </c>
    </row>
    <row r="52" spans="1:20" ht="30" customHeight="1" x14ac:dyDescent="0.25">
      <c r="A52" s="33" t="s">
        <v>582</v>
      </c>
      <c r="B52" s="28">
        <v>0</v>
      </c>
      <c r="C52" s="28" t="s">
        <v>478</v>
      </c>
      <c r="D52" s="49"/>
      <c r="E52" s="28">
        <v>0</v>
      </c>
      <c r="F52" s="28">
        <v>0</v>
      </c>
      <c r="G52" s="28" t="s">
        <v>962</v>
      </c>
      <c r="H52" s="28"/>
      <c r="I52" s="28"/>
      <c r="J52" s="28" t="s">
        <v>392</v>
      </c>
      <c r="K52" s="28" t="s">
        <v>963</v>
      </c>
      <c r="L52" s="28" t="s">
        <v>335</v>
      </c>
      <c r="M52" s="29" t="s">
        <v>2</v>
      </c>
      <c r="N52" s="28"/>
      <c r="O52" s="35" t="s">
        <v>477</v>
      </c>
      <c r="P52" s="29">
        <v>1</v>
      </c>
      <c r="Q52" s="28" t="s">
        <v>769</v>
      </c>
      <c r="R52" s="34" t="str">
        <f>IFERROR(HYPERLINK("#Main!A"&amp;MATCH(A52,Main!A:A,0),"Open"),HYPERLINK("#Main!A1","Open"))</f>
        <v>Open</v>
      </c>
      <c r="S52" s="34" t="str">
        <f>IFERROR(HYPERLINK("#Technical!A"&amp;MATCH(A52,Technical!A:A,0),"Open"),HYPERLINK("#Technical!A1","Open"))</f>
        <v>Open</v>
      </c>
      <c r="T52" s="34"/>
    </row>
    <row r="53" spans="1:20" ht="30" customHeight="1" x14ac:dyDescent="0.25">
      <c r="A53" s="30" t="s">
        <v>588</v>
      </c>
      <c r="B53" s="37">
        <v>0</v>
      </c>
      <c r="C53" s="37" t="s">
        <v>478</v>
      </c>
      <c r="D53" s="50"/>
      <c r="E53" s="37">
        <v>0</v>
      </c>
      <c r="F53" s="37">
        <v>0</v>
      </c>
      <c r="G53" s="37" t="s">
        <v>962</v>
      </c>
      <c r="H53" s="37"/>
      <c r="I53" s="37"/>
      <c r="J53" s="37" t="s">
        <v>392</v>
      </c>
      <c r="K53" s="37" t="s">
        <v>963</v>
      </c>
      <c r="L53" s="37" t="s">
        <v>335</v>
      </c>
      <c r="M53" s="29" t="s">
        <v>2</v>
      </c>
      <c r="N53" s="37"/>
      <c r="O53" s="35" t="s">
        <v>477</v>
      </c>
      <c r="P53" s="29">
        <v>1</v>
      </c>
      <c r="Q53" s="37" t="s">
        <v>769</v>
      </c>
      <c r="R53" t="str">
        <f>IFERROR(HYPERLINK("#Main!A"&amp;MATCH(A53,Main!A:A,0),"Open"),HYPERLINK("#Main!A1","Open"))</f>
        <v>Open</v>
      </c>
      <c r="S53" t="str">
        <f>IFERROR(HYPERLINK("#Technical!A"&amp;MATCH(A53,Technical!A:A,0),"Open"),HYPERLINK("#Technical!A1","Open"))</f>
        <v>Open</v>
      </c>
    </row>
    <row r="54" spans="1:20" ht="30" customHeight="1" x14ac:dyDescent="0.25">
      <c r="A54" s="33" t="s">
        <v>591</v>
      </c>
      <c r="B54" s="28">
        <v>0</v>
      </c>
      <c r="C54" s="28" t="s">
        <v>478</v>
      </c>
      <c r="D54" s="49"/>
      <c r="E54" s="28">
        <v>0</v>
      </c>
      <c r="F54" s="28">
        <v>0</v>
      </c>
      <c r="G54" s="28" t="s">
        <v>962</v>
      </c>
      <c r="H54" s="28"/>
      <c r="I54" s="28"/>
      <c r="J54" s="28" t="s">
        <v>392</v>
      </c>
      <c r="K54" s="28" t="s">
        <v>963</v>
      </c>
      <c r="L54" s="28" t="s">
        <v>335</v>
      </c>
      <c r="M54" s="29" t="s">
        <v>2</v>
      </c>
      <c r="N54" s="28"/>
      <c r="O54" s="35" t="s">
        <v>477</v>
      </c>
      <c r="P54" s="29">
        <v>1</v>
      </c>
      <c r="Q54" s="28" t="s">
        <v>769</v>
      </c>
      <c r="R54" s="34" t="str">
        <f>IFERROR(HYPERLINK("#Main!A"&amp;MATCH(A54,Main!A:A,0),"Open"),HYPERLINK("#Main!A1","Open"))</f>
        <v>Open</v>
      </c>
      <c r="S54" s="34" t="str">
        <f>IFERROR(HYPERLINK("#Technical!A"&amp;MATCH(A54,Technical!A:A,0),"Open"),HYPERLINK("#Technical!A1","Open"))</f>
        <v>Open</v>
      </c>
      <c r="T54" s="34"/>
    </row>
    <row r="55" spans="1:20" ht="30" customHeight="1" x14ac:dyDescent="0.25">
      <c r="A55" s="30" t="s">
        <v>594</v>
      </c>
      <c r="B55" s="37">
        <v>0</v>
      </c>
      <c r="C55" s="37" t="s">
        <v>478</v>
      </c>
      <c r="D55" s="50"/>
      <c r="E55" s="37">
        <v>0</v>
      </c>
      <c r="F55" s="37">
        <v>0</v>
      </c>
      <c r="G55" s="37" t="s">
        <v>962</v>
      </c>
      <c r="H55" s="37"/>
      <c r="I55" s="37"/>
      <c r="J55" s="37" t="s">
        <v>392</v>
      </c>
      <c r="K55" s="37" t="s">
        <v>963</v>
      </c>
      <c r="L55" s="37" t="s">
        <v>335</v>
      </c>
      <c r="M55" s="29" t="s">
        <v>2</v>
      </c>
      <c r="N55" s="37"/>
      <c r="O55" s="35" t="s">
        <v>477</v>
      </c>
      <c r="P55" s="29">
        <v>1</v>
      </c>
      <c r="Q55" s="37" t="s">
        <v>769</v>
      </c>
      <c r="R55" t="str">
        <f>IFERROR(HYPERLINK("#Main!A"&amp;MATCH(A55,Main!A:A,0),"Open"),HYPERLINK("#Main!A1","Open"))</f>
        <v>Open</v>
      </c>
      <c r="S55" t="str">
        <f>IFERROR(HYPERLINK("#Technical!A"&amp;MATCH(A55,Technical!A:A,0),"Open"),HYPERLINK("#Technical!A1","Open"))</f>
        <v>Open</v>
      </c>
    </row>
    <row r="56" spans="1:20" ht="30" customHeight="1" x14ac:dyDescent="0.25">
      <c r="A56" s="33" t="s">
        <v>585</v>
      </c>
      <c r="B56" s="28">
        <v>0</v>
      </c>
      <c r="C56" s="28" t="s">
        <v>478</v>
      </c>
      <c r="D56" s="49"/>
      <c r="E56" s="28">
        <v>0</v>
      </c>
      <c r="F56" s="28">
        <v>0</v>
      </c>
      <c r="G56" s="28" t="s">
        <v>962</v>
      </c>
      <c r="H56" s="28"/>
      <c r="I56" s="28"/>
      <c r="J56" s="28" t="s">
        <v>392</v>
      </c>
      <c r="K56" s="28" t="s">
        <v>963</v>
      </c>
      <c r="L56" s="28" t="s">
        <v>335</v>
      </c>
      <c r="M56" s="29" t="s">
        <v>2</v>
      </c>
      <c r="N56" s="28"/>
      <c r="O56" s="35" t="s">
        <v>477</v>
      </c>
      <c r="P56" s="29">
        <v>2</v>
      </c>
      <c r="Q56" s="28" t="s">
        <v>769</v>
      </c>
      <c r="R56" s="34" t="str">
        <f>IFERROR(HYPERLINK("#Main!A"&amp;MATCH(A56,Main!A:A,0),"Open"),HYPERLINK("#Main!A1","Open"))</f>
        <v>Open</v>
      </c>
      <c r="S56" s="34" t="str">
        <f>IFERROR(HYPERLINK("#Technical!A"&amp;MATCH(A56,Technical!A:A,0),"Open"),HYPERLINK("#Technical!A1","Open"))</f>
        <v>Open</v>
      </c>
      <c r="T56" s="34"/>
    </row>
    <row r="57" spans="1:20" ht="30" customHeight="1" x14ac:dyDescent="0.25">
      <c r="A57" s="30" t="s">
        <v>597</v>
      </c>
      <c r="B57" s="37">
        <v>0</v>
      </c>
      <c r="C57" s="37" t="s">
        <v>478</v>
      </c>
      <c r="D57" s="50"/>
      <c r="E57" s="37">
        <v>0</v>
      </c>
      <c r="F57" s="37">
        <v>0</v>
      </c>
      <c r="G57" s="37" t="s">
        <v>962</v>
      </c>
      <c r="H57" s="37"/>
      <c r="I57" s="37"/>
      <c r="J57" s="37" t="s">
        <v>392</v>
      </c>
      <c r="K57" s="37" t="s">
        <v>964</v>
      </c>
      <c r="L57" s="37" t="s">
        <v>335</v>
      </c>
      <c r="M57" s="29" t="s">
        <v>2</v>
      </c>
      <c r="N57" s="37"/>
      <c r="O57" s="29" t="s">
        <v>598</v>
      </c>
      <c r="P57" s="29">
        <v>1</v>
      </c>
      <c r="Q57" s="37" t="s">
        <v>769</v>
      </c>
      <c r="R57" t="str">
        <f>IFERROR(HYPERLINK("#Main!A"&amp;MATCH(A57,Main!A:A,0),"Open"),HYPERLINK("#Main!A1","Open"))</f>
        <v>Open</v>
      </c>
      <c r="S57" t="str">
        <f>IFERROR(HYPERLINK("#Technical!A"&amp;MATCH(A57,Technical!A:A,0),"Open"),HYPERLINK("#Technical!A1","Open"))</f>
        <v>Open</v>
      </c>
    </row>
    <row r="58" spans="1:20" ht="30" customHeight="1" x14ac:dyDescent="0.25">
      <c r="A58" s="33" t="s">
        <v>601</v>
      </c>
      <c r="B58" s="28">
        <v>0</v>
      </c>
      <c r="C58" s="28" t="s">
        <v>478</v>
      </c>
      <c r="D58" s="49"/>
      <c r="E58" s="28">
        <v>0</v>
      </c>
      <c r="F58" s="28">
        <v>0</v>
      </c>
      <c r="G58" s="28" t="s">
        <v>962</v>
      </c>
      <c r="H58" s="28"/>
      <c r="I58" s="28"/>
      <c r="J58" s="28" t="s">
        <v>392</v>
      </c>
      <c r="K58" s="28" t="s">
        <v>963</v>
      </c>
      <c r="L58" s="28" t="s">
        <v>335</v>
      </c>
      <c r="M58" s="29" t="s">
        <v>2</v>
      </c>
      <c r="N58" s="28"/>
      <c r="O58" s="35" t="s">
        <v>477</v>
      </c>
      <c r="P58" s="29">
        <v>1</v>
      </c>
      <c r="Q58" s="28" t="s">
        <v>769</v>
      </c>
      <c r="R58" s="34" t="str">
        <f>IFERROR(HYPERLINK("#Main!A"&amp;MATCH(A58,Main!A:A,0),"Open"),HYPERLINK("#Main!A1","Open"))</f>
        <v>Open</v>
      </c>
      <c r="S58" s="34" t="str">
        <f>IFERROR(HYPERLINK("#Technical!A"&amp;MATCH(A58,Technical!A:A,0),"Open"),HYPERLINK("#Technical!A1","Open"))</f>
        <v>Open</v>
      </c>
      <c r="T58" s="34"/>
    </row>
    <row r="59" spans="1:20" ht="30" customHeight="1" x14ac:dyDescent="0.25">
      <c r="A59" s="30" t="s">
        <v>604</v>
      </c>
      <c r="B59" s="37">
        <v>0</v>
      </c>
      <c r="C59" s="37" t="s">
        <v>478</v>
      </c>
      <c r="D59" s="50"/>
      <c r="E59" s="37">
        <v>0</v>
      </c>
      <c r="F59" s="37">
        <v>0</v>
      </c>
      <c r="G59" s="37" t="s">
        <v>962</v>
      </c>
      <c r="H59" s="37"/>
      <c r="I59" s="37"/>
      <c r="J59" s="37" t="s">
        <v>392</v>
      </c>
      <c r="K59" s="37" t="s">
        <v>963</v>
      </c>
      <c r="L59" s="37" t="s">
        <v>335</v>
      </c>
      <c r="M59" s="29" t="s">
        <v>2</v>
      </c>
      <c r="N59" s="37"/>
      <c r="O59" s="35" t="s">
        <v>477</v>
      </c>
      <c r="P59" s="29">
        <v>1</v>
      </c>
      <c r="Q59" s="37" t="s">
        <v>769</v>
      </c>
      <c r="R59" t="str">
        <f>IFERROR(HYPERLINK("#Main!A"&amp;MATCH(A59,Main!A:A,0),"Open"),HYPERLINK("#Main!A1","Open"))</f>
        <v>Open</v>
      </c>
      <c r="S59" t="str">
        <f>IFERROR(HYPERLINK("#Technical!A"&amp;MATCH(A59,Technical!A:A,0),"Open"),HYPERLINK("#Technical!A1","Open"))</f>
        <v>Open</v>
      </c>
    </row>
    <row r="60" spans="1:20" ht="30" customHeight="1" x14ac:dyDescent="0.25">
      <c r="A60" s="33" t="s">
        <v>608</v>
      </c>
      <c r="B60" s="28">
        <v>0</v>
      </c>
      <c r="C60" s="28" t="s">
        <v>478</v>
      </c>
      <c r="D60" s="49"/>
      <c r="E60" s="28">
        <v>0</v>
      </c>
      <c r="F60" s="28">
        <v>0</v>
      </c>
      <c r="G60" s="28" t="s">
        <v>962</v>
      </c>
      <c r="H60" s="28"/>
      <c r="I60" s="28"/>
      <c r="J60" s="28" t="s">
        <v>392</v>
      </c>
      <c r="K60" s="28" t="s">
        <v>963</v>
      </c>
      <c r="L60" s="28" t="s">
        <v>335</v>
      </c>
      <c r="M60" s="29" t="s">
        <v>2</v>
      </c>
      <c r="N60" s="28"/>
      <c r="O60" s="35" t="s">
        <v>477</v>
      </c>
      <c r="P60" s="29">
        <v>1</v>
      </c>
      <c r="Q60" s="28" t="s">
        <v>769</v>
      </c>
      <c r="R60" s="34" t="str">
        <f>IFERROR(HYPERLINK("#Main!A"&amp;MATCH(A60,Main!A:A,0),"Open"),HYPERLINK("#Main!A1","Open"))</f>
        <v>Open</v>
      </c>
      <c r="S60" s="34" t="str">
        <f>IFERROR(HYPERLINK("#Technical!A"&amp;MATCH(A60,Technical!A:A,0),"Open"),HYPERLINK("#Technical!A1","Open"))</f>
        <v>Open</v>
      </c>
      <c r="T60" s="34"/>
    </row>
    <row r="61" spans="1:20" ht="30" customHeight="1" x14ac:dyDescent="0.25">
      <c r="A61" s="30" t="s">
        <v>611</v>
      </c>
      <c r="B61" s="37">
        <v>0</v>
      </c>
      <c r="C61" s="37" t="s">
        <v>478</v>
      </c>
      <c r="D61" s="50"/>
      <c r="E61" s="37">
        <v>0</v>
      </c>
      <c r="F61" s="37">
        <v>0</v>
      </c>
      <c r="G61" s="37" t="s">
        <v>962</v>
      </c>
      <c r="H61" s="37"/>
      <c r="I61" s="37"/>
      <c r="J61" s="37" t="s">
        <v>392</v>
      </c>
      <c r="K61" s="37" t="s">
        <v>963</v>
      </c>
      <c r="L61" s="37" t="s">
        <v>335</v>
      </c>
      <c r="M61" s="29" t="s">
        <v>2</v>
      </c>
      <c r="N61" s="37"/>
      <c r="O61" s="35" t="s">
        <v>477</v>
      </c>
      <c r="P61" s="29">
        <v>1</v>
      </c>
      <c r="Q61" s="37" t="s">
        <v>769</v>
      </c>
      <c r="R61" t="str">
        <f>IFERROR(HYPERLINK("#Main!A"&amp;MATCH(A61,Main!A:A,0),"Open"),HYPERLINK("#Main!A1","Open"))</f>
        <v>Open</v>
      </c>
      <c r="S61" t="str">
        <f>IFERROR(HYPERLINK("#Technical!A"&amp;MATCH(A61,Technical!A:A,0),"Open"),HYPERLINK("#Technical!A1","Open"))</f>
        <v>Open</v>
      </c>
    </row>
    <row r="62" spans="1:20" ht="30" customHeight="1" x14ac:dyDescent="0.25">
      <c r="A62" s="33" t="s">
        <v>615</v>
      </c>
      <c r="B62" s="28">
        <v>0</v>
      </c>
      <c r="C62" s="28" t="s">
        <v>478</v>
      </c>
      <c r="D62" s="49"/>
      <c r="E62" s="28">
        <v>0</v>
      </c>
      <c r="F62" s="28">
        <v>0</v>
      </c>
      <c r="G62" s="28" t="s">
        <v>962</v>
      </c>
      <c r="H62" s="28"/>
      <c r="I62" s="28"/>
      <c r="J62" s="28" t="s">
        <v>392</v>
      </c>
      <c r="K62" s="28" t="s">
        <v>963</v>
      </c>
      <c r="L62" s="28" t="s">
        <v>335</v>
      </c>
      <c r="M62" s="29" t="s">
        <v>2</v>
      </c>
      <c r="N62" s="28"/>
      <c r="O62" s="35" t="s">
        <v>477</v>
      </c>
      <c r="P62" s="29">
        <v>1</v>
      </c>
      <c r="Q62" s="28" t="s">
        <v>769</v>
      </c>
      <c r="R62" s="34" t="str">
        <f>IFERROR(HYPERLINK("#Main!A"&amp;MATCH(A62,Main!A:A,0),"Open"),HYPERLINK("#Main!A1","Open"))</f>
        <v>Open</v>
      </c>
      <c r="S62" s="34" t="str">
        <f>IFERROR(HYPERLINK("#Technical!A"&amp;MATCH(A62,Technical!A:A,0),"Open"),HYPERLINK("#Technical!A1","Open"))</f>
        <v>Open</v>
      </c>
      <c r="T62" s="34"/>
    </row>
    <row r="63" spans="1:20" ht="30" customHeight="1" x14ac:dyDescent="0.25">
      <c r="A63" s="30" t="s">
        <v>618</v>
      </c>
      <c r="B63" s="37">
        <v>0</v>
      </c>
      <c r="C63" s="37" t="s">
        <v>478</v>
      </c>
      <c r="D63" s="50"/>
      <c r="E63" s="37">
        <v>0</v>
      </c>
      <c r="F63" s="37">
        <v>0</v>
      </c>
      <c r="G63" s="37" t="s">
        <v>962</v>
      </c>
      <c r="H63" s="37"/>
      <c r="I63" s="37"/>
      <c r="J63" s="37" t="s">
        <v>392</v>
      </c>
      <c r="K63" s="37" t="s">
        <v>963</v>
      </c>
      <c r="L63" s="37" t="s">
        <v>335</v>
      </c>
      <c r="M63" s="29" t="s">
        <v>2</v>
      </c>
      <c r="N63" s="37"/>
      <c r="O63" s="35" t="s">
        <v>477</v>
      </c>
      <c r="P63" s="29">
        <v>1</v>
      </c>
      <c r="Q63" s="37" t="s">
        <v>769</v>
      </c>
      <c r="R63" t="str">
        <f>IFERROR(HYPERLINK("#Main!A"&amp;MATCH(A63,Main!A:A,0),"Open"),HYPERLINK("#Main!A1","Open"))</f>
        <v>Open</v>
      </c>
      <c r="S63" t="str">
        <f>IFERROR(HYPERLINK("#Technical!A"&amp;MATCH(A63,Technical!A:A,0),"Open"),HYPERLINK("#Technical!A1","Open"))</f>
        <v>Open</v>
      </c>
    </row>
    <row r="64" spans="1:20" ht="30" customHeight="1" x14ac:dyDescent="0.25">
      <c r="A64" s="33" t="s">
        <v>621</v>
      </c>
      <c r="B64" s="28">
        <v>0</v>
      </c>
      <c r="C64" s="28" t="s">
        <v>478</v>
      </c>
      <c r="D64" s="49"/>
      <c r="E64" s="28">
        <v>0</v>
      </c>
      <c r="F64" s="28">
        <v>0</v>
      </c>
      <c r="G64" s="28" t="s">
        <v>962</v>
      </c>
      <c r="H64" s="28"/>
      <c r="I64" s="28"/>
      <c r="J64" s="28" t="s">
        <v>392</v>
      </c>
      <c r="K64" s="28" t="s">
        <v>963</v>
      </c>
      <c r="L64" s="28" t="s">
        <v>335</v>
      </c>
      <c r="M64" s="29" t="s">
        <v>2</v>
      </c>
      <c r="N64" s="28"/>
      <c r="O64" s="35" t="s">
        <v>477</v>
      </c>
      <c r="P64" s="29">
        <v>2</v>
      </c>
      <c r="Q64" s="28" t="s">
        <v>769</v>
      </c>
      <c r="R64" s="34" t="str">
        <f>IFERROR(HYPERLINK("#Main!A"&amp;MATCH(A64,Main!A:A,0),"Open"),HYPERLINK("#Main!A1","Open"))</f>
        <v>Open</v>
      </c>
      <c r="S64" s="34" t="str">
        <f>IFERROR(HYPERLINK("#Technical!A"&amp;MATCH(A64,Technical!A:A,0),"Open"),HYPERLINK("#Technical!A1","Open"))</f>
        <v>Open</v>
      </c>
      <c r="T64" s="34"/>
    </row>
    <row r="65" spans="1:20" ht="30" customHeight="1" x14ac:dyDescent="0.25">
      <c r="A65" s="30" t="s">
        <v>624</v>
      </c>
      <c r="B65" s="37">
        <v>0</v>
      </c>
      <c r="C65" s="37" t="s">
        <v>478</v>
      </c>
      <c r="D65" s="50"/>
      <c r="E65" s="37">
        <v>0</v>
      </c>
      <c r="F65" s="37">
        <v>0</v>
      </c>
      <c r="G65" s="37" t="s">
        <v>962</v>
      </c>
      <c r="H65" s="37"/>
      <c r="I65" s="37"/>
      <c r="J65" s="37" t="s">
        <v>392</v>
      </c>
      <c r="K65" s="37" t="s">
        <v>963</v>
      </c>
      <c r="L65" s="37" t="s">
        <v>335</v>
      </c>
      <c r="M65" s="29" t="s">
        <v>2</v>
      </c>
      <c r="N65" s="37"/>
      <c r="O65" s="35" t="s">
        <v>477</v>
      </c>
      <c r="P65" s="29">
        <v>1</v>
      </c>
      <c r="Q65" s="37" t="s">
        <v>769</v>
      </c>
      <c r="R65" t="str">
        <f>IFERROR(HYPERLINK("#Main!A"&amp;MATCH(A65,Main!A:A,0),"Open"),HYPERLINK("#Main!A1","Open"))</f>
        <v>Open</v>
      </c>
      <c r="S65" t="str">
        <f>IFERROR(HYPERLINK("#Technical!A"&amp;MATCH(A65,Technical!A:A,0),"Open"),HYPERLINK("#Technical!A1","Open"))</f>
        <v>Open</v>
      </c>
    </row>
    <row r="66" spans="1:20" ht="30" customHeight="1" x14ac:dyDescent="0.25">
      <c r="A66" s="33" t="s">
        <v>626</v>
      </c>
      <c r="B66" s="28">
        <v>0</v>
      </c>
      <c r="C66" s="28" t="s">
        <v>478</v>
      </c>
      <c r="D66" s="49"/>
      <c r="E66" s="28">
        <v>0</v>
      </c>
      <c r="F66" s="28">
        <v>0</v>
      </c>
      <c r="G66" s="28" t="s">
        <v>962</v>
      </c>
      <c r="H66" s="28"/>
      <c r="I66" s="28"/>
      <c r="J66" s="28" t="s">
        <v>392</v>
      </c>
      <c r="K66" s="28" t="s">
        <v>963</v>
      </c>
      <c r="L66" s="28" t="s">
        <v>335</v>
      </c>
      <c r="M66" s="29" t="s">
        <v>2</v>
      </c>
      <c r="N66" s="28"/>
      <c r="O66" s="35" t="s">
        <v>477</v>
      </c>
      <c r="P66" s="29">
        <v>1</v>
      </c>
      <c r="Q66" s="28" t="s">
        <v>769</v>
      </c>
      <c r="R66" s="34" t="str">
        <f>IFERROR(HYPERLINK("#Main!A"&amp;MATCH(A66,Main!A:A,0),"Open"),HYPERLINK("#Main!A1","Open"))</f>
        <v>Open</v>
      </c>
      <c r="S66" s="34" t="str">
        <f>IFERROR(HYPERLINK("#Technical!A"&amp;MATCH(A66,Technical!A:A,0),"Open"),HYPERLINK("#Technical!A1","Open"))</f>
        <v>Open</v>
      </c>
      <c r="T66" s="34"/>
    </row>
    <row r="67" spans="1:20" ht="30" customHeight="1" x14ac:dyDescent="0.25">
      <c r="A67" s="30" t="s">
        <v>629</v>
      </c>
      <c r="B67" s="37">
        <v>0</v>
      </c>
      <c r="C67" s="37" t="s">
        <v>478</v>
      </c>
      <c r="D67" s="50"/>
      <c r="E67" s="37">
        <v>0</v>
      </c>
      <c r="F67" s="37">
        <v>0</v>
      </c>
      <c r="G67" s="37" t="s">
        <v>962</v>
      </c>
      <c r="H67" s="37"/>
      <c r="I67" s="37"/>
      <c r="J67" s="37" t="s">
        <v>392</v>
      </c>
      <c r="K67" s="37" t="s">
        <v>963</v>
      </c>
      <c r="L67" s="37" t="s">
        <v>335</v>
      </c>
      <c r="M67" s="29" t="s">
        <v>2</v>
      </c>
      <c r="N67" s="37"/>
      <c r="O67" s="35" t="s">
        <v>477</v>
      </c>
      <c r="P67" s="29">
        <v>1</v>
      </c>
      <c r="Q67" s="37" t="s">
        <v>769</v>
      </c>
      <c r="R67" t="str">
        <f>IFERROR(HYPERLINK("#Main!A"&amp;MATCH(A67,Main!A:A,0),"Open"),HYPERLINK("#Main!A1","Open"))</f>
        <v>Open</v>
      </c>
      <c r="S67" t="str">
        <f>IFERROR(HYPERLINK("#Technical!A"&amp;MATCH(A67,Technical!A:A,0),"Open"),HYPERLINK("#Technical!A1","Open"))</f>
        <v>Open</v>
      </c>
    </row>
    <row r="68" spans="1:20" ht="30" customHeight="1" x14ac:dyDescent="0.25">
      <c r="A68" s="33" t="s">
        <v>632</v>
      </c>
      <c r="B68" s="28">
        <v>0</v>
      </c>
      <c r="C68" s="28" t="s">
        <v>478</v>
      </c>
      <c r="D68" s="49"/>
      <c r="E68" s="28">
        <v>0</v>
      </c>
      <c r="F68" s="28">
        <v>0</v>
      </c>
      <c r="G68" s="28" t="s">
        <v>962</v>
      </c>
      <c r="H68" s="28"/>
      <c r="I68" s="28"/>
      <c r="J68" s="28" t="s">
        <v>392</v>
      </c>
      <c r="K68" s="28" t="s">
        <v>963</v>
      </c>
      <c r="L68" s="28" t="s">
        <v>335</v>
      </c>
      <c r="M68" s="29" t="s">
        <v>2</v>
      </c>
      <c r="N68" s="28"/>
      <c r="O68" s="35" t="s">
        <v>477</v>
      </c>
      <c r="P68" s="29">
        <v>1</v>
      </c>
      <c r="Q68" s="28" t="s">
        <v>769</v>
      </c>
      <c r="R68" s="34" t="str">
        <f>IFERROR(HYPERLINK("#Main!A"&amp;MATCH(A68,Main!A:A,0),"Open"),HYPERLINK("#Main!A1","Open"))</f>
        <v>Open</v>
      </c>
      <c r="S68" s="34" t="str">
        <f>IFERROR(HYPERLINK("#Technical!A"&amp;MATCH(A68,Technical!A:A,0),"Open"),HYPERLINK("#Technical!A1","Open"))</f>
        <v>Open</v>
      </c>
      <c r="T68" s="34"/>
    </row>
    <row r="69" spans="1:20" ht="31.5" x14ac:dyDescent="0.25">
      <c r="A69" s="30" t="s">
        <v>635</v>
      </c>
      <c r="B69" s="37">
        <v>0</v>
      </c>
      <c r="C69" s="37" t="s">
        <v>478</v>
      </c>
      <c r="D69" s="50"/>
      <c r="E69" s="37">
        <v>0</v>
      </c>
      <c r="F69" s="37">
        <v>0</v>
      </c>
      <c r="G69" s="37" t="s">
        <v>962</v>
      </c>
      <c r="H69" s="37"/>
      <c r="I69" s="37"/>
      <c r="J69" s="37" t="s">
        <v>392</v>
      </c>
      <c r="K69" s="37" t="s">
        <v>963</v>
      </c>
      <c r="L69" s="37" t="s">
        <v>335</v>
      </c>
      <c r="M69" s="29" t="s">
        <v>2</v>
      </c>
      <c r="N69" s="37"/>
      <c r="O69" s="35" t="s">
        <v>477</v>
      </c>
      <c r="P69" s="29">
        <v>1</v>
      </c>
      <c r="Q69" s="37" t="s">
        <v>769</v>
      </c>
      <c r="R69" t="str">
        <f>IFERROR(HYPERLINK("#Main!A"&amp;MATCH(A69,Main!A:A,0),"Open"),HYPERLINK("#Main!A1","Open"))</f>
        <v>Open</v>
      </c>
      <c r="S69" t="str">
        <f>IFERROR(HYPERLINK("#Technical!A"&amp;MATCH(A69,Technical!A:A,0),"Open"),HYPERLINK("#Technical!A1","Open"))</f>
        <v>Open</v>
      </c>
    </row>
    <row r="70" spans="1:20" ht="30" customHeight="1" x14ac:dyDescent="0.25">
      <c r="A70" s="33" t="s">
        <v>638</v>
      </c>
      <c r="B70" s="28">
        <v>0</v>
      </c>
      <c r="C70" s="28" t="s">
        <v>478</v>
      </c>
      <c r="D70" s="49"/>
      <c r="E70" s="28">
        <v>0</v>
      </c>
      <c r="F70" s="28">
        <v>0</v>
      </c>
      <c r="G70" s="28" t="s">
        <v>962</v>
      </c>
      <c r="H70" s="28"/>
      <c r="I70" s="28"/>
      <c r="J70" s="28" t="s">
        <v>392</v>
      </c>
      <c r="K70" s="28" t="s">
        <v>963</v>
      </c>
      <c r="L70" s="28" t="s">
        <v>335</v>
      </c>
      <c r="M70" s="29" t="s">
        <v>2</v>
      </c>
      <c r="N70" s="28"/>
      <c r="O70" s="35" t="s">
        <v>477</v>
      </c>
      <c r="P70" s="29">
        <v>1</v>
      </c>
      <c r="Q70" s="28" t="s">
        <v>769</v>
      </c>
      <c r="R70" s="34" t="str">
        <f>IFERROR(HYPERLINK("#Main!A"&amp;MATCH(A70,Main!A:A,0),"Open"),HYPERLINK("#Main!A1","Open"))</f>
        <v>Open</v>
      </c>
      <c r="S70" s="34" t="str">
        <f>IFERROR(HYPERLINK("#Technical!A"&amp;MATCH(A70,Technical!A:A,0),"Open"),HYPERLINK("#Technical!A1","Open"))</f>
        <v>Open</v>
      </c>
      <c r="T70" s="34"/>
    </row>
    <row r="71" spans="1:20" ht="30" customHeight="1" x14ac:dyDescent="0.25">
      <c r="A71" s="30" t="s">
        <v>641</v>
      </c>
      <c r="B71" s="37">
        <v>0</v>
      </c>
      <c r="C71" s="37" t="s">
        <v>478</v>
      </c>
      <c r="D71" s="50"/>
      <c r="E71" s="37">
        <v>0</v>
      </c>
      <c r="F71" s="37">
        <v>0</v>
      </c>
      <c r="G71" s="37" t="s">
        <v>962</v>
      </c>
      <c r="H71" s="37"/>
      <c r="I71" s="37"/>
      <c r="J71" s="37" t="s">
        <v>392</v>
      </c>
      <c r="K71" s="37" t="s">
        <v>963</v>
      </c>
      <c r="L71" s="37" t="s">
        <v>335</v>
      </c>
      <c r="M71" s="29" t="s">
        <v>2</v>
      </c>
      <c r="N71" s="37"/>
      <c r="O71" s="35" t="s">
        <v>477</v>
      </c>
      <c r="P71" s="29">
        <v>1</v>
      </c>
      <c r="Q71" s="37" t="s">
        <v>769</v>
      </c>
      <c r="R71" t="str">
        <f>IFERROR(HYPERLINK("#Main!A"&amp;MATCH(A71,Main!A:A,0),"Open"),HYPERLINK("#Main!A1","Open"))</f>
        <v>Open</v>
      </c>
      <c r="S71" t="str">
        <f>IFERROR(HYPERLINK("#Technical!A"&amp;MATCH(A71,Technical!A:A,0),"Open"),HYPERLINK("#Technical!A1","Open"))</f>
        <v>Open</v>
      </c>
    </row>
    <row r="72" spans="1:20" ht="30" customHeight="1" x14ac:dyDescent="0.25">
      <c r="A72" s="33" t="s">
        <v>644</v>
      </c>
      <c r="B72" s="28">
        <v>0</v>
      </c>
      <c r="C72" s="28" t="s">
        <v>478</v>
      </c>
      <c r="D72" s="49"/>
      <c r="E72" s="28">
        <v>0</v>
      </c>
      <c r="F72" s="28">
        <v>0</v>
      </c>
      <c r="G72" s="28" t="s">
        <v>962</v>
      </c>
      <c r="H72" s="28"/>
      <c r="I72" s="28"/>
      <c r="J72" s="28" t="s">
        <v>392</v>
      </c>
      <c r="K72" s="28" t="s">
        <v>963</v>
      </c>
      <c r="L72" s="28" t="s">
        <v>335</v>
      </c>
      <c r="M72" s="29" t="s">
        <v>2</v>
      </c>
      <c r="N72" s="28"/>
      <c r="O72" s="35" t="s">
        <v>477</v>
      </c>
      <c r="P72" s="29">
        <v>1</v>
      </c>
      <c r="Q72" s="28" t="s">
        <v>769</v>
      </c>
      <c r="R72" s="34" t="str">
        <f>IFERROR(HYPERLINK("#Main!A"&amp;MATCH(A72,Main!A:A,0),"Open"),HYPERLINK("#Main!A1","Open"))</f>
        <v>Open</v>
      </c>
      <c r="S72" s="34" t="str">
        <f>IFERROR(HYPERLINK("#Technical!A"&amp;MATCH(A72,Technical!A:A,0),"Open"),HYPERLINK("#Technical!A1","Open"))</f>
        <v>Open</v>
      </c>
      <c r="T72" s="34"/>
    </row>
    <row r="73" spans="1:20" ht="30" customHeight="1" x14ac:dyDescent="0.25">
      <c r="A73" s="30" t="s">
        <v>647</v>
      </c>
      <c r="B73" s="37">
        <v>0</v>
      </c>
      <c r="C73" s="37" t="s">
        <v>478</v>
      </c>
      <c r="D73" s="50"/>
      <c r="E73" s="37">
        <v>0</v>
      </c>
      <c r="F73" s="37">
        <v>0</v>
      </c>
      <c r="G73" s="37" t="s">
        <v>962</v>
      </c>
      <c r="H73" s="37"/>
      <c r="I73" s="37"/>
      <c r="J73" s="37" t="s">
        <v>392</v>
      </c>
      <c r="K73" s="37" t="s">
        <v>963</v>
      </c>
      <c r="L73" s="37" t="s">
        <v>335</v>
      </c>
      <c r="M73" s="29" t="s">
        <v>2</v>
      </c>
      <c r="N73" s="37"/>
      <c r="O73" s="35" t="s">
        <v>477</v>
      </c>
      <c r="P73" s="29">
        <v>1</v>
      </c>
      <c r="Q73" s="37" t="s">
        <v>769</v>
      </c>
      <c r="R73" t="str">
        <f>IFERROR(HYPERLINK("#Main!A"&amp;MATCH(A73,Main!A:A,0),"Open"),HYPERLINK("#Main!A1","Open"))</f>
        <v>Open</v>
      </c>
      <c r="S73" t="str">
        <f>IFERROR(HYPERLINK("#Technical!A"&amp;MATCH(A73,Technical!A:A,0),"Open"),HYPERLINK("#Technical!A1","Open"))</f>
        <v>Open</v>
      </c>
    </row>
    <row r="74" spans="1:20" ht="30" customHeight="1" x14ac:dyDescent="0.25">
      <c r="A74" s="33" t="s">
        <v>652</v>
      </c>
      <c r="B74" s="28">
        <v>0</v>
      </c>
      <c r="C74" s="28" t="s">
        <v>478</v>
      </c>
      <c r="D74" s="49"/>
      <c r="E74" s="28">
        <v>0</v>
      </c>
      <c r="F74" s="28">
        <v>0</v>
      </c>
      <c r="G74" s="28" t="s">
        <v>962</v>
      </c>
      <c r="H74" s="28"/>
      <c r="I74" s="28"/>
      <c r="J74" s="28" t="s">
        <v>392</v>
      </c>
      <c r="K74" s="28" t="s">
        <v>963</v>
      </c>
      <c r="L74" s="28" t="s">
        <v>335</v>
      </c>
      <c r="M74" s="29" t="s">
        <v>2</v>
      </c>
      <c r="N74" s="28"/>
      <c r="O74" s="35" t="s">
        <v>477</v>
      </c>
      <c r="P74" s="29">
        <v>1</v>
      </c>
      <c r="Q74" s="28" t="s">
        <v>769</v>
      </c>
      <c r="R74" s="34" t="str">
        <f>IFERROR(HYPERLINK("#Main!A"&amp;MATCH(A74,Main!A:A,0),"Open"),HYPERLINK("#Main!A1","Open"))</f>
        <v>Open</v>
      </c>
      <c r="S74" s="34" t="str">
        <f>IFERROR(HYPERLINK("#Technical!A"&amp;MATCH(A74,Technical!A:A,0),"Open"),HYPERLINK("#Technical!A1","Open"))</f>
        <v>Open</v>
      </c>
      <c r="T74" s="34"/>
    </row>
    <row r="75" spans="1:20" ht="30" customHeight="1" x14ac:dyDescent="0.25">
      <c r="A75" s="30" t="s">
        <v>650</v>
      </c>
      <c r="B75" s="37">
        <v>0</v>
      </c>
      <c r="C75" s="37" t="s">
        <v>478</v>
      </c>
      <c r="D75" s="50"/>
      <c r="E75" s="37">
        <v>0</v>
      </c>
      <c r="F75" s="37">
        <v>0</v>
      </c>
      <c r="G75" s="37" t="s">
        <v>962</v>
      </c>
      <c r="H75" s="37"/>
      <c r="I75" s="37"/>
      <c r="J75" s="37" t="s">
        <v>392</v>
      </c>
      <c r="K75" s="37" t="s">
        <v>963</v>
      </c>
      <c r="L75" s="37" t="s">
        <v>335</v>
      </c>
      <c r="M75" s="29" t="s">
        <v>2</v>
      </c>
      <c r="N75" s="37"/>
      <c r="O75" s="35" t="s">
        <v>477</v>
      </c>
      <c r="P75" s="29">
        <v>2</v>
      </c>
      <c r="Q75" s="37" t="s">
        <v>769</v>
      </c>
      <c r="R75" t="str">
        <f>IFERROR(HYPERLINK("#Main!A"&amp;MATCH(A75,Main!A:A,0),"Open"),HYPERLINK("#Main!A1","Open"))</f>
        <v>Open</v>
      </c>
      <c r="S75" t="str">
        <f>IFERROR(HYPERLINK("#Technical!A"&amp;MATCH(A75,Technical!A:A,0),"Open"),HYPERLINK("#Technical!A1","Open"))</f>
        <v>Open</v>
      </c>
    </row>
    <row r="76" spans="1:20" ht="30" customHeight="1" x14ac:dyDescent="0.25">
      <c r="A76" s="33" t="s">
        <v>655</v>
      </c>
      <c r="B76" s="28">
        <v>0</v>
      </c>
      <c r="C76" s="28" t="s">
        <v>478</v>
      </c>
      <c r="D76" s="49"/>
      <c r="E76" s="28">
        <v>0</v>
      </c>
      <c r="F76" s="28">
        <v>0</v>
      </c>
      <c r="G76" s="28" t="s">
        <v>962</v>
      </c>
      <c r="H76" s="28"/>
      <c r="I76" s="28"/>
      <c r="J76" s="28" t="s">
        <v>392</v>
      </c>
      <c r="K76" s="28" t="s">
        <v>963</v>
      </c>
      <c r="L76" s="28" t="s">
        <v>335</v>
      </c>
      <c r="M76" s="29" t="s">
        <v>2</v>
      </c>
      <c r="N76" s="28"/>
      <c r="O76" s="35" t="s">
        <v>477</v>
      </c>
      <c r="P76" s="29">
        <v>1</v>
      </c>
      <c r="Q76" s="28" t="s">
        <v>769</v>
      </c>
      <c r="R76" s="34" t="str">
        <f>IFERROR(HYPERLINK("#Main!A"&amp;MATCH(A76,Main!A:A,0),"Open"),HYPERLINK("#Main!A1","Open"))</f>
        <v>Open</v>
      </c>
      <c r="S76" s="34" t="str">
        <f>IFERROR(HYPERLINK("#Technical!A"&amp;MATCH(A76,Technical!A:A,0),"Open"),HYPERLINK("#Technical!A1","Open"))</f>
        <v>Open</v>
      </c>
      <c r="T76" s="34"/>
    </row>
    <row r="77" spans="1:20" ht="30" customHeight="1" x14ac:dyDescent="0.25">
      <c r="A77" s="30" t="s">
        <v>658</v>
      </c>
      <c r="B77" s="37">
        <v>0</v>
      </c>
      <c r="C77" s="37" t="s">
        <v>478</v>
      </c>
      <c r="D77" s="50"/>
      <c r="E77" s="37">
        <v>0</v>
      </c>
      <c r="F77" s="37">
        <v>0</v>
      </c>
      <c r="G77" s="37" t="s">
        <v>962</v>
      </c>
      <c r="H77" s="37"/>
      <c r="I77" s="37"/>
      <c r="J77" s="37" t="s">
        <v>392</v>
      </c>
      <c r="K77" s="37" t="s">
        <v>963</v>
      </c>
      <c r="L77" s="37" t="s">
        <v>335</v>
      </c>
      <c r="M77" s="29" t="s">
        <v>2</v>
      </c>
      <c r="N77" s="37"/>
      <c r="O77" s="35" t="s">
        <v>477</v>
      </c>
      <c r="P77" s="29">
        <v>1</v>
      </c>
      <c r="Q77" s="37" t="s">
        <v>769</v>
      </c>
      <c r="R77" t="str">
        <f>IFERROR(HYPERLINK("#Main!A"&amp;MATCH(A77,Main!A:A,0),"Open"),HYPERLINK("#Main!A1","Open"))</f>
        <v>Open</v>
      </c>
      <c r="S77" t="str">
        <f>IFERROR(HYPERLINK("#Technical!A"&amp;MATCH(A77,Technical!A:A,0),"Open"),HYPERLINK("#Technical!A1","Open"))</f>
        <v>Open</v>
      </c>
    </row>
    <row r="78" spans="1:20" ht="30" customHeight="1" x14ac:dyDescent="0.25">
      <c r="A78" s="33" t="s">
        <v>661</v>
      </c>
      <c r="B78" s="28">
        <v>0</v>
      </c>
      <c r="C78" s="28" t="s">
        <v>478</v>
      </c>
      <c r="D78" s="49"/>
      <c r="E78" s="28">
        <v>0</v>
      </c>
      <c r="F78" s="28">
        <v>0</v>
      </c>
      <c r="G78" s="28" t="s">
        <v>962</v>
      </c>
      <c r="H78" s="28"/>
      <c r="I78" s="28"/>
      <c r="J78" s="28" t="s">
        <v>392</v>
      </c>
      <c r="K78" s="28" t="s">
        <v>963</v>
      </c>
      <c r="L78" s="28" t="s">
        <v>335</v>
      </c>
      <c r="M78" s="29" t="s">
        <v>2</v>
      </c>
      <c r="N78" s="28"/>
      <c r="O78" s="35" t="s">
        <v>477</v>
      </c>
      <c r="P78" s="29">
        <v>1</v>
      </c>
      <c r="Q78" s="28" t="s">
        <v>769</v>
      </c>
      <c r="R78" s="34" t="str">
        <f>IFERROR(HYPERLINK("#Main!A"&amp;MATCH(A78,Main!A:A,0),"Open"),HYPERLINK("#Main!A1","Open"))</f>
        <v>Open</v>
      </c>
      <c r="S78" s="34" t="str">
        <f>IFERROR(HYPERLINK("#Technical!A"&amp;MATCH(A78,Technical!A:A,0),"Open"),HYPERLINK("#Technical!A1","Open"))</f>
        <v>Open</v>
      </c>
      <c r="T78" s="34"/>
    </row>
    <row r="79" spans="1:20" ht="30" customHeight="1" x14ac:dyDescent="0.25">
      <c r="A79" s="30" t="s">
        <v>664</v>
      </c>
      <c r="B79" s="37">
        <v>0</v>
      </c>
      <c r="C79" s="37" t="s">
        <v>478</v>
      </c>
      <c r="D79" s="50"/>
      <c r="E79" s="37">
        <v>0</v>
      </c>
      <c r="F79" s="37">
        <v>0</v>
      </c>
      <c r="G79" s="37" t="s">
        <v>962</v>
      </c>
      <c r="H79" s="37"/>
      <c r="I79" s="37"/>
      <c r="J79" s="37" t="s">
        <v>392</v>
      </c>
      <c r="K79" s="37" t="s">
        <v>963</v>
      </c>
      <c r="L79" s="37" t="s">
        <v>335</v>
      </c>
      <c r="M79" s="29" t="s">
        <v>2</v>
      </c>
      <c r="N79" s="37"/>
      <c r="O79" s="35" t="s">
        <v>477</v>
      </c>
      <c r="P79" s="29">
        <v>1</v>
      </c>
      <c r="Q79" s="37" t="s">
        <v>769</v>
      </c>
      <c r="R79" t="str">
        <f>IFERROR(HYPERLINK("#Main!A"&amp;MATCH(A79,Main!A:A,0),"Open"),HYPERLINK("#Main!A1","Open"))</f>
        <v>Open</v>
      </c>
      <c r="S79" t="str">
        <f>IFERROR(HYPERLINK("#Technical!A"&amp;MATCH(A79,Technical!A:A,0),"Open"),HYPERLINK("#Technical!A1","Open"))</f>
        <v>Open</v>
      </c>
    </row>
    <row r="80" spans="1:20" ht="30" customHeight="1" x14ac:dyDescent="0.25">
      <c r="A80" s="33" t="s">
        <v>670</v>
      </c>
      <c r="B80" s="28">
        <v>0</v>
      </c>
      <c r="C80" s="28" t="s">
        <v>478</v>
      </c>
      <c r="D80" s="49"/>
      <c r="E80" s="28">
        <v>0</v>
      </c>
      <c r="F80" s="28">
        <v>0</v>
      </c>
      <c r="G80" s="28" t="s">
        <v>962</v>
      </c>
      <c r="H80" s="28"/>
      <c r="I80" s="28"/>
      <c r="J80" s="28" t="s">
        <v>392</v>
      </c>
      <c r="K80" s="28" t="s">
        <v>963</v>
      </c>
      <c r="L80" s="28" t="s">
        <v>335</v>
      </c>
      <c r="M80" s="29" t="s">
        <v>2</v>
      </c>
      <c r="N80" s="28"/>
      <c r="O80" s="35" t="s">
        <v>477</v>
      </c>
      <c r="P80" s="29">
        <v>1</v>
      </c>
      <c r="Q80" s="28" t="s">
        <v>769</v>
      </c>
      <c r="R80" s="34" t="str">
        <f>IFERROR(HYPERLINK("#Main!A"&amp;MATCH(A80,Main!A:A,0),"Open"),HYPERLINK("#Main!A1","Open"))</f>
        <v>Open</v>
      </c>
      <c r="S80" s="34" t="str">
        <f>IFERROR(HYPERLINK("#Technical!A"&amp;MATCH(A80,Technical!A:A,0),"Open"),HYPERLINK("#Technical!A1","Open"))</f>
        <v>Open</v>
      </c>
      <c r="T80" s="34"/>
    </row>
    <row r="81" spans="1:20" ht="30" customHeight="1" x14ac:dyDescent="0.25">
      <c r="A81" s="30" t="s">
        <v>667</v>
      </c>
      <c r="B81" s="37">
        <v>0</v>
      </c>
      <c r="C81" s="37" t="s">
        <v>478</v>
      </c>
      <c r="D81" s="50"/>
      <c r="E81" s="37">
        <v>0</v>
      </c>
      <c r="F81" s="37">
        <v>0</v>
      </c>
      <c r="G81" s="37" t="s">
        <v>962</v>
      </c>
      <c r="H81" s="37"/>
      <c r="I81" s="37"/>
      <c r="J81" s="37" t="s">
        <v>392</v>
      </c>
      <c r="K81" s="37" t="s">
        <v>963</v>
      </c>
      <c r="L81" s="37" t="s">
        <v>335</v>
      </c>
      <c r="M81" s="29" t="s">
        <v>2</v>
      </c>
      <c r="N81" s="37"/>
      <c r="O81" s="35" t="s">
        <v>477</v>
      </c>
      <c r="P81" s="29">
        <v>1</v>
      </c>
      <c r="Q81" s="37" t="s">
        <v>769</v>
      </c>
      <c r="R81" t="str">
        <f>IFERROR(HYPERLINK("#Main!A"&amp;MATCH(A81,Main!A:A,0),"Open"),HYPERLINK("#Main!A1","Open"))</f>
        <v>Open</v>
      </c>
      <c r="S81" t="str">
        <f>IFERROR(HYPERLINK("#Technical!A"&amp;MATCH(A81,Technical!A:A,0),"Open"),HYPERLINK("#Technical!A1","Open"))</f>
        <v>Open</v>
      </c>
    </row>
    <row r="82" spans="1:20" ht="30" customHeight="1" x14ac:dyDescent="0.25">
      <c r="A82" s="33" t="s">
        <v>673</v>
      </c>
      <c r="B82" s="28">
        <v>0</v>
      </c>
      <c r="C82" s="28" t="s">
        <v>478</v>
      </c>
      <c r="D82" s="49"/>
      <c r="E82" s="28">
        <v>0</v>
      </c>
      <c r="F82" s="28">
        <v>0</v>
      </c>
      <c r="G82" s="28" t="s">
        <v>962</v>
      </c>
      <c r="H82" s="28"/>
      <c r="I82" s="28"/>
      <c r="J82" s="28" t="s">
        <v>392</v>
      </c>
      <c r="K82" s="28" t="s">
        <v>963</v>
      </c>
      <c r="L82" s="28" t="s">
        <v>335</v>
      </c>
      <c r="M82" s="29" t="s">
        <v>2</v>
      </c>
      <c r="N82" s="28"/>
      <c r="O82" s="35" t="s">
        <v>477</v>
      </c>
      <c r="P82" s="29">
        <v>1</v>
      </c>
      <c r="Q82" s="28" t="s">
        <v>769</v>
      </c>
      <c r="R82" s="34" t="str">
        <f>IFERROR(HYPERLINK("#Main!A"&amp;MATCH(A82,Main!A:A,0),"Open"),HYPERLINK("#Main!A1","Open"))</f>
        <v>Open</v>
      </c>
      <c r="S82" s="34" t="str">
        <f>IFERROR(HYPERLINK("#Technical!A"&amp;MATCH(A82,Technical!A:A,0),"Open"),HYPERLINK("#Technical!A1","Open"))</f>
        <v>Open</v>
      </c>
      <c r="T82" s="34"/>
    </row>
    <row r="83" spans="1:20" ht="30" customHeight="1" x14ac:dyDescent="0.25">
      <c r="A83" s="30" t="s">
        <v>677</v>
      </c>
      <c r="B83" s="37">
        <v>0</v>
      </c>
      <c r="C83" s="37" t="s">
        <v>478</v>
      </c>
      <c r="D83" s="50"/>
      <c r="E83" s="37">
        <v>0</v>
      </c>
      <c r="F83" s="37">
        <v>0</v>
      </c>
      <c r="G83" s="37" t="s">
        <v>962</v>
      </c>
      <c r="H83" s="37"/>
      <c r="I83" s="37"/>
      <c r="J83" s="37" t="s">
        <v>392</v>
      </c>
      <c r="K83" s="37" t="s">
        <v>963</v>
      </c>
      <c r="L83" s="37" t="s">
        <v>335</v>
      </c>
      <c r="M83" s="29" t="s">
        <v>2</v>
      </c>
      <c r="N83" s="37"/>
      <c r="O83" s="35" t="s">
        <v>477</v>
      </c>
      <c r="P83" s="29">
        <v>2</v>
      </c>
      <c r="Q83" s="37" t="s">
        <v>769</v>
      </c>
      <c r="R83" t="str">
        <f>IFERROR(HYPERLINK("#Main!A"&amp;MATCH(A83,Main!A:A,0),"Open"),HYPERLINK("#Main!A1","Open"))</f>
        <v>Open</v>
      </c>
      <c r="S83" t="str">
        <f>IFERROR(HYPERLINK("#Technical!A"&amp;MATCH(A83,Technical!A:A,0),"Open"),HYPERLINK("#Technical!A1","Open"))</f>
        <v>Open</v>
      </c>
    </row>
    <row r="84" spans="1:20" ht="30" customHeight="1" x14ac:dyDescent="0.25">
      <c r="A84" s="33" t="s">
        <v>680</v>
      </c>
      <c r="B84" s="28">
        <v>0</v>
      </c>
      <c r="C84" s="28" t="s">
        <v>478</v>
      </c>
      <c r="D84" s="49"/>
      <c r="E84" s="28">
        <v>0</v>
      </c>
      <c r="F84" s="28">
        <v>0</v>
      </c>
      <c r="G84" s="28" t="s">
        <v>962</v>
      </c>
      <c r="H84" s="28"/>
      <c r="I84" s="28"/>
      <c r="J84" s="28" t="s">
        <v>392</v>
      </c>
      <c r="K84" s="28" t="s">
        <v>963</v>
      </c>
      <c r="L84" s="28" t="s">
        <v>335</v>
      </c>
      <c r="M84" s="29" t="s">
        <v>2</v>
      </c>
      <c r="N84" s="28"/>
      <c r="O84" s="35" t="s">
        <v>477</v>
      </c>
      <c r="P84" s="29">
        <v>2</v>
      </c>
      <c r="Q84" s="28" t="s">
        <v>769</v>
      </c>
      <c r="R84" s="34" t="str">
        <f>IFERROR(HYPERLINK("#Main!A"&amp;MATCH(A84,Main!A:A,0),"Open"),HYPERLINK("#Main!A1","Open"))</f>
        <v>Open</v>
      </c>
      <c r="S84" s="34" t="str">
        <f>IFERROR(HYPERLINK("#Technical!A"&amp;MATCH(A84,Technical!A:A,0),"Open"),HYPERLINK("#Technical!A1","Open"))</f>
        <v>Open</v>
      </c>
      <c r="T84" s="34"/>
    </row>
    <row r="85" spans="1:20" ht="30" customHeight="1" x14ac:dyDescent="0.25">
      <c r="A85" s="30" t="s">
        <v>683</v>
      </c>
      <c r="B85" s="37">
        <v>0</v>
      </c>
      <c r="C85" s="37" t="s">
        <v>478</v>
      </c>
      <c r="D85" s="50"/>
      <c r="E85" s="37">
        <v>0</v>
      </c>
      <c r="F85" s="37">
        <v>0</v>
      </c>
      <c r="G85" s="37" t="s">
        <v>962</v>
      </c>
      <c r="H85" s="37"/>
      <c r="I85" s="37"/>
      <c r="J85" s="37" t="s">
        <v>392</v>
      </c>
      <c r="K85" s="37" t="s">
        <v>963</v>
      </c>
      <c r="L85" s="37" t="s">
        <v>335</v>
      </c>
      <c r="M85" s="29" t="s">
        <v>2</v>
      </c>
      <c r="N85" s="37"/>
      <c r="O85" s="35" t="s">
        <v>477</v>
      </c>
      <c r="P85" s="29">
        <v>1</v>
      </c>
      <c r="Q85" s="37" t="s">
        <v>769</v>
      </c>
      <c r="R85" t="str">
        <f>IFERROR(HYPERLINK("#Main!A"&amp;MATCH(A85,Main!A:A,0),"Open"),HYPERLINK("#Main!A1","Open"))</f>
        <v>Open</v>
      </c>
      <c r="S85" t="str">
        <f>IFERROR(HYPERLINK("#Technical!A"&amp;MATCH(A85,Technical!A:A,0),"Open"),HYPERLINK("#Technical!A1","Open"))</f>
        <v>Open</v>
      </c>
    </row>
    <row r="86" spans="1:20" ht="30" customHeight="1" x14ac:dyDescent="0.25">
      <c r="A86" s="33" t="s">
        <v>686</v>
      </c>
      <c r="B86" s="28">
        <v>0</v>
      </c>
      <c r="C86" s="28" t="s">
        <v>478</v>
      </c>
      <c r="D86" s="49"/>
      <c r="E86" s="28">
        <v>0</v>
      </c>
      <c r="F86" s="28">
        <v>0</v>
      </c>
      <c r="G86" s="28" t="s">
        <v>962</v>
      </c>
      <c r="H86" s="28"/>
      <c r="I86" s="28"/>
      <c r="J86" s="28" t="s">
        <v>392</v>
      </c>
      <c r="K86" s="28" t="s">
        <v>963</v>
      </c>
      <c r="L86" s="28" t="s">
        <v>335</v>
      </c>
      <c r="M86" s="29" t="s">
        <v>2</v>
      </c>
      <c r="N86" s="28"/>
      <c r="O86" s="35" t="s">
        <v>477</v>
      </c>
      <c r="P86" s="29">
        <v>1</v>
      </c>
      <c r="Q86" s="28" t="s">
        <v>769</v>
      </c>
      <c r="R86" s="34" t="str">
        <f>IFERROR(HYPERLINK("#Main!A"&amp;MATCH(A86,Main!A:A,0),"Open"),HYPERLINK("#Main!A1","Open"))</f>
        <v>Open</v>
      </c>
      <c r="S86" s="34" t="str">
        <f>IFERROR(HYPERLINK("#Technical!A"&amp;MATCH(A86,Technical!A:A,0),"Open"),HYPERLINK("#Technical!A1","Open"))</f>
        <v>Open</v>
      </c>
      <c r="T86" s="34"/>
    </row>
  </sheetData>
  <autoFilter ref="A1:T86" xr:uid="{00000000-0009-0000-0000-00000D000000}"/>
  <conditionalFormatting sqref="C2:C86">
    <cfRule type="expression" dxfId="30" priority="4" stopIfTrue="1">
      <formula>LOWER(C2)="critical"</formula>
    </cfRule>
    <cfRule type="expression" dxfId="29" priority="5" stopIfTrue="1">
      <formula>LOWER(C2)="warning"</formula>
    </cfRule>
    <cfRule type="expression" dxfId="28" priority="6" stopIfTrue="1">
      <formula>OR(LOWER(C2)="pass",LOWER(C2)="observation")</formula>
    </cfRule>
  </conditionalFormatting>
  <conditionalFormatting sqref="D2:D86">
    <cfRule type="colorScale" priority="1">
      <colorScale>
        <cfvo type="min"/>
        <cfvo type="percentile" val="50"/>
        <cfvo type="max"/>
        <color rgb="FFF8696B"/>
        <color rgb="FFFFEB84"/>
        <color rgb="FF63BE7B"/>
      </colorScale>
    </cfRule>
  </conditionalFormatting>
  <conditionalFormatting sqref="J2:J86">
    <cfRule type="expression" dxfId="27" priority="2" stopIfTrue="1">
      <formula>LOWER(J2)="yes"</formula>
    </cfRule>
    <cfRule type="expression" dxfId="26" priority="3" stopIfTrue="1">
      <formula>LOWER(J2)="no"</formula>
    </cfRule>
  </conditionalFormatting>
  <conditionalFormatting sqref="M2:M86">
    <cfRule type="expression" dxfId="25" priority="7" stopIfTrue="1">
      <formula>LOWER(M2)="done"</formula>
    </cfRule>
    <cfRule type="expression" dxfId="24" priority="8" stopIfTrue="1">
      <formula>OR(LOWER(M2)="to do",LOWER(M2)="in progress",LOWER(M2)="in review")</formula>
    </cfRule>
  </conditionalFormatting>
  <dataValidations count="20">
    <dataValidation type="custom" allowBlank="1" showInputMessage="1" promptTitle="URL" prompt="URL. Use this URL to inspect the page directly or jump to related tabs." sqref="A1" xr:uid="{00000000-0002-0000-0D00-000000000000}">
      <formula1>TRUE</formula1>
    </dataValidation>
    <dataValidation type="custom" allowBlank="1" showInputMessage="1" promptTitle="Business Risk Score" prompt="Business Risk Score. Review this metric to identify risk, then use linked tabs for details and remediation." sqref="B1" xr:uid="{00000000-0002-0000-0D00-000001000000}">
      <formula1>TRUE</formula1>
    </dataValidation>
    <dataValidation type="custom" allowBlank="1" showInputMessage="1" promptTitle="Severity Badge" prompt="Issue impact level. Fix: Resolve Critical first, then Warning, then improvement opportunities." sqref="C1" xr:uid="{00000000-0002-0000-0D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D00-000003000000}">
      <formula1>TRUE</formula1>
    </dataValidation>
    <dataValidation type="custom" allowBlank="1" showInputMessage="1" promptTitle="GSC Impressions" prompt="GSC Impressions. Review this metric to identify risk, then use linked tabs for details and remediation." sqref="E1" xr:uid="{00000000-0002-0000-0D00-000004000000}">
      <formula1>TRUE</formula1>
    </dataValidation>
    <dataValidation type="custom" allowBlank="1" showInputMessage="1" promptTitle="GSC CTR" prompt="GSC CTR. Review this metric to identify risk, then use linked tabs for details and remediation." sqref="F1" xr:uid="{00000000-0002-0000-0D00-000005000000}">
      <formula1>TRUE</formula1>
    </dataValidation>
    <dataValidation type="custom" allowBlank="1" showInputMessage="1" promptTitle="Revenue Intent" prompt="Revenue Intent. Review this metric to identify risk, then use linked tabs for details and remediation." sqref="G1" xr:uid="{00000000-0002-0000-0D00-000006000000}">
      <formula1>TRUE</formula1>
    </dataValidation>
    <dataValidation type="custom" allowBlank="1" showInputMessage="1" promptTitle="Critical Issues Count" prompt="Critical Issues Count. Review this metric to identify risk, then use linked tabs for details and remediation." sqref="H1" xr:uid="{00000000-0002-0000-0D00-000007000000}">
      <formula1>TRUE</formula1>
    </dataValidation>
    <dataValidation type="custom" allowBlank="1" showInputMessage="1" promptTitle="Warning Issues Count" prompt="Warning Issues Count. Review this metric to identify risk, then use linked tabs for details and remediation." sqref="I1" xr:uid="{00000000-0002-0000-0D00-000008000000}">
      <formula1>TRUE</formula1>
    </dataValidation>
    <dataValidation type="custom" allowBlank="1" showInputMessage="1" promptTitle="Action Needed" prompt="Action Needed. Review this metric to identify risk, then use linked tabs for details and remediation." sqref="J1" xr:uid="{00000000-0002-0000-0D00-000009000000}">
      <formula1>TRUE</formula1>
    </dataValidation>
    <dataValidation type="custom" allowBlank="1" showInputMessage="1" promptTitle="Why Prioritized" prompt="Why Prioritized. Review this metric to identify risk, then use linked tabs for details and remediation." sqref="K1" xr:uid="{00000000-0002-0000-0D00-00000A000000}">
      <formula1>TRUE</formula1>
    </dataValidation>
    <dataValidation type="custom" allowBlank="1" showInputMessage="1" promptTitle="Owner" prompt="Workflow management field for planning and tracking remediation progress." sqref="L1" xr:uid="{00000000-0002-0000-0D00-00000B000000}">
      <formula1>TRUE</formula1>
    </dataValidation>
    <dataValidation type="custom" allowBlank="1" showInputMessage="1" promptTitle="Status" prompt="Workflow management field for planning and tracking remediation progress." sqref="M1" xr:uid="{00000000-0002-0000-0D00-00000C000000}">
      <formula1>TRUE</formula1>
    </dataValidation>
    <dataValidation type="custom" allowBlank="1" showInputMessage="1" promptTitle="Sprint" prompt="Workflow management field for planning and tracking remediation progress." sqref="N1" xr:uid="{00000000-0002-0000-0D00-00000D000000}">
      <formula1>TRUE</formula1>
    </dataValidation>
    <dataValidation type="custom" allowBlank="1" showInputMessage="1" promptTitle="Indexability Reason" prompt="Indexing/canonicalization signal. Fix: ensure indexable pages use correct canonicals and non-conflicting directives." sqref="O1" xr:uid="{00000000-0002-0000-0D00-00000E000000}">
      <formula1>TRUE</formula1>
    </dataValidation>
    <dataValidation type="custom" allowBlank="1" showInputMessage="1" promptTitle="Broken Internal Links Count" prompt="Link quality and crawl-path metric. Fix: repair broken links and improve internal linking relevance." sqref="P1" xr:uid="{00000000-0002-0000-0D00-00000F000000}">
      <formula1>TRUE</formula1>
    </dataValidation>
    <dataValidation type="custom" allowBlank="1" showInputMessage="1" promptTitle="Canonical Type" prompt="Indexing/canonicalization signal. Fix: ensure indexable pages use correct canonicals and non-conflicting directives." sqref="Q1" xr:uid="{00000000-0002-0000-0D00-000010000000}">
      <formula1>TRUE</formula1>
    </dataValidation>
    <dataValidation type="custom" allowBlank="1" showInputMessage="1" promptTitle="Open in Main" prompt="Navigation helper. Click to jump directly to the related record in another tab." sqref="R1" xr:uid="{00000000-0002-0000-0D00-000011000000}">
      <formula1>TRUE</formula1>
    </dataValidation>
    <dataValidation type="custom" allowBlank="1" showInputMessage="1" promptTitle="Open in Technical" prompt="Open in Technical. Review this metric to identify risk, then use linked tabs for details and remediation." sqref="S1" xr:uid="{00000000-0002-0000-0D00-000012000000}">
      <formula1>TRUE</formula1>
    </dataValidation>
    <dataValidation type="custom" allowBlank="1" showInputMessage="1" promptTitle="BACK TO DASHBOARD" prompt="BACK TO DASHBOARD. Review this metric to identify risk, then use linked tabs for details and remediation." sqref="T1" xr:uid="{00000000-0002-0000-0D00-000013000000}">
      <formula1>TRUE</formula1>
    </dataValidation>
  </dataValidations>
  <hyperlinks>
    <hyperlink ref="T1" location="Dashboard!A1" display="BACK TO DASHBOARD" xr:uid="{00000000-0004-0000-0D00-000000000000}"/>
    <hyperlink ref="A2" r:id="rId1" xr:uid="{00000000-0004-0000-0D00-000001000000}"/>
    <hyperlink ref="A3" r:id="rId2" xr:uid="{00000000-0004-0000-0D00-000002000000}"/>
    <hyperlink ref="A4" r:id="rId3" xr:uid="{00000000-0004-0000-0D00-000003000000}"/>
    <hyperlink ref="A5" r:id="rId4" xr:uid="{00000000-0004-0000-0D00-000004000000}"/>
    <hyperlink ref="A6" r:id="rId5" xr:uid="{00000000-0004-0000-0D00-000005000000}"/>
    <hyperlink ref="A7" r:id="rId6" xr:uid="{00000000-0004-0000-0D00-000006000000}"/>
    <hyperlink ref="A8" r:id="rId7" xr:uid="{00000000-0004-0000-0D00-000007000000}"/>
    <hyperlink ref="A9" r:id="rId8" xr:uid="{00000000-0004-0000-0D00-000008000000}"/>
    <hyperlink ref="A10" r:id="rId9" xr:uid="{00000000-0004-0000-0D00-000009000000}"/>
    <hyperlink ref="A11" r:id="rId10" xr:uid="{00000000-0004-0000-0D00-00000A000000}"/>
    <hyperlink ref="A12" r:id="rId11" xr:uid="{00000000-0004-0000-0D00-00000B000000}"/>
    <hyperlink ref="A13" r:id="rId12" xr:uid="{00000000-0004-0000-0D00-00000C000000}"/>
    <hyperlink ref="A14" r:id="rId13" xr:uid="{00000000-0004-0000-0D00-00000D000000}"/>
    <hyperlink ref="A15" r:id="rId14" xr:uid="{00000000-0004-0000-0D00-00000E000000}"/>
    <hyperlink ref="A16" r:id="rId15" xr:uid="{00000000-0004-0000-0D00-00000F000000}"/>
    <hyperlink ref="A17" r:id="rId16" xr:uid="{00000000-0004-0000-0D00-000010000000}"/>
    <hyperlink ref="A18" r:id="rId17" xr:uid="{00000000-0004-0000-0D00-000011000000}"/>
    <hyperlink ref="A19" r:id="rId18" xr:uid="{00000000-0004-0000-0D00-000012000000}"/>
    <hyperlink ref="A20" r:id="rId19" xr:uid="{00000000-0004-0000-0D00-000013000000}"/>
    <hyperlink ref="A21" r:id="rId20" xr:uid="{00000000-0004-0000-0D00-000014000000}"/>
    <hyperlink ref="A22" r:id="rId21" xr:uid="{00000000-0004-0000-0D00-000015000000}"/>
    <hyperlink ref="A23" r:id="rId22" xr:uid="{00000000-0004-0000-0D00-000016000000}"/>
    <hyperlink ref="A24" r:id="rId23" xr:uid="{00000000-0004-0000-0D00-000017000000}"/>
    <hyperlink ref="A25" r:id="rId24" xr:uid="{00000000-0004-0000-0D00-000018000000}"/>
    <hyperlink ref="A26" r:id="rId25" xr:uid="{00000000-0004-0000-0D00-000019000000}"/>
    <hyperlink ref="A27" r:id="rId26" xr:uid="{00000000-0004-0000-0D00-00001A000000}"/>
    <hyperlink ref="A28" r:id="rId27" xr:uid="{00000000-0004-0000-0D00-00001B000000}"/>
    <hyperlink ref="A29" r:id="rId28" xr:uid="{00000000-0004-0000-0D00-00001C000000}"/>
    <hyperlink ref="A30" r:id="rId29" xr:uid="{00000000-0004-0000-0D00-00001D000000}"/>
    <hyperlink ref="A31" r:id="rId30" xr:uid="{00000000-0004-0000-0D00-00001E000000}"/>
    <hyperlink ref="A32" r:id="rId31" xr:uid="{00000000-0004-0000-0D00-00001F000000}"/>
    <hyperlink ref="A33" r:id="rId32" xr:uid="{00000000-0004-0000-0D00-000020000000}"/>
    <hyperlink ref="A34" r:id="rId33" xr:uid="{00000000-0004-0000-0D00-000021000000}"/>
    <hyperlink ref="A35" r:id="rId34" xr:uid="{00000000-0004-0000-0D00-000022000000}"/>
    <hyperlink ref="A36" r:id="rId35" xr:uid="{00000000-0004-0000-0D00-000023000000}"/>
    <hyperlink ref="A37" r:id="rId36" xr:uid="{00000000-0004-0000-0D00-000024000000}"/>
    <hyperlink ref="A38" r:id="rId37" xr:uid="{00000000-0004-0000-0D00-000025000000}"/>
    <hyperlink ref="A39" r:id="rId38" xr:uid="{00000000-0004-0000-0D00-000026000000}"/>
    <hyperlink ref="A40" r:id="rId39" xr:uid="{00000000-0004-0000-0D00-000027000000}"/>
    <hyperlink ref="A41" r:id="rId40" xr:uid="{00000000-0004-0000-0D00-000028000000}"/>
    <hyperlink ref="A42" r:id="rId41" xr:uid="{00000000-0004-0000-0D00-000029000000}"/>
    <hyperlink ref="A43" r:id="rId42" xr:uid="{00000000-0004-0000-0D00-00002A000000}"/>
    <hyperlink ref="A44" r:id="rId43" xr:uid="{00000000-0004-0000-0D00-00002B000000}"/>
    <hyperlink ref="A45" r:id="rId44" xr:uid="{00000000-0004-0000-0D00-00002C000000}"/>
    <hyperlink ref="A46" r:id="rId45" xr:uid="{00000000-0004-0000-0D00-00002D000000}"/>
    <hyperlink ref="A47" r:id="rId46" xr:uid="{00000000-0004-0000-0D00-00002E000000}"/>
    <hyperlink ref="A48" r:id="rId47" xr:uid="{00000000-0004-0000-0D00-00002F000000}"/>
    <hyperlink ref="A49" r:id="rId48" xr:uid="{00000000-0004-0000-0D00-000030000000}"/>
    <hyperlink ref="A50" r:id="rId49" xr:uid="{00000000-0004-0000-0D00-000031000000}"/>
    <hyperlink ref="A51" r:id="rId50" xr:uid="{00000000-0004-0000-0D00-000032000000}"/>
    <hyperlink ref="A52" r:id="rId51" xr:uid="{00000000-0004-0000-0D00-000033000000}"/>
    <hyperlink ref="A53" r:id="rId52" xr:uid="{00000000-0004-0000-0D00-000034000000}"/>
    <hyperlink ref="A54" r:id="rId53" xr:uid="{00000000-0004-0000-0D00-000035000000}"/>
    <hyperlink ref="A55" r:id="rId54" xr:uid="{00000000-0004-0000-0D00-000036000000}"/>
    <hyperlink ref="A56" r:id="rId55" xr:uid="{00000000-0004-0000-0D00-000037000000}"/>
    <hyperlink ref="A57" r:id="rId56" xr:uid="{00000000-0004-0000-0D00-000038000000}"/>
    <hyperlink ref="A58" r:id="rId57" xr:uid="{00000000-0004-0000-0D00-000039000000}"/>
    <hyperlink ref="A59" r:id="rId58" xr:uid="{00000000-0004-0000-0D00-00003A000000}"/>
    <hyperlink ref="A60" r:id="rId59" xr:uid="{00000000-0004-0000-0D00-00003B000000}"/>
    <hyperlink ref="A61" r:id="rId60" xr:uid="{00000000-0004-0000-0D00-00003C000000}"/>
    <hyperlink ref="A62" r:id="rId61" xr:uid="{00000000-0004-0000-0D00-00003D000000}"/>
    <hyperlink ref="A63" r:id="rId62" xr:uid="{00000000-0004-0000-0D00-00003E000000}"/>
    <hyperlink ref="A64" r:id="rId63" xr:uid="{00000000-0004-0000-0D00-00003F000000}"/>
    <hyperlink ref="A65" r:id="rId64" xr:uid="{00000000-0004-0000-0D00-000040000000}"/>
    <hyperlink ref="A66" r:id="rId65" xr:uid="{00000000-0004-0000-0D00-000041000000}"/>
    <hyperlink ref="A67" r:id="rId66" xr:uid="{00000000-0004-0000-0D00-000042000000}"/>
    <hyperlink ref="A68" r:id="rId67" xr:uid="{00000000-0004-0000-0D00-000043000000}"/>
    <hyperlink ref="A69" r:id="rId68" xr:uid="{00000000-0004-0000-0D00-000044000000}"/>
    <hyperlink ref="A70" r:id="rId69" xr:uid="{00000000-0004-0000-0D00-000045000000}"/>
    <hyperlink ref="A71" r:id="rId70" xr:uid="{00000000-0004-0000-0D00-000046000000}"/>
    <hyperlink ref="A72" r:id="rId71" xr:uid="{00000000-0004-0000-0D00-000047000000}"/>
    <hyperlink ref="A73" r:id="rId72" xr:uid="{00000000-0004-0000-0D00-000048000000}"/>
    <hyperlink ref="A74" r:id="rId73" xr:uid="{00000000-0004-0000-0D00-000049000000}"/>
    <hyperlink ref="A75" r:id="rId74" xr:uid="{00000000-0004-0000-0D00-00004A000000}"/>
    <hyperlink ref="A76" r:id="rId75" xr:uid="{00000000-0004-0000-0D00-00004B000000}"/>
    <hyperlink ref="A77" r:id="rId76" xr:uid="{00000000-0004-0000-0D00-00004C000000}"/>
    <hyperlink ref="A78" r:id="rId77" xr:uid="{00000000-0004-0000-0D00-00004D000000}"/>
    <hyperlink ref="A79" r:id="rId78" xr:uid="{00000000-0004-0000-0D00-00004E000000}"/>
    <hyperlink ref="A80" r:id="rId79" xr:uid="{00000000-0004-0000-0D00-00004F000000}"/>
    <hyperlink ref="A81" r:id="rId80" xr:uid="{00000000-0004-0000-0D00-000050000000}"/>
    <hyperlink ref="A82" r:id="rId81" xr:uid="{00000000-0004-0000-0D00-000051000000}"/>
    <hyperlink ref="A83" r:id="rId82" xr:uid="{00000000-0004-0000-0D00-000052000000}"/>
    <hyperlink ref="A84" r:id="rId83" xr:uid="{00000000-0004-0000-0D00-000053000000}"/>
    <hyperlink ref="A85" r:id="rId84" xr:uid="{00000000-0004-0000-0D00-000054000000}"/>
    <hyperlink ref="A86" r:id="rId85" xr:uid="{00000000-0004-0000-0D00-000055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79"/>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7" t="s">
        <v>102</v>
      </c>
      <c r="B1" s="27" t="s">
        <v>965</v>
      </c>
      <c r="C1" s="27" t="s">
        <v>966</v>
      </c>
      <c r="D1" s="27" t="s">
        <v>967</v>
      </c>
      <c r="E1" s="27" t="s">
        <v>77</v>
      </c>
      <c r="F1" s="27" t="s">
        <v>968</v>
      </c>
      <c r="G1" s="27" t="s">
        <v>291</v>
      </c>
      <c r="H1" s="27" t="s">
        <v>969</v>
      </c>
      <c r="I1" s="27" t="s">
        <v>970</v>
      </c>
      <c r="J1" s="27" t="s">
        <v>971</v>
      </c>
      <c r="K1" s="27" t="s">
        <v>972</v>
      </c>
      <c r="L1" s="27" t="s">
        <v>973</v>
      </c>
      <c r="M1" s="27" t="s">
        <v>305</v>
      </c>
      <c r="N1" s="27" t="s">
        <v>68</v>
      </c>
      <c r="O1" s="27" t="s">
        <v>64</v>
      </c>
      <c r="P1" s="27" t="s">
        <v>299</v>
      </c>
      <c r="Q1" s="27" t="s">
        <v>974</v>
      </c>
      <c r="R1" s="27" t="s">
        <v>250</v>
      </c>
      <c r="S1" s="27" t="s">
        <v>122</v>
      </c>
      <c r="T1" s="27" t="s">
        <v>961</v>
      </c>
      <c r="U1" s="36" t="s">
        <v>251</v>
      </c>
    </row>
    <row r="2" spans="1:21" ht="30" customHeight="1" x14ac:dyDescent="0.25">
      <c r="A2" s="33" t="s">
        <v>597</v>
      </c>
      <c r="B2" s="28">
        <v>17908</v>
      </c>
      <c r="C2" s="55" t="s">
        <v>975</v>
      </c>
      <c r="D2" s="28" t="s">
        <v>976</v>
      </c>
      <c r="E2" s="29" t="s">
        <v>71</v>
      </c>
      <c r="F2" s="28" t="s">
        <v>977</v>
      </c>
      <c r="G2" s="39">
        <v>105</v>
      </c>
      <c r="H2" s="28" t="s">
        <v>598</v>
      </c>
      <c r="I2" s="28" t="s">
        <v>477</v>
      </c>
      <c r="J2" s="28" t="s">
        <v>978</v>
      </c>
      <c r="K2" s="56" t="s">
        <v>26</v>
      </c>
      <c r="L2" s="28" t="s">
        <v>690</v>
      </c>
      <c r="M2" s="28" t="s">
        <v>323</v>
      </c>
      <c r="N2" s="28" t="s">
        <v>335</v>
      </c>
      <c r="O2" s="29" t="s">
        <v>2</v>
      </c>
      <c r="P2" s="28">
        <v>10</v>
      </c>
      <c r="Q2" s="28" t="s">
        <v>979</v>
      </c>
      <c r="R2" s="28" t="s">
        <v>980</v>
      </c>
      <c r="S2" s="34" t="str">
        <f>IFERROR(HYPERLINK("#Main!A"&amp;MATCH(A2,Main!A:A,0),"Open"),HYPERLINK("#Main!A1","Open"))</f>
        <v>Open</v>
      </c>
      <c r="T2" s="34" t="str">
        <f>IFERROR(HYPERLINK("#Technical!A"&amp;MATCH(A2,Technical!A:A,0),"Open"),HYPERLINK("#Technical!A1","Open"))</f>
        <v>Open</v>
      </c>
      <c r="U2" s="34"/>
    </row>
    <row r="3" spans="1:21" ht="45" customHeight="1" x14ac:dyDescent="0.25">
      <c r="A3" s="30" t="s">
        <v>476</v>
      </c>
      <c r="B3" s="37"/>
      <c r="C3" s="37"/>
      <c r="D3" s="37" t="s">
        <v>981</v>
      </c>
      <c r="E3" s="29" t="s">
        <v>71</v>
      </c>
      <c r="F3" s="37" t="s">
        <v>982</v>
      </c>
      <c r="G3" s="42">
        <v>105</v>
      </c>
      <c r="H3" s="37">
        <v>404</v>
      </c>
      <c r="I3" s="37" t="s">
        <v>983</v>
      </c>
      <c r="J3" s="37" t="s">
        <v>984</v>
      </c>
      <c r="K3" s="57" t="s">
        <v>14</v>
      </c>
      <c r="L3" s="37" t="s">
        <v>431</v>
      </c>
      <c r="M3" s="37" t="s">
        <v>323</v>
      </c>
      <c r="N3" s="37" t="s">
        <v>335</v>
      </c>
      <c r="O3" s="29" t="s">
        <v>2</v>
      </c>
      <c r="P3" s="37">
        <v>10</v>
      </c>
      <c r="Q3" s="37" t="s">
        <v>985</v>
      </c>
      <c r="R3" s="37" t="s">
        <v>986</v>
      </c>
      <c r="S3" t="str">
        <f>IFERROR(HYPERLINK("#Main!A"&amp;MATCH(A3,Main!A:A,0),"Open"),HYPERLINK("#Main!A1","Open"))</f>
        <v>Open</v>
      </c>
      <c r="T3" t="str">
        <f>IFERROR(HYPERLINK("#Technical!A"&amp;MATCH(A3,Technical!A:A,0),"Open"),HYPERLINK("#Technical!A1","Open"))</f>
        <v>Open</v>
      </c>
    </row>
    <row r="4" spans="1:21" ht="45" customHeight="1" x14ac:dyDescent="0.25">
      <c r="A4" s="33" t="s">
        <v>483</v>
      </c>
      <c r="B4" s="28"/>
      <c r="C4" s="28"/>
      <c r="D4" s="28" t="s">
        <v>981</v>
      </c>
      <c r="E4" s="29" t="s">
        <v>71</v>
      </c>
      <c r="F4" s="28" t="s">
        <v>982</v>
      </c>
      <c r="G4" s="39">
        <v>105</v>
      </c>
      <c r="H4" s="28">
        <v>404</v>
      </c>
      <c r="I4" s="28" t="s">
        <v>983</v>
      </c>
      <c r="J4" s="28" t="s">
        <v>984</v>
      </c>
      <c r="K4" s="56" t="s">
        <v>14</v>
      </c>
      <c r="L4" s="28" t="s">
        <v>431</v>
      </c>
      <c r="M4" s="28" t="s">
        <v>323</v>
      </c>
      <c r="N4" s="28" t="s">
        <v>335</v>
      </c>
      <c r="O4" s="29" t="s">
        <v>2</v>
      </c>
      <c r="P4" s="28">
        <v>10</v>
      </c>
      <c r="Q4" s="28" t="s">
        <v>987</v>
      </c>
      <c r="R4" s="28" t="s">
        <v>986</v>
      </c>
      <c r="S4" s="34" t="str">
        <f>IFERROR(HYPERLINK("#Main!A"&amp;MATCH(A4,Main!A:A,0),"Open"),HYPERLINK("#Main!A1","Open"))</f>
        <v>Open</v>
      </c>
      <c r="T4" s="34" t="str">
        <f>IFERROR(HYPERLINK("#Technical!A"&amp;MATCH(A4,Technical!A:A,0),"Open"),HYPERLINK("#Technical!A1","Open"))</f>
        <v>Open</v>
      </c>
      <c r="U4" s="34"/>
    </row>
    <row r="5" spans="1:21" ht="30" customHeight="1" x14ac:dyDescent="0.25">
      <c r="A5" s="30" t="s">
        <v>127</v>
      </c>
      <c r="B5" s="37">
        <v>8</v>
      </c>
      <c r="C5" s="55" t="s">
        <v>988</v>
      </c>
      <c r="D5" s="37" t="s">
        <v>24</v>
      </c>
      <c r="E5" s="29" t="s">
        <v>71</v>
      </c>
      <c r="F5" s="37" t="s">
        <v>963</v>
      </c>
      <c r="G5" s="42">
        <v>105</v>
      </c>
      <c r="H5" s="37">
        <v>1</v>
      </c>
      <c r="I5" s="37" t="s">
        <v>763</v>
      </c>
      <c r="J5" s="37" t="s">
        <v>989</v>
      </c>
      <c r="K5" s="57" t="s">
        <v>24</v>
      </c>
      <c r="L5" s="37" t="s">
        <v>907</v>
      </c>
      <c r="M5" s="37" t="s">
        <v>323</v>
      </c>
      <c r="N5" s="37" t="s">
        <v>335</v>
      </c>
      <c r="O5" s="29" t="s">
        <v>2</v>
      </c>
      <c r="P5" s="37">
        <v>10</v>
      </c>
      <c r="Q5" s="37" t="s">
        <v>990</v>
      </c>
      <c r="R5" s="37" t="s">
        <v>991</v>
      </c>
      <c r="S5" t="str">
        <f>IFERROR(HYPERLINK("#Main!A"&amp;MATCH(A5,Main!A:A,0),"Open"),HYPERLINK("#Main!A1","Open"))</f>
        <v>Open</v>
      </c>
      <c r="T5" t="str">
        <f>IFERROR(HYPERLINK("#Technical!A"&amp;MATCH(A5,Technical!A:A,0),"Open"),HYPERLINK("#Technical!A1","Open"))</f>
        <v>Open</v>
      </c>
    </row>
    <row r="6" spans="1:21" ht="30" customHeight="1" x14ac:dyDescent="0.25">
      <c r="A6" s="33" t="s">
        <v>135</v>
      </c>
      <c r="B6" s="28">
        <v>84</v>
      </c>
      <c r="C6" s="55" t="s">
        <v>992</v>
      </c>
      <c r="D6" s="28" t="s">
        <v>24</v>
      </c>
      <c r="E6" s="29" t="s">
        <v>71</v>
      </c>
      <c r="F6" s="28" t="s">
        <v>963</v>
      </c>
      <c r="G6" s="39">
        <v>105</v>
      </c>
      <c r="H6" s="28">
        <v>1</v>
      </c>
      <c r="I6" s="28" t="s">
        <v>763</v>
      </c>
      <c r="J6" s="28" t="s">
        <v>989</v>
      </c>
      <c r="K6" s="56" t="s">
        <v>24</v>
      </c>
      <c r="L6" s="28" t="s">
        <v>907</v>
      </c>
      <c r="M6" s="28" t="s">
        <v>323</v>
      </c>
      <c r="N6" s="28" t="s">
        <v>335</v>
      </c>
      <c r="O6" s="29" t="s">
        <v>2</v>
      </c>
      <c r="P6" s="28">
        <v>10</v>
      </c>
      <c r="Q6" s="28" t="s">
        <v>993</v>
      </c>
      <c r="R6" s="28" t="s">
        <v>991</v>
      </c>
      <c r="S6" s="34" t="str">
        <f>IFERROR(HYPERLINK("#Main!A"&amp;MATCH(A6,Main!A:A,0),"Open"),HYPERLINK("#Main!A1","Open"))</f>
        <v>Open</v>
      </c>
      <c r="T6" s="34" t="str">
        <f>IFERROR(HYPERLINK("#Technical!A"&amp;MATCH(A6,Technical!A:A,0),"Open"),HYPERLINK("#Technical!A1","Open"))</f>
        <v>Open</v>
      </c>
      <c r="U6" s="34"/>
    </row>
    <row r="7" spans="1:21" ht="30" customHeight="1" x14ac:dyDescent="0.25">
      <c r="A7" s="30" t="s">
        <v>144</v>
      </c>
      <c r="B7" s="37">
        <v>28165</v>
      </c>
      <c r="C7" s="55" t="s">
        <v>994</v>
      </c>
      <c r="D7" s="37" t="s">
        <v>24</v>
      </c>
      <c r="E7" s="29" t="s">
        <v>71</v>
      </c>
      <c r="F7" s="37" t="s">
        <v>963</v>
      </c>
      <c r="G7" s="42">
        <v>105</v>
      </c>
      <c r="H7" s="37">
        <v>1</v>
      </c>
      <c r="I7" s="37" t="s">
        <v>763</v>
      </c>
      <c r="J7" s="37" t="s">
        <v>989</v>
      </c>
      <c r="K7" s="57" t="s">
        <v>24</v>
      </c>
      <c r="L7" s="37" t="s">
        <v>907</v>
      </c>
      <c r="M7" s="37" t="s">
        <v>323</v>
      </c>
      <c r="N7" s="37" t="s">
        <v>335</v>
      </c>
      <c r="O7" s="29" t="s">
        <v>2</v>
      </c>
      <c r="P7" s="37">
        <v>10</v>
      </c>
      <c r="Q7" s="37" t="s">
        <v>995</v>
      </c>
      <c r="R7" s="37" t="s">
        <v>991</v>
      </c>
      <c r="S7" t="str">
        <f>IFERROR(HYPERLINK("#Main!A"&amp;MATCH(A7,Main!A:A,0),"Open"),HYPERLINK("#Main!A1","Open"))</f>
        <v>Open</v>
      </c>
      <c r="T7" t="str">
        <f>IFERROR(HYPERLINK("#Technical!A"&amp;MATCH(A7,Technical!A:A,0),"Open"),HYPERLINK("#Technical!A1","Open"))</f>
        <v>Open</v>
      </c>
    </row>
    <row r="8" spans="1:21" ht="30" customHeight="1" x14ac:dyDescent="0.25">
      <c r="A8" s="33" t="s">
        <v>152</v>
      </c>
      <c r="B8" s="28">
        <v>16125</v>
      </c>
      <c r="C8" s="55" t="s">
        <v>996</v>
      </c>
      <c r="D8" s="28" t="s">
        <v>24</v>
      </c>
      <c r="E8" s="29" t="s">
        <v>71</v>
      </c>
      <c r="F8" s="28" t="s">
        <v>963</v>
      </c>
      <c r="G8" s="39">
        <v>105</v>
      </c>
      <c r="H8" s="28">
        <v>1</v>
      </c>
      <c r="I8" s="28" t="s">
        <v>763</v>
      </c>
      <c r="J8" s="28" t="s">
        <v>989</v>
      </c>
      <c r="K8" s="56" t="s">
        <v>24</v>
      </c>
      <c r="L8" s="28" t="s">
        <v>907</v>
      </c>
      <c r="M8" s="28" t="s">
        <v>323</v>
      </c>
      <c r="N8" s="28" t="s">
        <v>335</v>
      </c>
      <c r="O8" s="29" t="s">
        <v>2</v>
      </c>
      <c r="P8" s="28">
        <v>10</v>
      </c>
      <c r="Q8" s="28" t="s">
        <v>997</v>
      </c>
      <c r="R8" s="28" t="s">
        <v>991</v>
      </c>
      <c r="S8" s="34" t="str">
        <f>IFERROR(HYPERLINK("#Main!A"&amp;MATCH(A8,Main!A:A,0),"Open"),HYPERLINK("#Main!A1","Open"))</f>
        <v>Open</v>
      </c>
      <c r="T8" s="34" t="str">
        <f>IFERROR(HYPERLINK("#Technical!A"&amp;MATCH(A8,Technical!A:A,0),"Open"),HYPERLINK("#Technical!A1","Open"))</f>
        <v>Open</v>
      </c>
      <c r="U8" s="34"/>
    </row>
    <row r="9" spans="1:21" ht="30" customHeight="1" x14ac:dyDescent="0.25">
      <c r="A9" s="30" t="s">
        <v>161</v>
      </c>
      <c r="B9" s="37">
        <v>4494</v>
      </c>
      <c r="C9" s="55" t="s">
        <v>998</v>
      </c>
      <c r="D9" s="37" t="s">
        <v>24</v>
      </c>
      <c r="E9" s="29" t="s">
        <v>71</v>
      </c>
      <c r="F9" s="37" t="s">
        <v>963</v>
      </c>
      <c r="G9" s="42">
        <v>105</v>
      </c>
      <c r="H9" s="37">
        <v>1</v>
      </c>
      <c r="I9" s="37" t="s">
        <v>763</v>
      </c>
      <c r="J9" s="37" t="s">
        <v>989</v>
      </c>
      <c r="K9" s="57" t="s">
        <v>24</v>
      </c>
      <c r="L9" s="37" t="s">
        <v>907</v>
      </c>
      <c r="M9" s="37" t="s">
        <v>323</v>
      </c>
      <c r="N9" s="37" t="s">
        <v>335</v>
      </c>
      <c r="O9" s="29" t="s">
        <v>2</v>
      </c>
      <c r="P9" s="37">
        <v>10</v>
      </c>
      <c r="Q9" s="37" t="s">
        <v>999</v>
      </c>
      <c r="R9" s="37" t="s">
        <v>991</v>
      </c>
      <c r="S9" t="str">
        <f>IFERROR(HYPERLINK("#Main!A"&amp;MATCH(A9,Main!A:A,0),"Open"),HYPERLINK("#Main!A1","Open"))</f>
        <v>Open</v>
      </c>
      <c r="T9" t="str">
        <f>IFERROR(HYPERLINK("#Technical!A"&amp;MATCH(A9,Technical!A:A,0),"Open"),HYPERLINK("#Technical!A1","Open"))</f>
        <v>Open</v>
      </c>
    </row>
    <row r="10" spans="1:21" ht="30" customHeight="1" x14ac:dyDescent="0.25">
      <c r="A10" s="33" t="s">
        <v>169</v>
      </c>
      <c r="B10" s="28">
        <v>5619</v>
      </c>
      <c r="C10" s="55" t="s">
        <v>1000</v>
      </c>
      <c r="D10" s="28" t="s">
        <v>24</v>
      </c>
      <c r="E10" s="29" t="s">
        <v>71</v>
      </c>
      <c r="F10" s="28" t="s">
        <v>963</v>
      </c>
      <c r="G10" s="39">
        <v>105</v>
      </c>
      <c r="H10" s="28">
        <v>1</v>
      </c>
      <c r="I10" s="28" t="s">
        <v>763</v>
      </c>
      <c r="J10" s="28" t="s">
        <v>989</v>
      </c>
      <c r="K10" s="56" t="s">
        <v>24</v>
      </c>
      <c r="L10" s="28" t="s">
        <v>907</v>
      </c>
      <c r="M10" s="28" t="s">
        <v>323</v>
      </c>
      <c r="N10" s="28" t="s">
        <v>335</v>
      </c>
      <c r="O10" s="29" t="s">
        <v>2</v>
      </c>
      <c r="P10" s="28">
        <v>10</v>
      </c>
      <c r="Q10" s="28" t="s">
        <v>1001</v>
      </c>
      <c r="R10" s="28" t="s">
        <v>991</v>
      </c>
      <c r="S10" s="34" t="str">
        <f>IFERROR(HYPERLINK("#Main!A"&amp;MATCH(A10,Main!A:A,0),"Open"),HYPERLINK("#Main!A1","Open"))</f>
        <v>Open</v>
      </c>
      <c r="T10" s="34" t="str">
        <f>IFERROR(HYPERLINK("#Technical!A"&amp;MATCH(A10,Technical!A:A,0),"Open"),HYPERLINK("#Technical!A1","Open"))</f>
        <v>Open</v>
      </c>
      <c r="U10" s="34"/>
    </row>
    <row r="11" spans="1:21" ht="30" customHeight="1" x14ac:dyDescent="0.25">
      <c r="A11" s="30" t="s">
        <v>177</v>
      </c>
      <c r="B11" s="37">
        <v>4941</v>
      </c>
      <c r="C11" s="55" t="s">
        <v>1002</v>
      </c>
      <c r="D11" s="37" t="s">
        <v>24</v>
      </c>
      <c r="E11" s="29" t="s">
        <v>71</v>
      </c>
      <c r="F11" s="37" t="s">
        <v>963</v>
      </c>
      <c r="G11" s="42">
        <v>105</v>
      </c>
      <c r="H11" s="37">
        <v>2</v>
      </c>
      <c r="I11" s="37" t="s">
        <v>763</v>
      </c>
      <c r="J11" s="37" t="s">
        <v>989</v>
      </c>
      <c r="K11" s="57" t="s">
        <v>24</v>
      </c>
      <c r="L11" s="37" t="s">
        <v>907</v>
      </c>
      <c r="M11" s="37" t="s">
        <v>323</v>
      </c>
      <c r="N11" s="37" t="s">
        <v>335</v>
      </c>
      <c r="O11" s="29" t="s">
        <v>2</v>
      </c>
      <c r="P11" s="37">
        <v>10</v>
      </c>
      <c r="Q11" s="37" t="s">
        <v>1003</v>
      </c>
      <c r="R11" s="37" t="s">
        <v>991</v>
      </c>
      <c r="S11" t="str">
        <f>IFERROR(HYPERLINK("#Main!A"&amp;MATCH(A11,Main!A:A,0),"Open"),HYPERLINK("#Main!A1","Open"))</f>
        <v>Open</v>
      </c>
      <c r="T11" t="str">
        <f>IFERROR(HYPERLINK("#Technical!A"&amp;MATCH(A11,Technical!A:A,0),"Open"),HYPERLINK("#Technical!A1","Open"))</f>
        <v>Open</v>
      </c>
    </row>
    <row r="12" spans="1:21" ht="30" customHeight="1" x14ac:dyDescent="0.25">
      <c r="A12" s="33" t="s">
        <v>185</v>
      </c>
      <c r="B12" s="28">
        <v>12371</v>
      </c>
      <c r="C12" s="55" t="s">
        <v>1004</v>
      </c>
      <c r="D12" s="28" t="s">
        <v>24</v>
      </c>
      <c r="E12" s="29" t="s">
        <v>71</v>
      </c>
      <c r="F12" s="28" t="s">
        <v>963</v>
      </c>
      <c r="G12" s="39">
        <v>105</v>
      </c>
      <c r="H12" s="28">
        <v>2</v>
      </c>
      <c r="I12" s="28" t="s">
        <v>763</v>
      </c>
      <c r="J12" s="28" t="s">
        <v>989</v>
      </c>
      <c r="K12" s="56" t="s">
        <v>24</v>
      </c>
      <c r="L12" s="28" t="s">
        <v>907</v>
      </c>
      <c r="M12" s="28" t="s">
        <v>323</v>
      </c>
      <c r="N12" s="28" t="s">
        <v>335</v>
      </c>
      <c r="O12" s="29" t="s">
        <v>2</v>
      </c>
      <c r="P12" s="28">
        <v>10</v>
      </c>
      <c r="Q12" s="28" t="s">
        <v>1005</v>
      </c>
      <c r="R12" s="28" t="s">
        <v>991</v>
      </c>
      <c r="S12" s="34" t="str">
        <f>IFERROR(HYPERLINK("#Main!A"&amp;MATCH(A12,Main!A:A,0),"Open"),HYPERLINK("#Main!A1","Open"))</f>
        <v>Open</v>
      </c>
      <c r="T12" s="34" t="str">
        <f>IFERROR(HYPERLINK("#Technical!A"&amp;MATCH(A12,Technical!A:A,0),"Open"),HYPERLINK("#Technical!A1","Open"))</f>
        <v>Open</v>
      </c>
      <c r="U12" s="34"/>
    </row>
    <row r="13" spans="1:21" ht="30" customHeight="1" x14ac:dyDescent="0.25">
      <c r="A13" s="30" t="s">
        <v>193</v>
      </c>
      <c r="B13" s="37">
        <v>12954</v>
      </c>
      <c r="C13" s="55" t="s">
        <v>1006</v>
      </c>
      <c r="D13" s="37" t="s">
        <v>24</v>
      </c>
      <c r="E13" s="29" t="s">
        <v>71</v>
      </c>
      <c r="F13" s="37" t="s">
        <v>963</v>
      </c>
      <c r="G13" s="42">
        <v>105</v>
      </c>
      <c r="H13" s="37">
        <v>1</v>
      </c>
      <c r="I13" s="37" t="s">
        <v>763</v>
      </c>
      <c r="J13" s="37" t="s">
        <v>989</v>
      </c>
      <c r="K13" s="57" t="s">
        <v>24</v>
      </c>
      <c r="L13" s="37" t="s">
        <v>907</v>
      </c>
      <c r="M13" s="37" t="s">
        <v>323</v>
      </c>
      <c r="N13" s="37" t="s">
        <v>335</v>
      </c>
      <c r="O13" s="29" t="s">
        <v>2</v>
      </c>
      <c r="P13" s="37">
        <v>10</v>
      </c>
      <c r="Q13" s="37" t="s">
        <v>1007</v>
      </c>
      <c r="R13" s="37" t="s">
        <v>991</v>
      </c>
      <c r="S13" t="str">
        <f>IFERROR(HYPERLINK("#Main!A"&amp;MATCH(A13,Main!A:A,0),"Open"),HYPERLINK("#Main!A1","Open"))</f>
        <v>Open</v>
      </c>
      <c r="T13" t="str">
        <f>IFERROR(HYPERLINK("#Technical!A"&amp;MATCH(A13,Technical!A:A,0),"Open"),HYPERLINK("#Technical!A1","Open"))</f>
        <v>Open</v>
      </c>
    </row>
    <row r="14" spans="1:21" ht="30" customHeight="1" x14ac:dyDescent="0.25">
      <c r="A14" s="33" t="s">
        <v>201</v>
      </c>
      <c r="B14" s="28">
        <v>13164</v>
      </c>
      <c r="C14" s="55" t="s">
        <v>1008</v>
      </c>
      <c r="D14" s="28" t="s">
        <v>24</v>
      </c>
      <c r="E14" s="29" t="s">
        <v>71</v>
      </c>
      <c r="F14" s="28" t="s">
        <v>963</v>
      </c>
      <c r="G14" s="39">
        <v>105</v>
      </c>
      <c r="H14" s="28">
        <v>1</v>
      </c>
      <c r="I14" s="28" t="s">
        <v>763</v>
      </c>
      <c r="J14" s="28" t="s">
        <v>989</v>
      </c>
      <c r="K14" s="56" t="s">
        <v>24</v>
      </c>
      <c r="L14" s="28" t="s">
        <v>907</v>
      </c>
      <c r="M14" s="28" t="s">
        <v>323</v>
      </c>
      <c r="N14" s="28" t="s">
        <v>335</v>
      </c>
      <c r="O14" s="29" t="s">
        <v>2</v>
      </c>
      <c r="P14" s="28">
        <v>10</v>
      </c>
      <c r="Q14" s="28" t="s">
        <v>1009</v>
      </c>
      <c r="R14" s="28" t="s">
        <v>991</v>
      </c>
      <c r="S14" s="34" t="str">
        <f>IFERROR(HYPERLINK("#Main!A"&amp;MATCH(A14,Main!A:A,0),"Open"),HYPERLINK("#Main!A1","Open"))</f>
        <v>Open</v>
      </c>
      <c r="T14" s="34" t="str">
        <f>IFERROR(HYPERLINK("#Technical!A"&amp;MATCH(A14,Technical!A:A,0),"Open"),HYPERLINK("#Technical!A1","Open"))</f>
        <v>Open</v>
      </c>
      <c r="U14" s="34"/>
    </row>
    <row r="15" spans="1:21" ht="30" customHeight="1" x14ac:dyDescent="0.25">
      <c r="A15" s="30" t="s">
        <v>208</v>
      </c>
      <c r="B15" s="37">
        <v>12407</v>
      </c>
      <c r="C15" s="55" t="s">
        <v>1010</v>
      </c>
      <c r="D15" s="37" t="s">
        <v>24</v>
      </c>
      <c r="E15" s="29" t="s">
        <v>71</v>
      </c>
      <c r="F15" s="37" t="s">
        <v>963</v>
      </c>
      <c r="G15" s="42">
        <v>105</v>
      </c>
      <c r="H15" s="37">
        <v>1</v>
      </c>
      <c r="I15" s="37" t="s">
        <v>763</v>
      </c>
      <c r="J15" s="37" t="s">
        <v>989</v>
      </c>
      <c r="K15" s="57" t="s">
        <v>24</v>
      </c>
      <c r="L15" s="37" t="s">
        <v>907</v>
      </c>
      <c r="M15" s="37" t="s">
        <v>323</v>
      </c>
      <c r="N15" s="37" t="s">
        <v>335</v>
      </c>
      <c r="O15" s="29" t="s">
        <v>2</v>
      </c>
      <c r="P15" s="37">
        <v>10</v>
      </c>
      <c r="Q15" s="37" t="s">
        <v>1011</v>
      </c>
      <c r="R15" s="37" t="s">
        <v>991</v>
      </c>
      <c r="S15" t="str">
        <f>IFERROR(HYPERLINK("#Main!A"&amp;MATCH(A15,Main!A:A,0),"Open"),HYPERLINK("#Main!A1","Open"))</f>
        <v>Open</v>
      </c>
      <c r="T15" t="str">
        <f>IFERROR(HYPERLINK("#Technical!A"&amp;MATCH(A15,Technical!A:A,0),"Open"),HYPERLINK("#Technical!A1","Open"))</f>
        <v>Open</v>
      </c>
    </row>
    <row r="16" spans="1:21" ht="30" customHeight="1" x14ac:dyDescent="0.25">
      <c r="A16" s="33" t="s">
        <v>216</v>
      </c>
      <c r="B16" s="28">
        <v>12497</v>
      </c>
      <c r="C16" s="55" t="s">
        <v>1012</v>
      </c>
      <c r="D16" s="28" t="s">
        <v>24</v>
      </c>
      <c r="E16" s="29" t="s">
        <v>71</v>
      </c>
      <c r="F16" s="28" t="s">
        <v>963</v>
      </c>
      <c r="G16" s="39">
        <v>105</v>
      </c>
      <c r="H16" s="28">
        <v>1</v>
      </c>
      <c r="I16" s="28" t="s">
        <v>763</v>
      </c>
      <c r="J16" s="28" t="s">
        <v>989</v>
      </c>
      <c r="K16" s="56" t="s">
        <v>24</v>
      </c>
      <c r="L16" s="28" t="s">
        <v>907</v>
      </c>
      <c r="M16" s="28" t="s">
        <v>323</v>
      </c>
      <c r="N16" s="28" t="s">
        <v>335</v>
      </c>
      <c r="O16" s="29" t="s">
        <v>2</v>
      </c>
      <c r="P16" s="28">
        <v>10</v>
      </c>
      <c r="Q16" s="28" t="s">
        <v>1013</v>
      </c>
      <c r="R16" s="28" t="s">
        <v>991</v>
      </c>
      <c r="S16" s="34" t="str">
        <f>IFERROR(HYPERLINK("#Main!A"&amp;MATCH(A16,Main!A:A,0),"Open"),HYPERLINK("#Main!A1","Open"))</f>
        <v>Open</v>
      </c>
      <c r="T16" s="34" t="str">
        <f>IFERROR(HYPERLINK("#Technical!A"&amp;MATCH(A16,Technical!A:A,0),"Open"),HYPERLINK("#Technical!A1","Open"))</f>
        <v>Open</v>
      </c>
      <c r="U16" s="34"/>
    </row>
    <row r="17" spans="1:21" ht="30" customHeight="1" x14ac:dyDescent="0.25">
      <c r="A17" s="30" t="s">
        <v>224</v>
      </c>
      <c r="B17" s="37">
        <v>13098</v>
      </c>
      <c r="C17" s="55" t="s">
        <v>1014</v>
      </c>
      <c r="D17" s="37" t="s">
        <v>24</v>
      </c>
      <c r="E17" s="29" t="s">
        <v>71</v>
      </c>
      <c r="F17" s="37" t="s">
        <v>963</v>
      </c>
      <c r="G17" s="42">
        <v>105</v>
      </c>
      <c r="H17" s="37">
        <v>2</v>
      </c>
      <c r="I17" s="37" t="s">
        <v>763</v>
      </c>
      <c r="J17" s="37" t="s">
        <v>989</v>
      </c>
      <c r="K17" s="57" t="s">
        <v>24</v>
      </c>
      <c r="L17" s="37" t="s">
        <v>907</v>
      </c>
      <c r="M17" s="37" t="s">
        <v>323</v>
      </c>
      <c r="N17" s="37" t="s">
        <v>335</v>
      </c>
      <c r="O17" s="29" t="s">
        <v>2</v>
      </c>
      <c r="P17" s="37">
        <v>10</v>
      </c>
      <c r="Q17" s="37" t="s">
        <v>1015</v>
      </c>
      <c r="R17" s="37" t="s">
        <v>991</v>
      </c>
      <c r="S17" t="str">
        <f>IFERROR(HYPERLINK("#Main!A"&amp;MATCH(A17,Main!A:A,0),"Open"),HYPERLINK("#Main!A1","Open"))</f>
        <v>Open</v>
      </c>
      <c r="T17" t="str">
        <f>IFERROR(HYPERLINK("#Technical!A"&amp;MATCH(A17,Technical!A:A,0),"Open"),HYPERLINK("#Technical!A1","Open"))</f>
        <v>Open</v>
      </c>
    </row>
    <row r="18" spans="1:21" ht="30" customHeight="1" x14ac:dyDescent="0.25">
      <c r="A18" s="33" t="s">
        <v>233</v>
      </c>
      <c r="B18" s="28">
        <v>13549</v>
      </c>
      <c r="C18" s="55" t="s">
        <v>1016</v>
      </c>
      <c r="D18" s="28" t="s">
        <v>24</v>
      </c>
      <c r="E18" s="29" t="s">
        <v>71</v>
      </c>
      <c r="F18" s="28" t="s">
        <v>963</v>
      </c>
      <c r="G18" s="39">
        <v>105</v>
      </c>
      <c r="H18" s="28">
        <v>1</v>
      </c>
      <c r="I18" s="28" t="s">
        <v>763</v>
      </c>
      <c r="J18" s="28" t="s">
        <v>989</v>
      </c>
      <c r="K18" s="56" t="s">
        <v>24</v>
      </c>
      <c r="L18" s="28" t="s">
        <v>907</v>
      </c>
      <c r="M18" s="28" t="s">
        <v>323</v>
      </c>
      <c r="N18" s="28" t="s">
        <v>335</v>
      </c>
      <c r="O18" s="29" t="s">
        <v>2</v>
      </c>
      <c r="P18" s="28">
        <v>10</v>
      </c>
      <c r="Q18" s="28" t="s">
        <v>1017</v>
      </c>
      <c r="R18" s="28" t="s">
        <v>991</v>
      </c>
      <c r="S18" s="34" t="str">
        <f>IFERROR(HYPERLINK("#Main!A"&amp;MATCH(A18,Main!A:A,0),"Open"),HYPERLINK("#Main!A1","Open"))</f>
        <v>Open</v>
      </c>
      <c r="T18" s="34" t="str">
        <f>IFERROR(HYPERLINK("#Technical!A"&amp;MATCH(A18,Technical!A:A,0),"Open"),HYPERLINK("#Technical!A1","Open"))</f>
        <v>Open</v>
      </c>
      <c r="U18" s="34"/>
    </row>
    <row r="19" spans="1:21" ht="30" customHeight="1" x14ac:dyDescent="0.25">
      <c r="A19" s="30" t="s">
        <v>241</v>
      </c>
      <c r="B19" s="37">
        <v>13282</v>
      </c>
      <c r="C19" s="55" t="s">
        <v>1018</v>
      </c>
      <c r="D19" s="37" t="s">
        <v>24</v>
      </c>
      <c r="E19" s="29" t="s">
        <v>71</v>
      </c>
      <c r="F19" s="37" t="s">
        <v>963</v>
      </c>
      <c r="G19" s="42">
        <v>105</v>
      </c>
      <c r="H19" s="37">
        <v>1</v>
      </c>
      <c r="I19" s="37" t="s">
        <v>763</v>
      </c>
      <c r="J19" s="37" t="s">
        <v>989</v>
      </c>
      <c r="K19" s="57" t="s">
        <v>24</v>
      </c>
      <c r="L19" s="37" t="s">
        <v>907</v>
      </c>
      <c r="M19" s="37" t="s">
        <v>323</v>
      </c>
      <c r="N19" s="37" t="s">
        <v>335</v>
      </c>
      <c r="O19" s="29" t="s">
        <v>2</v>
      </c>
      <c r="P19" s="37">
        <v>10</v>
      </c>
      <c r="Q19" s="37" t="s">
        <v>1019</v>
      </c>
      <c r="R19" s="37" t="s">
        <v>991</v>
      </c>
      <c r="S19" t="str">
        <f>IFERROR(HYPERLINK("#Main!A"&amp;MATCH(A19,Main!A:A,0),"Open"),HYPERLINK("#Main!A1","Open"))</f>
        <v>Open</v>
      </c>
      <c r="T19" t="str">
        <f>IFERROR(HYPERLINK("#Technical!A"&amp;MATCH(A19,Technical!A:A,0),"Open"),HYPERLINK("#Technical!A1","Open"))</f>
        <v>Open</v>
      </c>
    </row>
    <row r="20" spans="1:21" ht="30" customHeight="1" x14ac:dyDescent="0.25">
      <c r="A20" s="33" t="s">
        <v>485</v>
      </c>
      <c r="B20" s="28">
        <v>12945</v>
      </c>
      <c r="C20" s="55" t="s">
        <v>1020</v>
      </c>
      <c r="D20" s="28" t="s">
        <v>24</v>
      </c>
      <c r="E20" s="29" t="s">
        <v>71</v>
      </c>
      <c r="F20" s="28" t="s">
        <v>963</v>
      </c>
      <c r="G20" s="39">
        <v>105</v>
      </c>
      <c r="H20" s="28">
        <v>1</v>
      </c>
      <c r="I20" s="28" t="s">
        <v>763</v>
      </c>
      <c r="J20" s="28" t="s">
        <v>989</v>
      </c>
      <c r="K20" s="56" t="s">
        <v>24</v>
      </c>
      <c r="L20" s="28" t="s">
        <v>907</v>
      </c>
      <c r="M20" s="28" t="s">
        <v>323</v>
      </c>
      <c r="N20" s="28" t="s">
        <v>335</v>
      </c>
      <c r="O20" s="29" t="s">
        <v>2</v>
      </c>
      <c r="P20" s="28">
        <v>10</v>
      </c>
      <c r="Q20" s="28" t="s">
        <v>1021</v>
      </c>
      <c r="R20" s="28" t="s">
        <v>991</v>
      </c>
      <c r="S20" s="34" t="str">
        <f>IFERROR(HYPERLINK("#Main!A"&amp;MATCH(A20,Main!A:A,0),"Open"),HYPERLINK("#Main!A1","Open"))</f>
        <v>Open</v>
      </c>
      <c r="T20" s="34" t="str">
        <f>IFERROR(HYPERLINK("#Technical!A"&amp;MATCH(A20,Technical!A:A,0),"Open"),HYPERLINK("#Technical!A1","Open"))</f>
        <v>Open</v>
      </c>
      <c r="U20" s="34"/>
    </row>
    <row r="21" spans="1:21" ht="30" customHeight="1" x14ac:dyDescent="0.25">
      <c r="A21" s="30" t="s">
        <v>488</v>
      </c>
      <c r="B21" s="37">
        <v>13179</v>
      </c>
      <c r="C21" s="55" t="s">
        <v>1022</v>
      </c>
      <c r="D21" s="37" t="s">
        <v>24</v>
      </c>
      <c r="E21" s="29" t="s">
        <v>71</v>
      </c>
      <c r="F21" s="37" t="s">
        <v>963</v>
      </c>
      <c r="G21" s="42">
        <v>105</v>
      </c>
      <c r="H21" s="37">
        <v>1</v>
      </c>
      <c r="I21" s="37" t="s">
        <v>763</v>
      </c>
      <c r="J21" s="37" t="s">
        <v>989</v>
      </c>
      <c r="K21" s="57" t="s">
        <v>24</v>
      </c>
      <c r="L21" s="37" t="s">
        <v>907</v>
      </c>
      <c r="M21" s="37" t="s">
        <v>323</v>
      </c>
      <c r="N21" s="37" t="s">
        <v>335</v>
      </c>
      <c r="O21" s="29" t="s">
        <v>2</v>
      </c>
      <c r="P21" s="37">
        <v>10</v>
      </c>
      <c r="Q21" s="37" t="s">
        <v>1023</v>
      </c>
      <c r="R21" s="37" t="s">
        <v>991</v>
      </c>
      <c r="S21" t="str">
        <f>IFERROR(HYPERLINK("#Main!A"&amp;MATCH(A21,Main!A:A,0),"Open"),HYPERLINK("#Main!A1","Open"))</f>
        <v>Open</v>
      </c>
      <c r="T21" t="str">
        <f>IFERROR(HYPERLINK("#Technical!A"&amp;MATCH(A21,Technical!A:A,0),"Open"),HYPERLINK("#Technical!A1","Open"))</f>
        <v>Open</v>
      </c>
    </row>
    <row r="22" spans="1:21" ht="30" customHeight="1" x14ac:dyDescent="0.25">
      <c r="A22" s="33" t="s">
        <v>491</v>
      </c>
      <c r="B22" s="28">
        <v>22401</v>
      </c>
      <c r="C22" s="55" t="s">
        <v>1024</v>
      </c>
      <c r="D22" s="28" t="s">
        <v>24</v>
      </c>
      <c r="E22" s="29" t="s">
        <v>71</v>
      </c>
      <c r="F22" s="28" t="s">
        <v>963</v>
      </c>
      <c r="G22" s="39">
        <v>105</v>
      </c>
      <c r="H22" s="28">
        <v>1</v>
      </c>
      <c r="I22" s="28" t="s">
        <v>763</v>
      </c>
      <c r="J22" s="28" t="s">
        <v>989</v>
      </c>
      <c r="K22" s="56" t="s">
        <v>24</v>
      </c>
      <c r="L22" s="28" t="s">
        <v>907</v>
      </c>
      <c r="M22" s="28" t="s">
        <v>323</v>
      </c>
      <c r="N22" s="28" t="s">
        <v>335</v>
      </c>
      <c r="O22" s="29" t="s">
        <v>2</v>
      </c>
      <c r="P22" s="28">
        <v>10</v>
      </c>
      <c r="Q22" s="28" t="s">
        <v>1025</v>
      </c>
      <c r="R22" s="28" t="s">
        <v>991</v>
      </c>
      <c r="S22" s="34" t="str">
        <f>IFERROR(HYPERLINK("#Main!A"&amp;MATCH(A22,Main!A:A,0),"Open"),HYPERLINK("#Main!A1","Open"))</f>
        <v>Open</v>
      </c>
      <c r="T22" s="34" t="str">
        <f>IFERROR(HYPERLINK("#Technical!A"&amp;MATCH(A22,Technical!A:A,0),"Open"),HYPERLINK("#Technical!A1","Open"))</f>
        <v>Open</v>
      </c>
      <c r="U22" s="34"/>
    </row>
    <row r="23" spans="1:21" ht="30" customHeight="1" x14ac:dyDescent="0.25">
      <c r="A23" s="30" t="s">
        <v>494</v>
      </c>
      <c r="B23" s="37">
        <v>18318</v>
      </c>
      <c r="C23" s="55" t="s">
        <v>1026</v>
      </c>
      <c r="D23" s="37" t="s">
        <v>24</v>
      </c>
      <c r="E23" s="29" t="s">
        <v>71</v>
      </c>
      <c r="F23" s="37" t="s">
        <v>963</v>
      </c>
      <c r="G23" s="42">
        <v>105</v>
      </c>
      <c r="H23" s="37">
        <v>2</v>
      </c>
      <c r="I23" s="37" t="s">
        <v>763</v>
      </c>
      <c r="J23" s="37" t="s">
        <v>989</v>
      </c>
      <c r="K23" s="57" t="s">
        <v>24</v>
      </c>
      <c r="L23" s="37" t="s">
        <v>907</v>
      </c>
      <c r="M23" s="37" t="s">
        <v>323</v>
      </c>
      <c r="N23" s="37" t="s">
        <v>335</v>
      </c>
      <c r="O23" s="29" t="s">
        <v>2</v>
      </c>
      <c r="P23" s="37">
        <v>10</v>
      </c>
      <c r="Q23" s="37" t="s">
        <v>1027</v>
      </c>
      <c r="R23" s="37" t="s">
        <v>991</v>
      </c>
      <c r="S23" t="str">
        <f>IFERROR(HYPERLINK("#Main!A"&amp;MATCH(A23,Main!A:A,0),"Open"),HYPERLINK("#Main!A1","Open"))</f>
        <v>Open</v>
      </c>
      <c r="T23" t="str">
        <f>IFERROR(HYPERLINK("#Technical!A"&amp;MATCH(A23,Technical!A:A,0),"Open"),HYPERLINK("#Technical!A1","Open"))</f>
        <v>Open</v>
      </c>
    </row>
    <row r="24" spans="1:21" ht="30" customHeight="1" x14ac:dyDescent="0.25">
      <c r="A24" s="33" t="s">
        <v>497</v>
      </c>
      <c r="B24" s="28">
        <v>23710</v>
      </c>
      <c r="C24" s="55" t="s">
        <v>1028</v>
      </c>
      <c r="D24" s="28" t="s">
        <v>24</v>
      </c>
      <c r="E24" s="29" t="s">
        <v>71</v>
      </c>
      <c r="F24" s="28" t="s">
        <v>963</v>
      </c>
      <c r="G24" s="39">
        <v>105</v>
      </c>
      <c r="H24" s="28">
        <v>1</v>
      </c>
      <c r="I24" s="28" t="s">
        <v>763</v>
      </c>
      <c r="J24" s="28" t="s">
        <v>989</v>
      </c>
      <c r="K24" s="56" t="s">
        <v>24</v>
      </c>
      <c r="L24" s="28" t="s">
        <v>907</v>
      </c>
      <c r="M24" s="28" t="s">
        <v>323</v>
      </c>
      <c r="N24" s="28" t="s">
        <v>335</v>
      </c>
      <c r="O24" s="29" t="s">
        <v>2</v>
      </c>
      <c r="P24" s="28">
        <v>10</v>
      </c>
      <c r="Q24" s="28" t="s">
        <v>1029</v>
      </c>
      <c r="R24" s="28" t="s">
        <v>991</v>
      </c>
      <c r="S24" s="34" t="str">
        <f>IFERROR(HYPERLINK("#Main!A"&amp;MATCH(A24,Main!A:A,0),"Open"),HYPERLINK("#Main!A1","Open"))</f>
        <v>Open</v>
      </c>
      <c r="T24" s="34" t="str">
        <f>IFERROR(HYPERLINK("#Technical!A"&amp;MATCH(A24,Technical!A:A,0),"Open"),HYPERLINK("#Technical!A1","Open"))</f>
        <v>Open</v>
      </c>
      <c r="U24" s="34"/>
    </row>
    <row r="25" spans="1:21" ht="30" customHeight="1" x14ac:dyDescent="0.25">
      <c r="A25" s="30" t="s">
        <v>500</v>
      </c>
      <c r="B25" s="37">
        <v>30257</v>
      </c>
      <c r="C25" s="55" t="s">
        <v>1030</v>
      </c>
      <c r="D25" s="37" t="s">
        <v>24</v>
      </c>
      <c r="E25" s="29" t="s">
        <v>71</v>
      </c>
      <c r="F25" s="37" t="s">
        <v>963</v>
      </c>
      <c r="G25" s="42">
        <v>105</v>
      </c>
      <c r="H25" s="37">
        <v>1</v>
      </c>
      <c r="I25" s="37" t="s">
        <v>763</v>
      </c>
      <c r="J25" s="37" t="s">
        <v>989</v>
      </c>
      <c r="K25" s="57" t="s">
        <v>24</v>
      </c>
      <c r="L25" s="37" t="s">
        <v>907</v>
      </c>
      <c r="M25" s="37" t="s">
        <v>323</v>
      </c>
      <c r="N25" s="37" t="s">
        <v>335</v>
      </c>
      <c r="O25" s="29" t="s">
        <v>2</v>
      </c>
      <c r="P25" s="37">
        <v>10</v>
      </c>
      <c r="Q25" s="37" t="s">
        <v>1031</v>
      </c>
      <c r="R25" s="37" t="s">
        <v>991</v>
      </c>
      <c r="S25" t="str">
        <f>IFERROR(HYPERLINK("#Main!A"&amp;MATCH(A25,Main!A:A,0),"Open"),HYPERLINK("#Main!A1","Open"))</f>
        <v>Open</v>
      </c>
      <c r="T25" t="str">
        <f>IFERROR(HYPERLINK("#Technical!A"&amp;MATCH(A25,Technical!A:A,0),"Open"),HYPERLINK("#Technical!A1","Open"))</f>
        <v>Open</v>
      </c>
    </row>
    <row r="26" spans="1:21" ht="30" customHeight="1" x14ac:dyDescent="0.25">
      <c r="A26" s="33" t="s">
        <v>503</v>
      </c>
      <c r="B26" s="28">
        <v>31478</v>
      </c>
      <c r="C26" s="55" t="s">
        <v>1032</v>
      </c>
      <c r="D26" s="28" t="s">
        <v>24</v>
      </c>
      <c r="E26" s="29" t="s">
        <v>71</v>
      </c>
      <c r="F26" s="28" t="s">
        <v>963</v>
      </c>
      <c r="G26" s="39">
        <v>105</v>
      </c>
      <c r="H26" s="28">
        <v>1</v>
      </c>
      <c r="I26" s="28" t="s">
        <v>763</v>
      </c>
      <c r="J26" s="28" t="s">
        <v>989</v>
      </c>
      <c r="K26" s="56" t="s">
        <v>24</v>
      </c>
      <c r="L26" s="28" t="s">
        <v>907</v>
      </c>
      <c r="M26" s="28" t="s">
        <v>323</v>
      </c>
      <c r="N26" s="28" t="s">
        <v>335</v>
      </c>
      <c r="O26" s="29" t="s">
        <v>2</v>
      </c>
      <c r="P26" s="28">
        <v>10</v>
      </c>
      <c r="Q26" s="28" t="s">
        <v>1033</v>
      </c>
      <c r="R26" s="28" t="s">
        <v>991</v>
      </c>
      <c r="S26" s="34" t="str">
        <f>IFERROR(HYPERLINK("#Main!A"&amp;MATCH(A26,Main!A:A,0),"Open"),HYPERLINK("#Main!A1","Open"))</f>
        <v>Open</v>
      </c>
      <c r="T26" s="34" t="str">
        <f>IFERROR(HYPERLINK("#Technical!A"&amp;MATCH(A26,Technical!A:A,0),"Open"),HYPERLINK("#Technical!A1","Open"))</f>
        <v>Open</v>
      </c>
      <c r="U26" s="34"/>
    </row>
    <row r="27" spans="1:21" ht="30" customHeight="1" x14ac:dyDescent="0.25">
      <c r="A27" s="30" t="s">
        <v>506</v>
      </c>
      <c r="B27" s="37">
        <v>33280</v>
      </c>
      <c r="C27" s="55" t="s">
        <v>1034</v>
      </c>
      <c r="D27" s="37" t="s">
        <v>24</v>
      </c>
      <c r="E27" s="29" t="s">
        <v>71</v>
      </c>
      <c r="F27" s="37" t="s">
        <v>963</v>
      </c>
      <c r="G27" s="42">
        <v>105</v>
      </c>
      <c r="H27" s="37">
        <v>1</v>
      </c>
      <c r="I27" s="37" t="s">
        <v>763</v>
      </c>
      <c r="J27" s="37" t="s">
        <v>989</v>
      </c>
      <c r="K27" s="57" t="s">
        <v>24</v>
      </c>
      <c r="L27" s="37" t="s">
        <v>907</v>
      </c>
      <c r="M27" s="37" t="s">
        <v>323</v>
      </c>
      <c r="N27" s="37" t="s">
        <v>335</v>
      </c>
      <c r="O27" s="29" t="s">
        <v>2</v>
      </c>
      <c r="P27" s="37">
        <v>10</v>
      </c>
      <c r="Q27" s="37" t="s">
        <v>1035</v>
      </c>
      <c r="R27" s="37" t="s">
        <v>991</v>
      </c>
      <c r="S27" t="str">
        <f>IFERROR(HYPERLINK("#Main!A"&amp;MATCH(A27,Main!A:A,0),"Open"),HYPERLINK("#Main!A1","Open"))</f>
        <v>Open</v>
      </c>
      <c r="T27" t="str">
        <f>IFERROR(HYPERLINK("#Technical!A"&amp;MATCH(A27,Technical!A:A,0),"Open"),HYPERLINK("#Technical!A1","Open"))</f>
        <v>Open</v>
      </c>
    </row>
    <row r="28" spans="1:21" ht="30" customHeight="1" x14ac:dyDescent="0.25">
      <c r="A28" s="33" t="s">
        <v>509</v>
      </c>
      <c r="B28" s="28">
        <v>22778</v>
      </c>
      <c r="C28" s="55" t="s">
        <v>1036</v>
      </c>
      <c r="D28" s="28" t="s">
        <v>24</v>
      </c>
      <c r="E28" s="29" t="s">
        <v>71</v>
      </c>
      <c r="F28" s="28" t="s">
        <v>963</v>
      </c>
      <c r="G28" s="39">
        <v>105</v>
      </c>
      <c r="H28" s="28">
        <v>1</v>
      </c>
      <c r="I28" s="28" t="s">
        <v>763</v>
      </c>
      <c r="J28" s="28" t="s">
        <v>989</v>
      </c>
      <c r="K28" s="56" t="s">
        <v>24</v>
      </c>
      <c r="L28" s="28" t="s">
        <v>907</v>
      </c>
      <c r="M28" s="28" t="s">
        <v>323</v>
      </c>
      <c r="N28" s="28" t="s">
        <v>335</v>
      </c>
      <c r="O28" s="29" t="s">
        <v>2</v>
      </c>
      <c r="P28" s="28">
        <v>10</v>
      </c>
      <c r="Q28" s="28" t="s">
        <v>1037</v>
      </c>
      <c r="R28" s="28" t="s">
        <v>991</v>
      </c>
      <c r="S28" s="34" t="str">
        <f>IFERROR(HYPERLINK("#Main!A"&amp;MATCH(A28,Main!A:A,0),"Open"),HYPERLINK("#Main!A1","Open"))</f>
        <v>Open</v>
      </c>
      <c r="T28" s="34" t="str">
        <f>IFERROR(HYPERLINK("#Technical!A"&amp;MATCH(A28,Technical!A:A,0),"Open"),HYPERLINK("#Technical!A1","Open"))</f>
        <v>Open</v>
      </c>
      <c r="U28" s="34"/>
    </row>
    <row r="29" spans="1:21" ht="30" customHeight="1" x14ac:dyDescent="0.25">
      <c r="A29" s="30" t="s">
        <v>512</v>
      </c>
      <c r="B29" s="37">
        <v>5057</v>
      </c>
      <c r="C29" s="55" t="s">
        <v>1038</v>
      </c>
      <c r="D29" s="37" t="s">
        <v>24</v>
      </c>
      <c r="E29" s="29" t="s">
        <v>71</v>
      </c>
      <c r="F29" s="37" t="s">
        <v>963</v>
      </c>
      <c r="G29" s="42">
        <v>105</v>
      </c>
      <c r="H29" s="37">
        <v>1</v>
      </c>
      <c r="I29" s="37" t="s">
        <v>763</v>
      </c>
      <c r="J29" s="37" t="s">
        <v>989</v>
      </c>
      <c r="K29" s="57" t="s">
        <v>24</v>
      </c>
      <c r="L29" s="37" t="s">
        <v>907</v>
      </c>
      <c r="M29" s="37" t="s">
        <v>323</v>
      </c>
      <c r="N29" s="37" t="s">
        <v>335</v>
      </c>
      <c r="O29" s="29" t="s">
        <v>2</v>
      </c>
      <c r="P29" s="37">
        <v>10</v>
      </c>
      <c r="Q29" s="37" t="s">
        <v>1039</v>
      </c>
      <c r="R29" s="37" t="s">
        <v>991</v>
      </c>
      <c r="S29" t="str">
        <f>IFERROR(HYPERLINK("#Main!A"&amp;MATCH(A29,Main!A:A,0),"Open"),HYPERLINK("#Main!A1","Open"))</f>
        <v>Open</v>
      </c>
      <c r="T29" t="str">
        <f>IFERROR(HYPERLINK("#Technical!A"&amp;MATCH(A29,Technical!A:A,0),"Open"),HYPERLINK("#Technical!A1","Open"))</f>
        <v>Open</v>
      </c>
    </row>
    <row r="30" spans="1:21" ht="30" customHeight="1" x14ac:dyDescent="0.25">
      <c r="A30" s="33" t="s">
        <v>515</v>
      </c>
      <c r="B30" s="28">
        <v>12477</v>
      </c>
      <c r="C30" s="55" t="s">
        <v>1040</v>
      </c>
      <c r="D30" s="28" t="s">
        <v>24</v>
      </c>
      <c r="E30" s="29" t="s">
        <v>71</v>
      </c>
      <c r="F30" s="28" t="s">
        <v>963</v>
      </c>
      <c r="G30" s="39">
        <v>105</v>
      </c>
      <c r="H30" s="28">
        <v>2</v>
      </c>
      <c r="I30" s="28" t="s">
        <v>763</v>
      </c>
      <c r="J30" s="28" t="s">
        <v>989</v>
      </c>
      <c r="K30" s="56" t="s">
        <v>24</v>
      </c>
      <c r="L30" s="28" t="s">
        <v>907</v>
      </c>
      <c r="M30" s="28" t="s">
        <v>323</v>
      </c>
      <c r="N30" s="28" t="s">
        <v>335</v>
      </c>
      <c r="O30" s="29" t="s">
        <v>2</v>
      </c>
      <c r="P30" s="28">
        <v>10</v>
      </c>
      <c r="Q30" s="28" t="s">
        <v>1041</v>
      </c>
      <c r="R30" s="28" t="s">
        <v>991</v>
      </c>
      <c r="S30" s="34" t="str">
        <f>IFERROR(HYPERLINK("#Main!A"&amp;MATCH(A30,Main!A:A,0),"Open"),HYPERLINK("#Main!A1","Open"))</f>
        <v>Open</v>
      </c>
      <c r="T30" s="34" t="str">
        <f>IFERROR(HYPERLINK("#Technical!A"&amp;MATCH(A30,Technical!A:A,0),"Open"),HYPERLINK("#Technical!A1","Open"))</f>
        <v>Open</v>
      </c>
      <c r="U30" s="34"/>
    </row>
    <row r="31" spans="1:21" ht="30" customHeight="1" x14ac:dyDescent="0.25">
      <c r="A31" s="30" t="s">
        <v>518</v>
      </c>
      <c r="B31" s="37">
        <v>21958</v>
      </c>
      <c r="C31" s="55" t="s">
        <v>1042</v>
      </c>
      <c r="D31" s="37" t="s">
        <v>24</v>
      </c>
      <c r="E31" s="29" t="s">
        <v>71</v>
      </c>
      <c r="F31" s="37" t="s">
        <v>963</v>
      </c>
      <c r="G31" s="42">
        <v>105</v>
      </c>
      <c r="H31" s="37">
        <v>3</v>
      </c>
      <c r="I31" s="37" t="s">
        <v>763</v>
      </c>
      <c r="J31" s="37" t="s">
        <v>989</v>
      </c>
      <c r="K31" s="57" t="s">
        <v>24</v>
      </c>
      <c r="L31" s="37" t="s">
        <v>907</v>
      </c>
      <c r="M31" s="37" t="s">
        <v>323</v>
      </c>
      <c r="N31" s="37" t="s">
        <v>335</v>
      </c>
      <c r="O31" s="29" t="s">
        <v>2</v>
      </c>
      <c r="P31" s="37">
        <v>10</v>
      </c>
      <c r="Q31" s="37" t="s">
        <v>1043</v>
      </c>
      <c r="R31" s="37" t="s">
        <v>991</v>
      </c>
      <c r="S31" t="str">
        <f>IFERROR(HYPERLINK("#Main!A"&amp;MATCH(A31,Main!A:A,0),"Open"),HYPERLINK("#Main!A1","Open"))</f>
        <v>Open</v>
      </c>
      <c r="T31" t="str">
        <f>IFERROR(HYPERLINK("#Technical!A"&amp;MATCH(A31,Technical!A:A,0),"Open"),HYPERLINK("#Technical!A1","Open"))</f>
        <v>Open</v>
      </c>
    </row>
    <row r="32" spans="1:21" ht="30" customHeight="1" x14ac:dyDescent="0.25">
      <c r="A32" s="33" t="s">
        <v>521</v>
      </c>
      <c r="B32" s="28">
        <v>21984</v>
      </c>
      <c r="C32" s="55" t="s">
        <v>1044</v>
      </c>
      <c r="D32" s="28" t="s">
        <v>24</v>
      </c>
      <c r="E32" s="29" t="s">
        <v>71</v>
      </c>
      <c r="F32" s="28" t="s">
        <v>963</v>
      </c>
      <c r="G32" s="39">
        <v>105</v>
      </c>
      <c r="H32" s="28">
        <v>1</v>
      </c>
      <c r="I32" s="28" t="s">
        <v>763</v>
      </c>
      <c r="J32" s="28" t="s">
        <v>989</v>
      </c>
      <c r="K32" s="56" t="s">
        <v>24</v>
      </c>
      <c r="L32" s="28" t="s">
        <v>907</v>
      </c>
      <c r="M32" s="28" t="s">
        <v>323</v>
      </c>
      <c r="N32" s="28" t="s">
        <v>335</v>
      </c>
      <c r="O32" s="29" t="s">
        <v>2</v>
      </c>
      <c r="P32" s="28">
        <v>10</v>
      </c>
      <c r="Q32" s="28" t="s">
        <v>1045</v>
      </c>
      <c r="R32" s="28" t="s">
        <v>991</v>
      </c>
      <c r="S32" s="34" t="str">
        <f>IFERROR(HYPERLINK("#Main!A"&amp;MATCH(A32,Main!A:A,0),"Open"),HYPERLINK("#Main!A1","Open"))</f>
        <v>Open</v>
      </c>
      <c r="T32" s="34" t="str">
        <f>IFERROR(HYPERLINK("#Technical!A"&amp;MATCH(A32,Technical!A:A,0),"Open"),HYPERLINK("#Technical!A1","Open"))</f>
        <v>Open</v>
      </c>
      <c r="U32" s="34"/>
    </row>
    <row r="33" spans="1:21" ht="30" customHeight="1" x14ac:dyDescent="0.25">
      <c r="A33" s="30" t="s">
        <v>524</v>
      </c>
      <c r="B33" s="37">
        <v>33131</v>
      </c>
      <c r="C33" s="55" t="s">
        <v>1046</v>
      </c>
      <c r="D33" s="37" t="s">
        <v>24</v>
      </c>
      <c r="E33" s="29" t="s">
        <v>71</v>
      </c>
      <c r="F33" s="37" t="s">
        <v>963</v>
      </c>
      <c r="G33" s="42">
        <v>105</v>
      </c>
      <c r="H33" s="37">
        <v>1</v>
      </c>
      <c r="I33" s="37" t="s">
        <v>763</v>
      </c>
      <c r="J33" s="37" t="s">
        <v>989</v>
      </c>
      <c r="K33" s="57" t="s">
        <v>24</v>
      </c>
      <c r="L33" s="37" t="s">
        <v>907</v>
      </c>
      <c r="M33" s="37" t="s">
        <v>323</v>
      </c>
      <c r="N33" s="37" t="s">
        <v>335</v>
      </c>
      <c r="O33" s="29" t="s">
        <v>2</v>
      </c>
      <c r="P33" s="37">
        <v>10</v>
      </c>
      <c r="Q33" s="37" t="s">
        <v>1047</v>
      </c>
      <c r="R33" s="37" t="s">
        <v>991</v>
      </c>
      <c r="S33" t="str">
        <f>IFERROR(HYPERLINK("#Main!A"&amp;MATCH(A33,Main!A:A,0),"Open"),HYPERLINK("#Main!A1","Open"))</f>
        <v>Open</v>
      </c>
      <c r="T33" t="str">
        <f>IFERROR(HYPERLINK("#Technical!A"&amp;MATCH(A33,Technical!A:A,0),"Open"),HYPERLINK("#Technical!A1","Open"))</f>
        <v>Open</v>
      </c>
    </row>
    <row r="34" spans="1:21" ht="30" customHeight="1" x14ac:dyDescent="0.25">
      <c r="A34" s="33" t="s">
        <v>527</v>
      </c>
      <c r="B34" s="28">
        <v>21958</v>
      </c>
      <c r="C34" s="55" t="s">
        <v>1042</v>
      </c>
      <c r="D34" s="28" t="s">
        <v>24</v>
      </c>
      <c r="E34" s="29" t="s">
        <v>71</v>
      </c>
      <c r="F34" s="28" t="s">
        <v>963</v>
      </c>
      <c r="G34" s="39">
        <v>105</v>
      </c>
      <c r="H34" s="28">
        <v>3</v>
      </c>
      <c r="I34" s="28" t="s">
        <v>763</v>
      </c>
      <c r="J34" s="28" t="s">
        <v>989</v>
      </c>
      <c r="K34" s="56" t="s">
        <v>24</v>
      </c>
      <c r="L34" s="28" t="s">
        <v>907</v>
      </c>
      <c r="M34" s="28" t="s">
        <v>323</v>
      </c>
      <c r="N34" s="28" t="s">
        <v>335</v>
      </c>
      <c r="O34" s="29" t="s">
        <v>2</v>
      </c>
      <c r="P34" s="28">
        <v>10</v>
      </c>
      <c r="Q34" s="28" t="s">
        <v>1048</v>
      </c>
      <c r="R34" s="28" t="s">
        <v>991</v>
      </c>
      <c r="S34" s="34" t="str">
        <f>IFERROR(HYPERLINK("#Main!A"&amp;MATCH(A34,Main!A:A,0),"Open"),HYPERLINK("#Main!A1","Open"))</f>
        <v>Open</v>
      </c>
      <c r="T34" s="34" t="str">
        <f>IFERROR(HYPERLINK("#Technical!A"&amp;MATCH(A34,Technical!A:A,0),"Open"),HYPERLINK("#Technical!A1","Open"))</f>
        <v>Open</v>
      </c>
      <c r="U34" s="34"/>
    </row>
    <row r="35" spans="1:21" ht="45" customHeight="1" x14ac:dyDescent="0.25">
      <c r="A35" s="30" t="s">
        <v>528</v>
      </c>
      <c r="B35" s="37">
        <v>25857</v>
      </c>
      <c r="C35" s="55" t="s">
        <v>1049</v>
      </c>
      <c r="D35" s="37" t="s">
        <v>24</v>
      </c>
      <c r="E35" s="29" t="s">
        <v>71</v>
      </c>
      <c r="F35" s="37" t="s">
        <v>963</v>
      </c>
      <c r="G35" s="42">
        <v>105</v>
      </c>
      <c r="H35" s="37">
        <v>1</v>
      </c>
      <c r="I35" s="37" t="s">
        <v>763</v>
      </c>
      <c r="J35" s="37" t="s">
        <v>989</v>
      </c>
      <c r="K35" s="57" t="s">
        <v>24</v>
      </c>
      <c r="L35" s="37" t="s">
        <v>907</v>
      </c>
      <c r="M35" s="37" t="s">
        <v>323</v>
      </c>
      <c r="N35" s="37" t="s">
        <v>335</v>
      </c>
      <c r="O35" s="29" t="s">
        <v>2</v>
      </c>
      <c r="P35" s="37">
        <v>10</v>
      </c>
      <c r="Q35" s="37" t="s">
        <v>1050</v>
      </c>
      <c r="R35" s="37" t="s">
        <v>991</v>
      </c>
      <c r="S35" t="str">
        <f>IFERROR(HYPERLINK("#Main!A"&amp;MATCH(A35,Main!A:A,0),"Open"),HYPERLINK("#Main!A1","Open"))</f>
        <v>Open</v>
      </c>
      <c r="T35" t="str">
        <f>IFERROR(HYPERLINK("#Technical!A"&amp;MATCH(A35,Technical!A:A,0),"Open"),HYPERLINK("#Technical!A1","Open"))</f>
        <v>Open</v>
      </c>
    </row>
    <row r="36" spans="1:21" ht="30" customHeight="1" x14ac:dyDescent="0.25">
      <c r="A36" s="33" t="s">
        <v>531</v>
      </c>
      <c r="B36" s="28">
        <v>25788</v>
      </c>
      <c r="C36" s="55" t="s">
        <v>1051</v>
      </c>
      <c r="D36" s="28" t="s">
        <v>24</v>
      </c>
      <c r="E36" s="29" t="s">
        <v>71</v>
      </c>
      <c r="F36" s="28" t="s">
        <v>963</v>
      </c>
      <c r="G36" s="39">
        <v>105</v>
      </c>
      <c r="H36" s="28">
        <v>1</v>
      </c>
      <c r="I36" s="28" t="s">
        <v>763</v>
      </c>
      <c r="J36" s="28" t="s">
        <v>989</v>
      </c>
      <c r="K36" s="56" t="s">
        <v>24</v>
      </c>
      <c r="L36" s="28" t="s">
        <v>907</v>
      </c>
      <c r="M36" s="28" t="s">
        <v>323</v>
      </c>
      <c r="N36" s="28" t="s">
        <v>335</v>
      </c>
      <c r="O36" s="29" t="s">
        <v>2</v>
      </c>
      <c r="P36" s="28">
        <v>10</v>
      </c>
      <c r="Q36" s="28" t="s">
        <v>1052</v>
      </c>
      <c r="R36" s="28" t="s">
        <v>991</v>
      </c>
      <c r="S36" s="34" t="str">
        <f>IFERROR(HYPERLINK("#Main!A"&amp;MATCH(A36,Main!A:A,0),"Open"),HYPERLINK("#Main!A1","Open"))</f>
        <v>Open</v>
      </c>
      <c r="T36" s="34" t="str">
        <f>IFERROR(HYPERLINK("#Technical!A"&amp;MATCH(A36,Technical!A:A,0),"Open"),HYPERLINK("#Technical!A1","Open"))</f>
        <v>Open</v>
      </c>
      <c r="U36" s="34"/>
    </row>
    <row r="37" spans="1:21" ht="30" customHeight="1" x14ac:dyDescent="0.25">
      <c r="A37" s="30" t="s">
        <v>534</v>
      </c>
      <c r="B37" s="37">
        <v>26290</v>
      </c>
      <c r="C37" s="55" t="s">
        <v>1053</v>
      </c>
      <c r="D37" s="37" t="s">
        <v>24</v>
      </c>
      <c r="E37" s="29" t="s">
        <v>71</v>
      </c>
      <c r="F37" s="37" t="s">
        <v>963</v>
      </c>
      <c r="G37" s="42">
        <v>105</v>
      </c>
      <c r="H37" s="37">
        <v>1</v>
      </c>
      <c r="I37" s="37" t="s">
        <v>763</v>
      </c>
      <c r="J37" s="37" t="s">
        <v>989</v>
      </c>
      <c r="K37" s="57" t="s">
        <v>24</v>
      </c>
      <c r="L37" s="37" t="s">
        <v>907</v>
      </c>
      <c r="M37" s="37" t="s">
        <v>323</v>
      </c>
      <c r="N37" s="37" t="s">
        <v>335</v>
      </c>
      <c r="O37" s="29" t="s">
        <v>2</v>
      </c>
      <c r="P37" s="37">
        <v>10</v>
      </c>
      <c r="Q37" s="37" t="s">
        <v>1054</v>
      </c>
      <c r="R37" s="37" t="s">
        <v>991</v>
      </c>
      <c r="S37" t="str">
        <f>IFERROR(HYPERLINK("#Main!A"&amp;MATCH(A37,Main!A:A,0),"Open"),HYPERLINK("#Main!A1","Open"))</f>
        <v>Open</v>
      </c>
      <c r="T37" t="str">
        <f>IFERROR(HYPERLINK("#Technical!A"&amp;MATCH(A37,Technical!A:A,0),"Open"),HYPERLINK("#Technical!A1","Open"))</f>
        <v>Open</v>
      </c>
    </row>
    <row r="38" spans="1:21" ht="30" customHeight="1" x14ac:dyDescent="0.25">
      <c r="A38" s="33" t="s">
        <v>537</v>
      </c>
      <c r="B38" s="28">
        <v>24882</v>
      </c>
      <c r="C38" s="55" t="s">
        <v>1055</v>
      </c>
      <c r="D38" s="28" t="s">
        <v>24</v>
      </c>
      <c r="E38" s="29" t="s">
        <v>71</v>
      </c>
      <c r="F38" s="28" t="s">
        <v>963</v>
      </c>
      <c r="G38" s="39">
        <v>105</v>
      </c>
      <c r="H38" s="28">
        <v>1</v>
      </c>
      <c r="I38" s="28" t="s">
        <v>763</v>
      </c>
      <c r="J38" s="28" t="s">
        <v>989</v>
      </c>
      <c r="K38" s="56" t="s">
        <v>24</v>
      </c>
      <c r="L38" s="28" t="s">
        <v>907</v>
      </c>
      <c r="M38" s="28" t="s">
        <v>323</v>
      </c>
      <c r="N38" s="28" t="s">
        <v>335</v>
      </c>
      <c r="O38" s="29" t="s">
        <v>2</v>
      </c>
      <c r="P38" s="28">
        <v>10</v>
      </c>
      <c r="Q38" s="28" t="s">
        <v>1056</v>
      </c>
      <c r="R38" s="28" t="s">
        <v>991</v>
      </c>
      <c r="S38" s="34" t="str">
        <f>IFERROR(HYPERLINK("#Main!A"&amp;MATCH(A38,Main!A:A,0),"Open"),HYPERLINK("#Main!A1","Open"))</f>
        <v>Open</v>
      </c>
      <c r="T38" s="34" t="str">
        <f>IFERROR(HYPERLINK("#Technical!A"&amp;MATCH(A38,Technical!A:A,0),"Open"),HYPERLINK("#Technical!A1","Open"))</f>
        <v>Open</v>
      </c>
      <c r="U38" s="34"/>
    </row>
    <row r="39" spans="1:21" ht="45" customHeight="1" x14ac:dyDescent="0.25">
      <c r="A39" s="30" t="s">
        <v>540</v>
      </c>
      <c r="B39" s="37">
        <v>22595</v>
      </c>
      <c r="C39" s="55" t="s">
        <v>1057</v>
      </c>
      <c r="D39" s="37" t="s">
        <v>24</v>
      </c>
      <c r="E39" s="29" t="s">
        <v>71</v>
      </c>
      <c r="F39" s="37" t="s">
        <v>963</v>
      </c>
      <c r="G39" s="42">
        <v>105</v>
      </c>
      <c r="H39" s="37">
        <v>1</v>
      </c>
      <c r="I39" s="37" t="s">
        <v>763</v>
      </c>
      <c r="J39" s="37" t="s">
        <v>989</v>
      </c>
      <c r="K39" s="57" t="s">
        <v>24</v>
      </c>
      <c r="L39" s="37" t="s">
        <v>907</v>
      </c>
      <c r="M39" s="37" t="s">
        <v>323</v>
      </c>
      <c r="N39" s="37" t="s">
        <v>335</v>
      </c>
      <c r="O39" s="29" t="s">
        <v>2</v>
      </c>
      <c r="P39" s="37">
        <v>10</v>
      </c>
      <c r="Q39" s="37" t="s">
        <v>1058</v>
      </c>
      <c r="R39" s="37" t="s">
        <v>991</v>
      </c>
      <c r="S39" t="str">
        <f>IFERROR(HYPERLINK("#Main!A"&amp;MATCH(A39,Main!A:A,0),"Open"),HYPERLINK("#Main!A1","Open"))</f>
        <v>Open</v>
      </c>
      <c r="T39" t="str">
        <f>IFERROR(HYPERLINK("#Technical!A"&amp;MATCH(A39,Technical!A:A,0),"Open"),HYPERLINK("#Technical!A1","Open"))</f>
        <v>Open</v>
      </c>
    </row>
    <row r="40" spans="1:21" ht="30" customHeight="1" x14ac:dyDescent="0.25">
      <c r="A40" s="33" t="s">
        <v>543</v>
      </c>
      <c r="B40" s="28">
        <v>29496</v>
      </c>
      <c r="C40" s="55" t="s">
        <v>1059</v>
      </c>
      <c r="D40" s="28" t="s">
        <v>24</v>
      </c>
      <c r="E40" s="29" t="s">
        <v>71</v>
      </c>
      <c r="F40" s="28" t="s">
        <v>963</v>
      </c>
      <c r="G40" s="39">
        <v>105</v>
      </c>
      <c r="H40" s="28">
        <v>1</v>
      </c>
      <c r="I40" s="28" t="s">
        <v>763</v>
      </c>
      <c r="J40" s="28" t="s">
        <v>989</v>
      </c>
      <c r="K40" s="56" t="s">
        <v>24</v>
      </c>
      <c r="L40" s="28" t="s">
        <v>907</v>
      </c>
      <c r="M40" s="28" t="s">
        <v>323</v>
      </c>
      <c r="N40" s="28" t="s">
        <v>335</v>
      </c>
      <c r="O40" s="29" t="s">
        <v>2</v>
      </c>
      <c r="P40" s="28">
        <v>10</v>
      </c>
      <c r="Q40" s="28" t="s">
        <v>1060</v>
      </c>
      <c r="R40" s="28" t="s">
        <v>991</v>
      </c>
      <c r="S40" s="34" t="str">
        <f>IFERROR(HYPERLINK("#Main!A"&amp;MATCH(A40,Main!A:A,0),"Open"),HYPERLINK("#Main!A1","Open"))</f>
        <v>Open</v>
      </c>
      <c r="T40" s="34" t="str">
        <f>IFERROR(HYPERLINK("#Technical!A"&amp;MATCH(A40,Technical!A:A,0),"Open"),HYPERLINK("#Technical!A1","Open"))</f>
        <v>Open</v>
      </c>
      <c r="U40" s="34"/>
    </row>
    <row r="41" spans="1:21" ht="30" customHeight="1" x14ac:dyDescent="0.25">
      <c r="A41" s="30" t="s">
        <v>546</v>
      </c>
      <c r="B41" s="37">
        <v>16104</v>
      </c>
      <c r="C41" s="55" t="s">
        <v>1061</v>
      </c>
      <c r="D41" s="37" t="s">
        <v>24</v>
      </c>
      <c r="E41" s="29" t="s">
        <v>71</v>
      </c>
      <c r="F41" s="37" t="s">
        <v>963</v>
      </c>
      <c r="G41" s="42">
        <v>105</v>
      </c>
      <c r="H41" s="37">
        <v>2</v>
      </c>
      <c r="I41" s="37" t="s">
        <v>763</v>
      </c>
      <c r="J41" s="37" t="s">
        <v>989</v>
      </c>
      <c r="K41" s="57" t="s">
        <v>24</v>
      </c>
      <c r="L41" s="37" t="s">
        <v>907</v>
      </c>
      <c r="M41" s="37" t="s">
        <v>323</v>
      </c>
      <c r="N41" s="37" t="s">
        <v>335</v>
      </c>
      <c r="O41" s="29" t="s">
        <v>2</v>
      </c>
      <c r="P41" s="37">
        <v>10</v>
      </c>
      <c r="Q41" s="37" t="s">
        <v>1062</v>
      </c>
      <c r="R41" s="37" t="s">
        <v>991</v>
      </c>
      <c r="S41" t="str">
        <f>IFERROR(HYPERLINK("#Main!A"&amp;MATCH(A41,Main!A:A,0),"Open"),HYPERLINK("#Main!A1","Open"))</f>
        <v>Open</v>
      </c>
      <c r="T41" t="str">
        <f>IFERROR(HYPERLINK("#Technical!A"&amp;MATCH(A41,Technical!A:A,0),"Open"),HYPERLINK("#Technical!A1","Open"))</f>
        <v>Open</v>
      </c>
    </row>
    <row r="42" spans="1:21" ht="30" customHeight="1" x14ac:dyDescent="0.25">
      <c r="A42" s="33" t="s">
        <v>549</v>
      </c>
      <c r="B42" s="28">
        <v>23021</v>
      </c>
      <c r="C42" s="55" t="s">
        <v>1063</v>
      </c>
      <c r="D42" s="28" t="s">
        <v>24</v>
      </c>
      <c r="E42" s="29" t="s">
        <v>71</v>
      </c>
      <c r="F42" s="28" t="s">
        <v>963</v>
      </c>
      <c r="G42" s="39">
        <v>105</v>
      </c>
      <c r="H42" s="28">
        <v>1</v>
      </c>
      <c r="I42" s="28" t="s">
        <v>763</v>
      </c>
      <c r="J42" s="28" t="s">
        <v>989</v>
      </c>
      <c r="K42" s="56" t="s">
        <v>24</v>
      </c>
      <c r="L42" s="28" t="s">
        <v>907</v>
      </c>
      <c r="M42" s="28" t="s">
        <v>323</v>
      </c>
      <c r="N42" s="28" t="s">
        <v>335</v>
      </c>
      <c r="O42" s="29" t="s">
        <v>2</v>
      </c>
      <c r="P42" s="28">
        <v>10</v>
      </c>
      <c r="Q42" s="28" t="s">
        <v>1064</v>
      </c>
      <c r="R42" s="28" t="s">
        <v>991</v>
      </c>
      <c r="S42" s="34" t="str">
        <f>IFERROR(HYPERLINK("#Main!A"&amp;MATCH(A42,Main!A:A,0),"Open"),HYPERLINK("#Main!A1","Open"))</f>
        <v>Open</v>
      </c>
      <c r="T42" s="34" t="str">
        <f>IFERROR(HYPERLINK("#Technical!A"&amp;MATCH(A42,Technical!A:A,0),"Open"),HYPERLINK("#Technical!A1","Open"))</f>
        <v>Open</v>
      </c>
      <c r="U42" s="34"/>
    </row>
    <row r="43" spans="1:21" ht="30" customHeight="1" x14ac:dyDescent="0.25">
      <c r="A43" s="30" t="s">
        <v>552</v>
      </c>
      <c r="B43" s="37">
        <v>6553</v>
      </c>
      <c r="C43" s="55" t="s">
        <v>1065</v>
      </c>
      <c r="D43" s="37" t="s">
        <v>24</v>
      </c>
      <c r="E43" s="29" t="s">
        <v>71</v>
      </c>
      <c r="F43" s="37" t="s">
        <v>963</v>
      </c>
      <c r="G43" s="42">
        <v>105</v>
      </c>
      <c r="H43" s="37">
        <v>1</v>
      </c>
      <c r="I43" s="37" t="s">
        <v>763</v>
      </c>
      <c r="J43" s="37" t="s">
        <v>989</v>
      </c>
      <c r="K43" s="57" t="s">
        <v>24</v>
      </c>
      <c r="L43" s="37" t="s">
        <v>907</v>
      </c>
      <c r="M43" s="37" t="s">
        <v>323</v>
      </c>
      <c r="N43" s="37" t="s">
        <v>335</v>
      </c>
      <c r="O43" s="29" t="s">
        <v>2</v>
      </c>
      <c r="P43" s="37">
        <v>10</v>
      </c>
      <c r="Q43" s="37" t="s">
        <v>1066</v>
      </c>
      <c r="R43" s="37" t="s">
        <v>991</v>
      </c>
      <c r="S43" t="str">
        <f>IFERROR(HYPERLINK("#Main!A"&amp;MATCH(A43,Main!A:A,0),"Open"),HYPERLINK("#Main!A1","Open"))</f>
        <v>Open</v>
      </c>
      <c r="T43" t="str">
        <f>IFERROR(HYPERLINK("#Technical!A"&amp;MATCH(A43,Technical!A:A,0),"Open"),HYPERLINK("#Technical!A1","Open"))</f>
        <v>Open</v>
      </c>
    </row>
    <row r="44" spans="1:21" ht="30" customHeight="1" x14ac:dyDescent="0.25">
      <c r="A44" s="33" t="s">
        <v>555</v>
      </c>
      <c r="B44" s="28">
        <v>6816</v>
      </c>
      <c r="C44" s="55" t="s">
        <v>1067</v>
      </c>
      <c r="D44" s="28" t="s">
        <v>24</v>
      </c>
      <c r="E44" s="29" t="s">
        <v>71</v>
      </c>
      <c r="F44" s="28" t="s">
        <v>963</v>
      </c>
      <c r="G44" s="39">
        <v>105</v>
      </c>
      <c r="H44" s="28">
        <v>1</v>
      </c>
      <c r="I44" s="28" t="s">
        <v>763</v>
      </c>
      <c r="J44" s="28" t="s">
        <v>989</v>
      </c>
      <c r="K44" s="56" t="s">
        <v>24</v>
      </c>
      <c r="L44" s="28" t="s">
        <v>907</v>
      </c>
      <c r="M44" s="28" t="s">
        <v>323</v>
      </c>
      <c r="N44" s="28" t="s">
        <v>335</v>
      </c>
      <c r="O44" s="29" t="s">
        <v>2</v>
      </c>
      <c r="P44" s="28">
        <v>10</v>
      </c>
      <c r="Q44" s="28" t="s">
        <v>1068</v>
      </c>
      <c r="R44" s="28" t="s">
        <v>991</v>
      </c>
      <c r="S44" s="34" t="str">
        <f>IFERROR(HYPERLINK("#Main!A"&amp;MATCH(A44,Main!A:A,0),"Open"),HYPERLINK("#Main!A1","Open"))</f>
        <v>Open</v>
      </c>
      <c r="T44" s="34" t="str">
        <f>IFERROR(HYPERLINK("#Technical!A"&amp;MATCH(A44,Technical!A:A,0),"Open"),HYPERLINK("#Technical!A1","Open"))</f>
        <v>Open</v>
      </c>
      <c r="U44" s="34"/>
    </row>
    <row r="45" spans="1:21" ht="30" customHeight="1" x14ac:dyDescent="0.25">
      <c r="A45" s="30" t="s">
        <v>557</v>
      </c>
      <c r="B45" s="37">
        <v>6822</v>
      </c>
      <c r="C45" s="55" t="s">
        <v>1069</v>
      </c>
      <c r="D45" s="37" t="s">
        <v>24</v>
      </c>
      <c r="E45" s="29" t="s">
        <v>71</v>
      </c>
      <c r="F45" s="37" t="s">
        <v>963</v>
      </c>
      <c r="G45" s="42">
        <v>105</v>
      </c>
      <c r="H45" s="37">
        <v>1</v>
      </c>
      <c r="I45" s="37" t="s">
        <v>763</v>
      </c>
      <c r="J45" s="37" t="s">
        <v>989</v>
      </c>
      <c r="K45" s="57" t="s">
        <v>24</v>
      </c>
      <c r="L45" s="37" t="s">
        <v>907</v>
      </c>
      <c r="M45" s="37" t="s">
        <v>323</v>
      </c>
      <c r="N45" s="37" t="s">
        <v>335</v>
      </c>
      <c r="O45" s="29" t="s">
        <v>2</v>
      </c>
      <c r="P45" s="37">
        <v>10</v>
      </c>
      <c r="Q45" s="37" t="s">
        <v>1070</v>
      </c>
      <c r="R45" s="37" t="s">
        <v>991</v>
      </c>
      <c r="S45" t="str">
        <f>IFERROR(HYPERLINK("#Main!A"&amp;MATCH(A45,Main!A:A,0),"Open"),HYPERLINK("#Main!A1","Open"))</f>
        <v>Open</v>
      </c>
      <c r="T45" t="str">
        <f>IFERROR(HYPERLINK("#Technical!A"&amp;MATCH(A45,Technical!A:A,0),"Open"),HYPERLINK("#Technical!A1","Open"))</f>
        <v>Open</v>
      </c>
    </row>
    <row r="46" spans="1:21" ht="30" customHeight="1" x14ac:dyDescent="0.25">
      <c r="A46" s="33" t="s">
        <v>560</v>
      </c>
      <c r="B46" s="28">
        <v>4492</v>
      </c>
      <c r="C46" s="55" t="s">
        <v>1071</v>
      </c>
      <c r="D46" s="28" t="s">
        <v>24</v>
      </c>
      <c r="E46" s="29" t="s">
        <v>71</v>
      </c>
      <c r="F46" s="28" t="s">
        <v>963</v>
      </c>
      <c r="G46" s="39">
        <v>105</v>
      </c>
      <c r="H46" s="28">
        <v>1</v>
      </c>
      <c r="I46" s="28" t="s">
        <v>763</v>
      </c>
      <c r="J46" s="28" t="s">
        <v>989</v>
      </c>
      <c r="K46" s="56" t="s">
        <v>24</v>
      </c>
      <c r="L46" s="28" t="s">
        <v>907</v>
      </c>
      <c r="M46" s="28" t="s">
        <v>323</v>
      </c>
      <c r="N46" s="28" t="s">
        <v>335</v>
      </c>
      <c r="O46" s="29" t="s">
        <v>2</v>
      </c>
      <c r="P46" s="28">
        <v>10</v>
      </c>
      <c r="Q46" s="28" t="s">
        <v>1072</v>
      </c>
      <c r="R46" s="28" t="s">
        <v>991</v>
      </c>
      <c r="S46" s="34" t="str">
        <f>IFERROR(HYPERLINK("#Main!A"&amp;MATCH(A46,Main!A:A,0),"Open"),HYPERLINK("#Main!A1","Open"))</f>
        <v>Open</v>
      </c>
      <c r="T46" s="34" t="str">
        <f>IFERROR(HYPERLINK("#Technical!A"&amp;MATCH(A46,Technical!A:A,0),"Open"),HYPERLINK("#Technical!A1","Open"))</f>
        <v>Open</v>
      </c>
      <c r="U46" s="34"/>
    </row>
    <row r="47" spans="1:21" ht="30" customHeight="1" x14ac:dyDescent="0.25">
      <c r="A47" s="30" t="s">
        <v>563</v>
      </c>
      <c r="B47" s="37">
        <v>23001</v>
      </c>
      <c r="C47" s="55" t="s">
        <v>1073</v>
      </c>
      <c r="D47" s="37" t="s">
        <v>24</v>
      </c>
      <c r="E47" s="29" t="s">
        <v>71</v>
      </c>
      <c r="F47" s="37" t="s">
        <v>963</v>
      </c>
      <c r="G47" s="42">
        <v>105</v>
      </c>
      <c r="H47" s="37">
        <v>1</v>
      </c>
      <c r="I47" s="37" t="s">
        <v>763</v>
      </c>
      <c r="J47" s="37" t="s">
        <v>989</v>
      </c>
      <c r="K47" s="57" t="s">
        <v>24</v>
      </c>
      <c r="L47" s="37" t="s">
        <v>907</v>
      </c>
      <c r="M47" s="37" t="s">
        <v>323</v>
      </c>
      <c r="N47" s="37" t="s">
        <v>335</v>
      </c>
      <c r="O47" s="29" t="s">
        <v>2</v>
      </c>
      <c r="P47" s="37">
        <v>10</v>
      </c>
      <c r="Q47" s="37" t="s">
        <v>1074</v>
      </c>
      <c r="R47" s="37" t="s">
        <v>991</v>
      </c>
      <c r="S47" t="str">
        <f>IFERROR(HYPERLINK("#Main!A"&amp;MATCH(A47,Main!A:A,0),"Open"),HYPERLINK("#Main!A1","Open"))</f>
        <v>Open</v>
      </c>
      <c r="T47" t="str">
        <f>IFERROR(HYPERLINK("#Technical!A"&amp;MATCH(A47,Technical!A:A,0),"Open"),HYPERLINK("#Technical!A1","Open"))</f>
        <v>Open</v>
      </c>
    </row>
    <row r="48" spans="1:21" ht="30" customHeight="1" x14ac:dyDescent="0.25">
      <c r="A48" s="33" t="s">
        <v>566</v>
      </c>
      <c r="B48" s="28">
        <v>21952</v>
      </c>
      <c r="C48" s="55" t="s">
        <v>1075</v>
      </c>
      <c r="D48" s="28" t="s">
        <v>24</v>
      </c>
      <c r="E48" s="29" t="s">
        <v>71</v>
      </c>
      <c r="F48" s="28" t="s">
        <v>963</v>
      </c>
      <c r="G48" s="39">
        <v>105</v>
      </c>
      <c r="H48" s="28">
        <v>1</v>
      </c>
      <c r="I48" s="28" t="s">
        <v>763</v>
      </c>
      <c r="J48" s="28" t="s">
        <v>989</v>
      </c>
      <c r="K48" s="56" t="s">
        <v>24</v>
      </c>
      <c r="L48" s="28" t="s">
        <v>907</v>
      </c>
      <c r="M48" s="28" t="s">
        <v>323</v>
      </c>
      <c r="N48" s="28" t="s">
        <v>335</v>
      </c>
      <c r="O48" s="29" t="s">
        <v>2</v>
      </c>
      <c r="P48" s="28">
        <v>10</v>
      </c>
      <c r="Q48" s="28" t="s">
        <v>1076</v>
      </c>
      <c r="R48" s="28" t="s">
        <v>991</v>
      </c>
      <c r="S48" s="34" t="str">
        <f>IFERROR(HYPERLINK("#Main!A"&amp;MATCH(A48,Main!A:A,0),"Open"),HYPERLINK("#Main!A1","Open"))</f>
        <v>Open</v>
      </c>
      <c r="T48" s="34" t="str">
        <f>IFERROR(HYPERLINK("#Technical!A"&amp;MATCH(A48,Technical!A:A,0),"Open"),HYPERLINK("#Technical!A1","Open"))</f>
        <v>Open</v>
      </c>
      <c r="U48" s="34"/>
    </row>
    <row r="49" spans="1:21" ht="30" customHeight="1" x14ac:dyDescent="0.25">
      <c r="A49" s="30" t="s">
        <v>570</v>
      </c>
      <c r="B49" s="37">
        <v>22679</v>
      </c>
      <c r="C49" s="55" t="s">
        <v>1077</v>
      </c>
      <c r="D49" s="37" t="s">
        <v>24</v>
      </c>
      <c r="E49" s="29" t="s">
        <v>71</v>
      </c>
      <c r="F49" s="37" t="s">
        <v>963</v>
      </c>
      <c r="G49" s="42">
        <v>105</v>
      </c>
      <c r="H49" s="37">
        <v>1</v>
      </c>
      <c r="I49" s="37" t="s">
        <v>763</v>
      </c>
      <c r="J49" s="37" t="s">
        <v>989</v>
      </c>
      <c r="K49" s="57" t="s">
        <v>24</v>
      </c>
      <c r="L49" s="37" t="s">
        <v>907</v>
      </c>
      <c r="M49" s="37" t="s">
        <v>323</v>
      </c>
      <c r="N49" s="37" t="s">
        <v>335</v>
      </c>
      <c r="O49" s="29" t="s">
        <v>2</v>
      </c>
      <c r="P49" s="37">
        <v>10</v>
      </c>
      <c r="Q49" s="37" t="s">
        <v>1078</v>
      </c>
      <c r="R49" s="37" t="s">
        <v>991</v>
      </c>
      <c r="S49" t="str">
        <f>IFERROR(HYPERLINK("#Main!A"&amp;MATCH(A49,Main!A:A,0),"Open"),HYPERLINK("#Main!A1","Open"))</f>
        <v>Open</v>
      </c>
      <c r="T49" t="str">
        <f>IFERROR(HYPERLINK("#Technical!A"&amp;MATCH(A49,Technical!A:A,0),"Open"),HYPERLINK("#Technical!A1","Open"))</f>
        <v>Open</v>
      </c>
    </row>
    <row r="50" spans="1:21" ht="30" customHeight="1" x14ac:dyDescent="0.25">
      <c r="A50" s="33" t="s">
        <v>573</v>
      </c>
      <c r="B50" s="28">
        <v>34622</v>
      </c>
      <c r="C50" s="55" t="s">
        <v>1079</v>
      </c>
      <c r="D50" s="28" t="s">
        <v>24</v>
      </c>
      <c r="E50" s="29" t="s">
        <v>71</v>
      </c>
      <c r="F50" s="28" t="s">
        <v>963</v>
      </c>
      <c r="G50" s="39">
        <v>105</v>
      </c>
      <c r="H50" s="28">
        <v>1</v>
      </c>
      <c r="I50" s="28" t="s">
        <v>763</v>
      </c>
      <c r="J50" s="28" t="s">
        <v>989</v>
      </c>
      <c r="K50" s="56" t="s">
        <v>24</v>
      </c>
      <c r="L50" s="28" t="s">
        <v>907</v>
      </c>
      <c r="M50" s="28" t="s">
        <v>323</v>
      </c>
      <c r="N50" s="28" t="s">
        <v>335</v>
      </c>
      <c r="O50" s="29" t="s">
        <v>2</v>
      </c>
      <c r="P50" s="28">
        <v>10</v>
      </c>
      <c r="Q50" s="28" t="s">
        <v>1080</v>
      </c>
      <c r="R50" s="28" t="s">
        <v>991</v>
      </c>
      <c r="S50" s="34" t="str">
        <f>IFERROR(HYPERLINK("#Main!A"&amp;MATCH(A50,Main!A:A,0),"Open"),HYPERLINK("#Main!A1","Open"))</f>
        <v>Open</v>
      </c>
      <c r="T50" s="34" t="str">
        <f>IFERROR(HYPERLINK("#Technical!A"&amp;MATCH(A50,Technical!A:A,0),"Open"),HYPERLINK("#Technical!A1","Open"))</f>
        <v>Open</v>
      </c>
      <c r="U50" s="34"/>
    </row>
    <row r="51" spans="1:21" ht="30" customHeight="1" x14ac:dyDescent="0.25">
      <c r="A51" s="30" t="s">
        <v>577</v>
      </c>
      <c r="B51" s="37">
        <v>32554</v>
      </c>
      <c r="C51" s="55" t="s">
        <v>1081</v>
      </c>
      <c r="D51" s="37" t="s">
        <v>24</v>
      </c>
      <c r="E51" s="29" t="s">
        <v>71</v>
      </c>
      <c r="F51" s="37" t="s">
        <v>963</v>
      </c>
      <c r="G51" s="42">
        <v>105</v>
      </c>
      <c r="H51" s="37">
        <v>1</v>
      </c>
      <c r="I51" s="37" t="s">
        <v>763</v>
      </c>
      <c r="J51" s="37" t="s">
        <v>989</v>
      </c>
      <c r="K51" s="57" t="s">
        <v>24</v>
      </c>
      <c r="L51" s="37" t="s">
        <v>907</v>
      </c>
      <c r="M51" s="37" t="s">
        <v>323</v>
      </c>
      <c r="N51" s="37" t="s">
        <v>335</v>
      </c>
      <c r="O51" s="29" t="s">
        <v>2</v>
      </c>
      <c r="P51" s="37">
        <v>10</v>
      </c>
      <c r="Q51" s="37" t="s">
        <v>1082</v>
      </c>
      <c r="R51" s="37" t="s">
        <v>991</v>
      </c>
      <c r="S51" t="str">
        <f>IFERROR(HYPERLINK("#Main!A"&amp;MATCH(A51,Main!A:A,0),"Open"),HYPERLINK("#Main!A1","Open"))</f>
        <v>Open</v>
      </c>
      <c r="T51" t="str">
        <f>IFERROR(HYPERLINK("#Technical!A"&amp;MATCH(A51,Technical!A:A,0),"Open"),HYPERLINK("#Technical!A1","Open"))</f>
        <v>Open</v>
      </c>
    </row>
    <row r="52" spans="1:21" ht="30" customHeight="1" x14ac:dyDescent="0.25">
      <c r="A52" s="33" t="s">
        <v>579</v>
      </c>
      <c r="B52" s="28">
        <v>34552</v>
      </c>
      <c r="C52" s="55" t="s">
        <v>1083</v>
      </c>
      <c r="D52" s="28" t="s">
        <v>24</v>
      </c>
      <c r="E52" s="29" t="s">
        <v>71</v>
      </c>
      <c r="F52" s="28" t="s">
        <v>963</v>
      </c>
      <c r="G52" s="39">
        <v>105</v>
      </c>
      <c r="H52" s="28">
        <v>1</v>
      </c>
      <c r="I52" s="28" t="s">
        <v>763</v>
      </c>
      <c r="J52" s="28" t="s">
        <v>989</v>
      </c>
      <c r="K52" s="56" t="s">
        <v>24</v>
      </c>
      <c r="L52" s="28" t="s">
        <v>907</v>
      </c>
      <c r="M52" s="28" t="s">
        <v>323</v>
      </c>
      <c r="N52" s="28" t="s">
        <v>335</v>
      </c>
      <c r="O52" s="29" t="s">
        <v>2</v>
      </c>
      <c r="P52" s="28">
        <v>10</v>
      </c>
      <c r="Q52" s="28" t="s">
        <v>1084</v>
      </c>
      <c r="R52" s="28" t="s">
        <v>991</v>
      </c>
      <c r="S52" s="34" t="str">
        <f>IFERROR(HYPERLINK("#Main!A"&amp;MATCH(A52,Main!A:A,0),"Open"),HYPERLINK("#Main!A1","Open"))</f>
        <v>Open</v>
      </c>
      <c r="T52" s="34" t="str">
        <f>IFERROR(HYPERLINK("#Technical!A"&amp;MATCH(A52,Technical!A:A,0),"Open"),HYPERLINK("#Technical!A1","Open"))</f>
        <v>Open</v>
      </c>
      <c r="U52" s="34"/>
    </row>
    <row r="53" spans="1:21" ht="30" customHeight="1" x14ac:dyDescent="0.25">
      <c r="A53" s="30" t="s">
        <v>582</v>
      </c>
      <c r="B53" s="37">
        <v>28742</v>
      </c>
      <c r="C53" s="55" t="s">
        <v>1085</v>
      </c>
      <c r="D53" s="37" t="s">
        <v>24</v>
      </c>
      <c r="E53" s="29" t="s">
        <v>71</v>
      </c>
      <c r="F53" s="37" t="s">
        <v>963</v>
      </c>
      <c r="G53" s="42">
        <v>105</v>
      </c>
      <c r="H53" s="37">
        <v>1</v>
      </c>
      <c r="I53" s="37" t="s">
        <v>763</v>
      </c>
      <c r="J53" s="37" t="s">
        <v>989</v>
      </c>
      <c r="K53" s="57" t="s">
        <v>24</v>
      </c>
      <c r="L53" s="37" t="s">
        <v>907</v>
      </c>
      <c r="M53" s="37" t="s">
        <v>323</v>
      </c>
      <c r="N53" s="37" t="s">
        <v>335</v>
      </c>
      <c r="O53" s="29" t="s">
        <v>2</v>
      </c>
      <c r="P53" s="37">
        <v>10</v>
      </c>
      <c r="Q53" s="37" t="s">
        <v>1086</v>
      </c>
      <c r="R53" s="37" t="s">
        <v>991</v>
      </c>
      <c r="S53" t="str">
        <f>IFERROR(HYPERLINK("#Main!A"&amp;MATCH(A53,Main!A:A,0),"Open"),HYPERLINK("#Main!A1","Open"))</f>
        <v>Open</v>
      </c>
      <c r="T53" t="str">
        <f>IFERROR(HYPERLINK("#Technical!A"&amp;MATCH(A53,Technical!A:A,0),"Open"),HYPERLINK("#Technical!A1","Open"))</f>
        <v>Open</v>
      </c>
    </row>
    <row r="54" spans="1:21" ht="30" customHeight="1" x14ac:dyDescent="0.25">
      <c r="A54" s="33" t="s">
        <v>585</v>
      </c>
      <c r="B54" s="28">
        <v>9075</v>
      </c>
      <c r="C54" s="55" t="s">
        <v>1087</v>
      </c>
      <c r="D54" s="28" t="s">
        <v>24</v>
      </c>
      <c r="E54" s="29" t="s">
        <v>71</v>
      </c>
      <c r="F54" s="28" t="s">
        <v>963</v>
      </c>
      <c r="G54" s="39">
        <v>105</v>
      </c>
      <c r="H54" s="28">
        <v>2</v>
      </c>
      <c r="I54" s="28" t="s">
        <v>763</v>
      </c>
      <c r="J54" s="28" t="s">
        <v>989</v>
      </c>
      <c r="K54" s="56" t="s">
        <v>24</v>
      </c>
      <c r="L54" s="28" t="s">
        <v>907</v>
      </c>
      <c r="M54" s="28" t="s">
        <v>323</v>
      </c>
      <c r="N54" s="28" t="s">
        <v>335</v>
      </c>
      <c r="O54" s="29" t="s">
        <v>2</v>
      </c>
      <c r="P54" s="28">
        <v>10</v>
      </c>
      <c r="Q54" s="28" t="s">
        <v>1088</v>
      </c>
      <c r="R54" s="28" t="s">
        <v>991</v>
      </c>
      <c r="S54" s="34" t="str">
        <f>IFERROR(HYPERLINK("#Main!A"&amp;MATCH(A54,Main!A:A,0),"Open"),HYPERLINK("#Main!A1","Open"))</f>
        <v>Open</v>
      </c>
      <c r="T54" s="34" t="str">
        <f>IFERROR(HYPERLINK("#Technical!A"&amp;MATCH(A54,Technical!A:A,0),"Open"),HYPERLINK("#Technical!A1","Open"))</f>
        <v>Open</v>
      </c>
      <c r="U54" s="34"/>
    </row>
    <row r="55" spans="1:21" ht="30" customHeight="1" x14ac:dyDescent="0.25">
      <c r="A55" s="30" t="s">
        <v>588</v>
      </c>
      <c r="B55" s="37">
        <v>20001</v>
      </c>
      <c r="C55" s="55" t="s">
        <v>1089</v>
      </c>
      <c r="D55" s="37" t="s">
        <v>24</v>
      </c>
      <c r="E55" s="29" t="s">
        <v>71</v>
      </c>
      <c r="F55" s="37" t="s">
        <v>963</v>
      </c>
      <c r="G55" s="42">
        <v>105</v>
      </c>
      <c r="H55" s="37">
        <v>1</v>
      </c>
      <c r="I55" s="37" t="s">
        <v>763</v>
      </c>
      <c r="J55" s="37" t="s">
        <v>989</v>
      </c>
      <c r="K55" s="57" t="s">
        <v>24</v>
      </c>
      <c r="L55" s="37" t="s">
        <v>907</v>
      </c>
      <c r="M55" s="37" t="s">
        <v>323</v>
      </c>
      <c r="N55" s="37" t="s">
        <v>335</v>
      </c>
      <c r="O55" s="29" t="s">
        <v>2</v>
      </c>
      <c r="P55" s="37">
        <v>10</v>
      </c>
      <c r="Q55" s="37" t="s">
        <v>1090</v>
      </c>
      <c r="R55" s="37" t="s">
        <v>991</v>
      </c>
      <c r="S55" t="str">
        <f>IFERROR(HYPERLINK("#Main!A"&amp;MATCH(A55,Main!A:A,0),"Open"),HYPERLINK("#Main!A1","Open"))</f>
        <v>Open</v>
      </c>
      <c r="T55" t="str">
        <f>IFERROR(HYPERLINK("#Technical!A"&amp;MATCH(A55,Technical!A:A,0),"Open"),HYPERLINK("#Technical!A1","Open"))</f>
        <v>Open</v>
      </c>
    </row>
    <row r="56" spans="1:21" ht="30" customHeight="1" x14ac:dyDescent="0.25">
      <c r="A56" s="33" t="s">
        <v>591</v>
      </c>
      <c r="B56" s="28">
        <v>19980</v>
      </c>
      <c r="C56" s="55" t="s">
        <v>1091</v>
      </c>
      <c r="D56" s="28" t="s">
        <v>24</v>
      </c>
      <c r="E56" s="29" t="s">
        <v>71</v>
      </c>
      <c r="F56" s="28" t="s">
        <v>963</v>
      </c>
      <c r="G56" s="39">
        <v>105</v>
      </c>
      <c r="H56" s="28">
        <v>1</v>
      </c>
      <c r="I56" s="28" t="s">
        <v>763</v>
      </c>
      <c r="J56" s="28" t="s">
        <v>989</v>
      </c>
      <c r="K56" s="56" t="s">
        <v>24</v>
      </c>
      <c r="L56" s="28" t="s">
        <v>907</v>
      </c>
      <c r="M56" s="28" t="s">
        <v>323</v>
      </c>
      <c r="N56" s="28" t="s">
        <v>335</v>
      </c>
      <c r="O56" s="29" t="s">
        <v>2</v>
      </c>
      <c r="P56" s="28">
        <v>10</v>
      </c>
      <c r="Q56" s="28" t="s">
        <v>1092</v>
      </c>
      <c r="R56" s="28" t="s">
        <v>991</v>
      </c>
      <c r="S56" s="34" t="str">
        <f>IFERROR(HYPERLINK("#Main!A"&amp;MATCH(A56,Main!A:A,0),"Open"),HYPERLINK("#Main!A1","Open"))</f>
        <v>Open</v>
      </c>
      <c r="T56" s="34" t="str">
        <f>IFERROR(HYPERLINK("#Technical!A"&amp;MATCH(A56,Technical!A:A,0),"Open"),HYPERLINK("#Technical!A1","Open"))</f>
        <v>Open</v>
      </c>
      <c r="U56" s="34"/>
    </row>
    <row r="57" spans="1:21" ht="30" customHeight="1" x14ac:dyDescent="0.25">
      <c r="A57" s="30" t="s">
        <v>594</v>
      </c>
      <c r="B57" s="37">
        <v>10823</v>
      </c>
      <c r="C57" s="55" t="s">
        <v>1093</v>
      </c>
      <c r="D57" s="37" t="s">
        <v>24</v>
      </c>
      <c r="E57" s="29" t="s">
        <v>71</v>
      </c>
      <c r="F57" s="37" t="s">
        <v>963</v>
      </c>
      <c r="G57" s="42">
        <v>105</v>
      </c>
      <c r="H57" s="37">
        <v>1</v>
      </c>
      <c r="I57" s="37" t="s">
        <v>763</v>
      </c>
      <c r="J57" s="37" t="s">
        <v>989</v>
      </c>
      <c r="K57" s="57" t="s">
        <v>24</v>
      </c>
      <c r="L57" s="37" t="s">
        <v>907</v>
      </c>
      <c r="M57" s="37" t="s">
        <v>323</v>
      </c>
      <c r="N57" s="37" t="s">
        <v>335</v>
      </c>
      <c r="O57" s="29" t="s">
        <v>2</v>
      </c>
      <c r="P57" s="37">
        <v>10</v>
      </c>
      <c r="Q57" s="37" t="s">
        <v>1094</v>
      </c>
      <c r="R57" s="37" t="s">
        <v>991</v>
      </c>
      <c r="S57" t="str">
        <f>IFERROR(HYPERLINK("#Main!A"&amp;MATCH(A57,Main!A:A,0),"Open"),HYPERLINK("#Main!A1","Open"))</f>
        <v>Open</v>
      </c>
      <c r="T57" t="str">
        <f>IFERROR(HYPERLINK("#Technical!A"&amp;MATCH(A57,Technical!A:A,0),"Open"),HYPERLINK("#Technical!A1","Open"))</f>
        <v>Open</v>
      </c>
    </row>
    <row r="58" spans="1:21" ht="30" customHeight="1" x14ac:dyDescent="0.25">
      <c r="A58" s="33" t="s">
        <v>597</v>
      </c>
      <c r="B58" s="28">
        <v>17908</v>
      </c>
      <c r="C58" s="55" t="s">
        <v>975</v>
      </c>
      <c r="D58" s="28" t="s">
        <v>24</v>
      </c>
      <c r="E58" s="29" t="s">
        <v>71</v>
      </c>
      <c r="F58" s="28" t="s">
        <v>963</v>
      </c>
      <c r="G58" s="39">
        <v>105</v>
      </c>
      <c r="H58" s="28">
        <v>1</v>
      </c>
      <c r="I58" s="28" t="s">
        <v>763</v>
      </c>
      <c r="J58" s="28" t="s">
        <v>989</v>
      </c>
      <c r="K58" s="56" t="s">
        <v>24</v>
      </c>
      <c r="L58" s="28" t="s">
        <v>907</v>
      </c>
      <c r="M58" s="28" t="s">
        <v>323</v>
      </c>
      <c r="N58" s="28" t="s">
        <v>335</v>
      </c>
      <c r="O58" s="29" t="s">
        <v>2</v>
      </c>
      <c r="P58" s="28">
        <v>10</v>
      </c>
      <c r="Q58" s="28" t="s">
        <v>1095</v>
      </c>
      <c r="R58" s="28" t="s">
        <v>991</v>
      </c>
      <c r="S58" s="34" t="str">
        <f>IFERROR(HYPERLINK("#Main!A"&amp;MATCH(A58,Main!A:A,0),"Open"),HYPERLINK("#Main!A1","Open"))</f>
        <v>Open</v>
      </c>
      <c r="T58" s="34" t="str">
        <f>IFERROR(HYPERLINK("#Technical!A"&amp;MATCH(A58,Technical!A:A,0),"Open"),HYPERLINK("#Technical!A1","Open"))</f>
        <v>Open</v>
      </c>
      <c r="U58" s="34"/>
    </row>
    <row r="59" spans="1:21" ht="30" customHeight="1" x14ac:dyDescent="0.25">
      <c r="A59" s="30" t="s">
        <v>601</v>
      </c>
      <c r="B59" s="37">
        <v>24640</v>
      </c>
      <c r="C59" s="55" t="s">
        <v>1096</v>
      </c>
      <c r="D59" s="37" t="s">
        <v>24</v>
      </c>
      <c r="E59" s="29" t="s">
        <v>71</v>
      </c>
      <c r="F59" s="37" t="s">
        <v>963</v>
      </c>
      <c r="G59" s="42">
        <v>105</v>
      </c>
      <c r="H59" s="37">
        <v>1</v>
      </c>
      <c r="I59" s="37" t="s">
        <v>763</v>
      </c>
      <c r="J59" s="37" t="s">
        <v>989</v>
      </c>
      <c r="K59" s="57" t="s">
        <v>24</v>
      </c>
      <c r="L59" s="37" t="s">
        <v>907</v>
      </c>
      <c r="M59" s="37" t="s">
        <v>323</v>
      </c>
      <c r="N59" s="37" t="s">
        <v>335</v>
      </c>
      <c r="O59" s="29" t="s">
        <v>2</v>
      </c>
      <c r="P59" s="37">
        <v>10</v>
      </c>
      <c r="Q59" s="37" t="s">
        <v>1097</v>
      </c>
      <c r="R59" s="37" t="s">
        <v>991</v>
      </c>
      <c r="S59" t="str">
        <f>IFERROR(HYPERLINK("#Main!A"&amp;MATCH(A59,Main!A:A,0),"Open"),HYPERLINK("#Main!A1","Open"))</f>
        <v>Open</v>
      </c>
      <c r="T59" t="str">
        <f>IFERROR(HYPERLINK("#Technical!A"&amp;MATCH(A59,Technical!A:A,0),"Open"),HYPERLINK("#Technical!A1","Open"))</f>
        <v>Open</v>
      </c>
    </row>
    <row r="60" spans="1:21" ht="30" customHeight="1" x14ac:dyDescent="0.25">
      <c r="A60" s="33" t="s">
        <v>604</v>
      </c>
      <c r="B60" s="28">
        <v>16472</v>
      </c>
      <c r="C60" s="55" t="s">
        <v>1098</v>
      </c>
      <c r="D60" s="28" t="s">
        <v>24</v>
      </c>
      <c r="E60" s="29" t="s">
        <v>71</v>
      </c>
      <c r="F60" s="28" t="s">
        <v>963</v>
      </c>
      <c r="G60" s="39">
        <v>105</v>
      </c>
      <c r="H60" s="28">
        <v>1</v>
      </c>
      <c r="I60" s="28" t="s">
        <v>763</v>
      </c>
      <c r="J60" s="28" t="s">
        <v>989</v>
      </c>
      <c r="K60" s="56" t="s">
        <v>24</v>
      </c>
      <c r="L60" s="28" t="s">
        <v>907</v>
      </c>
      <c r="M60" s="28" t="s">
        <v>323</v>
      </c>
      <c r="N60" s="28" t="s">
        <v>335</v>
      </c>
      <c r="O60" s="29" t="s">
        <v>2</v>
      </c>
      <c r="P60" s="28">
        <v>10</v>
      </c>
      <c r="Q60" s="28" t="s">
        <v>1099</v>
      </c>
      <c r="R60" s="28" t="s">
        <v>991</v>
      </c>
      <c r="S60" s="34" t="str">
        <f>IFERROR(HYPERLINK("#Main!A"&amp;MATCH(A60,Main!A:A,0),"Open"),HYPERLINK("#Main!A1","Open"))</f>
        <v>Open</v>
      </c>
      <c r="T60" s="34" t="str">
        <f>IFERROR(HYPERLINK("#Technical!A"&amp;MATCH(A60,Technical!A:A,0),"Open"),HYPERLINK("#Technical!A1","Open"))</f>
        <v>Open</v>
      </c>
      <c r="U60" s="34"/>
    </row>
    <row r="61" spans="1:21" ht="30" customHeight="1" x14ac:dyDescent="0.25">
      <c r="A61" s="30" t="s">
        <v>608</v>
      </c>
      <c r="B61" s="37">
        <v>92</v>
      </c>
      <c r="C61" s="55" t="s">
        <v>1100</v>
      </c>
      <c r="D61" s="37" t="s">
        <v>24</v>
      </c>
      <c r="E61" s="29" t="s">
        <v>71</v>
      </c>
      <c r="F61" s="37" t="s">
        <v>963</v>
      </c>
      <c r="G61" s="42">
        <v>105</v>
      </c>
      <c r="H61" s="37">
        <v>1</v>
      </c>
      <c r="I61" s="37" t="s">
        <v>763</v>
      </c>
      <c r="J61" s="37" t="s">
        <v>989</v>
      </c>
      <c r="K61" s="57" t="s">
        <v>24</v>
      </c>
      <c r="L61" s="37" t="s">
        <v>907</v>
      </c>
      <c r="M61" s="37" t="s">
        <v>323</v>
      </c>
      <c r="N61" s="37" t="s">
        <v>335</v>
      </c>
      <c r="O61" s="29" t="s">
        <v>2</v>
      </c>
      <c r="P61" s="37">
        <v>10</v>
      </c>
      <c r="Q61" s="37" t="s">
        <v>1101</v>
      </c>
      <c r="R61" s="37" t="s">
        <v>991</v>
      </c>
      <c r="S61" t="str">
        <f>IFERROR(HYPERLINK("#Main!A"&amp;MATCH(A61,Main!A:A,0),"Open"),HYPERLINK("#Main!A1","Open"))</f>
        <v>Open</v>
      </c>
      <c r="T61" t="str">
        <f>IFERROR(HYPERLINK("#Technical!A"&amp;MATCH(A61,Technical!A:A,0),"Open"),HYPERLINK("#Technical!A1","Open"))</f>
        <v>Open</v>
      </c>
    </row>
    <row r="62" spans="1:21" ht="30" customHeight="1" x14ac:dyDescent="0.25">
      <c r="A62" s="33" t="s">
        <v>611</v>
      </c>
      <c r="B62" s="28">
        <v>18478</v>
      </c>
      <c r="C62" s="55" t="s">
        <v>1102</v>
      </c>
      <c r="D62" s="28" t="s">
        <v>24</v>
      </c>
      <c r="E62" s="29" t="s">
        <v>71</v>
      </c>
      <c r="F62" s="28" t="s">
        <v>963</v>
      </c>
      <c r="G62" s="39">
        <v>105</v>
      </c>
      <c r="H62" s="28">
        <v>1</v>
      </c>
      <c r="I62" s="28" t="s">
        <v>763</v>
      </c>
      <c r="J62" s="28" t="s">
        <v>989</v>
      </c>
      <c r="K62" s="56" t="s">
        <v>24</v>
      </c>
      <c r="L62" s="28" t="s">
        <v>907</v>
      </c>
      <c r="M62" s="28" t="s">
        <v>323</v>
      </c>
      <c r="N62" s="28" t="s">
        <v>335</v>
      </c>
      <c r="O62" s="29" t="s">
        <v>2</v>
      </c>
      <c r="P62" s="28">
        <v>10</v>
      </c>
      <c r="Q62" s="28" t="s">
        <v>1103</v>
      </c>
      <c r="R62" s="28" t="s">
        <v>991</v>
      </c>
      <c r="S62" s="34" t="str">
        <f>IFERROR(HYPERLINK("#Main!A"&amp;MATCH(A62,Main!A:A,0),"Open"),HYPERLINK("#Main!A1","Open"))</f>
        <v>Open</v>
      </c>
      <c r="T62" s="34" t="str">
        <f>IFERROR(HYPERLINK("#Technical!A"&amp;MATCH(A62,Technical!A:A,0),"Open"),HYPERLINK("#Technical!A1","Open"))</f>
        <v>Open</v>
      </c>
      <c r="U62" s="34"/>
    </row>
    <row r="63" spans="1:21" ht="30" customHeight="1" x14ac:dyDescent="0.25">
      <c r="A63" s="30" t="s">
        <v>615</v>
      </c>
      <c r="B63" s="37">
        <v>19172</v>
      </c>
      <c r="C63" s="55" t="s">
        <v>1104</v>
      </c>
      <c r="D63" s="37" t="s">
        <v>24</v>
      </c>
      <c r="E63" s="29" t="s">
        <v>71</v>
      </c>
      <c r="F63" s="37" t="s">
        <v>963</v>
      </c>
      <c r="G63" s="42">
        <v>105</v>
      </c>
      <c r="H63" s="37">
        <v>1</v>
      </c>
      <c r="I63" s="37" t="s">
        <v>763</v>
      </c>
      <c r="J63" s="37" t="s">
        <v>989</v>
      </c>
      <c r="K63" s="57" t="s">
        <v>24</v>
      </c>
      <c r="L63" s="37" t="s">
        <v>907</v>
      </c>
      <c r="M63" s="37" t="s">
        <v>323</v>
      </c>
      <c r="N63" s="37" t="s">
        <v>335</v>
      </c>
      <c r="O63" s="29" t="s">
        <v>2</v>
      </c>
      <c r="P63" s="37">
        <v>10</v>
      </c>
      <c r="Q63" s="37" t="s">
        <v>1105</v>
      </c>
      <c r="R63" s="37" t="s">
        <v>991</v>
      </c>
      <c r="S63" t="str">
        <f>IFERROR(HYPERLINK("#Main!A"&amp;MATCH(A63,Main!A:A,0),"Open"),HYPERLINK("#Main!A1","Open"))</f>
        <v>Open</v>
      </c>
      <c r="T63" t="str">
        <f>IFERROR(HYPERLINK("#Technical!A"&amp;MATCH(A63,Technical!A:A,0),"Open"),HYPERLINK("#Technical!A1","Open"))</f>
        <v>Open</v>
      </c>
    </row>
    <row r="64" spans="1:21" ht="30" customHeight="1" x14ac:dyDescent="0.25">
      <c r="A64" s="33" t="s">
        <v>618</v>
      </c>
      <c r="B64" s="28">
        <v>88</v>
      </c>
      <c r="C64" s="55" t="s">
        <v>1106</v>
      </c>
      <c r="D64" s="28" t="s">
        <v>24</v>
      </c>
      <c r="E64" s="29" t="s">
        <v>71</v>
      </c>
      <c r="F64" s="28" t="s">
        <v>963</v>
      </c>
      <c r="G64" s="39">
        <v>105</v>
      </c>
      <c r="H64" s="28">
        <v>1</v>
      </c>
      <c r="I64" s="28" t="s">
        <v>763</v>
      </c>
      <c r="J64" s="28" t="s">
        <v>989</v>
      </c>
      <c r="K64" s="56" t="s">
        <v>24</v>
      </c>
      <c r="L64" s="28" t="s">
        <v>907</v>
      </c>
      <c r="M64" s="28" t="s">
        <v>323</v>
      </c>
      <c r="N64" s="28" t="s">
        <v>335</v>
      </c>
      <c r="O64" s="29" t="s">
        <v>2</v>
      </c>
      <c r="P64" s="28">
        <v>10</v>
      </c>
      <c r="Q64" s="28" t="s">
        <v>1107</v>
      </c>
      <c r="R64" s="28" t="s">
        <v>991</v>
      </c>
      <c r="S64" s="34" t="str">
        <f>IFERROR(HYPERLINK("#Main!A"&amp;MATCH(A64,Main!A:A,0),"Open"),HYPERLINK("#Main!A1","Open"))</f>
        <v>Open</v>
      </c>
      <c r="T64" s="34" t="str">
        <f>IFERROR(HYPERLINK("#Technical!A"&amp;MATCH(A64,Technical!A:A,0),"Open"),HYPERLINK("#Technical!A1","Open"))</f>
        <v>Open</v>
      </c>
      <c r="U64" s="34"/>
    </row>
    <row r="65" spans="1:21" ht="30" customHeight="1" x14ac:dyDescent="0.25">
      <c r="A65" s="30" t="s">
        <v>621</v>
      </c>
      <c r="B65" s="37">
        <v>16548</v>
      </c>
      <c r="C65" s="55" t="s">
        <v>1108</v>
      </c>
      <c r="D65" s="37" t="s">
        <v>24</v>
      </c>
      <c r="E65" s="29" t="s">
        <v>71</v>
      </c>
      <c r="F65" s="37" t="s">
        <v>963</v>
      </c>
      <c r="G65" s="42">
        <v>105</v>
      </c>
      <c r="H65" s="37">
        <v>2</v>
      </c>
      <c r="I65" s="37" t="s">
        <v>763</v>
      </c>
      <c r="J65" s="37" t="s">
        <v>989</v>
      </c>
      <c r="K65" s="57" t="s">
        <v>24</v>
      </c>
      <c r="L65" s="37" t="s">
        <v>907</v>
      </c>
      <c r="M65" s="37" t="s">
        <v>323</v>
      </c>
      <c r="N65" s="37" t="s">
        <v>335</v>
      </c>
      <c r="O65" s="29" t="s">
        <v>2</v>
      </c>
      <c r="P65" s="37">
        <v>10</v>
      </c>
      <c r="Q65" s="37" t="s">
        <v>1109</v>
      </c>
      <c r="R65" s="37" t="s">
        <v>991</v>
      </c>
      <c r="S65" t="str">
        <f>IFERROR(HYPERLINK("#Main!A"&amp;MATCH(A65,Main!A:A,0),"Open"),HYPERLINK("#Main!A1","Open"))</f>
        <v>Open</v>
      </c>
      <c r="T65" t="str">
        <f>IFERROR(HYPERLINK("#Technical!A"&amp;MATCH(A65,Technical!A:A,0),"Open"),HYPERLINK("#Technical!A1","Open"))</f>
        <v>Open</v>
      </c>
    </row>
    <row r="66" spans="1:21" ht="30" customHeight="1" x14ac:dyDescent="0.25">
      <c r="A66" s="33" t="s">
        <v>624</v>
      </c>
      <c r="B66" s="28">
        <v>20341</v>
      </c>
      <c r="C66" s="55" t="s">
        <v>1110</v>
      </c>
      <c r="D66" s="28" t="s">
        <v>24</v>
      </c>
      <c r="E66" s="29" t="s">
        <v>71</v>
      </c>
      <c r="F66" s="28" t="s">
        <v>963</v>
      </c>
      <c r="G66" s="39">
        <v>105</v>
      </c>
      <c r="H66" s="28">
        <v>1</v>
      </c>
      <c r="I66" s="28" t="s">
        <v>763</v>
      </c>
      <c r="J66" s="28" t="s">
        <v>989</v>
      </c>
      <c r="K66" s="56" t="s">
        <v>24</v>
      </c>
      <c r="L66" s="28" t="s">
        <v>907</v>
      </c>
      <c r="M66" s="28" t="s">
        <v>323</v>
      </c>
      <c r="N66" s="28" t="s">
        <v>335</v>
      </c>
      <c r="O66" s="29" t="s">
        <v>2</v>
      </c>
      <c r="P66" s="28">
        <v>10</v>
      </c>
      <c r="Q66" s="28" t="s">
        <v>1111</v>
      </c>
      <c r="R66" s="28" t="s">
        <v>991</v>
      </c>
      <c r="S66" s="34" t="str">
        <f>IFERROR(HYPERLINK("#Main!A"&amp;MATCH(A66,Main!A:A,0),"Open"),HYPERLINK("#Main!A1","Open"))</f>
        <v>Open</v>
      </c>
      <c r="T66" s="34" t="str">
        <f>IFERROR(HYPERLINK("#Technical!A"&amp;MATCH(A66,Technical!A:A,0),"Open"),HYPERLINK("#Technical!A1","Open"))</f>
        <v>Open</v>
      </c>
      <c r="U66" s="34"/>
    </row>
    <row r="67" spans="1:21" ht="30" customHeight="1" x14ac:dyDescent="0.25">
      <c r="A67" s="30" t="s">
        <v>626</v>
      </c>
      <c r="B67" s="37">
        <v>31820</v>
      </c>
      <c r="C67" s="55" t="s">
        <v>1112</v>
      </c>
      <c r="D67" s="37" t="s">
        <v>24</v>
      </c>
      <c r="E67" s="29" t="s">
        <v>71</v>
      </c>
      <c r="F67" s="37" t="s">
        <v>963</v>
      </c>
      <c r="G67" s="42">
        <v>105</v>
      </c>
      <c r="H67" s="37">
        <v>1</v>
      </c>
      <c r="I67" s="37" t="s">
        <v>763</v>
      </c>
      <c r="J67" s="37" t="s">
        <v>989</v>
      </c>
      <c r="K67" s="57" t="s">
        <v>24</v>
      </c>
      <c r="L67" s="37" t="s">
        <v>907</v>
      </c>
      <c r="M67" s="37" t="s">
        <v>323</v>
      </c>
      <c r="N67" s="37" t="s">
        <v>335</v>
      </c>
      <c r="O67" s="29" t="s">
        <v>2</v>
      </c>
      <c r="P67" s="37">
        <v>10</v>
      </c>
      <c r="Q67" s="37" t="s">
        <v>1113</v>
      </c>
      <c r="R67" s="37" t="s">
        <v>991</v>
      </c>
      <c r="S67" t="str">
        <f>IFERROR(HYPERLINK("#Main!A"&amp;MATCH(A67,Main!A:A,0),"Open"),HYPERLINK("#Main!A1","Open"))</f>
        <v>Open</v>
      </c>
      <c r="T67" t="str">
        <f>IFERROR(HYPERLINK("#Technical!A"&amp;MATCH(A67,Technical!A:A,0),"Open"),HYPERLINK("#Technical!A1","Open"))</f>
        <v>Open</v>
      </c>
    </row>
    <row r="68" spans="1:21" ht="30" customHeight="1" x14ac:dyDescent="0.25">
      <c r="A68" s="33" t="s">
        <v>629</v>
      </c>
      <c r="B68" s="28">
        <v>5597</v>
      </c>
      <c r="C68" s="55" t="s">
        <v>1114</v>
      </c>
      <c r="D68" s="28" t="s">
        <v>24</v>
      </c>
      <c r="E68" s="29" t="s">
        <v>71</v>
      </c>
      <c r="F68" s="28" t="s">
        <v>963</v>
      </c>
      <c r="G68" s="39">
        <v>105</v>
      </c>
      <c r="H68" s="28">
        <v>1</v>
      </c>
      <c r="I68" s="28" t="s">
        <v>763</v>
      </c>
      <c r="J68" s="28" t="s">
        <v>989</v>
      </c>
      <c r="K68" s="56" t="s">
        <v>24</v>
      </c>
      <c r="L68" s="28" t="s">
        <v>907</v>
      </c>
      <c r="M68" s="28" t="s">
        <v>323</v>
      </c>
      <c r="N68" s="28" t="s">
        <v>335</v>
      </c>
      <c r="O68" s="29" t="s">
        <v>2</v>
      </c>
      <c r="P68" s="28">
        <v>10</v>
      </c>
      <c r="Q68" s="28" t="s">
        <v>1115</v>
      </c>
      <c r="R68" s="28" t="s">
        <v>991</v>
      </c>
      <c r="S68" s="34" t="str">
        <f>IFERROR(HYPERLINK("#Main!A"&amp;MATCH(A68,Main!A:A,0),"Open"),HYPERLINK("#Main!A1","Open"))</f>
        <v>Open</v>
      </c>
      <c r="T68" s="34" t="str">
        <f>IFERROR(HYPERLINK("#Technical!A"&amp;MATCH(A68,Technical!A:A,0),"Open"),HYPERLINK("#Technical!A1","Open"))</f>
        <v>Open</v>
      </c>
      <c r="U68" s="34"/>
    </row>
    <row r="69" spans="1:21" ht="30" customHeight="1" x14ac:dyDescent="0.25">
      <c r="A69" s="30" t="s">
        <v>632</v>
      </c>
      <c r="B69" s="37">
        <v>33050</v>
      </c>
      <c r="C69" s="55" t="s">
        <v>1116</v>
      </c>
      <c r="D69" s="37" t="s">
        <v>24</v>
      </c>
      <c r="E69" s="29" t="s">
        <v>71</v>
      </c>
      <c r="F69" s="37" t="s">
        <v>963</v>
      </c>
      <c r="G69" s="42">
        <v>105</v>
      </c>
      <c r="H69" s="37">
        <v>1</v>
      </c>
      <c r="I69" s="37" t="s">
        <v>763</v>
      </c>
      <c r="J69" s="37" t="s">
        <v>989</v>
      </c>
      <c r="K69" s="57" t="s">
        <v>24</v>
      </c>
      <c r="L69" s="37" t="s">
        <v>907</v>
      </c>
      <c r="M69" s="37" t="s">
        <v>323</v>
      </c>
      <c r="N69" s="37" t="s">
        <v>335</v>
      </c>
      <c r="O69" s="29" t="s">
        <v>2</v>
      </c>
      <c r="P69" s="37">
        <v>10</v>
      </c>
      <c r="Q69" s="37" t="s">
        <v>1117</v>
      </c>
      <c r="R69" s="37" t="s">
        <v>991</v>
      </c>
      <c r="S69" t="str">
        <f>IFERROR(HYPERLINK("#Main!A"&amp;MATCH(A69,Main!A:A,0),"Open"),HYPERLINK("#Main!A1","Open"))</f>
        <v>Open</v>
      </c>
      <c r="T69" t="str">
        <f>IFERROR(HYPERLINK("#Technical!A"&amp;MATCH(A69,Technical!A:A,0),"Open"),HYPERLINK("#Technical!A1","Open"))</f>
        <v>Open</v>
      </c>
    </row>
    <row r="70" spans="1:21" ht="30" customHeight="1" x14ac:dyDescent="0.25">
      <c r="A70" s="33" t="s">
        <v>635</v>
      </c>
      <c r="B70" s="28">
        <v>86</v>
      </c>
      <c r="C70" s="55" t="s">
        <v>1118</v>
      </c>
      <c r="D70" s="28" t="s">
        <v>24</v>
      </c>
      <c r="E70" s="29" t="s">
        <v>71</v>
      </c>
      <c r="F70" s="28" t="s">
        <v>963</v>
      </c>
      <c r="G70" s="39">
        <v>105</v>
      </c>
      <c r="H70" s="28">
        <v>1</v>
      </c>
      <c r="I70" s="28" t="s">
        <v>763</v>
      </c>
      <c r="J70" s="28" t="s">
        <v>989</v>
      </c>
      <c r="K70" s="56" t="s">
        <v>24</v>
      </c>
      <c r="L70" s="28" t="s">
        <v>907</v>
      </c>
      <c r="M70" s="28" t="s">
        <v>323</v>
      </c>
      <c r="N70" s="28" t="s">
        <v>335</v>
      </c>
      <c r="O70" s="29" t="s">
        <v>2</v>
      </c>
      <c r="P70" s="28">
        <v>10</v>
      </c>
      <c r="Q70" s="28" t="s">
        <v>1119</v>
      </c>
      <c r="R70" s="28" t="s">
        <v>991</v>
      </c>
      <c r="S70" s="34" t="str">
        <f>IFERROR(HYPERLINK("#Main!A"&amp;MATCH(A70,Main!A:A,0),"Open"),HYPERLINK("#Main!A1","Open"))</f>
        <v>Open</v>
      </c>
      <c r="T70" s="34" t="str">
        <f>IFERROR(HYPERLINK("#Technical!A"&amp;MATCH(A70,Technical!A:A,0),"Open"),HYPERLINK("#Technical!A1","Open"))</f>
        <v>Open</v>
      </c>
      <c r="U70" s="34"/>
    </row>
    <row r="71" spans="1:21" ht="30" customHeight="1" x14ac:dyDescent="0.25">
      <c r="A71" s="30" t="s">
        <v>638</v>
      </c>
      <c r="B71" s="37">
        <v>2196</v>
      </c>
      <c r="C71" s="55" t="s">
        <v>1120</v>
      </c>
      <c r="D71" s="37" t="s">
        <v>24</v>
      </c>
      <c r="E71" s="29" t="s">
        <v>71</v>
      </c>
      <c r="F71" s="37" t="s">
        <v>963</v>
      </c>
      <c r="G71" s="42">
        <v>105</v>
      </c>
      <c r="H71" s="37">
        <v>1</v>
      </c>
      <c r="I71" s="37" t="s">
        <v>763</v>
      </c>
      <c r="J71" s="37" t="s">
        <v>989</v>
      </c>
      <c r="K71" s="57" t="s">
        <v>24</v>
      </c>
      <c r="L71" s="37" t="s">
        <v>907</v>
      </c>
      <c r="M71" s="37" t="s">
        <v>323</v>
      </c>
      <c r="N71" s="37" t="s">
        <v>335</v>
      </c>
      <c r="O71" s="29" t="s">
        <v>2</v>
      </c>
      <c r="P71" s="37">
        <v>10</v>
      </c>
      <c r="Q71" s="37" t="s">
        <v>1121</v>
      </c>
      <c r="R71" s="37" t="s">
        <v>991</v>
      </c>
      <c r="S71" t="str">
        <f>IFERROR(HYPERLINK("#Main!A"&amp;MATCH(A71,Main!A:A,0),"Open"),HYPERLINK("#Main!A1","Open"))</f>
        <v>Open</v>
      </c>
      <c r="T71" t="str">
        <f>IFERROR(HYPERLINK("#Technical!A"&amp;MATCH(A71,Technical!A:A,0),"Open"),HYPERLINK("#Technical!A1","Open"))</f>
        <v>Open</v>
      </c>
    </row>
    <row r="72" spans="1:21" ht="30" customHeight="1" x14ac:dyDescent="0.25">
      <c r="A72" s="33" t="s">
        <v>641</v>
      </c>
      <c r="B72" s="28">
        <v>3</v>
      </c>
      <c r="C72" s="55" t="s">
        <v>1122</v>
      </c>
      <c r="D72" s="28" t="s">
        <v>24</v>
      </c>
      <c r="E72" s="29" t="s">
        <v>71</v>
      </c>
      <c r="F72" s="28" t="s">
        <v>963</v>
      </c>
      <c r="G72" s="39">
        <v>105</v>
      </c>
      <c r="H72" s="28">
        <v>1</v>
      </c>
      <c r="I72" s="28" t="s">
        <v>763</v>
      </c>
      <c r="J72" s="28" t="s">
        <v>989</v>
      </c>
      <c r="K72" s="56" t="s">
        <v>24</v>
      </c>
      <c r="L72" s="28" t="s">
        <v>907</v>
      </c>
      <c r="M72" s="28" t="s">
        <v>323</v>
      </c>
      <c r="N72" s="28" t="s">
        <v>335</v>
      </c>
      <c r="O72" s="29" t="s">
        <v>2</v>
      </c>
      <c r="P72" s="28">
        <v>10</v>
      </c>
      <c r="Q72" s="28" t="s">
        <v>1123</v>
      </c>
      <c r="R72" s="28" t="s">
        <v>991</v>
      </c>
      <c r="S72" s="34" t="str">
        <f>IFERROR(HYPERLINK("#Main!A"&amp;MATCH(A72,Main!A:A,0),"Open"),HYPERLINK("#Main!A1","Open"))</f>
        <v>Open</v>
      </c>
      <c r="T72" s="34" t="str">
        <f>IFERROR(HYPERLINK("#Technical!A"&amp;MATCH(A72,Technical!A:A,0),"Open"),HYPERLINK("#Technical!A1","Open"))</f>
        <v>Open</v>
      </c>
      <c r="U72" s="34"/>
    </row>
    <row r="73" spans="1:21" ht="30" customHeight="1" x14ac:dyDescent="0.25">
      <c r="A73" s="30" t="s">
        <v>644</v>
      </c>
      <c r="B73" s="37">
        <v>9047</v>
      </c>
      <c r="C73" s="55" t="s">
        <v>1124</v>
      </c>
      <c r="D73" s="37" t="s">
        <v>24</v>
      </c>
      <c r="E73" s="29" t="s">
        <v>71</v>
      </c>
      <c r="F73" s="37" t="s">
        <v>963</v>
      </c>
      <c r="G73" s="42">
        <v>105</v>
      </c>
      <c r="H73" s="37">
        <v>1</v>
      </c>
      <c r="I73" s="37" t="s">
        <v>763</v>
      </c>
      <c r="J73" s="37" t="s">
        <v>989</v>
      </c>
      <c r="K73" s="57" t="s">
        <v>24</v>
      </c>
      <c r="L73" s="37" t="s">
        <v>907</v>
      </c>
      <c r="M73" s="37" t="s">
        <v>323</v>
      </c>
      <c r="N73" s="37" t="s">
        <v>335</v>
      </c>
      <c r="O73" s="29" t="s">
        <v>2</v>
      </c>
      <c r="P73" s="37">
        <v>10</v>
      </c>
      <c r="Q73" s="37" t="s">
        <v>1125</v>
      </c>
      <c r="R73" s="37" t="s">
        <v>991</v>
      </c>
      <c r="S73" t="str">
        <f>IFERROR(HYPERLINK("#Main!A"&amp;MATCH(A73,Main!A:A,0),"Open"),HYPERLINK("#Main!A1","Open"))</f>
        <v>Open</v>
      </c>
      <c r="T73" t="str">
        <f>IFERROR(HYPERLINK("#Technical!A"&amp;MATCH(A73,Technical!A:A,0),"Open"),HYPERLINK("#Technical!A1","Open"))</f>
        <v>Open</v>
      </c>
    </row>
    <row r="74" spans="1:21" ht="30" customHeight="1" x14ac:dyDescent="0.25">
      <c r="A74" s="33" t="s">
        <v>647</v>
      </c>
      <c r="B74" s="28">
        <v>3686</v>
      </c>
      <c r="C74" s="55" t="s">
        <v>1126</v>
      </c>
      <c r="D74" s="28" t="s">
        <v>24</v>
      </c>
      <c r="E74" s="29" t="s">
        <v>71</v>
      </c>
      <c r="F74" s="28" t="s">
        <v>963</v>
      </c>
      <c r="G74" s="39">
        <v>105</v>
      </c>
      <c r="H74" s="28">
        <v>1</v>
      </c>
      <c r="I74" s="28" t="s">
        <v>763</v>
      </c>
      <c r="J74" s="28" t="s">
        <v>989</v>
      </c>
      <c r="K74" s="56" t="s">
        <v>24</v>
      </c>
      <c r="L74" s="28" t="s">
        <v>907</v>
      </c>
      <c r="M74" s="28" t="s">
        <v>323</v>
      </c>
      <c r="N74" s="28" t="s">
        <v>335</v>
      </c>
      <c r="O74" s="29" t="s">
        <v>2</v>
      </c>
      <c r="P74" s="28">
        <v>10</v>
      </c>
      <c r="Q74" s="28" t="s">
        <v>1127</v>
      </c>
      <c r="R74" s="28" t="s">
        <v>991</v>
      </c>
      <c r="S74" s="34" t="str">
        <f>IFERROR(HYPERLINK("#Main!A"&amp;MATCH(A74,Main!A:A,0),"Open"),HYPERLINK("#Main!A1","Open"))</f>
        <v>Open</v>
      </c>
      <c r="T74" s="34" t="str">
        <f>IFERROR(HYPERLINK("#Technical!A"&amp;MATCH(A74,Technical!A:A,0),"Open"),HYPERLINK("#Technical!A1","Open"))</f>
        <v>Open</v>
      </c>
      <c r="U74" s="34"/>
    </row>
    <row r="75" spans="1:21" ht="30" customHeight="1" x14ac:dyDescent="0.25">
      <c r="A75" s="30" t="s">
        <v>650</v>
      </c>
      <c r="B75" s="37">
        <v>3252</v>
      </c>
      <c r="C75" s="55" t="s">
        <v>1128</v>
      </c>
      <c r="D75" s="37" t="s">
        <v>24</v>
      </c>
      <c r="E75" s="29" t="s">
        <v>71</v>
      </c>
      <c r="F75" s="37" t="s">
        <v>963</v>
      </c>
      <c r="G75" s="42">
        <v>105</v>
      </c>
      <c r="H75" s="37">
        <v>2</v>
      </c>
      <c r="I75" s="37" t="s">
        <v>763</v>
      </c>
      <c r="J75" s="37" t="s">
        <v>989</v>
      </c>
      <c r="K75" s="57" t="s">
        <v>24</v>
      </c>
      <c r="L75" s="37" t="s">
        <v>907</v>
      </c>
      <c r="M75" s="37" t="s">
        <v>323</v>
      </c>
      <c r="N75" s="37" t="s">
        <v>335</v>
      </c>
      <c r="O75" s="29" t="s">
        <v>2</v>
      </c>
      <c r="P75" s="37">
        <v>10</v>
      </c>
      <c r="Q75" s="37" t="s">
        <v>1129</v>
      </c>
      <c r="R75" s="37" t="s">
        <v>991</v>
      </c>
      <c r="S75" t="str">
        <f>IFERROR(HYPERLINK("#Main!A"&amp;MATCH(A75,Main!A:A,0),"Open"),HYPERLINK("#Main!A1","Open"))</f>
        <v>Open</v>
      </c>
      <c r="T75" t="str">
        <f>IFERROR(HYPERLINK("#Technical!A"&amp;MATCH(A75,Technical!A:A,0),"Open"),HYPERLINK("#Technical!A1","Open"))</f>
        <v>Open</v>
      </c>
    </row>
    <row r="76" spans="1:21" ht="30" customHeight="1" x14ac:dyDescent="0.25">
      <c r="A76" s="33" t="s">
        <v>652</v>
      </c>
      <c r="B76" s="28">
        <v>21962</v>
      </c>
      <c r="C76" s="55" t="s">
        <v>1130</v>
      </c>
      <c r="D76" s="28" t="s">
        <v>24</v>
      </c>
      <c r="E76" s="29" t="s">
        <v>71</v>
      </c>
      <c r="F76" s="28" t="s">
        <v>963</v>
      </c>
      <c r="G76" s="39">
        <v>105</v>
      </c>
      <c r="H76" s="28">
        <v>1</v>
      </c>
      <c r="I76" s="28" t="s">
        <v>763</v>
      </c>
      <c r="J76" s="28" t="s">
        <v>989</v>
      </c>
      <c r="K76" s="56" t="s">
        <v>24</v>
      </c>
      <c r="L76" s="28" t="s">
        <v>907</v>
      </c>
      <c r="M76" s="28" t="s">
        <v>323</v>
      </c>
      <c r="N76" s="28" t="s">
        <v>335</v>
      </c>
      <c r="O76" s="29" t="s">
        <v>2</v>
      </c>
      <c r="P76" s="28">
        <v>10</v>
      </c>
      <c r="Q76" s="28" t="s">
        <v>1131</v>
      </c>
      <c r="R76" s="28" t="s">
        <v>991</v>
      </c>
      <c r="S76" s="34" t="str">
        <f>IFERROR(HYPERLINK("#Main!A"&amp;MATCH(A76,Main!A:A,0),"Open"),HYPERLINK("#Main!A1","Open"))</f>
        <v>Open</v>
      </c>
      <c r="T76" s="34" t="str">
        <f>IFERROR(HYPERLINK("#Technical!A"&amp;MATCH(A76,Technical!A:A,0),"Open"),HYPERLINK("#Technical!A1","Open"))</f>
        <v>Open</v>
      </c>
      <c r="U76" s="34"/>
    </row>
    <row r="77" spans="1:21" ht="30" customHeight="1" x14ac:dyDescent="0.25">
      <c r="A77" s="30" t="s">
        <v>655</v>
      </c>
      <c r="B77" s="37">
        <v>3634</v>
      </c>
      <c r="C77" s="55" t="s">
        <v>1132</v>
      </c>
      <c r="D77" s="37" t="s">
        <v>24</v>
      </c>
      <c r="E77" s="29" t="s">
        <v>71</v>
      </c>
      <c r="F77" s="37" t="s">
        <v>963</v>
      </c>
      <c r="G77" s="42">
        <v>105</v>
      </c>
      <c r="H77" s="37">
        <v>1</v>
      </c>
      <c r="I77" s="37" t="s">
        <v>763</v>
      </c>
      <c r="J77" s="37" t="s">
        <v>989</v>
      </c>
      <c r="K77" s="57" t="s">
        <v>24</v>
      </c>
      <c r="L77" s="37" t="s">
        <v>907</v>
      </c>
      <c r="M77" s="37" t="s">
        <v>323</v>
      </c>
      <c r="N77" s="37" t="s">
        <v>335</v>
      </c>
      <c r="O77" s="29" t="s">
        <v>2</v>
      </c>
      <c r="P77" s="37">
        <v>10</v>
      </c>
      <c r="Q77" s="37" t="s">
        <v>1133</v>
      </c>
      <c r="R77" s="37" t="s">
        <v>991</v>
      </c>
      <c r="S77" t="str">
        <f>IFERROR(HYPERLINK("#Main!A"&amp;MATCH(A77,Main!A:A,0),"Open"),HYPERLINK("#Main!A1","Open"))</f>
        <v>Open</v>
      </c>
      <c r="T77" t="str">
        <f>IFERROR(HYPERLINK("#Technical!A"&amp;MATCH(A77,Technical!A:A,0),"Open"),HYPERLINK("#Technical!A1","Open"))</f>
        <v>Open</v>
      </c>
    </row>
    <row r="78" spans="1:21" ht="30" customHeight="1" x14ac:dyDescent="0.25">
      <c r="A78" s="33" t="s">
        <v>658</v>
      </c>
      <c r="B78" s="28">
        <v>7781</v>
      </c>
      <c r="C78" s="55" t="s">
        <v>1134</v>
      </c>
      <c r="D78" s="28" t="s">
        <v>24</v>
      </c>
      <c r="E78" s="29" t="s">
        <v>71</v>
      </c>
      <c r="F78" s="28" t="s">
        <v>963</v>
      </c>
      <c r="G78" s="39">
        <v>105</v>
      </c>
      <c r="H78" s="28">
        <v>1</v>
      </c>
      <c r="I78" s="28" t="s">
        <v>763</v>
      </c>
      <c r="J78" s="28" t="s">
        <v>989</v>
      </c>
      <c r="K78" s="56" t="s">
        <v>24</v>
      </c>
      <c r="L78" s="28" t="s">
        <v>907</v>
      </c>
      <c r="M78" s="28" t="s">
        <v>323</v>
      </c>
      <c r="N78" s="28" t="s">
        <v>335</v>
      </c>
      <c r="O78" s="29" t="s">
        <v>2</v>
      </c>
      <c r="P78" s="28">
        <v>10</v>
      </c>
      <c r="Q78" s="28" t="s">
        <v>1135</v>
      </c>
      <c r="R78" s="28" t="s">
        <v>991</v>
      </c>
      <c r="S78" s="34" t="str">
        <f>IFERROR(HYPERLINK("#Main!A"&amp;MATCH(A78,Main!A:A,0),"Open"),HYPERLINK("#Main!A1","Open"))</f>
        <v>Open</v>
      </c>
      <c r="T78" s="34" t="str">
        <f>IFERROR(HYPERLINK("#Technical!A"&amp;MATCH(A78,Technical!A:A,0),"Open"),HYPERLINK("#Technical!A1","Open"))</f>
        <v>Open</v>
      </c>
      <c r="U78" s="34"/>
    </row>
    <row r="79" spans="1:21" ht="30" customHeight="1" x14ac:dyDescent="0.25">
      <c r="A79" s="30" t="s">
        <v>661</v>
      </c>
      <c r="B79" s="37">
        <v>5490</v>
      </c>
      <c r="C79" s="55" t="s">
        <v>1136</v>
      </c>
      <c r="D79" s="37" t="s">
        <v>24</v>
      </c>
      <c r="E79" s="29" t="s">
        <v>71</v>
      </c>
      <c r="F79" s="37" t="s">
        <v>963</v>
      </c>
      <c r="G79" s="42">
        <v>105</v>
      </c>
      <c r="H79" s="37">
        <v>1</v>
      </c>
      <c r="I79" s="37" t="s">
        <v>763</v>
      </c>
      <c r="J79" s="37" t="s">
        <v>989</v>
      </c>
      <c r="K79" s="57" t="s">
        <v>24</v>
      </c>
      <c r="L79" s="37" t="s">
        <v>907</v>
      </c>
      <c r="M79" s="37" t="s">
        <v>323</v>
      </c>
      <c r="N79" s="37" t="s">
        <v>335</v>
      </c>
      <c r="O79" s="29" t="s">
        <v>2</v>
      </c>
      <c r="P79" s="37">
        <v>10</v>
      </c>
      <c r="Q79" s="37" t="s">
        <v>1137</v>
      </c>
      <c r="R79" s="37" t="s">
        <v>991</v>
      </c>
      <c r="S79" t="str">
        <f>IFERROR(HYPERLINK("#Main!A"&amp;MATCH(A79,Main!A:A,0),"Open"),HYPERLINK("#Main!A1","Open"))</f>
        <v>Open</v>
      </c>
      <c r="T79" t="str">
        <f>IFERROR(HYPERLINK("#Technical!A"&amp;MATCH(A79,Technical!A:A,0),"Open"),HYPERLINK("#Technical!A1","Open"))</f>
        <v>Open</v>
      </c>
    </row>
    <row r="80" spans="1:21" ht="30" customHeight="1" x14ac:dyDescent="0.25">
      <c r="A80" s="33" t="s">
        <v>664</v>
      </c>
      <c r="B80" s="28">
        <v>27352</v>
      </c>
      <c r="C80" s="55" t="s">
        <v>1138</v>
      </c>
      <c r="D80" s="28" t="s">
        <v>24</v>
      </c>
      <c r="E80" s="29" t="s">
        <v>71</v>
      </c>
      <c r="F80" s="28" t="s">
        <v>963</v>
      </c>
      <c r="G80" s="39">
        <v>105</v>
      </c>
      <c r="H80" s="28">
        <v>1</v>
      </c>
      <c r="I80" s="28" t="s">
        <v>763</v>
      </c>
      <c r="J80" s="28" t="s">
        <v>989</v>
      </c>
      <c r="K80" s="56" t="s">
        <v>24</v>
      </c>
      <c r="L80" s="28" t="s">
        <v>907</v>
      </c>
      <c r="M80" s="28" t="s">
        <v>323</v>
      </c>
      <c r="N80" s="28" t="s">
        <v>335</v>
      </c>
      <c r="O80" s="29" t="s">
        <v>2</v>
      </c>
      <c r="P80" s="28">
        <v>10</v>
      </c>
      <c r="Q80" s="28" t="s">
        <v>1139</v>
      </c>
      <c r="R80" s="28" t="s">
        <v>991</v>
      </c>
      <c r="S80" s="34" t="str">
        <f>IFERROR(HYPERLINK("#Main!A"&amp;MATCH(A80,Main!A:A,0),"Open"),HYPERLINK("#Main!A1","Open"))</f>
        <v>Open</v>
      </c>
      <c r="T80" s="34" t="str">
        <f>IFERROR(HYPERLINK("#Technical!A"&amp;MATCH(A80,Technical!A:A,0),"Open"),HYPERLINK("#Technical!A1","Open"))</f>
        <v>Open</v>
      </c>
      <c r="U80" s="34"/>
    </row>
    <row r="81" spans="1:21" ht="30" customHeight="1" x14ac:dyDescent="0.25">
      <c r="A81" s="30" t="s">
        <v>667</v>
      </c>
      <c r="B81" s="37">
        <v>17195</v>
      </c>
      <c r="C81" s="55" t="s">
        <v>1140</v>
      </c>
      <c r="D81" s="37" t="s">
        <v>24</v>
      </c>
      <c r="E81" s="29" t="s">
        <v>71</v>
      </c>
      <c r="F81" s="37" t="s">
        <v>963</v>
      </c>
      <c r="G81" s="42">
        <v>105</v>
      </c>
      <c r="H81" s="37">
        <v>1</v>
      </c>
      <c r="I81" s="37" t="s">
        <v>763</v>
      </c>
      <c r="J81" s="37" t="s">
        <v>989</v>
      </c>
      <c r="K81" s="57" t="s">
        <v>24</v>
      </c>
      <c r="L81" s="37" t="s">
        <v>907</v>
      </c>
      <c r="M81" s="37" t="s">
        <v>323</v>
      </c>
      <c r="N81" s="37" t="s">
        <v>335</v>
      </c>
      <c r="O81" s="29" t="s">
        <v>2</v>
      </c>
      <c r="P81" s="37">
        <v>10</v>
      </c>
      <c r="Q81" s="37" t="s">
        <v>1141</v>
      </c>
      <c r="R81" s="37" t="s">
        <v>991</v>
      </c>
      <c r="S81" t="str">
        <f>IFERROR(HYPERLINK("#Main!A"&amp;MATCH(A81,Main!A:A,0),"Open"),HYPERLINK("#Main!A1","Open"))</f>
        <v>Open</v>
      </c>
      <c r="T81" t="str">
        <f>IFERROR(HYPERLINK("#Technical!A"&amp;MATCH(A81,Technical!A:A,0),"Open"),HYPERLINK("#Technical!A1","Open"))</f>
        <v>Open</v>
      </c>
    </row>
    <row r="82" spans="1:21" ht="30" customHeight="1" x14ac:dyDescent="0.25">
      <c r="A82" s="33" t="s">
        <v>670</v>
      </c>
      <c r="B82" s="28">
        <v>21591</v>
      </c>
      <c r="C82" s="55" t="s">
        <v>1142</v>
      </c>
      <c r="D82" s="28" t="s">
        <v>24</v>
      </c>
      <c r="E82" s="29" t="s">
        <v>71</v>
      </c>
      <c r="F82" s="28" t="s">
        <v>963</v>
      </c>
      <c r="G82" s="39">
        <v>105</v>
      </c>
      <c r="H82" s="28">
        <v>1</v>
      </c>
      <c r="I82" s="28" t="s">
        <v>763</v>
      </c>
      <c r="J82" s="28" t="s">
        <v>989</v>
      </c>
      <c r="K82" s="56" t="s">
        <v>24</v>
      </c>
      <c r="L82" s="28" t="s">
        <v>907</v>
      </c>
      <c r="M82" s="28" t="s">
        <v>323</v>
      </c>
      <c r="N82" s="28" t="s">
        <v>335</v>
      </c>
      <c r="O82" s="29" t="s">
        <v>2</v>
      </c>
      <c r="P82" s="28">
        <v>10</v>
      </c>
      <c r="Q82" s="28" t="s">
        <v>1143</v>
      </c>
      <c r="R82" s="28" t="s">
        <v>991</v>
      </c>
      <c r="S82" s="34" t="str">
        <f>IFERROR(HYPERLINK("#Main!A"&amp;MATCH(A82,Main!A:A,0),"Open"),HYPERLINK("#Main!A1","Open"))</f>
        <v>Open</v>
      </c>
      <c r="T82" s="34" t="str">
        <f>IFERROR(HYPERLINK("#Technical!A"&amp;MATCH(A82,Technical!A:A,0),"Open"),HYPERLINK("#Technical!A1","Open"))</f>
        <v>Open</v>
      </c>
      <c r="U82" s="34"/>
    </row>
    <row r="83" spans="1:21" ht="30" customHeight="1" x14ac:dyDescent="0.25">
      <c r="A83" s="30" t="s">
        <v>673</v>
      </c>
      <c r="B83" s="37">
        <v>7916</v>
      </c>
      <c r="C83" s="55" t="s">
        <v>1144</v>
      </c>
      <c r="D83" s="37" t="s">
        <v>24</v>
      </c>
      <c r="E83" s="29" t="s">
        <v>71</v>
      </c>
      <c r="F83" s="37" t="s">
        <v>963</v>
      </c>
      <c r="G83" s="42">
        <v>105</v>
      </c>
      <c r="H83" s="37">
        <v>1</v>
      </c>
      <c r="I83" s="37" t="s">
        <v>763</v>
      </c>
      <c r="J83" s="37" t="s">
        <v>989</v>
      </c>
      <c r="K83" s="57" t="s">
        <v>24</v>
      </c>
      <c r="L83" s="37" t="s">
        <v>907</v>
      </c>
      <c r="M83" s="37" t="s">
        <v>323</v>
      </c>
      <c r="N83" s="37" t="s">
        <v>335</v>
      </c>
      <c r="O83" s="29" t="s">
        <v>2</v>
      </c>
      <c r="P83" s="37">
        <v>10</v>
      </c>
      <c r="Q83" s="37" t="s">
        <v>1145</v>
      </c>
      <c r="R83" s="37" t="s">
        <v>991</v>
      </c>
      <c r="S83" t="str">
        <f>IFERROR(HYPERLINK("#Main!A"&amp;MATCH(A83,Main!A:A,0),"Open"),HYPERLINK("#Main!A1","Open"))</f>
        <v>Open</v>
      </c>
      <c r="T83" t="str">
        <f>IFERROR(HYPERLINK("#Technical!A"&amp;MATCH(A83,Technical!A:A,0),"Open"),HYPERLINK("#Technical!A1","Open"))</f>
        <v>Open</v>
      </c>
    </row>
    <row r="84" spans="1:21" ht="30" customHeight="1" x14ac:dyDescent="0.25">
      <c r="A84" s="33" t="s">
        <v>677</v>
      </c>
      <c r="B84" s="28">
        <v>17000</v>
      </c>
      <c r="C84" s="55" t="s">
        <v>1146</v>
      </c>
      <c r="D84" s="28" t="s">
        <v>24</v>
      </c>
      <c r="E84" s="29" t="s">
        <v>71</v>
      </c>
      <c r="F84" s="28" t="s">
        <v>963</v>
      </c>
      <c r="G84" s="39">
        <v>105</v>
      </c>
      <c r="H84" s="28">
        <v>2</v>
      </c>
      <c r="I84" s="28" t="s">
        <v>763</v>
      </c>
      <c r="J84" s="28" t="s">
        <v>989</v>
      </c>
      <c r="K84" s="56" t="s">
        <v>24</v>
      </c>
      <c r="L84" s="28" t="s">
        <v>907</v>
      </c>
      <c r="M84" s="28" t="s">
        <v>323</v>
      </c>
      <c r="N84" s="28" t="s">
        <v>335</v>
      </c>
      <c r="O84" s="29" t="s">
        <v>2</v>
      </c>
      <c r="P84" s="28">
        <v>10</v>
      </c>
      <c r="Q84" s="28" t="s">
        <v>1147</v>
      </c>
      <c r="R84" s="28" t="s">
        <v>991</v>
      </c>
      <c r="S84" s="34" t="str">
        <f>IFERROR(HYPERLINK("#Main!A"&amp;MATCH(A84,Main!A:A,0),"Open"),HYPERLINK("#Main!A1","Open"))</f>
        <v>Open</v>
      </c>
      <c r="T84" s="34" t="str">
        <f>IFERROR(HYPERLINK("#Technical!A"&amp;MATCH(A84,Technical!A:A,0),"Open"),HYPERLINK("#Technical!A1","Open"))</f>
        <v>Open</v>
      </c>
      <c r="U84" s="34"/>
    </row>
    <row r="85" spans="1:21" ht="30" customHeight="1" x14ac:dyDescent="0.25">
      <c r="A85" s="30" t="s">
        <v>680</v>
      </c>
      <c r="B85" s="37">
        <v>17196</v>
      </c>
      <c r="C85" s="55" t="s">
        <v>1148</v>
      </c>
      <c r="D85" s="37" t="s">
        <v>24</v>
      </c>
      <c r="E85" s="29" t="s">
        <v>71</v>
      </c>
      <c r="F85" s="37" t="s">
        <v>963</v>
      </c>
      <c r="G85" s="42">
        <v>105</v>
      </c>
      <c r="H85" s="37">
        <v>2</v>
      </c>
      <c r="I85" s="37" t="s">
        <v>763</v>
      </c>
      <c r="J85" s="37" t="s">
        <v>989</v>
      </c>
      <c r="K85" s="57" t="s">
        <v>24</v>
      </c>
      <c r="L85" s="37" t="s">
        <v>907</v>
      </c>
      <c r="M85" s="37" t="s">
        <v>323</v>
      </c>
      <c r="N85" s="37" t="s">
        <v>335</v>
      </c>
      <c r="O85" s="29" t="s">
        <v>2</v>
      </c>
      <c r="P85" s="37">
        <v>10</v>
      </c>
      <c r="Q85" s="37" t="s">
        <v>1149</v>
      </c>
      <c r="R85" s="37" t="s">
        <v>991</v>
      </c>
      <c r="S85" t="str">
        <f>IFERROR(HYPERLINK("#Main!A"&amp;MATCH(A85,Main!A:A,0),"Open"),HYPERLINK("#Main!A1","Open"))</f>
        <v>Open</v>
      </c>
      <c r="T85" t="str">
        <f>IFERROR(HYPERLINK("#Technical!A"&amp;MATCH(A85,Technical!A:A,0),"Open"),HYPERLINK("#Technical!A1","Open"))</f>
        <v>Open</v>
      </c>
    </row>
    <row r="86" spans="1:21" ht="30" customHeight="1" x14ac:dyDescent="0.25">
      <c r="A86" s="33" t="s">
        <v>683</v>
      </c>
      <c r="B86" s="28">
        <v>4909</v>
      </c>
      <c r="C86" s="55" t="s">
        <v>1150</v>
      </c>
      <c r="D86" s="28" t="s">
        <v>24</v>
      </c>
      <c r="E86" s="29" t="s">
        <v>71</v>
      </c>
      <c r="F86" s="28" t="s">
        <v>963</v>
      </c>
      <c r="G86" s="39">
        <v>105</v>
      </c>
      <c r="H86" s="28">
        <v>1</v>
      </c>
      <c r="I86" s="28" t="s">
        <v>763</v>
      </c>
      <c r="J86" s="28" t="s">
        <v>989</v>
      </c>
      <c r="K86" s="56" t="s">
        <v>24</v>
      </c>
      <c r="L86" s="28" t="s">
        <v>907</v>
      </c>
      <c r="M86" s="28" t="s">
        <v>323</v>
      </c>
      <c r="N86" s="28" t="s">
        <v>335</v>
      </c>
      <c r="O86" s="29" t="s">
        <v>2</v>
      </c>
      <c r="P86" s="28">
        <v>10</v>
      </c>
      <c r="Q86" s="28" t="s">
        <v>1151</v>
      </c>
      <c r="R86" s="28" t="s">
        <v>991</v>
      </c>
      <c r="S86" s="34" t="str">
        <f>IFERROR(HYPERLINK("#Main!A"&amp;MATCH(A86,Main!A:A,0),"Open"),HYPERLINK("#Main!A1","Open"))</f>
        <v>Open</v>
      </c>
      <c r="T86" s="34" t="str">
        <f>IFERROR(HYPERLINK("#Technical!A"&amp;MATCH(A86,Technical!A:A,0),"Open"),HYPERLINK("#Technical!A1","Open"))</f>
        <v>Open</v>
      </c>
      <c r="U86" s="34"/>
    </row>
    <row r="87" spans="1:21" ht="30" customHeight="1" x14ac:dyDescent="0.25">
      <c r="A87" s="30" t="s">
        <v>686</v>
      </c>
      <c r="B87" s="37">
        <v>5290</v>
      </c>
      <c r="C87" s="55" t="s">
        <v>1152</v>
      </c>
      <c r="D87" s="37" t="s">
        <v>24</v>
      </c>
      <c r="E87" s="29" t="s">
        <v>71</v>
      </c>
      <c r="F87" s="37" t="s">
        <v>963</v>
      </c>
      <c r="G87" s="42">
        <v>105</v>
      </c>
      <c r="H87" s="37">
        <v>1</v>
      </c>
      <c r="I87" s="37" t="s">
        <v>763</v>
      </c>
      <c r="J87" s="37" t="s">
        <v>989</v>
      </c>
      <c r="K87" s="57" t="s">
        <v>24</v>
      </c>
      <c r="L87" s="37" t="s">
        <v>907</v>
      </c>
      <c r="M87" s="37" t="s">
        <v>323</v>
      </c>
      <c r="N87" s="37" t="s">
        <v>335</v>
      </c>
      <c r="O87" s="29" t="s">
        <v>2</v>
      </c>
      <c r="P87" s="37">
        <v>10</v>
      </c>
      <c r="Q87" s="37" t="s">
        <v>1153</v>
      </c>
      <c r="R87" s="37" t="s">
        <v>991</v>
      </c>
      <c r="S87" t="str">
        <f>IFERROR(HYPERLINK("#Main!A"&amp;MATCH(A87,Main!A:A,0),"Open"),HYPERLINK("#Main!A1","Open"))</f>
        <v>Open</v>
      </c>
      <c r="T87" t="str">
        <f>IFERROR(HYPERLINK("#Technical!A"&amp;MATCH(A87,Technical!A:A,0),"Open"),HYPERLINK("#Technical!A1","Open"))</f>
        <v>Open</v>
      </c>
    </row>
    <row r="88" spans="1:21" ht="30" customHeight="1" x14ac:dyDescent="0.25">
      <c r="A88" s="33" t="s">
        <v>201</v>
      </c>
      <c r="B88" s="28">
        <v>13164</v>
      </c>
      <c r="C88" s="55" t="s">
        <v>1008</v>
      </c>
      <c r="D88" s="28" t="s">
        <v>981</v>
      </c>
      <c r="E88" s="32" t="s">
        <v>72</v>
      </c>
      <c r="F88" s="28" t="s">
        <v>1154</v>
      </c>
      <c r="G88" s="39">
        <v>67</v>
      </c>
      <c r="H88" s="28" t="s">
        <v>1155</v>
      </c>
      <c r="I88" s="28" t="s">
        <v>1156</v>
      </c>
      <c r="J88" s="28" t="s">
        <v>1157</v>
      </c>
      <c r="K88" s="56" t="s">
        <v>12</v>
      </c>
      <c r="L88" s="28" t="s">
        <v>256</v>
      </c>
      <c r="M88" s="28" t="s">
        <v>323</v>
      </c>
      <c r="N88" s="28" t="s">
        <v>330</v>
      </c>
      <c r="O88" s="29" t="s">
        <v>2</v>
      </c>
      <c r="P88" s="28">
        <v>4</v>
      </c>
      <c r="Q88" s="28" t="s">
        <v>1158</v>
      </c>
      <c r="R88" s="28" t="s">
        <v>1159</v>
      </c>
      <c r="S88" s="34" t="str">
        <f>IFERROR(HYPERLINK("#Main!A"&amp;MATCH(A88,Main!A:A,0),"Open"),HYPERLINK("#Main!A1","Open"))</f>
        <v>Open</v>
      </c>
      <c r="T88" s="34" t="str">
        <f>IFERROR(HYPERLINK("#Technical!A"&amp;MATCH(A88,Technical!A:A,0),"Open"),HYPERLINK("#Technical!A1","Open"))</f>
        <v>Open</v>
      </c>
      <c r="U88" s="34"/>
    </row>
    <row r="89" spans="1:21" ht="30" customHeight="1" x14ac:dyDescent="0.25">
      <c r="A89" s="30" t="s">
        <v>476</v>
      </c>
      <c r="B89" s="37"/>
      <c r="C89" s="37"/>
      <c r="D89" s="37" t="s">
        <v>981</v>
      </c>
      <c r="E89" s="32" t="s">
        <v>72</v>
      </c>
      <c r="F89" s="37" t="s">
        <v>1154</v>
      </c>
      <c r="G89" s="42">
        <v>67</v>
      </c>
      <c r="H89" s="37" t="s">
        <v>1155</v>
      </c>
      <c r="I89" s="37" t="s">
        <v>1156</v>
      </c>
      <c r="J89" s="37" t="s">
        <v>1157</v>
      </c>
      <c r="K89" s="57" t="s">
        <v>12</v>
      </c>
      <c r="L89" s="37" t="s">
        <v>256</v>
      </c>
      <c r="M89" s="37" t="s">
        <v>323</v>
      </c>
      <c r="N89" s="37" t="s">
        <v>330</v>
      </c>
      <c r="O89" s="29" t="s">
        <v>2</v>
      </c>
      <c r="P89" s="37">
        <v>4</v>
      </c>
      <c r="Q89" s="37" t="s">
        <v>1160</v>
      </c>
      <c r="R89" s="37" t="s">
        <v>1159</v>
      </c>
      <c r="S89" t="str">
        <f>IFERROR(HYPERLINK("#Main!A"&amp;MATCH(A89,Main!A:A,0),"Open"),HYPERLINK("#Main!A1","Open"))</f>
        <v>Open</v>
      </c>
      <c r="T89" t="str">
        <f>IFERROR(HYPERLINK("#Technical!A"&amp;MATCH(A89,Technical!A:A,0),"Open"),HYPERLINK("#Technical!A1","Open"))</f>
        <v>Open</v>
      </c>
    </row>
    <row r="90" spans="1:21" ht="30" customHeight="1" x14ac:dyDescent="0.25">
      <c r="A90" s="33" t="s">
        <v>483</v>
      </c>
      <c r="B90" s="28"/>
      <c r="C90" s="28"/>
      <c r="D90" s="28" t="s">
        <v>981</v>
      </c>
      <c r="E90" s="32" t="s">
        <v>72</v>
      </c>
      <c r="F90" s="28" t="s">
        <v>1154</v>
      </c>
      <c r="G90" s="39">
        <v>67</v>
      </c>
      <c r="H90" s="28" t="s">
        <v>1155</v>
      </c>
      <c r="I90" s="28" t="s">
        <v>1156</v>
      </c>
      <c r="J90" s="28" t="s">
        <v>1157</v>
      </c>
      <c r="K90" s="56" t="s">
        <v>12</v>
      </c>
      <c r="L90" s="28" t="s">
        <v>256</v>
      </c>
      <c r="M90" s="28" t="s">
        <v>323</v>
      </c>
      <c r="N90" s="28" t="s">
        <v>330</v>
      </c>
      <c r="O90" s="29" t="s">
        <v>2</v>
      </c>
      <c r="P90" s="28">
        <v>4</v>
      </c>
      <c r="Q90" s="28" t="s">
        <v>1161</v>
      </c>
      <c r="R90" s="28" t="s">
        <v>1159</v>
      </c>
      <c r="S90" s="34" t="str">
        <f>IFERROR(HYPERLINK("#Main!A"&amp;MATCH(A90,Main!A:A,0),"Open"),HYPERLINK("#Main!A1","Open"))</f>
        <v>Open</v>
      </c>
      <c r="T90" s="34" t="str">
        <f>IFERROR(HYPERLINK("#Technical!A"&amp;MATCH(A90,Technical!A:A,0),"Open"),HYPERLINK("#Technical!A1","Open"))</f>
        <v>Open</v>
      </c>
      <c r="U90" s="34"/>
    </row>
    <row r="91" spans="1:21" ht="30" customHeight="1" x14ac:dyDescent="0.25">
      <c r="A91" s="30" t="s">
        <v>555</v>
      </c>
      <c r="B91" s="37">
        <v>6816</v>
      </c>
      <c r="C91" s="55" t="s">
        <v>1067</v>
      </c>
      <c r="D91" s="37" t="s">
        <v>981</v>
      </c>
      <c r="E91" s="32" t="s">
        <v>72</v>
      </c>
      <c r="F91" s="37" t="s">
        <v>1154</v>
      </c>
      <c r="G91" s="42">
        <v>67</v>
      </c>
      <c r="H91" s="37" t="s">
        <v>1155</v>
      </c>
      <c r="I91" s="37" t="s">
        <v>1156</v>
      </c>
      <c r="J91" s="37" t="s">
        <v>1157</v>
      </c>
      <c r="K91" s="57" t="s">
        <v>12</v>
      </c>
      <c r="L91" s="37" t="s">
        <v>256</v>
      </c>
      <c r="M91" s="37" t="s">
        <v>323</v>
      </c>
      <c r="N91" s="37" t="s">
        <v>330</v>
      </c>
      <c r="O91" s="29" t="s">
        <v>2</v>
      </c>
      <c r="P91" s="37">
        <v>4</v>
      </c>
      <c r="Q91" s="37" t="s">
        <v>1162</v>
      </c>
      <c r="R91" s="37" t="s">
        <v>1159</v>
      </c>
      <c r="S91" t="str">
        <f>IFERROR(HYPERLINK("#Main!A"&amp;MATCH(A91,Main!A:A,0),"Open"),HYPERLINK("#Main!A1","Open"))</f>
        <v>Open</v>
      </c>
      <c r="T91" t="str">
        <f>IFERROR(HYPERLINK("#Technical!A"&amp;MATCH(A91,Technical!A:A,0),"Open"),HYPERLINK("#Technical!A1","Open"))</f>
        <v>Open</v>
      </c>
    </row>
    <row r="92" spans="1:21" ht="30" customHeight="1" x14ac:dyDescent="0.25">
      <c r="A92" s="33" t="s">
        <v>624</v>
      </c>
      <c r="B92" s="28">
        <v>20341</v>
      </c>
      <c r="C92" s="55" t="s">
        <v>1110</v>
      </c>
      <c r="D92" s="28" t="s">
        <v>981</v>
      </c>
      <c r="E92" s="32" t="s">
        <v>72</v>
      </c>
      <c r="F92" s="28" t="s">
        <v>1154</v>
      </c>
      <c r="G92" s="39">
        <v>67</v>
      </c>
      <c r="H92" s="28" t="s">
        <v>1155</v>
      </c>
      <c r="I92" s="28" t="s">
        <v>1156</v>
      </c>
      <c r="J92" s="28" t="s">
        <v>1157</v>
      </c>
      <c r="K92" s="56" t="s">
        <v>12</v>
      </c>
      <c r="L92" s="28" t="s">
        <v>256</v>
      </c>
      <c r="M92" s="28" t="s">
        <v>323</v>
      </c>
      <c r="N92" s="28" t="s">
        <v>330</v>
      </c>
      <c r="O92" s="29" t="s">
        <v>2</v>
      </c>
      <c r="P92" s="28">
        <v>4</v>
      </c>
      <c r="Q92" s="28" t="s">
        <v>1163</v>
      </c>
      <c r="R92" s="28" t="s">
        <v>1159</v>
      </c>
      <c r="S92" s="34" t="str">
        <f>IFERROR(HYPERLINK("#Main!A"&amp;MATCH(A92,Main!A:A,0),"Open"),HYPERLINK("#Main!A1","Open"))</f>
        <v>Open</v>
      </c>
      <c r="T92" s="34" t="str">
        <f>IFERROR(HYPERLINK("#Technical!A"&amp;MATCH(A92,Technical!A:A,0),"Open"),HYPERLINK("#Technical!A1","Open"))</f>
        <v>Open</v>
      </c>
      <c r="U92" s="34"/>
    </row>
    <row r="93" spans="1:21" ht="30" customHeight="1" x14ac:dyDescent="0.25">
      <c r="A93" s="30" t="s">
        <v>127</v>
      </c>
      <c r="B93" s="37">
        <v>8</v>
      </c>
      <c r="C93" s="55" t="s">
        <v>988</v>
      </c>
      <c r="D93" s="37" t="s">
        <v>18</v>
      </c>
      <c r="E93" s="32" t="s">
        <v>72</v>
      </c>
      <c r="F93" s="37" t="s">
        <v>1164</v>
      </c>
      <c r="G93" s="42">
        <v>67</v>
      </c>
      <c r="H93" s="37">
        <v>0</v>
      </c>
      <c r="I93" s="37" t="s">
        <v>1165</v>
      </c>
      <c r="J93" s="37" t="s">
        <v>1166</v>
      </c>
      <c r="K93" s="57" t="s">
        <v>20</v>
      </c>
      <c r="L93" s="37" t="s">
        <v>885</v>
      </c>
      <c r="M93" s="37" t="s">
        <v>323</v>
      </c>
      <c r="N93" s="37" t="s">
        <v>330</v>
      </c>
      <c r="O93" s="29" t="s">
        <v>2</v>
      </c>
      <c r="P93" s="37">
        <v>4</v>
      </c>
      <c r="Q93" s="37" t="s">
        <v>1167</v>
      </c>
      <c r="R93" s="37" t="s">
        <v>1168</v>
      </c>
      <c r="S93" t="str">
        <f>IFERROR(HYPERLINK("#Main!A"&amp;MATCH(A93,Main!A:A,0),"Open"),HYPERLINK("#Main!A1","Open"))</f>
        <v>Open</v>
      </c>
      <c r="T93" t="str">
        <f>IFERROR(HYPERLINK("#Technical!A"&amp;MATCH(A93,Technical!A:A,0),"Open"),HYPERLINK("#Technical!A1","Open"))</f>
        <v>Open</v>
      </c>
    </row>
    <row r="94" spans="1:21" ht="30" customHeight="1" x14ac:dyDescent="0.25">
      <c r="A94" s="33" t="s">
        <v>135</v>
      </c>
      <c r="B94" s="28">
        <v>84</v>
      </c>
      <c r="C94" s="55" t="s">
        <v>992</v>
      </c>
      <c r="D94" s="28" t="s">
        <v>18</v>
      </c>
      <c r="E94" s="32" t="s">
        <v>72</v>
      </c>
      <c r="F94" s="28" t="s">
        <v>1164</v>
      </c>
      <c r="G94" s="39">
        <v>67</v>
      </c>
      <c r="H94" s="28">
        <v>0</v>
      </c>
      <c r="I94" s="28" t="s">
        <v>1165</v>
      </c>
      <c r="J94" s="28" t="s">
        <v>1166</v>
      </c>
      <c r="K94" s="56" t="s">
        <v>20</v>
      </c>
      <c r="L94" s="28" t="s">
        <v>885</v>
      </c>
      <c r="M94" s="28" t="s">
        <v>323</v>
      </c>
      <c r="N94" s="28" t="s">
        <v>330</v>
      </c>
      <c r="O94" s="29" t="s">
        <v>2</v>
      </c>
      <c r="P94" s="28">
        <v>4</v>
      </c>
      <c r="Q94" s="28" t="s">
        <v>1169</v>
      </c>
      <c r="R94" s="28" t="s">
        <v>1168</v>
      </c>
      <c r="S94" s="34" t="str">
        <f>IFERROR(HYPERLINK("#Main!A"&amp;MATCH(A94,Main!A:A,0),"Open"),HYPERLINK("#Main!A1","Open"))</f>
        <v>Open</v>
      </c>
      <c r="T94" s="34" t="str">
        <f>IFERROR(HYPERLINK("#Technical!A"&amp;MATCH(A94,Technical!A:A,0),"Open"),HYPERLINK("#Technical!A1","Open"))</f>
        <v>Open</v>
      </c>
      <c r="U94" s="34"/>
    </row>
    <row r="95" spans="1:21" ht="30" customHeight="1" x14ac:dyDescent="0.25">
      <c r="A95" s="30" t="s">
        <v>144</v>
      </c>
      <c r="B95" s="37">
        <v>28165</v>
      </c>
      <c r="C95" s="55" t="s">
        <v>994</v>
      </c>
      <c r="D95" s="37" t="s">
        <v>18</v>
      </c>
      <c r="E95" s="32" t="s">
        <v>72</v>
      </c>
      <c r="F95" s="37" t="s">
        <v>1164</v>
      </c>
      <c r="G95" s="42">
        <v>67</v>
      </c>
      <c r="H95" s="37">
        <v>0</v>
      </c>
      <c r="I95" s="37" t="s">
        <v>1165</v>
      </c>
      <c r="J95" s="37" t="s">
        <v>1166</v>
      </c>
      <c r="K95" s="57" t="s">
        <v>20</v>
      </c>
      <c r="L95" s="37" t="s">
        <v>885</v>
      </c>
      <c r="M95" s="37" t="s">
        <v>323</v>
      </c>
      <c r="N95" s="37" t="s">
        <v>330</v>
      </c>
      <c r="O95" s="29" t="s">
        <v>2</v>
      </c>
      <c r="P95" s="37">
        <v>4</v>
      </c>
      <c r="Q95" s="37" t="s">
        <v>1170</v>
      </c>
      <c r="R95" s="37" t="s">
        <v>1168</v>
      </c>
      <c r="S95" t="str">
        <f>IFERROR(HYPERLINK("#Main!A"&amp;MATCH(A95,Main!A:A,0),"Open"),HYPERLINK("#Main!A1","Open"))</f>
        <v>Open</v>
      </c>
      <c r="T95" t="str">
        <f>IFERROR(HYPERLINK("#Technical!A"&amp;MATCH(A95,Technical!A:A,0),"Open"),HYPERLINK("#Technical!A1","Open"))</f>
        <v>Open</v>
      </c>
    </row>
    <row r="96" spans="1:21" ht="30" customHeight="1" x14ac:dyDescent="0.25">
      <c r="A96" s="33" t="s">
        <v>152</v>
      </c>
      <c r="B96" s="28">
        <v>16125</v>
      </c>
      <c r="C96" s="55" t="s">
        <v>996</v>
      </c>
      <c r="D96" s="28" t="s">
        <v>18</v>
      </c>
      <c r="E96" s="32" t="s">
        <v>72</v>
      </c>
      <c r="F96" s="28" t="s">
        <v>1164</v>
      </c>
      <c r="G96" s="39">
        <v>67</v>
      </c>
      <c r="H96" s="28">
        <v>0</v>
      </c>
      <c r="I96" s="28" t="s">
        <v>1165</v>
      </c>
      <c r="J96" s="28" t="s">
        <v>1166</v>
      </c>
      <c r="K96" s="56" t="s">
        <v>20</v>
      </c>
      <c r="L96" s="28" t="s">
        <v>885</v>
      </c>
      <c r="M96" s="28" t="s">
        <v>323</v>
      </c>
      <c r="N96" s="28" t="s">
        <v>330</v>
      </c>
      <c r="O96" s="29" t="s">
        <v>2</v>
      </c>
      <c r="P96" s="28">
        <v>4</v>
      </c>
      <c r="Q96" s="28" t="s">
        <v>1171</v>
      </c>
      <c r="R96" s="28" t="s">
        <v>1168</v>
      </c>
      <c r="S96" s="34" t="str">
        <f>IFERROR(HYPERLINK("#Main!A"&amp;MATCH(A96,Main!A:A,0),"Open"),HYPERLINK("#Main!A1","Open"))</f>
        <v>Open</v>
      </c>
      <c r="T96" s="34" t="str">
        <f>IFERROR(HYPERLINK("#Technical!A"&amp;MATCH(A96,Technical!A:A,0),"Open"),HYPERLINK("#Technical!A1","Open"))</f>
        <v>Open</v>
      </c>
      <c r="U96" s="34"/>
    </row>
    <row r="97" spans="1:21" ht="30" customHeight="1" x14ac:dyDescent="0.25">
      <c r="A97" s="30" t="s">
        <v>161</v>
      </c>
      <c r="B97" s="37">
        <v>4494</v>
      </c>
      <c r="C97" s="55" t="s">
        <v>998</v>
      </c>
      <c r="D97" s="37" t="s">
        <v>18</v>
      </c>
      <c r="E97" s="32" t="s">
        <v>72</v>
      </c>
      <c r="F97" s="37" t="s">
        <v>1164</v>
      </c>
      <c r="G97" s="42">
        <v>67</v>
      </c>
      <c r="H97" s="37">
        <v>0</v>
      </c>
      <c r="I97" s="37" t="s">
        <v>1165</v>
      </c>
      <c r="J97" s="37" t="s">
        <v>1166</v>
      </c>
      <c r="K97" s="57" t="s">
        <v>20</v>
      </c>
      <c r="L97" s="37" t="s">
        <v>885</v>
      </c>
      <c r="M97" s="37" t="s">
        <v>323</v>
      </c>
      <c r="N97" s="37" t="s">
        <v>330</v>
      </c>
      <c r="O97" s="29" t="s">
        <v>2</v>
      </c>
      <c r="P97" s="37">
        <v>4</v>
      </c>
      <c r="Q97" s="37" t="s">
        <v>1172</v>
      </c>
      <c r="R97" s="37" t="s">
        <v>1168</v>
      </c>
      <c r="S97" t="str">
        <f>IFERROR(HYPERLINK("#Main!A"&amp;MATCH(A97,Main!A:A,0),"Open"),HYPERLINK("#Main!A1","Open"))</f>
        <v>Open</v>
      </c>
      <c r="T97" t="str">
        <f>IFERROR(HYPERLINK("#Technical!A"&amp;MATCH(A97,Technical!A:A,0),"Open"),HYPERLINK("#Technical!A1","Open"))</f>
        <v>Open</v>
      </c>
    </row>
    <row r="98" spans="1:21" ht="30" customHeight="1" x14ac:dyDescent="0.25">
      <c r="A98" s="33" t="s">
        <v>169</v>
      </c>
      <c r="B98" s="28">
        <v>5619</v>
      </c>
      <c r="C98" s="55" t="s">
        <v>1000</v>
      </c>
      <c r="D98" s="28" t="s">
        <v>18</v>
      </c>
      <c r="E98" s="32" t="s">
        <v>72</v>
      </c>
      <c r="F98" s="28" t="s">
        <v>1164</v>
      </c>
      <c r="G98" s="39">
        <v>67</v>
      </c>
      <c r="H98" s="28">
        <v>0</v>
      </c>
      <c r="I98" s="28" t="s">
        <v>1165</v>
      </c>
      <c r="J98" s="28" t="s">
        <v>1166</v>
      </c>
      <c r="K98" s="56" t="s">
        <v>20</v>
      </c>
      <c r="L98" s="28" t="s">
        <v>885</v>
      </c>
      <c r="M98" s="28" t="s">
        <v>323</v>
      </c>
      <c r="N98" s="28" t="s">
        <v>330</v>
      </c>
      <c r="O98" s="29" t="s">
        <v>2</v>
      </c>
      <c r="P98" s="28">
        <v>4</v>
      </c>
      <c r="Q98" s="28" t="s">
        <v>1173</v>
      </c>
      <c r="R98" s="28" t="s">
        <v>1168</v>
      </c>
      <c r="S98" s="34" t="str">
        <f>IFERROR(HYPERLINK("#Main!A"&amp;MATCH(A98,Main!A:A,0),"Open"),HYPERLINK("#Main!A1","Open"))</f>
        <v>Open</v>
      </c>
      <c r="T98" s="34" t="str">
        <f>IFERROR(HYPERLINK("#Technical!A"&amp;MATCH(A98,Technical!A:A,0),"Open"),HYPERLINK("#Technical!A1","Open"))</f>
        <v>Open</v>
      </c>
      <c r="U98" s="34"/>
    </row>
    <row r="99" spans="1:21" ht="30" customHeight="1" x14ac:dyDescent="0.25">
      <c r="A99" s="30" t="s">
        <v>177</v>
      </c>
      <c r="B99" s="37">
        <v>4941</v>
      </c>
      <c r="C99" s="55" t="s">
        <v>1002</v>
      </c>
      <c r="D99" s="37" t="s">
        <v>18</v>
      </c>
      <c r="E99" s="32" t="s">
        <v>72</v>
      </c>
      <c r="F99" s="37" t="s">
        <v>1164</v>
      </c>
      <c r="G99" s="42">
        <v>67</v>
      </c>
      <c r="H99" s="37">
        <v>0</v>
      </c>
      <c r="I99" s="37" t="s">
        <v>1165</v>
      </c>
      <c r="J99" s="37" t="s">
        <v>1166</v>
      </c>
      <c r="K99" s="57" t="s">
        <v>20</v>
      </c>
      <c r="L99" s="37" t="s">
        <v>885</v>
      </c>
      <c r="M99" s="37" t="s">
        <v>323</v>
      </c>
      <c r="N99" s="37" t="s">
        <v>330</v>
      </c>
      <c r="O99" s="29" t="s">
        <v>2</v>
      </c>
      <c r="P99" s="37">
        <v>4</v>
      </c>
      <c r="Q99" s="37" t="s">
        <v>1174</v>
      </c>
      <c r="R99" s="37" t="s">
        <v>1168</v>
      </c>
      <c r="S99" t="str">
        <f>IFERROR(HYPERLINK("#Main!A"&amp;MATCH(A99,Main!A:A,0),"Open"),HYPERLINK("#Main!A1","Open"))</f>
        <v>Open</v>
      </c>
      <c r="T99" t="str">
        <f>IFERROR(HYPERLINK("#Technical!A"&amp;MATCH(A99,Technical!A:A,0),"Open"),HYPERLINK("#Technical!A1","Open"))</f>
        <v>Open</v>
      </c>
    </row>
    <row r="100" spans="1:21" ht="30" customHeight="1" x14ac:dyDescent="0.25">
      <c r="A100" s="33" t="s">
        <v>185</v>
      </c>
      <c r="B100" s="28">
        <v>12371</v>
      </c>
      <c r="C100" s="55" t="s">
        <v>1004</v>
      </c>
      <c r="D100" s="28" t="s">
        <v>18</v>
      </c>
      <c r="E100" s="32" t="s">
        <v>72</v>
      </c>
      <c r="F100" s="28" t="s">
        <v>1164</v>
      </c>
      <c r="G100" s="39">
        <v>67</v>
      </c>
      <c r="H100" s="28">
        <v>0</v>
      </c>
      <c r="I100" s="28" t="s">
        <v>1165</v>
      </c>
      <c r="J100" s="28" t="s">
        <v>1166</v>
      </c>
      <c r="K100" s="56" t="s">
        <v>20</v>
      </c>
      <c r="L100" s="28" t="s">
        <v>885</v>
      </c>
      <c r="M100" s="28" t="s">
        <v>323</v>
      </c>
      <c r="N100" s="28" t="s">
        <v>330</v>
      </c>
      <c r="O100" s="29" t="s">
        <v>2</v>
      </c>
      <c r="P100" s="28">
        <v>4</v>
      </c>
      <c r="Q100" s="28" t="s">
        <v>1175</v>
      </c>
      <c r="R100" s="28" t="s">
        <v>1168</v>
      </c>
      <c r="S100" s="34" t="str">
        <f>IFERROR(HYPERLINK("#Main!A"&amp;MATCH(A100,Main!A:A,0),"Open"),HYPERLINK("#Main!A1","Open"))</f>
        <v>Open</v>
      </c>
      <c r="T100" s="34" t="str">
        <f>IFERROR(HYPERLINK("#Technical!A"&amp;MATCH(A100,Technical!A:A,0),"Open"),HYPERLINK("#Technical!A1","Open"))</f>
        <v>Open</v>
      </c>
      <c r="U100" s="34"/>
    </row>
    <row r="101" spans="1:21" ht="30" customHeight="1" x14ac:dyDescent="0.25">
      <c r="A101" s="30" t="s">
        <v>193</v>
      </c>
      <c r="B101" s="37">
        <v>12954</v>
      </c>
      <c r="C101" s="55" t="s">
        <v>1006</v>
      </c>
      <c r="D101" s="37" t="s">
        <v>18</v>
      </c>
      <c r="E101" s="32" t="s">
        <v>72</v>
      </c>
      <c r="F101" s="37" t="s">
        <v>1164</v>
      </c>
      <c r="G101" s="42">
        <v>67</v>
      </c>
      <c r="H101" s="37">
        <v>0</v>
      </c>
      <c r="I101" s="37" t="s">
        <v>1165</v>
      </c>
      <c r="J101" s="37" t="s">
        <v>1166</v>
      </c>
      <c r="K101" s="57" t="s">
        <v>20</v>
      </c>
      <c r="L101" s="37" t="s">
        <v>885</v>
      </c>
      <c r="M101" s="37" t="s">
        <v>323</v>
      </c>
      <c r="N101" s="37" t="s">
        <v>330</v>
      </c>
      <c r="O101" s="29" t="s">
        <v>2</v>
      </c>
      <c r="P101" s="37">
        <v>4</v>
      </c>
      <c r="Q101" s="37" t="s">
        <v>1176</v>
      </c>
      <c r="R101" s="37" t="s">
        <v>1168</v>
      </c>
      <c r="S101" t="str">
        <f>IFERROR(HYPERLINK("#Main!A"&amp;MATCH(A101,Main!A:A,0),"Open"),HYPERLINK("#Main!A1","Open"))</f>
        <v>Open</v>
      </c>
      <c r="T101" t="str">
        <f>IFERROR(HYPERLINK("#Technical!A"&amp;MATCH(A101,Technical!A:A,0),"Open"),HYPERLINK("#Technical!A1","Open"))</f>
        <v>Open</v>
      </c>
    </row>
    <row r="102" spans="1:21" ht="30" customHeight="1" x14ac:dyDescent="0.25">
      <c r="A102" s="33" t="s">
        <v>201</v>
      </c>
      <c r="B102" s="28">
        <v>13164</v>
      </c>
      <c r="C102" s="55" t="s">
        <v>1008</v>
      </c>
      <c r="D102" s="28" t="s">
        <v>18</v>
      </c>
      <c r="E102" s="32" t="s">
        <v>72</v>
      </c>
      <c r="F102" s="28" t="s">
        <v>1164</v>
      </c>
      <c r="G102" s="39">
        <v>67</v>
      </c>
      <c r="H102" s="28">
        <v>0</v>
      </c>
      <c r="I102" s="28" t="s">
        <v>1165</v>
      </c>
      <c r="J102" s="28" t="s">
        <v>1166</v>
      </c>
      <c r="K102" s="56" t="s">
        <v>20</v>
      </c>
      <c r="L102" s="28" t="s">
        <v>885</v>
      </c>
      <c r="M102" s="28" t="s">
        <v>323</v>
      </c>
      <c r="N102" s="28" t="s">
        <v>330</v>
      </c>
      <c r="O102" s="29" t="s">
        <v>2</v>
      </c>
      <c r="P102" s="28">
        <v>4</v>
      </c>
      <c r="Q102" s="28" t="s">
        <v>1177</v>
      </c>
      <c r="R102" s="28" t="s">
        <v>1168</v>
      </c>
      <c r="S102" s="34" t="str">
        <f>IFERROR(HYPERLINK("#Main!A"&amp;MATCH(A102,Main!A:A,0),"Open"),HYPERLINK("#Main!A1","Open"))</f>
        <v>Open</v>
      </c>
      <c r="T102" s="34" t="str">
        <f>IFERROR(HYPERLINK("#Technical!A"&amp;MATCH(A102,Technical!A:A,0),"Open"),HYPERLINK("#Technical!A1","Open"))</f>
        <v>Open</v>
      </c>
      <c r="U102" s="34"/>
    </row>
    <row r="103" spans="1:21" ht="30" customHeight="1" x14ac:dyDescent="0.25">
      <c r="A103" s="30" t="s">
        <v>208</v>
      </c>
      <c r="B103" s="37">
        <v>12407</v>
      </c>
      <c r="C103" s="55" t="s">
        <v>1010</v>
      </c>
      <c r="D103" s="37" t="s">
        <v>18</v>
      </c>
      <c r="E103" s="32" t="s">
        <v>72</v>
      </c>
      <c r="F103" s="37" t="s">
        <v>1164</v>
      </c>
      <c r="G103" s="42">
        <v>67</v>
      </c>
      <c r="H103" s="37">
        <v>0</v>
      </c>
      <c r="I103" s="37" t="s">
        <v>1165</v>
      </c>
      <c r="J103" s="37" t="s">
        <v>1166</v>
      </c>
      <c r="K103" s="57" t="s">
        <v>20</v>
      </c>
      <c r="L103" s="37" t="s">
        <v>885</v>
      </c>
      <c r="M103" s="37" t="s">
        <v>323</v>
      </c>
      <c r="N103" s="37" t="s">
        <v>330</v>
      </c>
      <c r="O103" s="29" t="s">
        <v>2</v>
      </c>
      <c r="P103" s="37">
        <v>4</v>
      </c>
      <c r="Q103" s="37" t="s">
        <v>1178</v>
      </c>
      <c r="R103" s="37" t="s">
        <v>1168</v>
      </c>
      <c r="S103" t="str">
        <f>IFERROR(HYPERLINK("#Main!A"&amp;MATCH(A103,Main!A:A,0),"Open"),HYPERLINK("#Main!A1","Open"))</f>
        <v>Open</v>
      </c>
      <c r="T103" t="str">
        <f>IFERROR(HYPERLINK("#Technical!A"&amp;MATCH(A103,Technical!A:A,0),"Open"),HYPERLINK("#Technical!A1","Open"))</f>
        <v>Open</v>
      </c>
    </row>
    <row r="104" spans="1:21" ht="30" customHeight="1" x14ac:dyDescent="0.25">
      <c r="A104" s="33" t="s">
        <v>216</v>
      </c>
      <c r="B104" s="28">
        <v>12497</v>
      </c>
      <c r="C104" s="55" t="s">
        <v>1012</v>
      </c>
      <c r="D104" s="28" t="s">
        <v>18</v>
      </c>
      <c r="E104" s="32" t="s">
        <v>72</v>
      </c>
      <c r="F104" s="28" t="s">
        <v>1164</v>
      </c>
      <c r="G104" s="39">
        <v>67</v>
      </c>
      <c r="H104" s="28">
        <v>0</v>
      </c>
      <c r="I104" s="28" t="s">
        <v>1165</v>
      </c>
      <c r="J104" s="28" t="s">
        <v>1166</v>
      </c>
      <c r="K104" s="56" t="s">
        <v>20</v>
      </c>
      <c r="L104" s="28" t="s">
        <v>885</v>
      </c>
      <c r="M104" s="28" t="s">
        <v>323</v>
      </c>
      <c r="N104" s="28" t="s">
        <v>330</v>
      </c>
      <c r="O104" s="29" t="s">
        <v>2</v>
      </c>
      <c r="P104" s="28">
        <v>4</v>
      </c>
      <c r="Q104" s="28" t="s">
        <v>1179</v>
      </c>
      <c r="R104" s="28" t="s">
        <v>1168</v>
      </c>
      <c r="S104" s="34" t="str">
        <f>IFERROR(HYPERLINK("#Main!A"&amp;MATCH(A104,Main!A:A,0),"Open"),HYPERLINK("#Main!A1","Open"))</f>
        <v>Open</v>
      </c>
      <c r="T104" s="34" t="str">
        <f>IFERROR(HYPERLINK("#Technical!A"&amp;MATCH(A104,Technical!A:A,0),"Open"),HYPERLINK("#Technical!A1","Open"))</f>
        <v>Open</v>
      </c>
      <c r="U104" s="34"/>
    </row>
    <row r="105" spans="1:21" ht="30" customHeight="1" x14ac:dyDescent="0.25">
      <c r="A105" s="30" t="s">
        <v>224</v>
      </c>
      <c r="B105" s="37">
        <v>13098</v>
      </c>
      <c r="C105" s="55" t="s">
        <v>1014</v>
      </c>
      <c r="D105" s="37" t="s">
        <v>18</v>
      </c>
      <c r="E105" s="32" t="s">
        <v>72</v>
      </c>
      <c r="F105" s="37" t="s">
        <v>1164</v>
      </c>
      <c r="G105" s="42">
        <v>67</v>
      </c>
      <c r="H105" s="37">
        <v>0</v>
      </c>
      <c r="I105" s="37" t="s">
        <v>1165</v>
      </c>
      <c r="J105" s="37" t="s">
        <v>1166</v>
      </c>
      <c r="K105" s="57" t="s">
        <v>20</v>
      </c>
      <c r="L105" s="37" t="s">
        <v>885</v>
      </c>
      <c r="M105" s="37" t="s">
        <v>323</v>
      </c>
      <c r="N105" s="37" t="s">
        <v>330</v>
      </c>
      <c r="O105" s="29" t="s">
        <v>2</v>
      </c>
      <c r="P105" s="37">
        <v>4</v>
      </c>
      <c r="Q105" s="37" t="s">
        <v>1180</v>
      </c>
      <c r="R105" s="37" t="s">
        <v>1168</v>
      </c>
      <c r="S105" t="str">
        <f>IFERROR(HYPERLINK("#Main!A"&amp;MATCH(A105,Main!A:A,0),"Open"),HYPERLINK("#Main!A1","Open"))</f>
        <v>Open</v>
      </c>
      <c r="T105" t="str">
        <f>IFERROR(HYPERLINK("#Technical!A"&amp;MATCH(A105,Technical!A:A,0),"Open"),HYPERLINK("#Technical!A1","Open"))</f>
        <v>Open</v>
      </c>
    </row>
    <row r="106" spans="1:21" ht="30" customHeight="1" x14ac:dyDescent="0.25">
      <c r="A106" s="33" t="s">
        <v>233</v>
      </c>
      <c r="B106" s="28">
        <v>13549</v>
      </c>
      <c r="C106" s="55" t="s">
        <v>1016</v>
      </c>
      <c r="D106" s="28" t="s">
        <v>18</v>
      </c>
      <c r="E106" s="32" t="s">
        <v>72</v>
      </c>
      <c r="F106" s="28" t="s">
        <v>1164</v>
      </c>
      <c r="G106" s="39">
        <v>67</v>
      </c>
      <c r="H106" s="28">
        <v>0</v>
      </c>
      <c r="I106" s="28" t="s">
        <v>1165</v>
      </c>
      <c r="J106" s="28" t="s">
        <v>1166</v>
      </c>
      <c r="K106" s="56" t="s">
        <v>20</v>
      </c>
      <c r="L106" s="28" t="s">
        <v>885</v>
      </c>
      <c r="M106" s="28" t="s">
        <v>323</v>
      </c>
      <c r="N106" s="28" t="s">
        <v>330</v>
      </c>
      <c r="O106" s="29" t="s">
        <v>2</v>
      </c>
      <c r="P106" s="28">
        <v>4</v>
      </c>
      <c r="Q106" s="28" t="s">
        <v>1181</v>
      </c>
      <c r="R106" s="28" t="s">
        <v>1168</v>
      </c>
      <c r="S106" s="34" t="str">
        <f>IFERROR(HYPERLINK("#Main!A"&amp;MATCH(A106,Main!A:A,0),"Open"),HYPERLINK("#Main!A1","Open"))</f>
        <v>Open</v>
      </c>
      <c r="T106" s="34" t="str">
        <f>IFERROR(HYPERLINK("#Technical!A"&amp;MATCH(A106,Technical!A:A,0),"Open"),HYPERLINK("#Technical!A1","Open"))</f>
        <v>Open</v>
      </c>
      <c r="U106" s="34"/>
    </row>
    <row r="107" spans="1:21" ht="30" customHeight="1" x14ac:dyDescent="0.25">
      <c r="A107" s="30" t="s">
        <v>241</v>
      </c>
      <c r="B107" s="37">
        <v>13282</v>
      </c>
      <c r="C107" s="55" t="s">
        <v>1018</v>
      </c>
      <c r="D107" s="37" t="s">
        <v>18</v>
      </c>
      <c r="E107" s="32" t="s">
        <v>72</v>
      </c>
      <c r="F107" s="37" t="s">
        <v>1164</v>
      </c>
      <c r="G107" s="42">
        <v>67</v>
      </c>
      <c r="H107" s="37">
        <v>0</v>
      </c>
      <c r="I107" s="37" t="s">
        <v>1165</v>
      </c>
      <c r="J107" s="37" t="s">
        <v>1166</v>
      </c>
      <c r="K107" s="57" t="s">
        <v>20</v>
      </c>
      <c r="L107" s="37" t="s">
        <v>885</v>
      </c>
      <c r="M107" s="37" t="s">
        <v>323</v>
      </c>
      <c r="N107" s="37" t="s">
        <v>330</v>
      </c>
      <c r="O107" s="29" t="s">
        <v>2</v>
      </c>
      <c r="P107" s="37">
        <v>4</v>
      </c>
      <c r="Q107" s="37" t="s">
        <v>1182</v>
      </c>
      <c r="R107" s="37" t="s">
        <v>1168</v>
      </c>
      <c r="S107" t="str">
        <f>IFERROR(HYPERLINK("#Main!A"&amp;MATCH(A107,Main!A:A,0),"Open"),HYPERLINK("#Main!A1","Open"))</f>
        <v>Open</v>
      </c>
      <c r="T107" t="str">
        <f>IFERROR(HYPERLINK("#Technical!A"&amp;MATCH(A107,Technical!A:A,0),"Open"),HYPERLINK("#Technical!A1","Open"))</f>
        <v>Open</v>
      </c>
    </row>
    <row r="108" spans="1:21" ht="30" customHeight="1" x14ac:dyDescent="0.25">
      <c r="A108" s="33" t="s">
        <v>485</v>
      </c>
      <c r="B108" s="28">
        <v>12945</v>
      </c>
      <c r="C108" s="55" t="s">
        <v>1020</v>
      </c>
      <c r="D108" s="28" t="s">
        <v>18</v>
      </c>
      <c r="E108" s="32" t="s">
        <v>72</v>
      </c>
      <c r="F108" s="28" t="s">
        <v>1164</v>
      </c>
      <c r="G108" s="39">
        <v>67</v>
      </c>
      <c r="H108" s="28">
        <v>0</v>
      </c>
      <c r="I108" s="28" t="s">
        <v>1165</v>
      </c>
      <c r="J108" s="28" t="s">
        <v>1166</v>
      </c>
      <c r="K108" s="56" t="s">
        <v>20</v>
      </c>
      <c r="L108" s="28" t="s">
        <v>885</v>
      </c>
      <c r="M108" s="28" t="s">
        <v>323</v>
      </c>
      <c r="N108" s="28" t="s">
        <v>330</v>
      </c>
      <c r="O108" s="29" t="s">
        <v>2</v>
      </c>
      <c r="P108" s="28">
        <v>4</v>
      </c>
      <c r="Q108" s="28" t="s">
        <v>1183</v>
      </c>
      <c r="R108" s="28" t="s">
        <v>1168</v>
      </c>
      <c r="S108" s="34" t="str">
        <f>IFERROR(HYPERLINK("#Main!A"&amp;MATCH(A108,Main!A:A,0),"Open"),HYPERLINK("#Main!A1","Open"))</f>
        <v>Open</v>
      </c>
      <c r="T108" s="34" t="str">
        <f>IFERROR(HYPERLINK("#Technical!A"&amp;MATCH(A108,Technical!A:A,0),"Open"),HYPERLINK("#Technical!A1","Open"))</f>
        <v>Open</v>
      </c>
      <c r="U108" s="34"/>
    </row>
    <row r="109" spans="1:21" ht="30" customHeight="1" x14ac:dyDescent="0.25">
      <c r="A109" s="30" t="s">
        <v>488</v>
      </c>
      <c r="B109" s="37">
        <v>13179</v>
      </c>
      <c r="C109" s="55" t="s">
        <v>1022</v>
      </c>
      <c r="D109" s="37" t="s">
        <v>18</v>
      </c>
      <c r="E109" s="32" t="s">
        <v>72</v>
      </c>
      <c r="F109" s="37" t="s">
        <v>1164</v>
      </c>
      <c r="G109" s="42">
        <v>67</v>
      </c>
      <c r="H109" s="37">
        <v>0</v>
      </c>
      <c r="I109" s="37" t="s">
        <v>1165</v>
      </c>
      <c r="J109" s="37" t="s">
        <v>1166</v>
      </c>
      <c r="K109" s="57" t="s">
        <v>20</v>
      </c>
      <c r="L109" s="37" t="s">
        <v>885</v>
      </c>
      <c r="M109" s="37" t="s">
        <v>323</v>
      </c>
      <c r="N109" s="37" t="s">
        <v>330</v>
      </c>
      <c r="O109" s="29" t="s">
        <v>2</v>
      </c>
      <c r="P109" s="37">
        <v>4</v>
      </c>
      <c r="Q109" s="37" t="s">
        <v>1184</v>
      </c>
      <c r="R109" s="37" t="s">
        <v>1168</v>
      </c>
      <c r="S109" t="str">
        <f>IFERROR(HYPERLINK("#Main!A"&amp;MATCH(A109,Main!A:A,0),"Open"),HYPERLINK("#Main!A1","Open"))</f>
        <v>Open</v>
      </c>
      <c r="T109" t="str">
        <f>IFERROR(HYPERLINK("#Technical!A"&amp;MATCH(A109,Technical!A:A,0),"Open"),HYPERLINK("#Technical!A1","Open"))</f>
        <v>Open</v>
      </c>
    </row>
    <row r="110" spans="1:21" ht="30" customHeight="1" x14ac:dyDescent="0.25">
      <c r="A110" s="33" t="s">
        <v>491</v>
      </c>
      <c r="B110" s="28">
        <v>22401</v>
      </c>
      <c r="C110" s="55" t="s">
        <v>1024</v>
      </c>
      <c r="D110" s="28" t="s">
        <v>18</v>
      </c>
      <c r="E110" s="32" t="s">
        <v>72</v>
      </c>
      <c r="F110" s="28" t="s">
        <v>1164</v>
      </c>
      <c r="G110" s="39">
        <v>67</v>
      </c>
      <c r="H110" s="28">
        <v>0</v>
      </c>
      <c r="I110" s="28" t="s">
        <v>1165</v>
      </c>
      <c r="J110" s="28" t="s">
        <v>1166</v>
      </c>
      <c r="K110" s="56" t="s">
        <v>20</v>
      </c>
      <c r="L110" s="28" t="s">
        <v>885</v>
      </c>
      <c r="M110" s="28" t="s">
        <v>323</v>
      </c>
      <c r="N110" s="28" t="s">
        <v>330</v>
      </c>
      <c r="O110" s="29" t="s">
        <v>2</v>
      </c>
      <c r="P110" s="28">
        <v>4</v>
      </c>
      <c r="Q110" s="28" t="s">
        <v>1185</v>
      </c>
      <c r="R110" s="28" t="s">
        <v>1168</v>
      </c>
      <c r="S110" s="34" t="str">
        <f>IFERROR(HYPERLINK("#Main!A"&amp;MATCH(A110,Main!A:A,0),"Open"),HYPERLINK("#Main!A1","Open"))</f>
        <v>Open</v>
      </c>
      <c r="T110" s="34" t="str">
        <f>IFERROR(HYPERLINK("#Technical!A"&amp;MATCH(A110,Technical!A:A,0),"Open"),HYPERLINK("#Technical!A1","Open"))</f>
        <v>Open</v>
      </c>
      <c r="U110" s="34"/>
    </row>
    <row r="111" spans="1:21" ht="30" customHeight="1" x14ac:dyDescent="0.25">
      <c r="A111" s="30" t="s">
        <v>494</v>
      </c>
      <c r="B111" s="37">
        <v>18318</v>
      </c>
      <c r="C111" s="55" t="s">
        <v>1026</v>
      </c>
      <c r="D111" s="37" t="s">
        <v>18</v>
      </c>
      <c r="E111" s="32" t="s">
        <v>72</v>
      </c>
      <c r="F111" s="37" t="s">
        <v>1164</v>
      </c>
      <c r="G111" s="42">
        <v>67</v>
      </c>
      <c r="H111" s="37">
        <v>0</v>
      </c>
      <c r="I111" s="37" t="s">
        <v>1165</v>
      </c>
      <c r="J111" s="37" t="s">
        <v>1166</v>
      </c>
      <c r="K111" s="57" t="s">
        <v>20</v>
      </c>
      <c r="L111" s="37" t="s">
        <v>885</v>
      </c>
      <c r="M111" s="37" t="s">
        <v>323</v>
      </c>
      <c r="N111" s="37" t="s">
        <v>330</v>
      </c>
      <c r="O111" s="29" t="s">
        <v>2</v>
      </c>
      <c r="P111" s="37">
        <v>4</v>
      </c>
      <c r="Q111" s="37" t="s">
        <v>1186</v>
      </c>
      <c r="R111" s="37" t="s">
        <v>1168</v>
      </c>
      <c r="S111" t="str">
        <f>IFERROR(HYPERLINK("#Main!A"&amp;MATCH(A111,Main!A:A,0),"Open"),HYPERLINK("#Main!A1","Open"))</f>
        <v>Open</v>
      </c>
      <c r="T111" t="str">
        <f>IFERROR(HYPERLINK("#Technical!A"&amp;MATCH(A111,Technical!A:A,0),"Open"),HYPERLINK("#Technical!A1","Open"))</f>
        <v>Open</v>
      </c>
    </row>
    <row r="112" spans="1:21" ht="30" customHeight="1" x14ac:dyDescent="0.25">
      <c r="A112" s="33" t="s">
        <v>497</v>
      </c>
      <c r="B112" s="28">
        <v>23710</v>
      </c>
      <c r="C112" s="55" t="s">
        <v>1028</v>
      </c>
      <c r="D112" s="28" t="s">
        <v>18</v>
      </c>
      <c r="E112" s="32" t="s">
        <v>72</v>
      </c>
      <c r="F112" s="28" t="s">
        <v>1164</v>
      </c>
      <c r="G112" s="39">
        <v>67</v>
      </c>
      <c r="H112" s="28">
        <v>0</v>
      </c>
      <c r="I112" s="28" t="s">
        <v>1165</v>
      </c>
      <c r="J112" s="28" t="s">
        <v>1166</v>
      </c>
      <c r="K112" s="56" t="s">
        <v>20</v>
      </c>
      <c r="L112" s="28" t="s">
        <v>885</v>
      </c>
      <c r="M112" s="28" t="s">
        <v>323</v>
      </c>
      <c r="N112" s="28" t="s">
        <v>330</v>
      </c>
      <c r="O112" s="29" t="s">
        <v>2</v>
      </c>
      <c r="P112" s="28">
        <v>4</v>
      </c>
      <c r="Q112" s="28" t="s">
        <v>1187</v>
      </c>
      <c r="R112" s="28" t="s">
        <v>1168</v>
      </c>
      <c r="S112" s="34" t="str">
        <f>IFERROR(HYPERLINK("#Main!A"&amp;MATCH(A112,Main!A:A,0),"Open"),HYPERLINK("#Main!A1","Open"))</f>
        <v>Open</v>
      </c>
      <c r="T112" s="34" t="str">
        <f>IFERROR(HYPERLINK("#Technical!A"&amp;MATCH(A112,Technical!A:A,0),"Open"),HYPERLINK("#Technical!A1","Open"))</f>
        <v>Open</v>
      </c>
      <c r="U112" s="34"/>
    </row>
    <row r="113" spans="1:21" ht="30" customHeight="1" x14ac:dyDescent="0.25">
      <c r="A113" s="30" t="s">
        <v>500</v>
      </c>
      <c r="B113" s="37">
        <v>30257</v>
      </c>
      <c r="C113" s="55" t="s">
        <v>1030</v>
      </c>
      <c r="D113" s="37" t="s">
        <v>18</v>
      </c>
      <c r="E113" s="32" t="s">
        <v>72</v>
      </c>
      <c r="F113" s="37" t="s">
        <v>1164</v>
      </c>
      <c r="G113" s="42">
        <v>67</v>
      </c>
      <c r="H113" s="37">
        <v>0</v>
      </c>
      <c r="I113" s="37" t="s">
        <v>1165</v>
      </c>
      <c r="J113" s="37" t="s">
        <v>1166</v>
      </c>
      <c r="K113" s="57" t="s">
        <v>20</v>
      </c>
      <c r="L113" s="37" t="s">
        <v>885</v>
      </c>
      <c r="M113" s="37" t="s">
        <v>323</v>
      </c>
      <c r="N113" s="37" t="s">
        <v>330</v>
      </c>
      <c r="O113" s="29" t="s">
        <v>2</v>
      </c>
      <c r="P113" s="37">
        <v>4</v>
      </c>
      <c r="Q113" s="37" t="s">
        <v>1188</v>
      </c>
      <c r="R113" s="37" t="s">
        <v>1168</v>
      </c>
      <c r="S113" t="str">
        <f>IFERROR(HYPERLINK("#Main!A"&amp;MATCH(A113,Main!A:A,0),"Open"),HYPERLINK("#Main!A1","Open"))</f>
        <v>Open</v>
      </c>
      <c r="T113" t="str">
        <f>IFERROR(HYPERLINK("#Technical!A"&amp;MATCH(A113,Technical!A:A,0),"Open"),HYPERLINK("#Technical!A1","Open"))</f>
        <v>Open</v>
      </c>
    </row>
    <row r="114" spans="1:21" ht="30" customHeight="1" x14ac:dyDescent="0.25">
      <c r="A114" s="33" t="s">
        <v>503</v>
      </c>
      <c r="B114" s="28">
        <v>31478</v>
      </c>
      <c r="C114" s="55" t="s">
        <v>1032</v>
      </c>
      <c r="D114" s="28" t="s">
        <v>18</v>
      </c>
      <c r="E114" s="32" t="s">
        <v>72</v>
      </c>
      <c r="F114" s="28" t="s">
        <v>1164</v>
      </c>
      <c r="G114" s="39">
        <v>67</v>
      </c>
      <c r="H114" s="28">
        <v>0</v>
      </c>
      <c r="I114" s="28" t="s">
        <v>1165</v>
      </c>
      <c r="J114" s="28" t="s">
        <v>1166</v>
      </c>
      <c r="K114" s="56" t="s">
        <v>20</v>
      </c>
      <c r="L114" s="28" t="s">
        <v>885</v>
      </c>
      <c r="M114" s="28" t="s">
        <v>323</v>
      </c>
      <c r="N114" s="28" t="s">
        <v>330</v>
      </c>
      <c r="O114" s="29" t="s">
        <v>2</v>
      </c>
      <c r="P114" s="28">
        <v>4</v>
      </c>
      <c r="Q114" s="28" t="s">
        <v>1189</v>
      </c>
      <c r="R114" s="28" t="s">
        <v>1168</v>
      </c>
      <c r="S114" s="34" t="str">
        <f>IFERROR(HYPERLINK("#Main!A"&amp;MATCH(A114,Main!A:A,0),"Open"),HYPERLINK("#Main!A1","Open"))</f>
        <v>Open</v>
      </c>
      <c r="T114" s="34" t="str">
        <f>IFERROR(HYPERLINK("#Technical!A"&amp;MATCH(A114,Technical!A:A,0),"Open"),HYPERLINK("#Technical!A1","Open"))</f>
        <v>Open</v>
      </c>
      <c r="U114" s="34"/>
    </row>
    <row r="115" spans="1:21" ht="30" customHeight="1" x14ac:dyDescent="0.25">
      <c r="A115" s="30" t="s">
        <v>506</v>
      </c>
      <c r="B115" s="37">
        <v>33280</v>
      </c>
      <c r="C115" s="55" t="s">
        <v>1034</v>
      </c>
      <c r="D115" s="37" t="s">
        <v>18</v>
      </c>
      <c r="E115" s="32" t="s">
        <v>72</v>
      </c>
      <c r="F115" s="37" t="s">
        <v>1164</v>
      </c>
      <c r="G115" s="42">
        <v>67</v>
      </c>
      <c r="H115" s="37">
        <v>0</v>
      </c>
      <c r="I115" s="37" t="s">
        <v>1165</v>
      </c>
      <c r="J115" s="37" t="s">
        <v>1166</v>
      </c>
      <c r="K115" s="57" t="s">
        <v>20</v>
      </c>
      <c r="L115" s="37" t="s">
        <v>885</v>
      </c>
      <c r="M115" s="37" t="s">
        <v>323</v>
      </c>
      <c r="N115" s="37" t="s">
        <v>330</v>
      </c>
      <c r="O115" s="29" t="s">
        <v>2</v>
      </c>
      <c r="P115" s="37">
        <v>4</v>
      </c>
      <c r="Q115" s="37" t="s">
        <v>1190</v>
      </c>
      <c r="R115" s="37" t="s">
        <v>1168</v>
      </c>
      <c r="S115" t="str">
        <f>IFERROR(HYPERLINK("#Main!A"&amp;MATCH(A115,Main!A:A,0),"Open"),HYPERLINK("#Main!A1","Open"))</f>
        <v>Open</v>
      </c>
      <c r="T115" t="str">
        <f>IFERROR(HYPERLINK("#Technical!A"&amp;MATCH(A115,Technical!A:A,0),"Open"),HYPERLINK("#Technical!A1","Open"))</f>
        <v>Open</v>
      </c>
    </row>
    <row r="116" spans="1:21" ht="30" customHeight="1" x14ac:dyDescent="0.25">
      <c r="A116" s="33" t="s">
        <v>509</v>
      </c>
      <c r="B116" s="28">
        <v>22778</v>
      </c>
      <c r="C116" s="55" t="s">
        <v>1036</v>
      </c>
      <c r="D116" s="28" t="s">
        <v>18</v>
      </c>
      <c r="E116" s="32" t="s">
        <v>72</v>
      </c>
      <c r="F116" s="28" t="s">
        <v>1164</v>
      </c>
      <c r="G116" s="39">
        <v>67</v>
      </c>
      <c r="H116" s="28">
        <v>0</v>
      </c>
      <c r="I116" s="28" t="s">
        <v>1165</v>
      </c>
      <c r="J116" s="28" t="s">
        <v>1166</v>
      </c>
      <c r="K116" s="56" t="s">
        <v>20</v>
      </c>
      <c r="L116" s="28" t="s">
        <v>885</v>
      </c>
      <c r="M116" s="28" t="s">
        <v>323</v>
      </c>
      <c r="N116" s="28" t="s">
        <v>330</v>
      </c>
      <c r="O116" s="29" t="s">
        <v>2</v>
      </c>
      <c r="P116" s="28">
        <v>4</v>
      </c>
      <c r="Q116" s="28" t="s">
        <v>1191</v>
      </c>
      <c r="R116" s="28" t="s">
        <v>1168</v>
      </c>
      <c r="S116" s="34" t="str">
        <f>IFERROR(HYPERLINK("#Main!A"&amp;MATCH(A116,Main!A:A,0),"Open"),HYPERLINK("#Main!A1","Open"))</f>
        <v>Open</v>
      </c>
      <c r="T116" s="34" t="str">
        <f>IFERROR(HYPERLINK("#Technical!A"&amp;MATCH(A116,Technical!A:A,0),"Open"),HYPERLINK("#Technical!A1","Open"))</f>
        <v>Open</v>
      </c>
      <c r="U116" s="34"/>
    </row>
    <row r="117" spans="1:21" ht="30" customHeight="1" x14ac:dyDescent="0.25">
      <c r="A117" s="30" t="s">
        <v>512</v>
      </c>
      <c r="B117" s="37">
        <v>5057</v>
      </c>
      <c r="C117" s="55" t="s">
        <v>1038</v>
      </c>
      <c r="D117" s="37" t="s">
        <v>18</v>
      </c>
      <c r="E117" s="32" t="s">
        <v>72</v>
      </c>
      <c r="F117" s="37" t="s">
        <v>1164</v>
      </c>
      <c r="G117" s="42">
        <v>67</v>
      </c>
      <c r="H117" s="37">
        <v>0</v>
      </c>
      <c r="I117" s="37" t="s">
        <v>1165</v>
      </c>
      <c r="J117" s="37" t="s">
        <v>1166</v>
      </c>
      <c r="K117" s="57" t="s">
        <v>20</v>
      </c>
      <c r="L117" s="37" t="s">
        <v>885</v>
      </c>
      <c r="M117" s="37" t="s">
        <v>323</v>
      </c>
      <c r="N117" s="37" t="s">
        <v>330</v>
      </c>
      <c r="O117" s="29" t="s">
        <v>2</v>
      </c>
      <c r="P117" s="37">
        <v>4</v>
      </c>
      <c r="Q117" s="37" t="s">
        <v>1192</v>
      </c>
      <c r="R117" s="37" t="s">
        <v>1168</v>
      </c>
      <c r="S117" t="str">
        <f>IFERROR(HYPERLINK("#Main!A"&amp;MATCH(A117,Main!A:A,0),"Open"),HYPERLINK("#Main!A1","Open"))</f>
        <v>Open</v>
      </c>
      <c r="T117" t="str">
        <f>IFERROR(HYPERLINK("#Technical!A"&amp;MATCH(A117,Technical!A:A,0),"Open"),HYPERLINK("#Technical!A1","Open"))</f>
        <v>Open</v>
      </c>
    </row>
    <row r="118" spans="1:21" ht="30" customHeight="1" x14ac:dyDescent="0.25">
      <c r="A118" s="33" t="s">
        <v>476</v>
      </c>
      <c r="B118" s="28"/>
      <c r="C118" s="28"/>
      <c r="D118" s="28" t="s">
        <v>18</v>
      </c>
      <c r="E118" s="32" t="s">
        <v>72</v>
      </c>
      <c r="F118" s="28" t="s">
        <v>1164</v>
      </c>
      <c r="G118" s="39">
        <v>67</v>
      </c>
      <c r="H118" s="28">
        <v>0</v>
      </c>
      <c r="I118" s="28" t="s">
        <v>1165</v>
      </c>
      <c r="J118" s="28" t="s">
        <v>1166</v>
      </c>
      <c r="K118" s="56" t="s">
        <v>20</v>
      </c>
      <c r="L118" s="28" t="s">
        <v>885</v>
      </c>
      <c r="M118" s="28" t="s">
        <v>323</v>
      </c>
      <c r="N118" s="28" t="s">
        <v>330</v>
      </c>
      <c r="O118" s="29" t="s">
        <v>2</v>
      </c>
      <c r="P118" s="28">
        <v>4</v>
      </c>
      <c r="Q118" s="28" t="s">
        <v>1193</v>
      </c>
      <c r="R118" s="28" t="s">
        <v>1168</v>
      </c>
      <c r="S118" s="34" t="str">
        <f>IFERROR(HYPERLINK("#Main!A"&amp;MATCH(A118,Main!A:A,0),"Open"),HYPERLINK("#Main!A1","Open"))</f>
        <v>Open</v>
      </c>
      <c r="T118" s="34" t="str">
        <f>IFERROR(HYPERLINK("#Technical!A"&amp;MATCH(A118,Technical!A:A,0),"Open"),HYPERLINK("#Technical!A1","Open"))</f>
        <v>Open</v>
      </c>
      <c r="U118" s="34"/>
    </row>
    <row r="119" spans="1:21" ht="30" customHeight="1" x14ac:dyDescent="0.25">
      <c r="A119" s="30" t="s">
        <v>515</v>
      </c>
      <c r="B119" s="37">
        <v>12477</v>
      </c>
      <c r="C119" s="55" t="s">
        <v>1040</v>
      </c>
      <c r="D119" s="37" t="s">
        <v>18</v>
      </c>
      <c r="E119" s="32" t="s">
        <v>72</v>
      </c>
      <c r="F119" s="37" t="s">
        <v>1164</v>
      </c>
      <c r="G119" s="42">
        <v>67</v>
      </c>
      <c r="H119" s="37">
        <v>0</v>
      </c>
      <c r="I119" s="37" t="s">
        <v>1165</v>
      </c>
      <c r="J119" s="37" t="s">
        <v>1166</v>
      </c>
      <c r="K119" s="57" t="s">
        <v>20</v>
      </c>
      <c r="L119" s="37" t="s">
        <v>885</v>
      </c>
      <c r="M119" s="37" t="s">
        <v>323</v>
      </c>
      <c r="N119" s="37" t="s">
        <v>330</v>
      </c>
      <c r="O119" s="29" t="s">
        <v>2</v>
      </c>
      <c r="P119" s="37">
        <v>4</v>
      </c>
      <c r="Q119" s="37" t="s">
        <v>1194</v>
      </c>
      <c r="R119" s="37" t="s">
        <v>1168</v>
      </c>
      <c r="S119" t="str">
        <f>IFERROR(HYPERLINK("#Main!A"&amp;MATCH(A119,Main!A:A,0),"Open"),HYPERLINK("#Main!A1","Open"))</f>
        <v>Open</v>
      </c>
      <c r="T119" t="str">
        <f>IFERROR(HYPERLINK("#Technical!A"&amp;MATCH(A119,Technical!A:A,0),"Open"),HYPERLINK("#Technical!A1","Open"))</f>
        <v>Open</v>
      </c>
    </row>
    <row r="120" spans="1:21" ht="30" customHeight="1" x14ac:dyDescent="0.25">
      <c r="A120" s="33" t="s">
        <v>518</v>
      </c>
      <c r="B120" s="28">
        <v>21958</v>
      </c>
      <c r="C120" s="55" t="s">
        <v>1042</v>
      </c>
      <c r="D120" s="28" t="s">
        <v>18</v>
      </c>
      <c r="E120" s="32" t="s">
        <v>72</v>
      </c>
      <c r="F120" s="28" t="s">
        <v>1164</v>
      </c>
      <c r="G120" s="39">
        <v>67</v>
      </c>
      <c r="H120" s="28">
        <v>0</v>
      </c>
      <c r="I120" s="28" t="s">
        <v>1165</v>
      </c>
      <c r="J120" s="28" t="s">
        <v>1166</v>
      </c>
      <c r="K120" s="56" t="s">
        <v>20</v>
      </c>
      <c r="L120" s="28" t="s">
        <v>885</v>
      </c>
      <c r="M120" s="28" t="s">
        <v>323</v>
      </c>
      <c r="N120" s="28" t="s">
        <v>330</v>
      </c>
      <c r="O120" s="29" t="s">
        <v>2</v>
      </c>
      <c r="P120" s="28">
        <v>4</v>
      </c>
      <c r="Q120" s="28" t="s">
        <v>1195</v>
      </c>
      <c r="R120" s="28" t="s">
        <v>1168</v>
      </c>
      <c r="S120" s="34" t="str">
        <f>IFERROR(HYPERLINK("#Main!A"&amp;MATCH(A120,Main!A:A,0),"Open"),HYPERLINK("#Main!A1","Open"))</f>
        <v>Open</v>
      </c>
      <c r="T120" s="34" t="str">
        <f>IFERROR(HYPERLINK("#Technical!A"&amp;MATCH(A120,Technical!A:A,0),"Open"),HYPERLINK("#Technical!A1","Open"))</f>
        <v>Open</v>
      </c>
      <c r="U120" s="34"/>
    </row>
    <row r="121" spans="1:21" ht="30" customHeight="1" x14ac:dyDescent="0.25">
      <c r="A121" s="30" t="s">
        <v>521</v>
      </c>
      <c r="B121" s="37">
        <v>21984</v>
      </c>
      <c r="C121" s="55" t="s">
        <v>1044</v>
      </c>
      <c r="D121" s="37" t="s">
        <v>18</v>
      </c>
      <c r="E121" s="32" t="s">
        <v>72</v>
      </c>
      <c r="F121" s="37" t="s">
        <v>1164</v>
      </c>
      <c r="G121" s="42">
        <v>67</v>
      </c>
      <c r="H121" s="37">
        <v>0</v>
      </c>
      <c r="I121" s="37" t="s">
        <v>1165</v>
      </c>
      <c r="J121" s="37" t="s">
        <v>1166</v>
      </c>
      <c r="K121" s="57" t="s">
        <v>20</v>
      </c>
      <c r="L121" s="37" t="s">
        <v>885</v>
      </c>
      <c r="M121" s="37" t="s">
        <v>323</v>
      </c>
      <c r="N121" s="37" t="s">
        <v>330</v>
      </c>
      <c r="O121" s="29" t="s">
        <v>2</v>
      </c>
      <c r="P121" s="37">
        <v>4</v>
      </c>
      <c r="Q121" s="37" t="s">
        <v>1196</v>
      </c>
      <c r="R121" s="37" t="s">
        <v>1168</v>
      </c>
      <c r="S121" t="str">
        <f>IFERROR(HYPERLINK("#Main!A"&amp;MATCH(A121,Main!A:A,0),"Open"),HYPERLINK("#Main!A1","Open"))</f>
        <v>Open</v>
      </c>
      <c r="T121" t="str">
        <f>IFERROR(HYPERLINK("#Technical!A"&amp;MATCH(A121,Technical!A:A,0),"Open"),HYPERLINK("#Technical!A1","Open"))</f>
        <v>Open</v>
      </c>
    </row>
    <row r="122" spans="1:21" ht="30" customHeight="1" x14ac:dyDescent="0.25">
      <c r="A122" s="33" t="s">
        <v>524</v>
      </c>
      <c r="B122" s="28">
        <v>33131</v>
      </c>
      <c r="C122" s="55" t="s">
        <v>1046</v>
      </c>
      <c r="D122" s="28" t="s">
        <v>18</v>
      </c>
      <c r="E122" s="32" t="s">
        <v>72</v>
      </c>
      <c r="F122" s="28" t="s">
        <v>1164</v>
      </c>
      <c r="G122" s="39">
        <v>67</v>
      </c>
      <c r="H122" s="28">
        <v>0</v>
      </c>
      <c r="I122" s="28" t="s">
        <v>1165</v>
      </c>
      <c r="J122" s="28" t="s">
        <v>1166</v>
      </c>
      <c r="K122" s="56" t="s">
        <v>20</v>
      </c>
      <c r="L122" s="28" t="s">
        <v>885</v>
      </c>
      <c r="M122" s="28" t="s">
        <v>323</v>
      </c>
      <c r="N122" s="28" t="s">
        <v>330</v>
      </c>
      <c r="O122" s="29" t="s">
        <v>2</v>
      </c>
      <c r="P122" s="28">
        <v>4</v>
      </c>
      <c r="Q122" s="28" t="s">
        <v>1197</v>
      </c>
      <c r="R122" s="28" t="s">
        <v>1168</v>
      </c>
      <c r="S122" s="34" t="str">
        <f>IFERROR(HYPERLINK("#Main!A"&amp;MATCH(A122,Main!A:A,0),"Open"),HYPERLINK("#Main!A1","Open"))</f>
        <v>Open</v>
      </c>
      <c r="T122" s="34" t="str">
        <f>IFERROR(HYPERLINK("#Technical!A"&amp;MATCH(A122,Technical!A:A,0),"Open"),HYPERLINK("#Technical!A1","Open"))</f>
        <v>Open</v>
      </c>
      <c r="U122" s="34"/>
    </row>
    <row r="123" spans="1:21" ht="30" customHeight="1" x14ac:dyDescent="0.25">
      <c r="A123" s="30" t="s">
        <v>527</v>
      </c>
      <c r="B123" s="37">
        <v>21958</v>
      </c>
      <c r="C123" s="55" t="s">
        <v>1042</v>
      </c>
      <c r="D123" s="37" t="s">
        <v>18</v>
      </c>
      <c r="E123" s="32" t="s">
        <v>72</v>
      </c>
      <c r="F123" s="37" t="s">
        <v>1164</v>
      </c>
      <c r="G123" s="42">
        <v>67</v>
      </c>
      <c r="H123" s="37">
        <v>0</v>
      </c>
      <c r="I123" s="37" t="s">
        <v>1165</v>
      </c>
      <c r="J123" s="37" t="s">
        <v>1166</v>
      </c>
      <c r="K123" s="57" t="s">
        <v>20</v>
      </c>
      <c r="L123" s="37" t="s">
        <v>885</v>
      </c>
      <c r="M123" s="37" t="s">
        <v>323</v>
      </c>
      <c r="N123" s="37" t="s">
        <v>330</v>
      </c>
      <c r="O123" s="29" t="s">
        <v>2</v>
      </c>
      <c r="P123" s="37">
        <v>4</v>
      </c>
      <c r="Q123" s="37" t="s">
        <v>1198</v>
      </c>
      <c r="R123" s="37" t="s">
        <v>1168</v>
      </c>
      <c r="S123" t="str">
        <f>IFERROR(HYPERLINK("#Main!A"&amp;MATCH(A123,Main!A:A,0),"Open"),HYPERLINK("#Main!A1","Open"))</f>
        <v>Open</v>
      </c>
      <c r="T123" t="str">
        <f>IFERROR(HYPERLINK("#Technical!A"&amp;MATCH(A123,Technical!A:A,0),"Open"),HYPERLINK("#Technical!A1","Open"))</f>
        <v>Open</v>
      </c>
    </row>
    <row r="124" spans="1:21" ht="45" customHeight="1" x14ac:dyDescent="0.25">
      <c r="A124" s="33" t="s">
        <v>528</v>
      </c>
      <c r="B124" s="28">
        <v>25857</v>
      </c>
      <c r="C124" s="55" t="s">
        <v>1049</v>
      </c>
      <c r="D124" s="28" t="s">
        <v>18</v>
      </c>
      <c r="E124" s="32" t="s">
        <v>72</v>
      </c>
      <c r="F124" s="28" t="s">
        <v>1164</v>
      </c>
      <c r="G124" s="39">
        <v>67</v>
      </c>
      <c r="H124" s="28">
        <v>0</v>
      </c>
      <c r="I124" s="28" t="s">
        <v>1165</v>
      </c>
      <c r="J124" s="28" t="s">
        <v>1166</v>
      </c>
      <c r="K124" s="56" t="s">
        <v>20</v>
      </c>
      <c r="L124" s="28" t="s">
        <v>885</v>
      </c>
      <c r="M124" s="28" t="s">
        <v>323</v>
      </c>
      <c r="N124" s="28" t="s">
        <v>330</v>
      </c>
      <c r="O124" s="29" t="s">
        <v>2</v>
      </c>
      <c r="P124" s="28">
        <v>4</v>
      </c>
      <c r="Q124" s="28" t="s">
        <v>1199</v>
      </c>
      <c r="R124" s="28" t="s">
        <v>1168</v>
      </c>
      <c r="S124" s="34" t="str">
        <f>IFERROR(HYPERLINK("#Main!A"&amp;MATCH(A124,Main!A:A,0),"Open"),HYPERLINK("#Main!A1","Open"))</f>
        <v>Open</v>
      </c>
      <c r="T124" s="34" t="str">
        <f>IFERROR(HYPERLINK("#Technical!A"&amp;MATCH(A124,Technical!A:A,0),"Open"),HYPERLINK("#Technical!A1","Open"))</f>
        <v>Open</v>
      </c>
      <c r="U124" s="34"/>
    </row>
    <row r="125" spans="1:21" ht="30" customHeight="1" x14ac:dyDescent="0.25">
      <c r="A125" s="30" t="s">
        <v>531</v>
      </c>
      <c r="B125" s="37">
        <v>25788</v>
      </c>
      <c r="C125" s="55" t="s">
        <v>1051</v>
      </c>
      <c r="D125" s="37" t="s">
        <v>18</v>
      </c>
      <c r="E125" s="32" t="s">
        <v>72</v>
      </c>
      <c r="F125" s="37" t="s">
        <v>1164</v>
      </c>
      <c r="G125" s="42">
        <v>67</v>
      </c>
      <c r="H125" s="37">
        <v>0</v>
      </c>
      <c r="I125" s="37" t="s">
        <v>1165</v>
      </c>
      <c r="J125" s="37" t="s">
        <v>1166</v>
      </c>
      <c r="K125" s="57" t="s">
        <v>20</v>
      </c>
      <c r="L125" s="37" t="s">
        <v>885</v>
      </c>
      <c r="M125" s="37" t="s">
        <v>323</v>
      </c>
      <c r="N125" s="37" t="s">
        <v>330</v>
      </c>
      <c r="O125" s="29" t="s">
        <v>2</v>
      </c>
      <c r="P125" s="37">
        <v>4</v>
      </c>
      <c r="Q125" s="37" t="s">
        <v>1200</v>
      </c>
      <c r="R125" s="37" t="s">
        <v>1168</v>
      </c>
      <c r="S125" t="str">
        <f>IFERROR(HYPERLINK("#Main!A"&amp;MATCH(A125,Main!A:A,0),"Open"),HYPERLINK("#Main!A1","Open"))</f>
        <v>Open</v>
      </c>
      <c r="T125" t="str">
        <f>IFERROR(HYPERLINK("#Technical!A"&amp;MATCH(A125,Technical!A:A,0),"Open"),HYPERLINK("#Technical!A1","Open"))</f>
        <v>Open</v>
      </c>
    </row>
    <row r="126" spans="1:21" ht="30" customHeight="1" x14ac:dyDescent="0.25">
      <c r="A126" s="33" t="s">
        <v>534</v>
      </c>
      <c r="B126" s="28">
        <v>26290</v>
      </c>
      <c r="C126" s="55" t="s">
        <v>1053</v>
      </c>
      <c r="D126" s="28" t="s">
        <v>18</v>
      </c>
      <c r="E126" s="32" t="s">
        <v>72</v>
      </c>
      <c r="F126" s="28" t="s">
        <v>1164</v>
      </c>
      <c r="G126" s="39">
        <v>67</v>
      </c>
      <c r="H126" s="28">
        <v>0</v>
      </c>
      <c r="I126" s="28" t="s">
        <v>1165</v>
      </c>
      <c r="J126" s="28" t="s">
        <v>1166</v>
      </c>
      <c r="K126" s="56" t="s">
        <v>20</v>
      </c>
      <c r="L126" s="28" t="s">
        <v>885</v>
      </c>
      <c r="M126" s="28" t="s">
        <v>323</v>
      </c>
      <c r="N126" s="28" t="s">
        <v>330</v>
      </c>
      <c r="O126" s="29" t="s">
        <v>2</v>
      </c>
      <c r="P126" s="28">
        <v>4</v>
      </c>
      <c r="Q126" s="28" t="s">
        <v>1201</v>
      </c>
      <c r="R126" s="28" t="s">
        <v>1168</v>
      </c>
      <c r="S126" s="34" t="str">
        <f>IFERROR(HYPERLINK("#Main!A"&amp;MATCH(A126,Main!A:A,0),"Open"),HYPERLINK("#Main!A1","Open"))</f>
        <v>Open</v>
      </c>
      <c r="T126" s="34" t="str">
        <f>IFERROR(HYPERLINK("#Technical!A"&amp;MATCH(A126,Technical!A:A,0),"Open"),HYPERLINK("#Technical!A1","Open"))</f>
        <v>Open</v>
      </c>
      <c r="U126" s="34"/>
    </row>
    <row r="127" spans="1:21" ht="30" customHeight="1" x14ac:dyDescent="0.25">
      <c r="A127" s="30" t="s">
        <v>537</v>
      </c>
      <c r="B127" s="37">
        <v>24882</v>
      </c>
      <c r="C127" s="55" t="s">
        <v>1055</v>
      </c>
      <c r="D127" s="37" t="s">
        <v>18</v>
      </c>
      <c r="E127" s="32" t="s">
        <v>72</v>
      </c>
      <c r="F127" s="37" t="s">
        <v>1164</v>
      </c>
      <c r="G127" s="42">
        <v>67</v>
      </c>
      <c r="H127" s="37">
        <v>0</v>
      </c>
      <c r="I127" s="37" t="s">
        <v>1165</v>
      </c>
      <c r="J127" s="37" t="s">
        <v>1166</v>
      </c>
      <c r="K127" s="57" t="s">
        <v>20</v>
      </c>
      <c r="L127" s="37" t="s">
        <v>885</v>
      </c>
      <c r="M127" s="37" t="s">
        <v>323</v>
      </c>
      <c r="N127" s="37" t="s">
        <v>330</v>
      </c>
      <c r="O127" s="29" t="s">
        <v>2</v>
      </c>
      <c r="P127" s="37">
        <v>4</v>
      </c>
      <c r="Q127" s="37" t="s">
        <v>1202</v>
      </c>
      <c r="R127" s="37" t="s">
        <v>1168</v>
      </c>
      <c r="S127" t="str">
        <f>IFERROR(HYPERLINK("#Main!A"&amp;MATCH(A127,Main!A:A,0),"Open"),HYPERLINK("#Main!A1","Open"))</f>
        <v>Open</v>
      </c>
      <c r="T127" t="str">
        <f>IFERROR(HYPERLINK("#Technical!A"&amp;MATCH(A127,Technical!A:A,0),"Open"),HYPERLINK("#Technical!A1","Open"))</f>
        <v>Open</v>
      </c>
    </row>
    <row r="128" spans="1:21" ht="45" customHeight="1" x14ac:dyDescent="0.25">
      <c r="A128" s="33" t="s">
        <v>540</v>
      </c>
      <c r="B128" s="28">
        <v>22595</v>
      </c>
      <c r="C128" s="55" t="s">
        <v>1057</v>
      </c>
      <c r="D128" s="28" t="s">
        <v>18</v>
      </c>
      <c r="E128" s="32" t="s">
        <v>72</v>
      </c>
      <c r="F128" s="28" t="s">
        <v>1164</v>
      </c>
      <c r="G128" s="39">
        <v>67</v>
      </c>
      <c r="H128" s="28">
        <v>0</v>
      </c>
      <c r="I128" s="28" t="s">
        <v>1165</v>
      </c>
      <c r="J128" s="28" t="s">
        <v>1166</v>
      </c>
      <c r="K128" s="56" t="s">
        <v>20</v>
      </c>
      <c r="L128" s="28" t="s">
        <v>885</v>
      </c>
      <c r="M128" s="28" t="s">
        <v>323</v>
      </c>
      <c r="N128" s="28" t="s">
        <v>330</v>
      </c>
      <c r="O128" s="29" t="s">
        <v>2</v>
      </c>
      <c r="P128" s="28">
        <v>4</v>
      </c>
      <c r="Q128" s="28" t="s">
        <v>1203</v>
      </c>
      <c r="R128" s="28" t="s">
        <v>1168</v>
      </c>
      <c r="S128" s="34" t="str">
        <f>IFERROR(HYPERLINK("#Main!A"&amp;MATCH(A128,Main!A:A,0),"Open"),HYPERLINK("#Main!A1","Open"))</f>
        <v>Open</v>
      </c>
      <c r="T128" s="34" t="str">
        <f>IFERROR(HYPERLINK("#Technical!A"&amp;MATCH(A128,Technical!A:A,0),"Open"),HYPERLINK("#Technical!A1","Open"))</f>
        <v>Open</v>
      </c>
      <c r="U128" s="34"/>
    </row>
    <row r="129" spans="1:21" ht="30" customHeight="1" x14ac:dyDescent="0.25">
      <c r="A129" s="30" t="s">
        <v>543</v>
      </c>
      <c r="B129" s="37">
        <v>29496</v>
      </c>
      <c r="C129" s="55" t="s">
        <v>1059</v>
      </c>
      <c r="D129" s="37" t="s">
        <v>18</v>
      </c>
      <c r="E129" s="32" t="s">
        <v>72</v>
      </c>
      <c r="F129" s="37" t="s">
        <v>1164</v>
      </c>
      <c r="G129" s="42">
        <v>67</v>
      </c>
      <c r="H129" s="37">
        <v>0</v>
      </c>
      <c r="I129" s="37" t="s">
        <v>1165</v>
      </c>
      <c r="J129" s="37" t="s">
        <v>1166</v>
      </c>
      <c r="K129" s="57" t="s">
        <v>20</v>
      </c>
      <c r="L129" s="37" t="s">
        <v>885</v>
      </c>
      <c r="M129" s="37" t="s">
        <v>323</v>
      </c>
      <c r="N129" s="37" t="s">
        <v>330</v>
      </c>
      <c r="O129" s="29" t="s">
        <v>2</v>
      </c>
      <c r="P129" s="37">
        <v>4</v>
      </c>
      <c r="Q129" s="37" t="s">
        <v>1204</v>
      </c>
      <c r="R129" s="37" t="s">
        <v>1168</v>
      </c>
      <c r="S129" t="str">
        <f>IFERROR(HYPERLINK("#Main!A"&amp;MATCH(A129,Main!A:A,0),"Open"),HYPERLINK("#Main!A1","Open"))</f>
        <v>Open</v>
      </c>
      <c r="T129" t="str">
        <f>IFERROR(HYPERLINK("#Technical!A"&amp;MATCH(A129,Technical!A:A,0),"Open"),HYPERLINK("#Technical!A1","Open"))</f>
        <v>Open</v>
      </c>
    </row>
    <row r="130" spans="1:21" ht="30" customHeight="1" x14ac:dyDescent="0.25">
      <c r="A130" s="33" t="s">
        <v>546</v>
      </c>
      <c r="B130" s="28">
        <v>16104</v>
      </c>
      <c r="C130" s="55" t="s">
        <v>1061</v>
      </c>
      <c r="D130" s="28" t="s">
        <v>18</v>
      </c>
      <c r="E130" s="32" t="s">
        <v>72</v>
      </c>
      <c r="F130" s="28" t="s">
        <v>1164</v>
      </c>
      <c r="G130" s="39">
        <v>67</v>
      </c>
      <c r="H130" s="28">
        <v>0</v>
      </c>
      <c r="I130" s="28" t="s">
        <v>1165</v>
      </c>
      <c r="J130" s="28" t="s">
        <v>1166</v>
      </c>
      <c r="K130" s="56" t="s">
        <v>20</v>
      </c>
      <c r="L130" s="28" t="s">
        <v>885</v>
      </c>
      <c r="M130" s="28" t="s">
        <v>323</v>
      </c>
      <c r="N130" s="28" t="s">
        <v>330</v>
      </c>
      <c r="O130" s="29" t="s">
        <v>2</v>
      </c>
      <c r="P130" s="28">
        <v>4</v>
      </c>
      <c r="Q130" s="28" t="s">
        <v>1205</v>
      </c>
      <c r="R130" s="28" t="s">
        <v>1168</v>
      </c>
      <c r="S130" s="34" t="str">
        <f>IFERROR(HYPERLINK("#Main!A"&amp;MATCH(A130,Main!A:A,0),"Open"),HYPERLINK("#Main!A1","Open"))</f>
        <v>Open</v>
      </c>
      <c r="T130" s="34" t="str">
        <f>IFERROR(HYPERLINK("#Technical!A"&amp;MATCH(A130,Technical!A:A,0),"Open"),HYPERLINK("#Technical!A1","Open"))</f>
        <v>Open</v>
      </c>
      <c r="U130" s="34"/>
    </row>
    <row r="131" spans="1:21" ht="30" customHeight="1" x14ac:dyDescent="0.25">
      <c r="A131" s="30" t="s">
        <v>483</v>
      </c>
      <c r="B131" s="37"/>
      <c r="C131" s="37"/>
      <c r="D131" s="37" t="s">
        <v>18</v>
      </c>
      <c r="E131" s="32" t="s">
        <v>72</v>
      </c>
      <c r="F131" s="37" t="s">
        <v>1164</v>
      </c>
      <c r="G131" s="42">
        <v>67</v>
      </c>
      <c r="H131" s="37">
        <v>0</v>
      </c>
      <c r="I131" s="37" t="s">
        <v>1165</v>
      </c>
      <c r="J131" s="37" t="s">
        <v>1166</v>
      </c>
      <c r="K131" s="57" t="s">
        <v>20</v>
      </c>
      <c r="L131" s="37" t="s">
        <v>885</v>
      </c>
      <c r="M131" s="37" t="s">
        <v>323</v>
      </c>
      <c r="N131" s="37" t="s">
        <v>330</v>
      </c>
      <c r="O131" s="29" t="s">
        <v>2</v>
      </c>
      <c r="P131" s="37">
        <v>4</v>
      </c>
      <c r="Q131" s="37" t="s">
        <v>1206</v>
      </c>
      <c r="R131" s="37" t="s">
        <v>1168</v>
      </c>
      <c r="S131" t="str">
        <f>IFERROR(HYPERLINK("#Main!A"&amp;MATCH(A131,Main!A:A,0),"Open"),HYPERLINK("#Main!A1","Open"))</f>
        <v>Open</v>
      </c>
      <c r="T131" t="str">
        <f>IFERROR(HYPERLINK("#Technical!A"&amp;MATCH(A131,Technical!A:A,0),"Open"),HYPERLINK("#Technical!A1","Open"))</f>
        <v>Open</v>
      </c>
    </row>
    <row r="132" spans="1:21" ht="30" customHeight="1" x14ac:dyDescent="0.25">
      <c r="A132" s="33" t="s">
        <v>549</v>
      </c>
      <c r="B132" s="28">
        <v>23021</v>
      </c>
      <c r="C132" s="55" t="s">
        <v>1063</v>
      </c>
      <c r="D132" s="28" t="s">
        <v>18</v>
      </c>
      <c r="E132" s="32" t="s">
        <v>72</v>
      </c>
      <c r="F132" s="28" t="s">
        <v>1164</v>
      </c>
      <c r="G132" s="39">
        <v>67</v>
      </c>
      <c r="H132" s="28">
        <v>0</v>
      </c>
      <c r="I132" s="28" t="s">
        <v>1165</v>
      </c>
      <c r="J132" s="28" t="s">
        <v>1166</v>
      </c>
      <c r="K132" s="56" t="s">
        <v>20</v>
      </c>
      <c r="L132" s="28" t="s">
        <v>885</v>
      </c>
      <c r="M132" s="28" t="s">
        <v>323</v>
      </c>
      <c r="N132" s="28" t="s">
        <v>330</v>
      </c>
      <c r="O132" s="29" t="s">
        <v>2</v>
      </c>
      <c r="P132" s="28">
        <v>4</v>
      </c>
      <c r="Q132" s="28" t="s">
        <v>1207</v>
      </c>
      <c r="R132" s="28" t="s">
        <v>1168</v>
      </c>
      <c r="S132" s="34" t="str">
        <f>IFERROR(HYPERLINK("#Main!A"&amp;MATCH(A132,Main!A:A,0),"Open"),HYPERLINK("#Main!A1","Open"))</f>
        <v>Open</v>
      </c>
      <c r="T132" s="34" t="str">
        <f>IFERROR(HYPERLINK("#Technical!A"&amp;MATCH(A132,Technical!A:A,0),"Open"),HYPERLINK("#Technical!A1","Open"))</f>
        <v>Open</v>
      </c>
      <c r="U132" s="34"/>
    </row>
    <row r="133" spans="1:21" ht="30" customHeight="1" x14ac:dyDescent="0.25">
      <c r="A133" s="30" t="s">
        <v>552</v>
      </c>
      <c r="B133" s="37">
        <v>6553</v>
      </c>
      <c r="C133" s="55" t="s">
        <v>1065</v>
      </c>
      <c r="D133" s="37" t="s">
        <v>18</v>
      </c>
      <c r="E133" s="32" t="s">
        <v>72</v>
      </c>
      <c r="F133" s="37" t="s">
        <v>1164</v>
      </c>
      <c r="G133" s="42">
        <v>67</v>
      </c>
      <c r="H133" s="37">
        <v>0</v>
      </c>
      <c r="I133" s="37" t="s">
        <v>1165</v>
      </c>
      <c r="J133" s="37" t="s">
        <v>1166</v>
      </c>
      <c r="K133" s="57" t="s">
        <v>20</v>
      </c>
      <c r="L133" s="37" t="s">
        <v>885</v>
      </c>
      <c r="M133" s="37" t="s">
        <v>323</v>
      </c>
      <c r="N133" s="37" t="s">
        <v>330</v>
      </c>
      <c r="O133" s="29" t="s">
        <v>2</v>
      </c>
      <c r="P133" s="37">
        <v>4</v>
      </c>
      <c r="Q133" s="37" t="s">
        <v>1208</v>
      </c>
      <c r="R133" s="37" t="s">
        <v>1168</v>
      </c>
      <c r="S133" t="str">
        <f>IFERROR(HYPERLINK("#Main!A"&amp;MATCH(A133,Main!A:A,0),"Open"),HYPERLINK("#Main!A1","Open"))</f>
        <v>Open</v>
      </c>
      <c r="T133" t="str">
        <f>IFERROR(HYPERLINK("#Technical!A"&amp;MATCH(A133,Technical!A:A,0),"Open"),HYPERLINK("#Technical!A1","Open"))</f>
        <v>Open</v>
      </c>
    </row>
    <row r="134" spans="1:21" ht="30" customHeight="1" x14ac:dyDescent="0.25">
      <c r="A134" s="33" t="s">
        <v>555</v>
      </c>
      <c r="B134" s="28">
        <v>6816</v>
      </c>
      <c r="C134" s="55" t="s">
        <v>1067</v>
      </c>
      <c r="D134" s="28" t="s">
        <v>18</v>
      </c>
      <c r="E134" s="32" t="s">
        <v>72</v>
      </c>
      <c r="F134" s="28" t="s">
        <v>1164</v>
      </c>
      <c r="G134" s="39">
        <v>67</v>
      </c>
      <c r="H134" s="28">
        <v>0</v>
      </c>
      <c r="I134" s="28" t="s">
        <v>1165</v>
      </c>
      <c r="J134" s="28" t="s">
        <v>1166</v>
      </c>
      <c r="K134" s="56" t="s">
        <v>20</v>
      </c>
      <c r="L134" s="28" t="s">
        <v>885</v>
      </c>
      <c r="M134" s="28" t="s">
        <v>323</v>
      </c>
      <c r="N134" s="28" t="s">
        <v>330</v>
      </c>
      <c r="O134" s="29" t="s">
        <v>2</v>
      </c>
      <c r="P134" s="28">
        <v>4</v>
      </c>
      <c r="Q134" s="28" t="s">
        <v>1209</v>
      </c>
      <c r="R134" s="28" t="s">
        <v>1168</v>
      </c>
      <c r="S134" s="34" t="str">
        <f>IFERROR(HYPERLINK("#Main!A"&amp;MATCH(A134,Main!A:A,0),"Open"),HYPERLINK("#Main!A1","Open"))</f>
        <v>Open</v>
      </c>
      <c r="T134" s="34" t="str">
        <f>IFERROR(HYPERLINK("#Technical!A"&amp;MATCH(A134,Technical!A:A,0),"Open"),HYPERLINK("#Technical!A1","Open"))</f>
        <v>Open</v>
      </c>
      <c r="U134" s="34"/>
    </row>
    <row r="135" spans="1:21" ht="30" customHeight="1" x14ac:dyDescent="0.25">
      <c r="A135" s="30" t="s">
        <v>557</v>
      </c>
      <c r="B135" s="37">
        <v>6822</v>
      </c>
      <c r="C135" s="55" t="s">
        <v>1069</v>
      </c>
      <c r="D135" s="37" t="s">
        <v>18</v>
      </c>
      <c r="E135" s="32" t="s">
        <v>72</v>
      </c>
      <c r="F135" s="37" t="s">
        <v>1164</v>
      </c>
      <c r="G135" s="42">
        <v>67</v>
      </c>
      <c r="H135" s="37">
        <v>0</v>
      </c>
      <c r="I135" s="37" t="s">
        <v>1165</v>
      </c>
      <c r="J135" s="37" t="s">
        <v>1166</v>
      </c>
      <c r="K135" s="57" t="s">
        <v>20</v>
      </c>
      <c r="L135" s="37" t="s">
        <v>885</v>
      </c>
      <c r="M135" s="37" t="s">
        <v>323</v>
      </c>
      <c r="N135" s="37" t="s">
        <v>330</v>
      </c>
      <c r="O135" s="29" t="s">
        <v>2</v>
      </c>
      <c r="P135" s="37">
        <v>4</v>
      </c>
      <c r="Q135" s="37" t="s">
        <v>1210</v>
      </c>
      <c r="R135" s="37" t="s">
        <v>1168</v>
      </c>
      <c r="S135" t="str">
        <f>IFERROR(HYPERLINK("#Main!A"&amp;MATCH(A135,Main!A:A,0),"Open"),HYPERLINK("#Main!A1","Open"))</f>
        <v>Open</v>
      </c>
      <c r="T135" t="str">
        <f>IFERROR(HYPERLINK("#Technical!A"&amp;MATCH(A135,Technical!A:A,0),"Open"),HYPERLINK("#Technical!A1","Open"))</f>
        <v>Open</v>
      </c>
    </row>
    <row r="136" spans="1:21" ht="30" customHeight="1" x14ac:dyDescent="0.25">
      <c r="A136" s="33" t="s">
        <v>560</v>
      </c>
      <c r="B136" s="28">
        <v>4492</v>
      </c>
      <c r="C136" s="55" t="s">
        <v>1071</v>
      </c>
      <c r="D136" s="28" t="s">
        <v>18</v>
      </c>
      <c r="E136" s="32" t="s">
        <v>72</v>
      </c>
      <c r="F136" s="28" t="s">
        <v>1164</v>
      </c>
      <c r="G136" s="39">
        <v>67</v>
      </c>
      <c r="H136" s="28">
        <v>0</v>
      </c>
      <c r="I136" s="28" t="s">
        <v>1165</v>
      </c>
      <c r="J136" s="28" t="s">
        <v>1166</v>
      </c>
      <c r="K136" s="56" t="s">
        <v>20</v>
      </c>
      <c r="L136" s="28" t="s">
        <v>885</v>
      </c>
      <c r="M136" s="28" t="s">
        <v>323</v>
      </c>
      <c r="N136" s="28" t="s">
        <v>330</v>
      </c>
      <c r="O136" s="29" t="s">
        <v>2</v>
      </c>
      <c r="P136" s="28">
        <v>4</v>
      </c>
      <c r="Q136" s="28" t="s">
        <v>1211</v>
      </c>
      <c r="R136" s="28" t="s">
        <v>1168</v>
      </c>
      <c r="S136" s="34" t="str">
        <f>IFERROR(HYPERLINK("#Main!A"&amp;MATCH(A136,Main!A:A,0),"Open"),HYPERLINK("#Main!A1","Open"))</f>
        <v>Open</v>
      </c>
      <c r="T136" s="34" t="str">
        <f>IFERROR(HYPERLINK("#Technical!A"&amp;MATCH(A136,Technical!A:A,0),"Open"),HYPERLINK("#Technical!A1","Open"))</f>
        <v>Open</v>
      </c>
      <c r="U136" s="34"/>
    </row>
    <row r="137" spans="1:21" ht="30" customHeight="1" x14ac:dyDescent="0.25">
      <c r="A137" s="30" t="s">
        <v>563</v>
      </c>
      <c r="B137" s="37">
        <v>23001</v>
      </c>
      <c r="C137" s="55" t="s">
        <v>1073</v>
      </c>
      <c r="D137" s="37" t="s">
        <v>18</v>
      </c>
      <c r="E137" s="32" t="s">
        <v>72</v>
      </c>
      <c r="F137" s="37" t="s">
        <v>1164</v>
      </c>
      <c r="G137" s="42">
        <v>67</v>
      </c>
      <c r="H137" s="37">
        <v>0</v>
      </c>
      <c r="I137" s="37" t="s">
        <v>1165</v>
      </c>
      <c r="J137" s="37" t="s">
        <v>1166</v>
      </c>
      <c r="K137" s="57" t="s">
        <v>20</v>
      </c>
      <c r="L137" s="37" t="s">
        <v>885</v>
      </c>
      <c r="M137" s="37" t="s">
        <v>323</v>
      </c>
      <c r="N137" s="37" t="s">
        <v>330</v>
      </c>
      <c r="O137" s="29" t="s">
        <v>2</v>
      </c>
      <c r="P137" s="37">
        <v>4</v>
      </c>
      <c r="Q137" s="37" t="s">
        <v>1212</v>
      </c>
      <c r="R137" s="37" t="s">
        <v>1168</v>
      </c>
      <c r="S137" t="str">
        <f>IFERROR(HYPERLINK("#Main!A"&amp;MATCH(A137,Main!A:A,0),"Open"),HYPERLINK("#Main!A1","Open"))</f>
        <v>Open</v>
      </c>
      <c r="T137" t="str">
        <f>IFERROR(HYPERLINK("#Technical!A"&amp;MATCH(A137,Technical!A:A,0),"Open"),HYPERLINK("#Technical!A1","Open"))</f>
        <v>Open</v>
      </c>
    </row>
    <row r="138" spans="1:21" ht="30" customHeight="1" x14ac:dyDescent="0.25">
      <c r="A138" s="33" t="s">
        <v>566</v>
      </c>
      <c r="B138" s="28">
        <v>21952</v>
      </c>
      <c r="C138" s="55" t="s">
        <v>1075</v>
      </c>
      <c r="D138" s="28" t="s">
        <v>18</v>
      </c>
      <c r="E138" s="32" t="s">
        <v>72</v>
      </c>
      <c r="F138" s="28" t="s">
        <v>1164</v>
      </c>
      <c r="G138" s="39">
        <v>67</v>
      </c>
      <c r="H138" s="28">
        <v>0</v>
      </c>
      <c r="I138" s="28" t="s">
        <v>1165</v>
      </c>
      <c r="J138" s="28" t="s">
        <v>1166</v>
      </c>
      <c r="K138" s="56" t="s">
        <v>20</v>
      </c>
      <c r="L138" s="28" t="s">
        <v>885</v>
      </c>
      <c r="M138" s="28" t="s">
        <v>323</v>
      </c>
      <c r="N138" s="28" t="s">
        <v>330</v>
      </c>
      <c r="O138" s="29" t="s">
        <v>2</v>
      </c>
      <c r="P138" s="28">
        <v>4</v>
      </c>
      <c r="Q138" s="28" t="s">
        <v>1213</v>
      </c>
      <c r="R138" s="28" t="s">
        <v>1168</v>
      </c>
      <c r="S138" s="34" t="str">
        <f>IFERROR(HYPERLINK("#Main!A"&amp;MATCH(A138,Main!A:A,0),"Open"),HYPERLINK("#Main!A1","Open"))</f>
        <v>Open</v>
      </c>
      <c r="T138" s="34" t="str">
        <f>IFERROR(HYPERLINK("#Technical!A"&amp;MATCH(A138,Technical!A:A,0),"Open"),HYPERLINK("#Technical!A1","Open"))</f>
        <v>Open</v>
      </c>
      <c r="U138" s="34"/>
    </row>
    <row r="139" spans="1:21" ht="30" customHeight="1" x14ac:dyDescent="0.25">
      <c r="A139" s="30" t="s">
        <v>570</v>
      </c>
      <c r="B139" s="37">
        <v>22679</v>
      </c>
      <c r="C139" s="55" t="s">
        <v>1077</v>
      </c>
      <c r="D139" s="37" t="s">
        <v>18</v>
      </c>
      <c r="E139" s="32" t="s">
        <v>72</v>
      </c>
      <c r="F139" s="37" t="s">
        <v>1164</v>
      </c>
      <c r="G139" s="42">
        <v>67</v>
      </c>
      <c r="H139" s="37">
        <v>0</v>
      </c>
      <c r="I139" s="37" t="s">
        <v>1165</v>
      </c>
      <c r="J139" s="37" t="s">
        <v>1166</v>
      </c>
      <c r="K139" s="57" t="s">
        <v>20</v>
      </c>
      <c r="L139" s="37" t="s">
        <v>885</v>
      </c>
      <c r="M139" s="37" t="s">
        <v>323</v>
      </c>
      <c r="N139" s="37" t="s">
        <v>330</v>
      </c>
      <c r="O139" s="29" t="s">
        <v>2</v>
      </c>
      <c r="P139" s="37">
        <v>4</v>
      </c>
      <c r="Q139" s="37" t="s">
        <v>1214</v>
      </c>
      <c r="R139" s="37" t="s">
        <v>1168</v>
      </c>
      <c r="S139" t="str">
        <f>IFERROR(HYPERLINK("#Main!A"&amp;MATCH(A139,Main!A:A,0),"Open"),HYPERLINK("#Main!A1","Open"))</f>
        <v>Open</v>
      </c>
      <c r="T139" t="str">
        <f>IFERROR(HYPERLINK("#Technical!A"&amp;MATCH(A139,Technical!A:A,0),"Open"),HYPERLINK("#Technical!A1","Open"))</f>
        <v>Open</v>
      </c>
    </row>
    <row r="140" spans="1:21" ht="30" customHeight="1" x14ac:dyDescent="0.25">
      <c r="A140" s="33" t="s">
        <v>573</v>
      </c>
      <c r="B140" s="28">
        <v>34622</v>
      </c>
      <c r="C140" s="55" t="s">
        <v>1079</v>
      </c>
      <c r="D140" s="28" t="s">
        <v>18</v>
      </c>
      <c r="E140" s="32" t="s">
        <v>72</v>
      </c>
      <c r="F140" s="28" t="s">
        <v>1164</v>
      </c>
      <c r="G140" s="39">
        <v>67</v>
      </c>
      <c r="H140" s="28">
        <v>0</v>
      </c>
      <c r="I140" s="28" t="s">
        <v>1165</v>
      </c>
      <c r="J140" s="28" t="s">
        <v>1166</v>
      </c>
      <c r="K140" s="56" t="s">
        <v>20</v>
      </c>
      <c r="L140" s="28" t="s">
        <v>885</v>
      </c>
      <c r="M140" s="28" t="s">
        <v>323</v>
      </c>
      <c r="N140" s="28" t="s">
        <v>330</v>
      </c>
      <c r="O140" s="29" t="s">
        <v>2</v>
      </c>
      <c r="P140" s="28">
        <v>4</v>
      </c>
      <c r="Q140" s="28" t="s">
        <v>1215</v>
      </c>
      <c r="R140" s="28" t="s">
        <v>1168</v>
      </c>
      <c r="S140" s="34" t="str">
        <f>IFERROR(HYPERLINK("#Main!A"&amp;MATCH(A140,Main!A:A,0),"Open"),HYPERLINK("#Main!A1","Open"))</f>
        <v>Open</v>
      </c>
      <c r="T140" s="34" t="str">
        <f>IFERROR(HYPERLINK("#Technical!A"&amp;MATCH(A140,Technical!A:A,0),"Open"),HYPERLINK("#Technical!A1","Open"))</f>
        <v>Open</v>
      </c>
      <c r="U140" s="34"/>
    </row>
    <row r="141" spans="1:21" ht="30" customHeight="1" x14ac:dyDescent="0.25">
      <c r="A141" s="30" t="s">
        <v>577</v>
      </c>
      <c r="B141" s="37">
        <v>32554</v>
      </c>
      <c r="C141" s="55" t="s">
        <v>1081</v>
      </c>
      <c r="D141" s="37" t="s">
        <v>18</v>
      </c>
      <c r="E141" s="32" t="s">
        <v>72</v>
      </c>
      <c r="F141" s="37" t="s">
        <v>1164</v>
      </c>
      <c r="G141" s="42">
        <v>67</v>
      </c>
      <c r="H141" s="37">
        <v>0</v>
      </c>
      <c r="I141" s="37" t="s">
        <v>1165</v>
      </c>
      <c r="J141" s="37" t="s">
        <v>1166</v>
      </c>
      <c r="K141" s="57" t="s">
        <v>20</v>
      </c>
      <c r="L141" s="37" t="s">
        <v>885</v>
      </c>
      <c r="M141" s="37" t="s">
        <v>323</v>
      </c>
      <c r="N141" s="37" t="s">
        <v>330</v>
      </c>
      <c r="O141" s="29" t="s">
        <v>2</v>
      </c>
      <c r="P141" s="37">
        <v>4</v>
      </c>
      <c r="Q141" s="37" t="s">
        <v>1216</v>
      </c>
      <c r="R141" s="37" t="s">
        <v>1168</v>
      </c>
      <c r="S141" t="str">
        <f>IFERROR(HYPERLINK("#Main!A"&amp;MATCH(A141,Main!A:A,0),"Open"),HYPERLINK("#Main!A1","Open"))</f>
        <v>Open</v>
      </c>
      <c r="T141" t="str">
        <f>IFERROR(HYPERLINK("#Technical!A"&amp;MATCH(A141,Technical!A:A,0),"Open"),HYPERLINK("#Technical!A1","Open"))</f>
        <v>Open</v>
      </c>
    </row>
    <row r="142" spans="1:21" ht="30" customHeight="1" x14ac:dyDescent="0.25">
      <c r="A142" s="33" t="s">
        <v>579</v>
      </c>
      <c r="B142" s="28">
        <v>34552</v>
      </c>
      <c r="C142" s="55" t="s">
        <v>1083</v>
      </c>
      <c r="D142" s="28" t="s">
        <v>18</v>
      </c>
      <c r="E142" s="32" t="s">
        <v>72</v>
      </c>
      <c r="F142" s="28" t="s">
        <v>1164</v>
      </c>
      <c r="G142" s="39">
        <v>67</v>
      </c>
      <c r="H142" s="28">
        <v>0</v>
      </c>
      <c r="I142" s="28" t="s">
        <v>1165</v>
      </c>
      <c r="J142" s="28" t="s">
        <v>1166</v>
      </c>
      <c r="K142" s="56" t="s">
        <v>20</v>
      </c>
      <c r="L142" s="28" t="s">
        <v>885</v>
      </c>
      <c r="M142" s="28" t="s">
        <v>323</v>
      </c>
      <c r="N142" s="28" t="s">
        <v>330</v>
      </c>
      <c r="O142" s="29" t="s">
        <v>2</v>
      </c>
      <c r="P142" s="28">
        <v>4</v>
      </c>
      <c r="Q142" s="28" t="s">
        <v>1217</v>
      </c>
      <c r="R142" s="28" t="s">
        <v>1168</v>
      </c>
      <c r="S142" s="34" t="str">
        <f>IFERROR(HYPERLINK("#Main!A"&amp;MATCH(A142,Main!A:A,0),"Open"),HYPERLINK("#Main!A1","Open"))</f>
        <v>Open</v>
      </c>
      <c r="T142" s="34" t="str">
        <f>IFERROR(HYPERLINK("#Technical!A"&amp;MATCH(A142,Technical!A:A,0),"Open"),HYPERLINK("#Technical!A1","Open"))</f>
        <v>Open</v>
      </c>
      <c r="U142" s="34"/>
    </row>
    <row r="143" spans="1:21" ht="30" customHeight="1" x14ac:dyDescent="0.25">
      <c r="A143" s="30" t="s">
        <v>582</v>
      </c>
      <c r="B143" s="37">
        <v>28742</v>
      </c>
      <c r="C143" s="55" t="s">
        <v>1085</v>
      </c>
      <c r="D143" s="37" t="s">
        <v>18</v>
      </c>
      <c r="E143" s="32" t="s">
        <v>72</v>
      </c>
      <c r="F143" s="37" t="s">
        <v>1164</v>
      </c>
      <c r="G143" s="42">
        <v>67</v>
      </c>
      <c r="H143" s="37">
        <v>0</v>
      </c>
      <c r="I143" s="37" t="s">
        <v>1165</v>
      </c>
      <c r="J143" s="37" t="s">
        <v>1166</v>
      </c>
      <c r="K143" s="57" t="s">
        <v>20</v>
      </c>
      <c r="L143" s="37" t="s">
        <v>885</v>
      </c>
      <c r="M143" s="37" t="s">
        <v>323</v>
      </c>
      <c r="N143" s="37" t="s">
        <v>330</v>
      </c>
      <c r="O143" s="29" t="s">
        <v>2</v>
      </c>
      <c r="P143" s="37">
        <v>4</v>
      </c>
      <c r="Q143" s="37" t="s">
        <v>1218</v>
      </c>
      <c r="R143" s="37" t="s">
        <v>1168</v>
      </c>
      <c r="S143" t="str">
        <f>IFERROR(HYPERLINK("#Main!A"&amp;MATCH(A143,Main!A:A,0),"Open"),HYPERLINK("#Main!A1","Open"))</f>
        <v>Open</v>
      </c>
      <c r="T143" t="str">
        <f>IFERROR(HYPERLINK("#Technical!A"&amp;MATCH(A143,Technical!A:A,0),"Open"),HYPERLINK("#Technical!A1","Open"))</f>
        <v>Open</v>
      </c>
    </row>
    <row r="144" spans="1:21" ht="30" customHeight="1" x14ac:dyDescent="0.25">
      <c r="A144" s="33" t="s">
        <v>585</v>
      </c>
      <c r="B144" s="28">
        <v>9075</v>
      </c>
      <c r="C144" s="55" t="s">
        <v>1087</v>
      </c>
      <c r="D144" s="28" t="s">
        <v>18</v>
      </c>
      <c r="E144" s="32" t="s">
        <v>72</v>
      </c>
      <c r="F144" s="28" t="s">
        <v>1164</v>
      </c>
      <c r="G144" s="39">
        <v>67</v>
      </c>
      <c r="H144" s="28">
        <v>0</v>
      </c>
      <c r="I144" s="28" t="s">
        <v>1165</v>
      </c>
      <c r="J144" s="28" t="s">
        <v>1166</v>
      </c>
      <c r="K144" s="56" t="s">
        <v>20</v>
      </c>
      <c r="L144" s="28" t="s">
        <v>885</v>
      </c>
      <c r="M144" s="28" t="s">
        <v>323</v>
      </c>
      <c r="N144" s="28" t="s">
        <v>330</v>
      </c>
      <c r="O144" s="29" t="s">
        <v>2</v>
      </c>
      <c r="P144" s="28">
        <v>4</v>
      </c>
      <c r="Q144" s="28" t="s">
        <v>1219</v>
      </c>
      <c r="R144" s="28" t="s">
        <v>1168</v>
      </c>
      <c r="S144" s="34" t="str">
        <f>IFERROR(HYPERLINK("#Main!A"&amp;MATCH(A144,Main!A:A,0),"Open"),HYPERLINK("#Main!A1","Open"))</f>
        <v>Open</v>
      </c>
      <c r="T144" s="34" t="str">
        <f>IFERROR(HYPERLINK("#Technical!A"&amp;MATCH(A144,Technical!A:A,0),"Open"),HYPERLINK("#Technical!A1","Open"))</f>
        <v>Open</v>
      </c>
      <c r="U144" s="34"/>
    </row>
    <row r="145" spans="1:21" ht="30" customHeight="1" x14ac:dyDescent="0.25">
      <c r="A145" s="30" t="s">
        <v>588</v>
      </c>
      <c r="B145" s="37">
        <v>20001</v>
      </c>
      <c r="C145" s="55" t="s">
        <v>1089</v>
      </c>
      <c r="D145" s="37" t="s">
        <v>18</v>
      </c>
      <c r="E145" s="32" t="s">
        <v>72</v>
      </c>
      <c r="F145" s="37" t="s">
        <v>1164</v>
      </c>
      <c r="G145" s="42">
        <v>67</v>
      </c>
      <c r="H145" s="37">
        <v>0</v>
      </c>
      <c r="I145" s="37" t="s">
        <v>1165</v>
      </c>
      <c r="J145" s="37" t="s">
        <v>1166</v>
      </c>
      <c r="K145" s="57" t="s">
        <v>20</v>
      </c>
      <c r="L145" s="37" t="s">
        <v>885</v>
      </c>
      <c r="M145" s="37" t="s">
        <v>323</v>
      </c>
      <c r="N145" s="37" t="s">
        <v>330</v>
      </c>
      <c r="O145" s="29" t="s">
        <v>2</v>
      </c>
      <c r="P145" s="37">
        <v>4</v>
      </c>
      <c r="Q145" s="37" t="s">
        <v>1220</v>
      </c>
      <c r="R145" s="37" t="s">
        <v>1168</v>
      </c>
      <c r="S145" t="str">
        <f>IFERROR(HYPERLINK("#Main!A"&amp;MATCH(A145,Main!A:A,0),"Open"),HYPERLINK("#Main!A1","Open"))</f>
        <v>Open</v>
      </c>
      <c r="T145" t="str">
        <f>IFERROR(HYPERLINK("#Technical!A"&amp;MATCH(A145,Technical!A:A,0),"Open"),HYPERLINK("#Technical!A1","Open"))</f>
        <v>Open</v>
      </c>
    </row>
    <row r="146" spans="1:21" ht="30" customHeight="1" x14ac:dyDescent="0.25">
      <c r="A146" s="33" t="s">
        <v>591</v>
      </c>
      <c r="B146" s="28">
        <v>19980</v>
      </c>
      <c r="C146" s="55" t="s">
        <v>1091</v>
      </c>
      <c r="D146" s="28" t="s">
        <v>18</v>
      </c>
      <c r="E146" s="32" t="s">
        <v>72</v>
      </c>
      <c r="F146" s="28" t="s">
        <v>1164</v>
      </c>
      <c r="G146" s="39">
        <v>67</v>
      </c>
      <c r="H146" s="28">
        <v>0</v>
      </c>
      <c r="I146" s="28" t="s">
        <v>1165</v>
      </c>
      <c r="J146" s="28" t="s">
        <v>1166</v>
      </c>
      <c r="K146" s="56" t="s">
        <v>20</v>
      </c>
      <c r="L146" s="28" t="s">
        <v>885</v>
      </c>
      <c r="M146" s="28" t="s">
        <v>323</v>
      </c>
      <c r="N146" s="28" t="s">
        <v>330</v>
      </c>
      <c r="O146" s="29" t="s">
        <v>2</v>
      </c>
      <c r="P146" s="28">
        <v>4</v>
      </c>
      <c r="Q146" s="28" t="s">
        <v>1221</v>
      </c>
      <c r="R146" s="28" t="s">
        <v>1168</v>
      </c>
      <c r="S146" s="34" t="str">
        <f>IFERROR(HYPERLINK("#Main!A"&amp;MATCH(A146,Main!A:A,0),"Open"),HYPERLINK("#Main!A1","Open"))</f>
        <v>Open</v>
      </c>
      <c r="T146" s="34" t="str">
        <f>IFERROR(HYPERLINK("#Technical!A"&amp;MATCH(A146,Technical!A:A,0),"Open"),HYPERLINK("#Technical!A1","Open"))</f>
        <v>Open</v>
      </c>
      <c r="U146" s="34"/>
    </row>
    <row r="147" spans="1:21" ht="30" customHeight="1" x14ac:dyDescent="0.25">
      <c r="A147" s="30" t="s">
        <v>594</v>
      </c>
      <c r="B147" s="37">
        <v>10823</v>
      </c>
      <c r="C147" s="55" t="s">
        <v>1093</v>
      </c>
      <c r="D147" s="37" t="s">
        <v>18</v>
      </c>
      <c r="E147" s="32" t="s">
        <v>72</v>
      </c>
      <c r="F147" s="37" t="s">
        <v>1164</v>
      </c>
      <c r="G147" s="42">
        <v>67</v>
      </c>
      <c r="H147" s="37">
        <v>0</v>
      </c>
      <c r="I147" s="37" t="s">
        <v>1165</v>
      </c>
      <c r="J147" s="37" t="s">
        <v>1166</v>
      </c>
      <c r="K147" s="57" t="s">
        <v>20</v>
      </c>
      <c r="L147" s="37" t="s">
        <v>885</v>
      </c>
      <c r="M147" s="37" t="s">
        <v>323</v>
      </c>
      <c r="N147" s="37" t="s">
        <v>330</v>
      </c>
      <c r="O147" s="29" t="s">
        <v>2</v>
      </c>
      <c r="P147" s="37">
        <v>4</v>
      </c>
      <c r="Q147" s="37" t="s">
        <v>1222</v>
      </c>
      <c r="R147" s="37" t="s">
        <v>1168</v>
      </c>
      <c r="S147" t="str">
        <f>IFERROR(HYPERLINK("#Main!A"&amp;MATCH(A147,Main!A:A,0),"Open"),HYPERLINK("#Main!A1","Open"))</f>
        <v>Open</v>
      </c>
      <c r="T147" t="str">
        <f>IFERROR(HYPERLINK("#Technical!A"&amp;MATCH(A147,Technical!A:A,0),"Open"),HYPERLINK("#Technical!A1","Open"))</f>
        <v>Open</v>
      </c>
    </row>
    <row r="148" spans="1:21" ht="30" customHeight="1" x14ac:dyDescent="0.25">
      <c r="A148" s="33" t="s">
        <v>597</v>
      </c>
      <c r="B148" s="28">
        <v>17908</v>
      </c>
      <c r="C148" s="55" t="s">
        <v>975</v>
      </c>
      <c r="D148" s="28" t="s">
        <v>18</v>
      </c>
      <c r="E148" s="32" t="s">
        <v>72</v>
      </c>
      <c r="F148" s="28" t="s">
        <v>1164</v>
      </c>
      <c r="G148" s="39">
        <v>67</v>
      </c>
      <c r="H148" s="28">
        <v>0</v>
      </c>
      <c r="I148" s="28" t="s">
        <v>1165</v>
      </c>
      <c r="J148" s="28" t="s">
        <v>1166</v>
      </c>
      <c r="K148" s="56" t="s">
        <v>20</v>
      </c>
      <c r="L148" s="28" t="s">
        <v>885</v>
      </c>
      <c r="M148" s="28" t="s">
        <v>323</v>
      </c>
      <c r="N148" s="28" t="s">
        <v>330</v>
      </c>
      <c r="O148" s="29" t="s">
        <v>2</v>
      </c>
      <c r="P148" s="28">
        <v>4</v>
      </c>
      <c r="Q148" s="28" t="s">
        <v>1223</v>
      </c>
      <c r="R148" s="28" t="s">
        <v>1168</v>
      </c>
      <c r="S148" s="34" t="str">
        <f>IFERROR(HYPERLINK("#Main!A"&amp;MATCH(A148,Main!A:A,0),"Open"),HYPERLINK("#Main!A1","Open"))</f>
        <v>Open</v>
      </c>
      <c r="T148" s="34" t="str">
        <f>IFERROR(HYPERLINK("#Technical!A"&amp;MATCH(A148,Technical!A:A,0),"Open"),HYPERLINK("#Technical!A1","Open"))</f>
        <v>Open</v>
      </c>
      <c r="U148" s="34"/>
    </row>
    <row r="149" spans="1:21" ht="30" customHeight="1" x14ac:dyDescent="0.25">
      <c r="A149" s="30" t="s">
        <v>601</v>
      </c>
      <c r="B149" s="37">
        <v>24640</v>
      </c>
      <c r="C149" s="55" t="s">
        <v>1096</v>
      </c>
      <c r="D149" s="37" t="s">
        <v>18</v>
      </c>
      <c r="E149" s="32" t="s">
        <v>72</v>
      </c>
      <c r="F149" s="37" t="s">
        <v>1164</v>
      </c>
      <c r="G149" s="42">
        <v>67</v>
      </c>
      <c r="H149" s="37">
        <v>0</v>
      </c>
      <c r="I149" s="37" t="s">
        <v>1165</v>
      </c>
      <c r="J149" s="37" t="s">
        <v>1166</v>
      </c>
      <c r="K149" s="57" t="s">
        <v>20</v>
      </c>
      <c r="L149" s="37" t="s">
        <v>885</v>
      </c>
      <c r="M149" s="37" t="s">
        <v>323</v>
      </c>
      <c r="N149" s="37" t="s">
        <v>330</v>
      </c>
      <c r="O149" s="29" t="s">
        <v>2</v>
      </c>
      <c r="P149" s="37">
        <v>4</v>
      </c>
      <c r="Q149" s="37" t="s">
        <v>1224</v>
      </c>
      <c r="R149" s="37" t="s">
        <v>1168</v>
      </c>
      <c r="S149" t="str">
        <f>IFERROR(HYPERLINK("#Main!A"&amp;MATCH(A149,Main!A:A,0),"Open"),HYPERLINK("#Main!A1","Open"))</f>
        <v>Open</v>
      </c>
      <c r="T149" t="str">
        <f>IFERROR(HYPERLINK("#Technical!A"&amp;MATCH(A149,Technical!A:A,0),"Open"),HYPERLINK("#Technical!A1","Open"))</f>
        <v>Open</v>
      </c>
    </row>
    <row r="150" spans="1:21" ht="30" customHeight="1" x14ac:dyDescent="0.25">
      <c r="A150" s="33" t="s">
        <v>604</v>
      </c>
      <c r="B150" s="28">
        <v>16472</v>
      </c>
      <c r="C150" s="55" t="s">
        <v>1098</v>
      </c>
      <c r="D150" s="28" t="s">
        <v>18</v>
      </c>
      <c r="E150" s="32" t="s">
        <v>72</v>
      </c>
      <c r="F150" s="28" t="s">
        <v>1164</v>
      </c>
      <c r="G150" s="39">
        <v>67</v>
      </c>
      <c r="H150" s="28">
        <v>0</v>
      </c>
      <c r="I150" s="28" t="s">
        <v>1165</v>
      </c>
      <c r="J150" s="28" t="s">
        <v>1166</v>
      </c>
      <c r="K150" s="56" t="s">
        <v>20</v>
      </c>
      <c r="L150" s="28" t="s">
        <v>885</v>
      </c>
      <c r="M150" s="28" t="s">
        <v>323</v>
      </c>
      <c r="N150" s="28" t="s">
        <v>330</v>
      </c>
      <c r="O150" s="29" t="s">
        <v>2</v>
      </c>
      <c r="P150" s="28">
        <v>4</v>
      </c>
      <c r="Q150" s="28" t="s">
        <v>1225</v>
      </c>
      <c r="R150" s="28" t="s">
        <v>1168</v>
      </c>
      <c r="S150" s="34" t="str">
        <f>IFERROR(HYPERLINK("#Main!A"&amp;MATCH(A150,Main!A:A,0),"Open"),HYPERLINK("#Main!A1","Open"))</f>
        <v>Open</v>
      </c>
      <c r="T150" s="34" t="str">
        <f>IFERROR(HYPERLINK("#Technical!A"&amp;MATCH(A150,Technical!A:A,0),"Open"),HYPERLINK("#Technical!A1","Open"))</f>
        <v>Open</v>
      </c>
      <c r="U150" s="34"/>
    </row>
    <row r="151" spans="1:21" ht="30" customHeight="1" x14ac:dyDescent="0.25">
      <c r="A151" s="30" t="s">
        <v>608</v>
      </c>
      <c r="B151" s="37">
        <v>92</v>
      </c>
      <c r="C151" s="55" t="s">
        <v>1100</v>
      </c>
      <c r="D151" s="37" t="s">
        <v>18</v>
      </c>
      <c r="E151" s="32" t="s">
        <v>72</v>
      </c>
      <c r="F151" s="37" t="s">
        <v>1164</v>
      </c>
      <c r="G151" s="42">
        <v>67</v>
      </c>
      <c r="H151" s="37">
        <v>0</v>
      </c>
      <c r="I151" s="37" t="s">
        <v>1165</v>
      </c>
      <c r="J151" s="37" t="s">
        <v>1166</v>
      </c>
      <c r="K151" s="57" t="s">
        <v>20</v>
      </c>
      <c r="L151" s="37" t="s">
        <v>885</v>
      </c>
      <c r="M151" s="37" t="s">
        <v>323</v>
      </c>
      <c r="N151" s="37" t="s">
        <v>330</v>
      </c>
      <c r="O151" s="29" t="s">
        <v>2</v>
      </c>
      <c r="P151" s="37">
        <v>4</v>
      </c>
      <c r="Q151" s="37" t="s">
        <v>1226</v>
      </c>
      <c r="R151" s="37" t="s">
        <v>1168</v>
      </c>
      <c r="S151" t="str">
        <f>IFERROR(HYPERLINK("#Main!A"&amp;MATCH(A151,Main!A:A,0),"Open"),HYPERLINK("#Main!A1","Open"))</f>
        <v>Open</v>
      </c>
      <c r="T151" t="str">
        <f>IFERROR(HYPERLINK("#Technical!A"&amp;MATCH(A151,Technical!A:A,0),"Open"),HYPERLINK("#Technical!A1","Open"))</f>
        <v>Open</v>
      </c>
    </row>
    <row r="152" spans="1:21" ht="30" customHeight="1" x14ac:dyDescent="0.25">
      <c r="A152" s="33" t="s">
        <v>611</v>
      </c>
      <c r="B152" s="28">
        <v>18478</v>
      </c>
      <c r="C152" s="55" t="s">
        <v>1102</v>
      </c>
      <c r="D152" s="28" t="s">
        <v>18</v>
      </c>
      <c r="E152" s="32" t="s">
        <v>72</v>
      </c>
      <c r="F152" s="28" t="s">
        <v>1164</v>
      </c>
      <c r="G152" s="39">
        <v>67</v>
      </c>
      <c r="H152" s="28">
        <v>0</v>
      </c>
      <c r="I152" s="28" t="s">
        <v>1165</v>
      </c>
      <c r="J152" s="28" t="s">
        <v>1166</v>
      </c>
      <c r="K152" s="56" t="s">
        <v>20</v>
      </c>
      <c r="L152" s="28" t="s">
        <v>885</v>
      </c>
      <c r="M152" s="28" t="s">
        <v>323</v>
      </c>
      <c r="N152" s="28" t="s">
        <v>330</v>
      </c>
      <c r="O152" s="29" t="s">
        <v>2</v>
      </c>
      <c r="P152" s="28">
        <v>4</v>
      </c>
      <c r="Q152" s="28" t="s">
        <v>1227</v>
      </c>
      <c r="R152" s="28" t="s">
        <v>1168</v>
      </c>
      <c r="S152" s="34" t="str">
        <f>IFERROR(HYPERLINK("#Main!A"&amp;MATCH(A152,Main!A:A,0),"Open"),HYPERLINK("#Main!A1","Open"))</f>
        <v>Open</v>
      </c>
      <c r="T152" s="34" t="str">
        <f>IFERROR(HYPERLINK("#Technical!A"&amp;MATCH(A152,Technical!A:A,0),"Open"),HYPERLINK("#Technical!A1","Open"))</f>
        <v>Open</v>
      </c>
      <c r="U152" s="34"/>
    </row>
    <row r="153" spans="1:21" ht="30" customHeight="1" x14ac:dyDescent="0.25">
      <c r="A153" s="30" t="s">
        <v>615</v>
      </c>
      <c r="B153" s="37">
        <v>19172</v>
      </c>
      <c r="C153" s="55" t="s">
        <v>1104</v>
      </c>
      <c r="D153" s="37" t="s">
        <v>18</v>
      </c>
      <c r="E153" s="32" t="s">
        <v>72</v>
      </c>
      <c r="F153" s="37" t="s">
        <v>1164</v>
      </c>
      <c r="G153" s="42">
        <v>67</v>
      </c>
      <c r="H153" s="37">
        <v>0</v>
      </c>
      <c r="I153" s="37" t="s">
        <v>1165</v>
      </c>
      <c r="J153" s="37" t="s">
        <v>1166</v>
      </c>
      <c r="K153" s="57" t="s">
        <v>20</v>
      </c>
      <c r="L153" s="37" t="s">
        <v>885</v>
      </c>
      <c r="M153" s="37" t="s">
        <v>323</v>
      </c>
      <c r="N153" s="37" t="s">
        <v>330</v>
      </c>
      <c r="O153" s="29" t="s">
        <v>2</v>
      </c>
      <c r="P153" s="37">
        <v>4</v>
      </c>
      <c r="Q153" s="37" t="s">
        <v>1228</v>
      </c>
      <c r="R153" s="37" t="s">
        <v>1168</v>
      </c>
      <c r="S153" t="str">
        <f>IFERROR(HYPERLINK("#Main!A"&amp;MATCH(A153,Main!A:A,0),"Open"),HYPERLINK("#Main!A1","Open"))</f>
        <v>Open</v>
      </c>
      <c r="T153" t="str">
        <f>IFERROR(HYPERLINK("#Technical!A"&amp;MATCH(A153,Technical!A:A,0),"Open"),HYPERLINK("#Technical!A1","Open"))</f>
        <v>Open</v>
      </c>
    </row>
    <row r="154" spans="1:21" ht="30" customHeight="1" x14ac:dyDescent="0.25">
      <c r="A154" s="33" t="s">
        <v>618</v>
      </c>
      <c r="B154" s="28">
        <v>88</v>
      </c>
      <c r="C154" s="55" t="s">
        <v>1106</v>
      </c>
      <c r="D154" s="28" t="s">
        <v>18</v>
      </c>
      <c r="E154" s="32" t="s">
        <v>72</v>
      </c>
      <c r="F154" s="28" t="s">
        <v>1164</v>
      </c>
      <c r="G154" s="39">
        <v>67</v>
      </c>
      <c r="H154" s="28">
        <v>0</v>
      </c>
      <c r="I154" s="28" t="s">
        <v>1165</v>
      </c>
      <c r="J154" s="28" t="s">
        <v>1166</v>
      </c>
      <c r="K154" s="56" t="s">
        <v>20</v>
      </c>
      <c r="L154" s="28" t="s">
        <v>885</v>
      </c>
      <c r="M154" s="28" t="s">
        <v>323</v>
      </c>
      <c r="N154" s="28" t="s">
        <v>330</v>
      </c>
      <c r="O154" s="29" t="s">
        <v>2</v>
      </c>
      <c r="P154" s="28">
        <v>4</v>
      </c>
      <c r="Q154" s="28" t="s">
        <v>1229</v>
      </c>
      <c r="R154" s="28" t="s">
        <v>1168</v>
      </c>
      <c r="S154" s="34" t="str">
        <f>IFERROR(HYPERLINK("#Main!A"&amp;MATCH(A154,Main!A:A,0),"Open"),HYPERLINK("#Main!A1","Open"))</f>
        <v>Open</v>
      </c>
      <c r="T154" s="34" t="str">
        <f>IFERROR(HYPERLINK("#Technical!A"&amp;MATCH(A154,Technical!A:A,0),"Open"),HYPERLINK("#Technical!A1","Open"))</f>
        <v>Open</v>
      </c>
      <c r="U154" s="34"/>
    </row>
    <row r="155" spans="1:21" ht="30" customHeight="1" x14ac:dyDescent="0.25">
      <c r="A155" s="30" t="s">
        <v>621</v>
      </c>
      <c r="B155" s="37">
        <v>16548</v>
      </c>
      <c r="C155" s="55" t="s">
        <v>1108</v>
      </c>
      <c r="D155" s="37" t="s">
        <v>18</v>
      </c>
      <c r="E155" s="32" t="s">
        <v>72</v>
      </c>
      <c r="F155" s="37" t="s">
        <v>1164</v>
      </c>
      <c r="G155" s="42">
        <v>67</v>
      </c>
      <c r="H155" s="37">
        <v>0</v>
      </c>
      <c r="I155" s="37" t="s">
        <v>1165</v>
      </c>
      <c r="J155" s="37" t="s">
        <v>1166</v>
      </c>
      <c r="K155" s="57" t="s">
        <v>20</v>
      </c>
      <c r="L155" s="37" t="s">
        <v>885</v>
      </c>
      <c r="M155" s="37" t="s">
        <v>323</v>
      </c>
      <c r="N155" s="37" t="s">
        <v>330</v>
      </c>
      <c r="O155" s="29" t="s">
        <v>2</v>
      </c>
      <c r="P155" s="37">
        <v>4</v>
      </c>
      <c r="Q155" s="37" t="s">
        <v>1230</v>
      </c>
      <c r="R155" s="37" t="s">
        <v>1168</v>
      </c>
      <c r="S155" t="str">
        <f>IFERROR(HYPERLINK("#Main!A"&amp;MATCH(A155,Main!A:A,0),"Open"),HYPERLINK("#Main!A1","Open"))</f>
        <v>Open</v>
      </c>
      <c r="T155" t="str">
        <f>IFERROR(HYPERLINK("#Technical!A"&amp;MATCH(A155,Technical!A:A,0),"Open"),HYPERLINK("#Technical!A1","Open"))</f>
        <v>Open</v>
      </c>
    </row>
    <row r="156" spans="1:21" ht="30" customHeight="1" x14ac:dyDescent="0.25">
      <c r="A156" s="33" t="s">
        <v>624</v>
      </c>
      <c r="B156" s="28">
        <v>20341</v>
      </c>
      <c r="C156" s="55" t="s">
        <v>1110</v>
      </c>
      <c r="D156" s="28" t="s">
        <v>18</v>
      </c>
      <c r="E156" s="32" t="s">
        <v>72</v>
      </c>
      <c r="F156" s="28" t="s">
        <v>1164</v>
      </c>
      <c r="G156" s="39">
        <v>67</v>
      </c>
      <c r="H156" s="28">
        <v>0</v>
      </c>
      <c r="I156" s="28" t="s">
        <v>1165</v>
      </c>
      <c r="J156" s="28" t="s">
        <v>1166</v>
      </c>
      <c r="K156" s="56" t="s">
        <v>20</v>
      </c>
      <c r="L156" s="28" t="s">
        <v>885</v>
      </c>
      <c r="M156" s="28" t="s">
        <v>323</v>
      </c>
      <c r="N156" s="28" t="s">
        <v>330</v>
      </c>
      <c r="O156" s="29" t="s">
        <v>2</v>
      </c>
      <c r="P156" s="28">
        <v>4</v>
      </c>
      <c r="Q156" s="28" t="s">
        <v>1231</v>
      </c>
      <c r="R156" s="28" t="s">
        <v>1168</v>
      </c>
      <c r="S156" s="34" t="str">
        <f>IFERROR(HYPERLINK("#Main!A"&amp;MATCH(A156,Main!A:A,0),"Open"),HYPERLINK("#Main!A1","Open"))</f>
        <v>Open</v>
      </c>
      <c r="T156" s="34" t="str">
        <f>IFERROR(HYPERLINK("#Technical!A"&amp;MATCH(A156,Technical!A:A,0),"Open"),HYPERLINK("#Technical!A1","Open"))</f>
        <v>Open</v>
      </c>
      <c r="U156" s="34"/>
    </row>
    <row r="157" spans="1:21" ht="30" customHeight="1" x14ac:dyDescent="0.25">
      <c r="A157" s="30" t="s">
        <v>626</v>
      </c>
      <c r="B157" s="37">
        <v>31820</v>
      </c>
      <c r="C157" s="55" t="s">
        <v>1112</v>
      </c>
      <c r="D157" s="37" t="s">
        <v>18</v>
      </c>
      <c r="E157" s="32" t="s">
        <v>72</v>
      </c>
      <c r="F157" s="37" t="s">
        <v>1164</v>
      </c>
      <c r="G157" s="42">
        <v>67</v>
      </c>
      <c r="H157" s="37">
        <v>0</v>
      </c>
      <c r="I157" s="37" t="s">
        <v>1165</v>
      </c>
      <c r="J157" s="37" t="s">
        <v>1166</v>
      </c>
      <c r="K157" s="57" t="s">
        <v>20</v>
      </c>
      <c r="L157" s="37" t="s">
        <v>885</v>
      </c>
      <c r="M157" s="37" t="s">
        <v>323</v>
      </c>
      <c r="N157" s="37" t="s">
        <v>330</v>
      </c>
      <c r="O157" s="29" t="s">
        <v>2</v>
      </c>
      <c r="P157" s="37">
        <v>4</v>
      </c>
      <c r="Q157" s="37" t="s">
        <v>1232</v>
      </c>
      <c r="R157" s="37" t="s">
        <v>1168</v>
      </c>
      <c r="S157" t="str">
        <f>IFERROR(HYPERLINK("#Main!A"&amp;MATCH(A157,Main!A:A,0),"Open"),HYPERLINK("#Main!A1","Open"))</f>
        <v>Open</v>
      </c>
      <c r="T157" t="str">
        <f>IFERROR(HYPERLINK("#Technical!A"&amp;MATCH(A157,Technical!A:A,0),"Open"),HYPERLINK("#Technical!A1","Open"))</f>
        <v>Open</v>
      </c>
    </row>
    <row r="158" spans="1:21" ht="30" customHeight="1" x14ac:dyDescent="0.25">
      <c r="A158" s="33" t="s">
        <v>629</v>
      </c>
      <c r="B158" s="28">
        <v>5597</v>
      </c>
      <c r="C158" s="55" t="s">
        <v>1114</v>
      </c>
      <c r="D158" s="28" t="s">
        <v>18</v>
      </c>
      <c r="E158" s="32" t="s">
        <v>72</v>
      </c>
      <c r="F158" s="28" t="s">
        <v>1164</v>
      </c>
      <c r="G158" s="39">
        <v>67</v>
      </c>
      <c r="H158" s="28">
        <v>0</v>
      </c>
      <c r="I158" s="28" t="s">
        <v>1165</v>
      </c>
      <c r="J158" s="28" t="s">
        <v>1166</v>
      </c>
      <c r="K158" s="56" t="s">
        <v>20</v>
      </c>
      <c r="L158" s="28" t="s">
        <v>885</v>
      </c>
      <c r="M158" s="28" t="s">
        <v>323</v>
      </c>
      <c r="N158" s="28" t="s">
        <v>330</v>
      </c>
      <c r="O158" s="29" t="s">
        <v>2</v>
      </c>
      <c r="P158" s="28">
        <v>4</v>
      </c>
      <c r="Q158" s="28" t="s">
        <v>1233</v>
      </c>
      <c r="R158" s="28" t="s">
        <v>1168</v>
      </c>
      <c r="S158" s="34" t="str">
        <f>IFERROR(HYPERLINK("#Main!A"&amp;MATCH(A158,Main!A:A,0),"Open"),HYPERLINK("#Main!A1","Open"))</f>
        <v>Open</v>
      </c>
      <c r="T158" s="34" t="str">
        <f>IFERROR(HYPERLINK("#Technical!A"&amp;MATCH(A158,Technical!A:A,0),"Open"),HYPERLINK("#Technical!A1","Open"))</f>
        <v>Open</v>
      </c>
      <c r="U158" s="34"/>
    </row>
    <row r="159" spans="1:21" ht="30" customHeight="1" x14ac:dyDescent="0.25">
      <c r="A159" s="30" t="s">
        <v>632</v>
      </c>
      <c r="B159" s="37">
        <v>33050</v>
      </c>
      <c r="C159" s="55" t="s">
        <v>1116</v>
      </c>
      <c r="D159" s="37" t="s">
        <v>18</v>
      </c>
      <c r="E159" s="32" t="s">
        <v>72</v>
      </c>
      <c r="F159" s="37" t="s">
        <v>1164</v>
      </c>
      <c r="G159" s="42">
        <v>67</v>
      </c>
      <c r="H159" s="37">
        <v>0</v>
      </c>
      <c r="I159" s="37" t="s">
        <v>1165</v>
      </c>
      <c r="J159" s="37" t="s">
        <v>1166</v>
      </c>
      <c r="K159" s="57" t="s">
        <v>20</v>
      </c>
      <c r="L159" s="37" t="s">
        <v>885</v>
      </c>
      <c r="M159" s="37" t="s">
        <v>323</v>
      </c>
      <c r="N159" s="37" t="s">
        <v>330</v>
      </c>
      <c r="O159" s="29" t="s">
        <v>2</v>
      </c>
      <c r="P159" s="37">
        <v>4</v>
      </c>
      <c r="Q159" s="37" t="s">
        <v>1234</v>
      </c>
      <c r="R159" s="37" t="s">
        <v>1168</v>
      </c>
      <c r="S159" t="str">
        <f>IFERROR(HYPERLINK("#Main!A"&amp;MATCH(A159,Main!A:A,0),"Open"),HYPERLINK("#Main!A1","Open"))</f>
        <v>Open</v>
      </c>
      <c r="T159" t="str">
        <f>IFERROR(HYPERLINK("#Technical!A"&amp;MATCH(A159,Technical!A:A,0),"Open"),HYPERLINK("#Technical!A1","Open"))</f>
        <v>Open</v>
      </c>
    </row>
    <row r="160" spans="1:21" ht="30" customHeight="1" x14ac:dyDescent="0.25">
      <c r="A160" s="33" t="s">
        <v>635</v>
      </c>
      <c r="B160" s="28">
        <v>86</v>
      </c>
      <c r="C160" s="55" t="s">
        <v>1118</v>
      </c>
      <c r="D160" s="28" t="s">
        <v>18</v>
      </c>
      <c r="E160" s="32" t="s">
        <v>72</v>
      </c>
      <c r="F160" s="28" t="s">
        <v>1164</v>
      </c>
      <c r="G160" s="39">
        <v>67</v>
      </c>
      <c r="H160" s="28">
        <v>0</v>
      </c>
      <c r="I160" s="28" t="s">
        <v>1165</v>
      </c>
      <c r="J160" s="28" t="s">
        <v>1166</v>
      </c>
      <c r="K160" s="56" t="s">
        <v>20</v>
      </c>
      <c r="L160" s="28" t="s">
        <v>885</v>
      </c>
      <c r="M160" s="28" t="s">
        <v>323</v>
      </c>
      <c r="N160" s="28" t="s">
        <v>330</v>
      </c>
      <c r="O160" s="29" t="s">
        <v>2</v>
      </c>
      <c r="P160" s="28">
        <v>4</v>
      </c>
      <c r="Q160" s="28" t="s">
        <v>1235</v>
      </c>
      <c r="R160" s="28" t="s">
        <v>1168</v>
      </c>
      <c r="S160" s="34" t="str">
        <f>IFERROR(HYPERLINK("#Main!A"&amp;MATCH(A160,Main!A:A,0),"Open"),HYPERLINK("#Main!A1","Open"))</f>
        <v>Open</v>
      </c>
      <c r="T160" s="34" t="str">
        <f>IFERROR(HYPERLINK("#Technical!A"&amp;MATCH(A160,Technical!A:A,0),"Open"),HYPERLINK("#Technical!A1","Open"))</f>
        <v>Open</v>
      </c>
      <c r="U160" s="34"/>
    </row>
    <row r="161" spans="1:21" ht="30" customHeight="1" x14ac:dyDescent="0.25">
      <c r="A161" s="30" t="s">
        <v>638</v>
      </c>
      <c r="B161" s="37">
        <v>2196</v>
      </c>
      <c r="C161" s="55" t="s">
        <v>1120</v>
      </c>
      <c r="D161" s="37" t="s">
        <v>18</v>
      </c>
      <c r="E161" s="32" t="s">
        <v>72</v>
      </c>
      <c r="F161" s="37" t="s">
        <v>1164</v>
      </c>
      <c r="G161" s="42">
        <v>67</v>
      </c>
      <c r="H161" s="37">
        <v>0</v>
      </c>
      <c r="I161" s="37" t="s">
        <v>1165</v>
      </c>
      <c r="J161" s="37" t="s">
        <v>1166</v>
      </c>
      <c r="K161" s="57" t="s">
        <v>20</v>
      </c>
      <c r="L161" s="37" t="s">
        <v>885</v>
      </c>
      <c r="M161" s="37" t="s">
        <v>323</v>
      </c>
      <c r="N161" s="37" t="s">
        <v>330</v>
      </c>
      <c r="O161" s="29" t="s">
        <v>2</v>
      </c>
      <c r="P161" s="37">
        <v>4</v>
      </c>
      <c r="Q161" s="37" t="s">
        <v>1236</v>
      </c>
      <c r="R161" s="37" t="s">
        <v>1168</v>
      </c>
      <c r="S161" t="str">
        <f>IFERROR(HYPERLINK("#Main!A"&amp;MATCH(A161,Main!A:A,0),"Open"),HYPERLINK("#Main!A1","Open"))</f>
        <v>Open</v>
      </c>
      <c r="T161" t="str">
        <f>IFERROR(HYPERLINK("#Technical!A"&amp;MATCH(A161,Technical!A:A,0),"Open"),HYPERLINK("#Technical!A1","Open"))</f>
        <v>Open</v>
      </c>
    </row>
    <row r="162" spans="1:21" ht="30" customHeight="1" x14ac:dyDescent="0.25">
      <c r="A162" s="33" t="s">
        <v>641</v>
      </c>
      <c r="B162" s="28">
        <v>3</v>
      </c>
      <c r="C162" s="55" t="s">
        <v>1122</v>
      </c>
      <c r="D162" s="28" t="s">
        <v>18</v>
      </c>
      <c r="E162" s="32" t="s">
        <v>72</v>
      </c>
      <c r="F162" s="28" t="s">
        <v>1164</v>
      </c>
      <c r="G162" s="39">
        <v>67</v>
      </c>
      <c r="H162" s="28">
        <v>0</v>
      </c>
      <c r="I162" s="28" t="s">
        <v>1165</v>
      </c>
      <c r="J162" s="28" t="s">
        <v>1166</v>
      </c>
      <c r="K162" s="56" t="s">
        <v>20</v>
      </c>
      <c r="L162" s="28" t="s">
        <v>885</v>
      </c>
      <c r="M162" s="28" t="s">
        <v>323</v>
      </c>
      <c r="N162" s="28" t="s">
        <v>330</v>
      </c>
      <c r="O162" s="29" t="s">
        <v>2</v>
      </c>
      <c r="P162" s="28">
        <v>4</v>
      </c>
      <c r="Q162" s="28" t="s">
        <v>1237</v>
      </c>
      <c r="R162" s="28" t="s">
        <v>1168</v>
      </c>
      <c r="S162" s="34" t="str">
        <f>IFERROR(HYPERLINK("#Main!A"&amp;MATCH(A162,Main!A:A,0),"Open"),HYPERLINK("#Main!A1","Open"))</f>
        <v>Open</v>
      </c>
      <c r="T162" s="34" t="str">
        <f>IFERROR(HYPERLINK("#Technical!A"&amp;MATCH(A162,Technical!A:A,0),"Open"),HYPERLINK("#Technical!A1","Open"))</f>
        <v>Open</v>
      </c>
      <c r="U162" s="34"/>
    </row>
    <row r="163" spans="1:21" ht="30" customHeight="1" x14ac:dyDescent="0.25">
      <c r="A163" s="30" t="s">
        <v>644</v>
      </c>
      <c r="B163" s="37">
        <v>9047</v>
      </c>
      <c r="C163" s="55" t="s">
        <v>1124</v>
      </c>
      <c r="D163" s="37" t="s">
        <v>18</v>
      </c>
      <c r="E163" s="32" t="s">
        <v>72</v>
      </c>
      <c r="F163" s="37" t="s">
        <v>1164</v>
      </c>
      <c r="G163" s="42">
        <v>67</v>
      </c>
      <c r="H163" s="37">
        <v>0</v>
      </c>
      <c r="I163" s="37" t="s">
        <v>1165</v>
      </c>
      <c r="J163" s="37" t="s">
        <v>1166</v>
      </c>
      <c r="K163" s="57" t="s">
        <v>20</v>
      </c>
      <c r="L163" s="37" t="s">
        <v>885</v>
      </c>
      <c r="M163" s="37" t="s">
        <v>323</v>
      </c>
      <c r="N163" s="37" t="s">
        <v>330</v>
      </c>
      <c r="O163" s="29" t="s">
        <v>2</v>
      </c>
      <c r="P163" s="37">
        <v>4</v>
      </c>
      <c r="Q163" s="37" t="s">
        <v>1238</v>
      </c>
      <c r="R163" s="37" t="s">
        <v>1168</v>
      </c>
      <c r="S163" t="str">
        <f>IFERROR(HYPERLINK("#Main!A"&amp;MATCH(A163,Main!A:A,0),"Open"),HYPERLINK("#Main!A1","Open"))</f>
        <v>Open</v>
      </c>
      <c r="T163" t="str">
        <f>IFERROR(HYPERLINK("#Technical!A"&amp;MATCH(A163,Technical!A:A,0),"Open"),HYPERLINK("#Technical!A1","Open"))</f>
        <v>Open</v>
      </c>
    </row>
    <row r="164" spans="1:21" ht="30" customHeight="1" x14ac:dyDescent="0.25">
      <c r="A164" s="33" t="s">
        <v>647</v>
      </c>
      <c r="B164" s="28">
        <v>3686</v>
      </c>
      <c r="C164" s="55" t="s">
        <v>1126</v>
      </c>
      <c r="D164" s="28" t="s">
        <v>18</v>
      </c>
      <c r="E164" s="32" t="s">
        <v>72</v>
      </c>
      <c r="F164" s="28" t="s">
        <v>1164</v>
      </c>
      <c r="G164" s="39">
        <v>67</v>
      </c>
      <c r="H164" s="28">
        <v>0</v>
      </c>
      <c r="I164" s="28" t="s">
        <v>1165</v>
      </c>
      <c r="J164" s="28" t="s">
        <v>1166</v>
      </c>
      <c r="K164" s="56" t="s">
        <v>20</v>
      </c>
      <c r="L164" s="28" t="s">
        <v>885</v>
      </c>
      <c r="M164" s="28" t="s">
        <v>323</v>
      </c>
      <c r="N164" s="28" t="s">
        <v>330</v>
      </c>
      <c r="O164" s="29" t="s">
        <v>2</v>
      </c>
      <c r="P164" s="28">
        <v>4</v>
      </c>
      <c r="Q164" s="28" t="s">
        <v>1239</v>
      </c>
      <c r="R164" s="28" t="s">
        <v>1168</v>
      </c>
      <c r="S164" s="34" t="str">
        <f>IFERROR(HYPERLINK("#Main!A"&amp;MATCH(A164,Main!A:A,0),"Open"),HYPERLINK("#Main!A1","Open"))</f>
        <v>Open</v>
      </c>
      <c r="T164" s="34" t="str">
        <f>IFERROR(HYPERLINK("#Technical!A"&amp;MATCH(A164,Technical!A:A,0),"Open"),HYPERLINK("#Technical!A1","Open"))</f>
        <v>Open</v>
      </c>
      <c r="U164" s="34"/>
    </row>
    <row r="165" spans="1:21" ht="30" customHeight="1" x14ac:dyDescent="0.25">
      <c r="A165" s="30" t="s">
        <v>650</v>
      </c>
      <c r="B165" s="37">
        <v>3252</v>
      </c>
      <c r="C165" s="55" t="s">
        <v>1128</v>
      </c>
      <c r="D165" s="37" t="s">
        <v>18</v>
      </c>
      <c r="E165" s="32" t="s">
        <v>72</v>
      </c>
      <c r="F165" s="37" t="s">
        <v>1164</v>
      </c>
      <c r="G165" s="42">
        <v>67</v>
      </c>
      <c r="H165" s="37">
        <v>0</v>
      </c>
      <c r="I165" s="37" t="s">
        <v>1165</v>
      </c>
      <c r="J165" s="37" t="s">
        <v>1166</v>
      </c>
      <c r="K165" s="57" t="s">
        <v>20</v>
      </c>
      <c r="L165" s="37" t="s">
        <v>885</v>
      </c>
      <c r="M165" s="37" t="s">
        <v>323</v>
      </c>
      <c r="N165" s="37" t="s">
        <v>330</v>
      </c>
      <c r="O165" s="29" t="s">
        <v>2</v>
      </c>
      <c r="P165" s="37">
        <v>4</v>
      </c>
      <c r="Q165" s="37" t="s">
        <v>1240</v>
      </c>
      <c r="R165" s="37" t="s">
        <v>1168</v>
      </c>
      <c r="S165" t="str">
        <f>IFERROR(HYPERLINK("#Main!A"&amp;MATCH(A165,Main!A:A,0),"Open"),HYPERLINK("#Main!A1","Open"))</f>
        <v>Open</v>
      </c>
      <c r="T165" t="str">
        <f>IFERROR(HYPERLINK("#Technical!A"&amp;MATCH(A165,Technical!A:A,0),"Open"),HYPERLINK("#Technical!A1","Open"))</f>
        <v>Open</v>
      </c>
    </row>
    <row r="166" spans="1:21" ht="30" customHeight="1" x14ac:dyDescent="0.25">
      <c r="A166" s="33" t="s">
        <v>652</v>
      </c>
      <c r="B166" s="28">
        <v>21962</v>
      </c>
      <c r="C166" s="55" t="s">
        <v>1130</v>
      </c>
      <c r="D166" s="28" t="s">
        <v>18</v>
      </c>
      <c r="E166" s="32" t="s">
        <v>72</v>
      </c>
      <c r="F166" s="28" t="s">
        <v>1164</v>
      </c>
      <c r="G166" s="39">
        <v>67</v>
      </c>
      <c r="H166" s="28">
        <v>0</v>
      </c>
      <c r="I166" s="28" t="s">
        <v>1165</v>
      </c>
      <c r="J166" s="28" t="s">
        <v>1166</v>
      </c>
      <c r="K166" s="56" t="s">
        <v>20</v>
      </c>
      <c r="L166" s="28" t="s">
        <v>885</v>
      </c>
      <c r="M166" s="28" t="s">
        <v>323</v>
      </c>
      <c r="N166" s="28" t="s">
        <v>330</v>
      </c>
      <c r="O166" s="29" t="s">
        <v>2</v>
      </c>
      <c r="P166" s="28">
        <v>4</v>
      </c>
      <c r="Q166" s="28" t="s">
        <v>1241</v>
      </c>
      <c r="R166" s="28" t="s">
        <v>1168</v>
      </c>
      <c r="S166" s="34" t="str">
        <f>IFERROR(HYPERLINK("#Main!A"&amp;MATCH(A166,Main!A:A,0),"Open"),HYPERLINK("#Main!A1","Open"))</f>
        <v>Open</v>
      </c>
      <c r="T166" s="34" t="str">
        <f>IFERROR(HYPERLINK("#Technical!A"&amp;MATCH(A166,Technical!A:A,0),"Open"),HYPERLINK("#Technical!A1","Open"))</f>
        <v>Open</v>
      </c>
      <c r="U166" s="34"/>
    </row>
    <row r="167" spans="1:21" ht="30" customHeight="1" x14ac:dyDescent="0.25">
      <c r="A167" s="30" t="s">
        <v>655</v>
      </c>
      <c r="B167" s="37">
        <v>3634</v>
      </c>
      <c r="C167" s="55" t="s">
        <v>1132</v>
      </c>
      <c r="D167" s="37" t="s">
        <v>18</v>
      </c>
      <c r="E167" s="32" t="s">
        <v>72</v>
      </c>
      <c r="F167" s="37" t="s">
        <v>1164</v>
      </c>
      <c r="G167" s="42">
        <v>67</v>
      </c>
      <c r="H167" s="37">
        <v>0</v>
      </c>
      <c r="I167" s="37" t="s">
        <v>1165</v>
      </c>
      <c r="J167" s="37" t="s">
        <v>1166</v>
      </c>
      <c r="K167" s="57" t="s">
        <v>20</v>
      </c>
      <c r="L167" s="37" t="s">
        <v>885</v>
      </c>
      <c r="M167" s="37" t="s">
        <v>323</v>
      </c>
      <c r="N167" s="37" t="s">
        <v>330</v>
      </c>
      <c r="O167" s="29" t="s">
        <v>2</v>
      </c>
      <c r="P167" s="37">
        <v>4</v>
      </c>
      <c r="Q167" s="37" t="s">
        <v>1242</v>
      </c>
      <c r="R167" s="37" t="s">
        <v>1168</v>
      </c>
      <c r="S167" t="str">
        <f>IFERROR(HYPERLINK("#Main!A"&amp;MATCH(A167,Main!A:A,0),"Open"),HYPERLINK("#Main!A1","Open"))</f>
        <v>Open</v>
      </c>
      <c r="T167" t="str">
        <f>IFERROR(HYPERLINK("#Technical!A"&amp;MATCH(A167,Technical!A:A,0),"Open"),HYPERLINK("#Technical!A1","Open"))</f>
        <v>Open</v>
      </c>
    </row>
    <row r="168" spans="1:21" ht="30" customHeight="1" x14ac:dyDescent="0.25">
      <c r="A168" s="33" t="s">
        <v>658</v>
      </c>
      <c r="B168" s="28">
        <v>7781</v>
      </c>
      <c r="C168" s="55" t="s">
        <v>1134</v>
      </c>
      <c r="D168" s="28" t="s">
        <v>18</v>
      </c>
      <c r="E168" s="32" t="s">
        <v>72</v>
      </c>
      <c r="F168" s="28" t="s">
        <v>1164</v>
      </c>
      <c r="G168" s="39">
        <v>67</v>
      </c>
      <c r="H168" s="28">
        <v>0</v>
      </c>
      <c r="I168" s="28" t="s">
        <v>1165</v>
      </c>
      <c r="J168" s="28" t="s">
        <v>1166</v>
      </c>
      <c r="K168" s="56" t="s">
        <v>20</v>
      </c>
      <c r="L168" s="28" t="s">
        <v>885</v>
      </c>
      <c r="M168" s="28" t="s">
        <v>323</v>
      </c>
      <c r="N168" s="28" t="s">
        <v>330</v>
      </c>
      <c r="O168" s="29" t="s">
        <v>2</v>
      </c>
      <c r="P168" s="28">
        <v>4</v>
      </c>
      <c r="Q168" s="28" t="s">
        <v>1243</v>
      </c>
      <c r="R168" s="28" t="s">
        <v>1168</v>
      </c>
      <c r="S168" s="34" t="str">
        <f>IFERROR(HYPERLINK("#Main!A"&amp;MATCH(A168,Main!A:A,0),"Open"),HYPERLINK("#Main!A1","Open"))</f>
        <v>Open</v>
      </c>
      <c r="T168" s="34" t="str">
        <f>IFERROR(HYPERLINK("#Technical!A"&amp;MATCH(A168,Technical!A:A,0),"Open"),HYPERLINK("#Technical!A1","Open"))</f>
        <v>Open</v>
      </c>
      <c r="U168" s="34"/>
    </row>
    <row r="169" spans="1:21" ht="30" customHeight="1" x14ac:dyDescent="0.25">
      <c r="A169" s="30" t="s">
        <v>661</v>
      </c>
      <c r="B169" s="37">
        <v>5490</v>
      </c>
      <c r="C169" s="55" t="s">
        <v>1136</v>
      </c>
      <c r="D169" s="37" t="s">
        <v>18</v>
      </c>
      <c r="E169" s="32" t="s">
        <v>72</v>
      </c>
      <c r="F169" s="37" t="s">
        <v>1164</v>
      </c>
      <c r="G169" s="42">
        <v>67</v>
      </c>
      <c r="H169" s="37">
        <v>0</v>
      </c>
      <c r="I169" s="37" t="s">
        <v>1165</v>
      </c>
      <c r="J169" s="37" t="s">
        <v>1166</v>
      </c>
      <c r="K169" s="57" t="s">
        <v>20</v>
      </c>
      <c r="L169" s="37" t="s">
        <v>885</v>
      </c>
      <c r="M169" s="37" t="s">
        <v>323</v>
      </c>
      <c r="N169" s="37" t="s">
        <v>330</v>
      </c>
      <c r="O169" s="29" t="s">
        <v>2</v>
      </c>
      <c r="P169" s="37">
        <v>4</v>
      </c>
      <c r="Q169" s="37" t="s">
        <v>1244</v>
      </c>
      <c r="R169" s="37" t="s">
        <v>1168</v>
      </c>
      <c r="S169" t="str">
        <f>IFERROR(HYPERLINK("#Main!A"&amp;MATCH(A169,Main!A:A,0),"Open"),HYPERLINK("#Main!A1","Open"))</f>
        <v>Open</v>
      </c>
      <c r="T169" t="str">
        <f>IFERROR(HYPERLINK("#Technical!A"&amp;MATCH(A169,Technical!A:A,0),"Open"),HYPERLINK("#Technical!A1","Open"))</f>
        <v>Open</v>
      </c>
    </row>
    <row r="170" spans="1:21" ht="30" customHeight="1" x14ac:dyDescent="0.25">
      <c r="A170" s="33" t="s">
        <v>664</v>
      </c>
      <c r="B170" s="28">
        <v>27352</v>
      </c>
      <c r="C170" s="55" t="s">
        <v>1138</v>
      </c>
      <c r="D170" s="28" t="s">
        <v>18</v>
      </c>
      <c r="E170" s="32" t="s">
        <v>72</v>
      </c>
      <c r="F170" s="28" t="s">
        <v>1164</v>
      </c>
      <c r="G170" s="39">
        <v>67</v>
      </c>
      <c r="H170" s="28">
        <v>0</v>
      </c>
      <c r="I170" s="28" t="s">
        <v>1165</v>
      </c>
      <c r="J170" s="28" t="s">
        <v>1166</v>
      </c>
      <c r="K170" s="56" t="s">
        <v>20</v>
      </c>
      <c r="L170" s="28" t="s">
        <v>885</v>
      </c>
      <c r="M170" s="28" t="s">
        <v>323</v>
      </c>
      <c r="N170" s="28" t="s">
        <v>330</v>
      </c>
      <c r="O170" s="29" t="s">
        <v>2</v>
      </c>
      <c r="P170" s="28">
        <v>4</v>
      </c>
      <c r="Q170" s="28" t="s">
        <v>1245</v>
      </c>
      <c r="R170" s="28" t="s">
        <v>1168</v>
      </c>
      <c r="S170" s="34" t="str">
        <f>IFERROR(HYPERLINK("#Main!A"&amp;MATCH(A170,Main!A:A,0),"Open"),HYPERLINK("#Main!A1","Open"))</f>
        <v>Open</v>
      </c>
      <c r="T170" s="34" t="str">
        <f>IFERROR(HYPERLINK("#Technical!A"&amp;MATCH(A170,Technical!A:A,0),"Open"),HYPERLINK("#Technical!A1","Open"))</f>
        <v>Open</v>
      </c>
      <c r="U170" s="34"/>
    </row>
    <row r="171" spans="1:21" ht="30" customHeight="1" x14ac:dyDescent="0.25">
      <c r="A171" s="30" t="s">
        <v>667</v>
      </c>
      <c r="B171" s="37">
        <v>17195</v>
      </c>
      <c r="C171" s="55" t="s">
        <v>1140</v>
      </c>
      <c r="D171" s="37" t="s">
        <v>18</v>
      </c>
      <c r="E171" s="32" t="s">
        <v>72</v>
      </c>
      <c r="F171" s="37" t="s">
        <v>1164</v>
      </c>
      <c r="G171" s="42">
        <v>67</v>
      </c>
      <c r="H171" s="37">
        <v>0</v>
      </c>
      <c r="I171" s="37" t="s">
        <v>1165</v>
      </c>
      <c r="J171" s="37" t="s">
        <v>1166</v>
      </c>
      <c r="K171" s="57" t="s">
        <v>20</v>
      </c>
      <c r="L171" s="37" t="s">
        <v>885</v>
      </c>
      <c r="M171" s="37" t="s">
        <v>323</v>
      </c>
      <c r="N171" s="37" t="s">
        <v>330</v>
      </c>
      <c r="O171" s="29" t="s">
        <v>2</v>
      </c>
      <c r="P171" s="37">
        <v>4</v>
      </c>
      <c r="Q171" s="37" t="s">
        <v>1246</v>
      </c>
      <c r="R171" s="37" t="s">
        <v>1168</v>
      </c>
      <c r="S171" t="str">
        <f>IFERROR(HYPERLINK("#Main!A"&amp;MATCH(A171,Main!A:A,0),"Open"),HYPERLINK("#Main!A1","Open"))</f>
        <v>Open</v>
      </c>
      <c r="T171" t="str">
        <f>IFERROR(HYPERLINK("#Technical!A"&amp;MATCH(A171,Technical!A:A,0),"Open"),HYPERLINK("#Technical!A1","Open"))</f>
        <v>Open</v>
      </c>
    </row>
    <row r="172" spans="1:21" ht="30" customHeight="1" x14ac:dyDescent="0.25">
      <c r="A172" s="33" t="s">
        <v>670</v>
      </c>
      <c r="B172" s="28">
        <v>21591</v>
      </c>
      <c r="C172" s="55" t="s">
        <v>1142</v>
      </c>
      <c r="D172" s="28" t="s">
        <v>18</v>
      </c>
      <c r="E172" s="32" t="s">
        <v>72</v>
      </c>
      <c r="F172" s="28" t="s">
        <v>1164</v>
      </c>
      <c r="G172" s="39">
        <v>67</v>
      </c>
      <c r="H172" s="28">
        <v>0</v>
      </c>
      <c r="I172" s="28" t="s">
        <v>1165</v>
      </c>
      <c r="J172" s="28" t="s">
        <v>1166</v>
      </c>
      <c r="K172" s="56" t="s">
        <v>20</v>
      </c>
      <c r="L172" s="28" t="s">
        <v>885</v>
      </c>
      <c r="M172" s="28" t="s">
        <v>323</v>
      </c>
      <c r="N172" s="28" t="s">
        <v>330</v>
      </c>
      <c r="O172" s="29" t="s">
        <v>2</v>
      </c>
      <c r="P172" s="28">
        <v>4</v>
      </c>
      <c r="Q172" s="28" t="s">
        <v>1247</v>
      </c>
      <c r="R172" s="28" t="s">
        <v>1168</v>
      </c>
      <c r="S172" s="34" t="str">
        <f>IFERROR(HYPERLINK("#Main!A"&amp;MATCH(A172,Main!A:A,0),"Open"),HYPERLINK("#Main!A1","Open"))</f>
        <v>Open</v>
      </c>
      <c r="T172" s="34" t="str">
        <f>IFERROR(HYPERLINK("#Technical!A"&amp;MATCH(A172,Technical!A:A,0),"Open"),HYPERLINK("#Technical!A1","Open"))</f>
        <v>Open</v>
      </c>
      <c r="U172" s="34"/>
    </row>
    <row r="173" spans="1:21" ht="30" customHeight="1" x14ac:dyDescent="0.25">
      <c r="A173" s="30" t="s">
        <v>673</v>
      </c>
      <c r="B173" s="37">
        <v>7916</v>
      </c>
      <c r="C173" s="55" t="s">
        <v>1144</v>
      </c>
      <c r="D173" s="37" t="s">
        <v>18</v>
      </c>
      <c r="E173" s="32" t="s">
        <v>72</v>
      </c>
      <c r="F173" s="37" t="s">
        <v>1164</v>
      </c>
      <c r="G173" s="42">
        <v>67</v>
      </c>
      <c r="H173" s="37">
        <v>0</v>
      </c>
      <c r="I173" s="37" t="s">
        <v>1165</v>
      </c>
      <c r="J173" s="37" t="s">
        <v>1166</v>
      </c>
      <c r="K173" s="57" t="s">
        <v>20</v>
      </c>
      <c r="L173" s="37" t="s">
        <v>885</v>
      </c>
      <c r="M173" s="37" t="s">
        <v>323</v>
      </c>
      <c r="N173" s="37" t="s">
        <v>330</v>
      </c>
      <c r="O173" s="29" t="s">
        <v>2</v>
      </c>
      <c r="P173" s="37">
        <v>4</v>
      </c>
      <c r="Q173" s="37" t="s">
        <v>1248</v>
      </c>
      <c r="R173" s="37" t="s">
        <v>1168</v>
      </c>
      <c r="S173" t="str">
        <f>IFERROR(HYPERLINK("#Main!A"&amp;MATCH(A173,Main!A:A,0),"Open"),HYPERLINK("#Main!A1","Open"))</f>
        <v>Open</v>
      </c>
      <c r="T173" t="str">
        <f>IFERROR(HYPERLINK("#Technical!A"&amp;MATCH(A173,Technical!A:A,0),"Open"),HYPERLINK("#Technical!A1","Open"))</f>
        <v>Open</v>
      </c>
    </row>
    <row r="174" spans="1:21" ht="30" customHeight="1" x14ac:dyDescent="0.25">
      <c r="A174" s="33" t="s">
        <v>677</v>
      </c>
      <c r="B174" s="28">
        <v>17000</v>
      </c>
      <c r="C174" s="55" t="s">
        <v>1146</v>
      </c>
      <c r="D174" s="28" t="s">
        <v>18</v>
      </c>
      <c r="E174" s="32" t="s">
        <v>72</v>
      </c>
      <c r="F174" s="28" t="s">
        <v>1164</v>
      </c>
      <c r="G174" s="39">
        <v>67</v>
      </c>
      <c r="H174" s="28">
        <v>0</v>
      </c>
      <c r="I174" s="28" t="s">
        <v>1165</v>
      </c>
      <c r="J174" s="28" t="s">
        <v>1166</v>
      </c>
      <c r="K174" s="56" t="s">
        <v>20</v>
      </c>
      <c r="L174" s="28" t="s">
        <v>885</v>
      </c>
      <c r="M174" s="28" t="s">
        <v>323</v>
      </c>
      <c r="N174" s="28" t="s">
        <v>330</v>
      </c>
      <c r="O174" s="29" t="s">
        <v>2</v>
      </c>
      <c r="P174" s="28">
        <v>4</v>
      </c>
      <c r="Q174" s="28" t="s">
        <v>1249</v>
      </c>
      <c r="R174" s="28" t="s">
        <v>1168</v>
      </c>
      <c r="S174" s="34" t="str">
        <f>IFERROR(HYPERLINK("#Main!A"&amp;MATCH(A174,Main!A:A,0),"Open"),HYPERLINK("#Main!A1","Open"))</f>
        <v>Open</v>
      </c>
      <c r="T174" s="34" t="str">
        <f>IFERROR(HYPERLINK("#Technical!A"&amp;MATCH(A174,Technical!A:A,0),"Open"),HYPERLINK("#Technical!A1","Open"))</f>
        <v>Open</v>
      </c>
      <c r="U174" s="34"/>
    </row>
    <row r="175" spans="1:21" ht="30" customHeight="1" x14ac:dyDescent="0.25">
      <c r="A175" s="30" t="s">
        <v>680</v>
      </c>
      <c r="B175" s="37">
        <v>17196</v>
      </c>
      <c r="C175" s="55" t="s">
        <v>1148</v>
      </c>
      <c r="D175" s="37" t="s">
        <v>18</v>
      </c>
      <c r="E175" s="32" t="s">
        <v>72</v>
      </c>
      <c r="F175" s="37" t="s">
        <v>1164</v>
      </c>
      <c r="G175" s="42">
        <v>67</v>
      </c>
      <c r="H175" s="37">
        <v>0</v>
      </c>
      <c r="I175" s="37" t="s">
        <v>1165</v>
      </c>
      <c r="J175" s="37" t="s">
        <v>1166</v>
      </c>
      <c r="K175" s="57" t="s">
        <v>20</v>
      </c>
      <c r="L175" s="37" t="s">
        <v>885</v>
      </c>
      <c r="M175" s="37" t="s">
        <v>323</v>
      </c>
      <c r="N175" s="37" t="s">
        <v>330</v>
      </c>
      <c r="O175" s="29" t="s">
        <v>2</v>
      </c>
      <c r="P175" s="37">
        <v>4</v>
      </c>
      <c r="Q175" s="37" t="s">
        <v>1250</v>
      </c>
      <c r="R175" s="37" t="s">
        <v>1168</v>
      </c>
      <c r="S175" t="str">
        <f>IFERROR(HYPERLINK("#Main!A"&amp;MATCH(A175,Main!A:A,0),"Open"),HYPERLINK("#Main!A1","Open"))</f>
        <v>Open</v>
      </c>
      <c r="T175" t="str">
        <f>IFERROR(HYPERLINK("#Technical!A"&amp;MATCH(A175,Technical!A:A,0),"Open"),HYPERLINK("#Technical!A1","Open"))</f>
        <v>Open</v>
      </c>
    </row>
    <row r="176" spans="1:21" ht="30" customHeight="1" x14ac:dyDescent="0.25">
      <c r="A176" s="33" t="s">
        <v>683</v>
      </c>
      <c r="B176" s="28">
        <v>4909</v>
      </c>
      <c r="C176" s="55" t="s">
        <v>1150</v>
      </c>
      <c r="D176" s="28" t="s">
        <v>18</v>
      </c>
      <c r="E176" s="32" t="s">
        <v>72</v>
      </c>
      <c r="F176" s="28" t="s">
        <v>1164</v>
      </c>
      <c r="G176" s="39">
        <v>67</v>
      </c>
      <c r="H176" s="28">
        <v>0</v>
      </c>
      <c r="I176" s="28" t="s">
        <v>1165</v>
      </c>
      <c r="J176" s="28" t="s">
        <v>1166</v>
      </c>
      <c r="K176" s="56" t="s">
        <v>20</v>
      </c>
      <c r="L176" s="28" t="s">
        <v>885</v>
      </c>
      <c r="M176" s="28" t="s">
        <v>323</v>
      </c>
      <c r="N176" s="28" t="s">
        <v>330</v>
      </c>
      <c r="O176" s="29" t="s">
        <v>2</v>
      </c>
      <c r="P176" s="28">
        <v>4</v>
      </c>
      <c r="Q176" s="28" t="s">
        <v>1251</v>
      </c>
      <c r="R176" s="28" t="s">
        <v>1168</v>
      </c>
      <c r="S176" s="34" t="str">
        <f>IFERROR(HYPERLINK("#Main!A"&amp;MATCH(A176,Main!A:A,0),"Open"),HYPERLINK("#Main!A1","Open"))</f>
        <v>Open</v>
      </c>
      <c r="T176" s="34" t="str">
        <f>IFERROR(HYPERLINK("#Technical!A"&amp;MATCH(A176,Technical!A:A,0),"Open"),HYPERLINK("#Technical!A1","Open"))</f>
        <v>Open</v>
      </c>
      <c r="U176" s="34"/>
    </row>
    <row r="177" spans="1:21" ht="30" customHeight="1" x14ac:dyDescent="0.25">
      <c r="A177" s="30" t="s">
        <v>686</v>
      </c>
      <c r="B177" s="37">
        <v>5290</v>
      </c>
      <c r="C177" s="55" t="s">
        <v>1152</v>
      </c>
      <c r="D177" s="37" t="s">
        <v>18</v>
      </c>
      <c r="E177" s="32" t="s">
        <v>72</v>
      </c>
      <c r="F177" s="37" t="s">
        <v>1164</v>
      </c>
      <c r="G177" s="42">
        <v>67</v>
      </c>
      <c r="H177" s="37">
        <v>0</v>
      </c>
      <c r="I177" s="37" t="s">
        <v>1165</v>
      </c>
      <c r="J177" s="37" t="s">
        <v>1166</v>
      </c>
      <c r="K177" s="57" t="s">
        <v>20</v>
      </c>
      <c r="L177" s="37" t="s">
        <v>885</v>
      </c>
      <c r="M177" s="37" t="s">
        <v>323</v>
      </c>
      <c r="N177" s="37" t="s">
        <v>330</v>
      </c>
      <c r="O177" s="29" t="s">
        <v>2</v>
      </c>
      <c r="P177" s="37">
        <v>4</v>
      </c>
      <c r="Q177" s="37" t="s">
        <v>1252</v>
      </c>
      <c r="R177" s="37" t="s">
        <v>1168</v>
      </c>
      <c r="S177" t="str">
        <f>IFERROR(HYPERLINK("#Main!A"&amp;MATCH(A177,Main!A:A,0),"Open"),HYPERLINK("#Main!A1","Open"))</f>
        <v>Open</v>
      </c>
      <c r="T177" t="str">
        <f>IFERROR(HYPERLINK("#Technical!A"&amp;MATCH(A177,Technical!A:A,0),"Open"),HYPERLINK("#Technical!A1","Open"))</f>
        <v>Open</v>
      </c>
    </row>
    <row r="178" spans="1:21" ht="30" customHeight="1" x14ac:dyDescent="0.25">
      <c r="A178" s="33" t="s">
        <v>127</v>
      </c>
      <c r="B178" s="28">
        <v>8</v>
      </c>
      <c r="C178" s="55" t="s">
        <v>988</v>
      </c>
      <c r="D178" s="28" t="s">
        <v>1253</v>
      </c>
      <c r="E178" s="32" t="s">
        <v>72</v>
      </c>
      <c r="F178" s="28" t="s">
        <v>1254</v>
      </c>
      <c r="G178" s="39">
        <v>67</v>
      </c>
      <c r="H178" s="28">
        <v>79.03</v>
      </c>
      <c r="I178" s="28" t="s">
        <v>1255</v>
      </c>
      <c r="J178" s="28" t="s">
        <v>1256</v>
      </c>
      <c r="K178" s="56" t="s">
        <v>40</v>
      </c>
      <c r="L178" s="28" t="s">
        <v>1257</v>
      </c>
      <c r="M178" s="28" t="s">
        <v>323</v>
      </c>
      <c r="N178" s="28" t="s">
        <v>330</v>
      </c>
      <c r="O178" s="29" t="s">
        <v>2</v>
      </c>
      <c r="P178" s="28">
        <v>4</v>
      </c>
      <c r="Q178" s="28" t="s">
        <v>1258</v>
      </c>
      <c r="R178" s="28" t="s">
        <v>1259</v>
      </c>
      <c r="S178" s="34" t="str">
        <f>IFERROR(HYPERLINK("#Main!A"&amp;MATCH(A178,Main!A:A,0),"Open"),HYPERLINK("#Main!A1","Open"))</f>
        <v>Open</v>
      </c>
      <c r="T178" s="34" t="str">
        <f>IFERROR(HYPERLINK("#Technical!A"&amp;MATCH(A178,Technical!A:A,0),"Open"),HYPERLINK("#Technical!A1","Open"))</f>
        <v>Open</v>
      </c>
      <c r="U178" s="34"/>
    </row>
    <row r="179" spans="1:21" ht="30" customHeight="1" x14ac:dyDescent="0.25">
      <c r="A179" s="30" t="s">
        <v>127</v>
      </c>
      <c r="B179" s="37">
        <v>8</v>
      </c>
      <c r="C179" s="55" t="s">
        <v>988</v>
      </c>
      <c r="D179" s="37" t="s">
        <v>1253</v>
      </c>
      <c r="E179" s="32" t="s">
        <v>72</v>
      </c>
      <c r="F179" s="37" t="s">
        <v>1260</v>
      </c>
      <c r="G179" s="42">
        <v>67</v>
      </c>
      <c r="H179" s="37">
        <v>35</v>
      </c>
      <c r="I179" s="37" t="s">
        <v>1261</v>
      </c>
      <c r="J179" s="37" t="s">
        <v>1262</v>
      </c>
      <c r="K179" s="57" t="s">
        <v>18</v>
      </c>
      <c r="L179" s="37" t="s">
        <v>871</v>
      </c>
      <c r="M179" s="37" t="s">
        <v>323</v>
      </c>
      <c r="N179" s="37" t="s">
        <v>330</v>
      </c>
      <c r="O179" s="29" t="s">
        <v>2</v>
      </c>
      <c r="P179" s="37">
        <v>4</v>
      </c>
      <c r="Q179" s="37" t="s">
        <v>1263</v>
      </c>
      <c r="R179" s="37" t="s">
        <v>1264</v>
      </c>
      <c r="S179" t="str">
        <f>IFERROR(HYPERLINK("#Main!A"&amp;MATCH(A179,Main!A:A,0),"Open"),HYPERLINK("#Main!A1","Open"))</f>
        <v>Open</v>
      </c>
      <c r="T179" t="str">
        <f>IFERROR(HYPERLINK("#Technical!A"&amp;MATCH(A179,Technical!A:A,0),"Open"),HYPERLINK("#Technical!A1","Open"))</f>
        <v>Open</v>
      </c>
    </row>
    <row r="180" spans="1:21" ht="30" customHeight="1" x14ac:dyDescent="0.25">
      <c r="A180" s="33" t="s">
        <v>135</v>
      </c>
      <c r="B180" s="28">
        <v>84</v>
      </c>
      <c r="C180" s="55" t="s">
        <v>992</v>
      </c>
      <c r="D180" s="28" t="s">
        <v>1253</v>
      </c>
      <c r="E180" s="32" t="s">
        <v>72</v>
      </c>
      <c r="F180" s="28" t="s">
        <v>1254</v>
      </c>
      <c r="G180" s="39">
        <v>67</v>
      </c>
      <c r="H180" s="28">
        <v>72.73</v>
      </c>
      <c r="I180" s="28" t="s">
        <v>1255</v>
      </c>
      <c r="J180" s="28" t="s">
        <v>1256</v>
      </c>
      <c r="K180" s="56" t="s">
        <v>40</v>
      </c>
      <c r="L180" s="28" t="s">
        <v>1257</v>
      </c>
      <c r="M180" s="28" t="s">
        <v>323</v>
      </c>
      <c r="N180" s="28" t="s">
        <v>330</v>
      </c>
      <c r="O180" s="29" t="s">
        <v>2</v>
      </c>
      <c r="P180" s="28">
        <v>4</v>
      </c>
      <c r="Q180" s="28" t="s">
        <v>1265</v>
      </c>
      <c r="R180" s="28" t="s">
        <v>1259</v>
      </c>
      <c r="S180" s="34" t="str">
        <f>IFERROR(HYPERLINK("#Main!A"&amp;MATCH(A180,Main!A:A,0),"Open"),HYPERLINK("#Main!A1","Open"))</f>
        <v>Open</v>
      </c>
      <c r="T180" s="34" t="str">
        <f>IFERROR(HYPERLINK("#Technical!A"&amp;MATCH(A180,Technical!A:A,0),"Open"),HYPERLINK("#Technical!A1","Open"))</f>
        <v>Open</v>
      </c>
      <c r="U180" s="34"/>
    </row>
    <row r="181" spans="1:21" ht="30" customHeight="1" x14ac:dyDescent="0.25">
      <c r="A181" s="30" t="s">
        <v>135</v>
      </c>
      <c r="B181" s="37">
        <v>84</v>
      </c>
      <c r="C181" s="55" t="s">
        <v>992</v>
      </c>
      <c r="D181" s="37" t="s">
        <v>1253</v>
      </c>
      <c r="E181" s="32" t="s">
        <v>72</v>
      </c>
      <c r="F181" s="37" t="s">
        <v>1260</v>
      </c>
      <c r="G181" s="42">
        <v>67</v>
      </c>
      <c r="H181" s="37">
        <v>235</v>
      </c>
      <c r="I181" s="37" t="s">
        <v>1261</v>
      </c>
      <c r="J181" s="37" t="s">
        <v>1262</v>
      </c>
      <c r="K181" s="57" t="s">
        <v>18</v>
      </c>
      <c r="L181" s="37" t="s">
        <v>871</v>
      </c>
      <c r="M181" s="37" t="s">
        <v>323</v>
      </c>
      <c r="N181" s="37" t="s">
        <v>330</v>
      </c>
      <c r="O181" s="29" t="s">
        <v>2</v>
      </c>
      <c r="P181" s="37">
        <v>4</v>
      </c>
      <c r="Q181" s="37" t="s">
        <v>1266</v>
      </c>
      <c r="R181" s="37" t="s">
        <v>1264</v>
      </c>
      <c r="S181" t="str">
        <f>IFERROR(HYPERLINK("#Main!A"&amp;MATCH(A181,Main!A:A,0),"Open"),HYPERLINK("#Main!A1","Open"))</f>
        <v>Open</v>
      </c>
      <c r="T181" t="str">
        <f>IFERROR(HYPERLINK("#Technical!A"&amp;MATCH(A181,Technical!A:A,0),"Open"),HYPERLINK("#Technical!A1","Open"))</f>
        <v>Open</v>
      </c>
    </row>
    <row r="182" spans="1:21" ht="30" customHeight="1" x14ac:dyDescent="0.25">
      <c r="A182" s="33" t="s">
        <v>152</v>
      </c>
      <c r="B182" s="28">
        <v>16125</v>
      </c>
      <c r="C182" s="55" t="s">
        <v>996</v>
      </c>
      <c r="D182" s="28" t="s">
        <v>1253</v>
      </c>
      <c r="E182" s="32" t="s">
        <v>72</v>
      </c>
      <c r="F182" s="28" t="s">
        <v>1254</v>
      </c>
      <c r="G182" s="39">
        <v>67</v>
      </c>
      <c r="H182" s="28">
        <v>73.12</v>
      </c>
      <c r="I182" s="28" t="s">
        <v>1255</v>
      </c>
      <c r="J182" s="28" t="s">
        <v>1256</v>
      </c>
      <c r="K182" s="56" t="s">
        <v>40</v>
      </c>
      <c r="L182" s="28" t="s">
        <v>1257</v>
      </c>
      <c r="M182" s="28" t="s">
        <v>323</v>
      </c>
      <c r="N182" s="28" t="s">
        <v>330</v>
      </c>
      <c r="O182" s="29" t="s">
        <v>2</v>
      </c>
      <c r="P182" s="28">
        <v>4</v>
      </c>
      <c r="Q182" s="28" t="s">
        <v>1267</v>
      </c>
      <c r="R182" s="28" t="s">
        <v>1259</v>
      </c>
      <c r="S182" s="34" t="str">
        <f>IFERROR(HYPERLINK("#Main!A"&amp;MATCH(A182,Main!A:A,0),"Open"),HYPERLINK("#Main!A1","Open"))</f>
        <v>Open</v>
      </c>
      <c r="T182" s="34" t="str">
        <f>IFERROR(HYPERLINK("#Technical!A"&amp;MATCH(A182,Technical!A:A,0),"Open"),HYPERLINK("#Technical!A1","Open"))</f>
        <v>Open</v>
      </c>
      <c r="U182" s="34"/>
    </row>
    <row r="183" spans="1:21" ht="30" customHeight="1" x14ac:dyDescent="0.25">
      <c r="A183" s="30" t="s">
        <v>161</v>
      </c>
      <c r="B183" s="37">
        <v>4494</v>
      </c>
      <c r="C183" s="55" t="s">
        <v>998</v>
      </c>
      <c r="D183" s="37" t="s">
        <v>1253</v>
      </c>
      <c r="E183" s="32" t="s">
        <v>72</v>
      </c>
      <c r="F183" s="37" t="s">
        <v>1254</v>
      </c>
      <c r="G183" s="42">
        <v>67</v>
      </c>
      <c r="H183" s="37">
        <v>53.57</v>
      </c>
      <c r="I183" s="37" t="s">
        <v>1255</v>
      </c>
      <c r="J183" s="37" t="s">
        <v>1256</v>
      </c>
      <c r="K183" s="57" t="s">
        <v>40</v>
      </c>
      <c r="L183" s="37" t="s">
        <v>1257</v>
      </c>
      <c r="M183" s="37" t="s">
        <v>323</v>
      </c>
      <c r="N183" s="37" t="s">
        <v>330</v>
      </c>
      <c r="O183" s="29" t="s">
        <v>2</v>
      </c>
      <c r="P183" s="37">
        <v>4</v>
      </c>
      <c r="Q183" s="37" t="s">
        <v>1268</v>
      </c>
      <c r="R183" s="37" t="s">
        <v>1259</v>
      </c>
      <c r="S183" t="str">
        <f>IFERROR(HYPERLINK("#Main!A"&amp;MATCH(A183,Main!A:A,0),"Open"),HYPERLINK("#Main!A1","Open"))</f>
        <v>Open</v>
      </c>
      <c r="T183" t="str">
        <f>IFERROR(HYPERLINK("#Technical!A"&amp;MATCH(A183,Technical!A:A,0),"Open"),HYPERLINK("#Technical!A1","Open"))</f>
        <v>Open</v>
      </c>
    </row>
    <row r="184" spans="1:21" ht="30" customHeight="1" x14ac:dyDescent="0.25">
      <c r="A184" s="33" t="s">
        <v>161</v>
      </c>
      <c r="B184" s="28">
        <v>4494</v>
      </c>
      <c r="C184" s="55" t="s">
        <v>998</v>
      </c>
      <c r="D184" s="28" t="s">
        <v>1253</v>
      </c>
      <c r="E184" s="32" t="s">
        <v>72</v>
      </c>
      <c r="F184" s="28" t="s">
        <v>1269</v>
      </c>
      <c r="G184" s="39">
        <v>67</v>
      </c>
      <c r="H184" s="28">
        <v>0</v>
      </c>
      <c r="I184" s="28" t="s">
        <v>1270</v>
      </c>
      <c r="J184" s="28" t="s">
        <v>1271</v>
      </c>
      <c r="K184" s="56" t="s">
        <v>18</v>
      </c>
      <c r="L184" s="28" t="s">
        <v>875</v>
      </c>
      <c r="M184" s="28" t="s">
        <v>323</v>
      </c>
      <c r="N184" s="28" t="s">
        <v>330</v>
      </c>
      <c r="O184" s="29" t="s">
        <v>2</v>
      </c>
      <c r="P184" s="28">
        <v>4</v>
      </c>
      <c r="Q184" s="28" t="s">
        <v>1272</v>
      </c>
      <c r="R184" s="28" t="s">
        <v>1273</v>
      </c>
      <c r="S184" s="34" t="str">
        <f>IFERROR(HYPERLINK("#Main!A"&amp;MATCH(A184,Main!A:A,0),"Open"),HYPERLINK("#Main!A1","Open"))</f>
        <v>Open</v>
      </c>
      <c r="T184" s="34" t="str">
        <f>IFERROR(HYPERLINK("#Technical!A"&amp;MATCH(A184,Technical!A:A,0),"Open"),HYPERLINK("#Technical!A1","Open"))</f>
        <v>Open</v>
      </c>
      <c r="U184" s="34"/>
    </row>
    <row r="185" spans="1:21" ht="30" customHeight="1" x14ac:dyDescent="0.25">
      <c r="A185" s="30" t="s">
        <v>161</v>
      </c>
      <c r="B185" s="37">
        <v>4494</v>
      </c>
      <c r="C185" s="55" t="s">
        <v>998</v>
      </c>
      <c r="D185" s="37" t="s">
        <v>1253</v>
      </c>
      <c r="E185" s="32" t="s">
        <v>72</v>
      </c>
      <c r="F185" s="37" t="s">
        <v>1260</v>
      </c>
      <c r="G185" s="42">
        <v>67</v>
      </c>
      <c r="H185" s="37">
        <v>32</v>
      </c>
      <c r="I185" s="37" t="s">
        <v>1261</v>
      </c>
      <c r="J185" s="37" t="s">
        <v>1262</v>
      </c>
      <c r="K185" s="57" t="s">
        <v>18</v>
      </c>
      <c r="L185" s="37" t="s">
        <v>871</v>
      </c>
      <c r="M185" s="37" t="s">
        <v>323</v>
      </c>
      <c r="N185" s="37" t="s">
        <v>330</v>
      </c>
      <c r="O185" s="29" t="s">
        <v>2</v>
      </c>
      <c r="P185" s="37">
        <v>4</v>
      </c>
      <c r="Q185" s="37" t="s">
        <v>1274</v>
      </c>
      <c r="R185" s="37" t="s">
        <v>1264</v>
      </c>
      <c r="S185" t="str">
        <f>IFERROR(HYPERLINK("#Main!A"&amp;MATCH(A185,Main!A:A,0),"Open"),HYPERLINK("#Main!A1","Open"))</f>
        <v>Open</v>
      </c>
      <c r="T185" t="str">
        <f>IFERROR(HYPERLINK("#Technical!A"&amp;MATCH(A185,Technical!A:A,0),"Open"),HYPERLINK("#Technical!A1","Open"))</f>
        <v>Open</v>
      </c>
    </row>
    <row r="186" spans="1:21" ht="30" customHeight="1" x14ac:dyDescent="0.25">
      <c r="A186" s="33" t="s">
        <v>169</v>
      </c>
      <c r="B186" s="28">
        <v>5619</v>
      </c>
      <c r="C186" s="55" t="s">
        <v>1000</v>
      </c>
      <c r="D186" s="28" t="s">
        <v>1253</v>
      </c>
      <c r="E186" s="32" t="s">
        <v>72</v>
      </c>
      <c r="F186" s="28" t="s">
        <v>1254</v>
      </c>
      <c r="G186" s="39">
        <v>67</v>
      </c>
      <c r="H186" s="28">
        <v>65.22</v>
      </c>
      <c r="I186" s="28" t="s">
        <v>1255</v>
      </c>
      <c r="J186" s="28" t="s">
        <v>1256</v>
      </c>
      <c r="K186" s="56" t="s">
        <v>40</v>
      </c>
      <c r="L186" s="28" t="s">
        <v>1257</v>
      </c>
      <c r="M186" s="28" t="s">
        <v>323</v>
      </c>
      <c r="N186" s="28" t="s">
        <v>330</v>
      </c>
      <c r="O186" s="29" t="s">
        <v>2</v>
      </c>
      <c r="P186" s="28">
        <v>4</v>
      </c>
      <c r="Q186" s="28" t="s">
        <v>1275</v>
      </c>
      <c r="R186" s="28" t="s">
        <v>1259</v>
      </c>
      <c r="S186" s="34" t="str">
        <f>IFERROR(HYPERLINK("#Main!A"&amp;MATCH(A186,Main!A:A,0),"Open"),HYPERLINK("#Main!A1","Open"))</f>
        <v>Open</v>
      </c>
      <c r="T186" s="34" t="str">
        <f>IFERROR(HYPERLINK("#Technical!A"&amp;MATCH(A186,Technical!A:A,0),"Open"),HYPERLINK("#Technical!A1","Open"))</f>
        <v>Open</v>
      </c>
      <c r="U186" s="34"/>
    </row>
    <row r="187" spans="1:21" ht="30" customHeight="1" x14ac:dyDescent="0.25">
      <c r="A187" s="30" t="s">
        <v>169</v>
      </c>
      <c r="B187" s="37">
        <v>5619</v>
      </c>
      <c r="C187" s="55" t="s">
        <v>1000</v>
      </c>
      <c r="D187" s="37" t="s">
        <v>1253</v>
      </c>
      <c r="E187" s="32" t="s">
        <v>72</v>
      </c>
      <c r="F187" s="37" t="s">
        <v>1269</v>
      </c>
      <c r="G187" s="42">
        <v>67</v>
      </c>
      <c r="H187" s="37">
        <v>0</v>
      </c>
      <c r="I187" s="37" t="s">
        <v>1270</v>
      </c>
      <c r="J187" s="37" t="s">
        <v>1271</v>
      </c>
      <c r="K187" s="57" t="s">
        <v>18</v>
      </c>
      <c r="L187" s="37" t="s">
        <v>875</v>
      </c>
      <c r="M187" s="37" t="s">
        <v>323</v>
      </c>
      <c r="N187" s="37" t="s">
        <v>330</v>
      </c>
      <c r="O187" s="29" t="s">
        <v>2</v>
      </c>
      <c r="P187" s="37">
        <v>4</v>
      </c>
      <c r="Q187" s="37" t="s">
        <v>1276</v>
      </c>
      <c r="R187" s="37" t="s">
        <v>1273</v>
      </c>
      <c r="S187" t="str">
        <f>IFERROR(HYPERLINK("#Main!A"&amp;MATCH(A187,Main!A:A,0),"Open"),HYPERLINK("#Main!A1","Open"))</f>
        <v>Open</v>
      </c>
      <c r="T187" t="str">
        <f>IFERROR(HYPERLINK("#Technical!A"&amp;MATCH(A187,Technical!A:A,0),"Open"),HYPERLINK("#Technical!A1","Open"))</f>
        <v>Open</v>
      </c>
    </row>
    <row r="188" spans="1:21" ht="30" customHeight="1" x14ac:dyDescent="0.25">
      <c r="A188" s="33" t="s">
        <v>169</v>
      </c>
      <c r="B188" s="28">
        <v>5619</v>
      </c>
      <c r="C188" s="55" t="s">
        <v>1000</v>
      </c>
      <c r="D188" s="28" t="s">
        <v>1253</v>
      </c>
      <c r="E188" s="32" t="s">
        <v>72</v>
      </c>
      <c r="F188" s="28" t="s">
        <v>1260</v>
      </c>
      <c r="G188" s="39">
        <v>67</v>
      </c>
      <c r="H188" s="28">
        <v>120</v>
      </c>
      <c r="I188" s="28" t="s">
        <v>1261</v>
      </c>
      <c r="J188" s="28" t="s">
        <v>1262</v>
      </c>
      <c r="K188" s="56" t="s">
        <v>18</v>
      </c>
      <c r="L188" s="28" t="s">
        <v>871</v>
      </c>
      <c r="M188" s="28" t="s">
        <v>323</v>
      </c>
      <c r="N188" s="28" t="s">
        <v>330</v>
      </c>
      <c r="O188" s="29" t="s">
        <v>2</v>
      </c>
      <c r="P188" s="28">
        <v>4</v>
      </c>
      <c r="Q188" s="28" t="s">
        <v>1277</v>
      </c>
      <c r="R188" s="28" t="s">
        <v>1264</v>
      </c>
      <c r="S188" s="34" t="str">
        <f>IFERROR(HYPERLINK("#Main!A"&amp;MATCH(A188,Main!A:A,0),"Open"),HYPERLINK("#Main!A1","Open"))</f>
        <v>Open</v>
      </c>
      <c r="T188" s="34" t="str">
        <f>IFERROR(HYPERLINK("#Technical!A"&amp;MATCH(A188,Technical!A:A,0),"Open"),HYPERLINK("#Technical!A1","Open"))</f>
        <v>Open</v>
      </c>
      <c r="U188" s="34"/>
    </row>
    <row r="189" spans="1:21" ht="30" customHeight="1" x14ac:dyDescent="0.25">
      <c r="A189" s="30" t="s">
        <v>177</v>
      </c>
      <c r="B189" s="37">
        <v>4941</v>
      </c>
      <c r="C189" s="55" t="s">
        <v>1002</v>
      </c>
      <c r="D189" s="37" t="s">
        <v>1253</v>
      </c>
      <c r="E189" s="32" t="s">
        <v>72</v>
      </c>
      <c r="F189" s="37" t="s">
        <v>1254</v>
      </c>
      <c r="G189" s="42">
        <v>67</v>
      </c>
      <c r="H189" s="37">
        <v>50</v>
      </c>
      <c r="I189" s="37" t="s">
        <v>1255</v>
      </c>
      <c r="J189" s="37" t="s">
        <v>1256</v>
      </c>
      <c r="K189" s="57" t="s">
        <v>40</v>
      </c>
      <c r="L189" s="37" t="s">
        <v>1257</v>
      </c>
      <c r="M189" s="37" t="s">
        <v>323</v>
      </c>
      <c r="N189" s="37" t="s">
        <v>330</v>
      </c>
      <c r="O189" s="29" t="s">
        <v>2</v>
      </c>
      <c r="P189" s="37">
        <v>4</v>
      </c>
      <c r="Q189" s="37" t="s">
        <v>1278</v>
      </c>
      <c r="R189" s="37" t="s">
        <v>1259</v>
      </c>
      <c r="S189" t="str">
        <f>IFERROR(HYPERLINK("#Main!A"&amp;MATCH(A189,Main!A:A,0),"Open"),HYPERLINK("#Main!A1","Open"))</f>
        <v>Open</v>
      </c>
      <c r="T189" t="str">
        <f>IFERROR(HYPERLINK("#Technical!A"&amp;MATCH(A189,Technical!A:A,0),"Open"),HYPERLINK("#Technical!A1","Open"))</f>
        <v>Open</v>
      </c>
    </row>
    <row r="190" spans="1:21" ht="30" customHeight="1" x14ac:dyDescent="0.25">
      <c r="A190" s="33" t="s">
        <v>177</v>
      </c>
      <c r="B190" s="28">
        <v>4941</v>
      </c>
      <c r="C190" s="55" t="s">
        <v>1002</v>
      </c>
      <c r="D190" s="28" t="s">
        <v>1253</v>
      </c>
      <c r="E190" s="32" t="s">
        <v>72</v>
      </c>
      <c r="F190" s="28" t="s">
        <v>1269</v>
      </c>
      <c r="G190" s="39">
        <v>67</v>
      </c>
      <c r="H190" s="28">
        <v>0</v>
      </c>
      <c r="I190" s="28" t="s">
        <v>1270</v>
      </c>
      <c r="J190" s="28" t="s">
        <v>1271</v>
      </c>
      <c r="K190" s="56" t="s">
        <v>18</v>
      </c>
      <c r="L190" s="28" t="s">
        <v>875</v>
      </c>
      <c r="M190" s="28" t="s">
        <v>323</v>
      </c>
      <c r="N190" s="28" t="s">
        <v>330</v>
      </c>
      <c r="O190" s="29" t="s">
        <v>2</v>
      </c>
      <c r="P190" s="28">
        <v>4</v>
      </c>
      <c r="Q190" s="28" t="s">
        <v>1279</v>
      </c>
      <c r="R190" s="28" t="s">
        <v>1273</v>
      </c>
      <c r="S190" s="34" t="str">
        <f>IFERROR(HYPERLINK("#Main!A"&amp;MATCH(A190,Main!A:A,0),"Open"),HYPERLINK("#Main!A1","Open"))</f>
        <v>Open</v>
      </c>
      <c r="T190" s="34" t="str">
        <f>IFERROR(HYPERLINK("#Technical!A"&amp;MATCH(A190,Technical!A:A,0),"Open"),HYPERLINK("#Technical!A1","Open"))</f>
        <v>Open</v>
      </c>
      <c r="U190" s="34"/>
    </row>
    <row r="191" spans="1:21" ht="30" customHeight="1" x14ac:dyDescent="0.25">
      <c r="A191" s="30" t="s">
        <v>185</v>
      </c>
      <c r="B191" s="37">
        <v>12371</v>
      </c>
      <c r="C191" s="55" t="s">
        <v>1004</v>
      </c>
      <c r="D191" s="37" t="s">
        <v>1253</v>
      </c>
      <c r="E191" s="32" t="s">
        <v>72</v>
      </c>
      <c r="F191" s="37" t="s">
        <v>1254</v>
      </c>
      <c r="G191" s="42">
        <v>67</v>
      </c>
      <c r="H191" s="37">
        <v>33.93</v>
      </c>
      <c r="I191" s="37" t="s">
        <v>1255</v>
      </c>
      <c r="J191" s="37" t="s">
        <v>1256</v>
      </c>
      <c r="K191" s="57" t="s">
        <v>40</v>
      </c>
      <c r="L191" s="37" t="s">
        <v>1257</v>
      </c>
      <c r="M191" s="37" t="s">
        <v>323</v>
      </c>
      <c r="N191" s="37" t="s">
        <v>330</v>
      </c>
      <c r="O191" s="29" t="s">
        <v>2</v>
      </c>
      <c r="P191" s="37">
        <v>4</v>
      </c>
      <c r="Q191" s="37" t="s">
        <v>1280</v>
      </c>
      <c r="R191" s="37" t="s">
        <v>1259</v>
      </c>
      <c r="S191" t="str">
        <f>IFERROR(HYPERLINK("#Main!A"&amp;MATCH(A191,Main!A:A,0),"Open"),HYPERLINK("#Main!A1","Open"))</f>
        <v>Open</v>
      </c>
      <c r="T191" t="str">
        <f>IFERROR(HYPERLINK("#Technical!A"&amp;MATCH(A191,Technical!A:A,0),"Open"),HYPERLINK("#Technical!A1","Open"))</f>
        <v>Open</v>
      </c>
    </row>
    <row r="192" spans="1:21" ht="30" customHeight="1" x14ac:dyDescent="0.25">
      <c r="A192" s="33" t="s">
        <v>193</v>
      </c>
      <c r="B192" s="28">
        <v>12954</v>
      </c>
      <c r="C192" s="55" t="s">
        <v>1006</v>
      </c>
      <c r="D192" s="28" t="s">
        <v>1253</v>
      </c>
      <c r="E192" s="32" t="s">
        <v>72</v>
      </c>
      <c r="F192" s="28" t="s">
        <v>1254</v>
      </c>
      <c r="G192" s="39">
        <v>67</v>
      </c>
      <c r="H192" s="28">
        <v>72</v>
      </c>
      <c r="I192" s="28" t="s">
        <v>1255</v>
      </c>
      <c r="J192" s="28" t="s">
        <v>1256</v>
      </c>
      <c r="K192" s="56" t="s">
        <v>40</v>
      </c>
      <c r="L192" s="28" t="s">
        <v>1257</v>
      </c>
      <c r="M192" s="28" t="s">
        <v>323</v>
      </c>
      <c r="N192" s="28" t="s">
        <v>330</v>
      </c>
      <c r="O192" s="29" t="s">
        <v>2</v>
      </c>
      <c r="P192" s="28">
        <v>4</v>
      </c>
      <c r="Q192" s="28" t="s">
        <v>1281</v>
      </c>
      <c r="R192" s="28" t="s">
        <v>1259</v>
      </c>
      <c r="S192" s="34" t="str">
        <f>IFERROR(HYPERLINK("#Main!A"&amp;MATCH(A192,Main!A:A,0),"Open"),HYPERLINK("#Main!A1","Open"))</f>
        <v>Open</v>
      </c>
      <c r="T192" s="34" t="str">
        <f>IFERROR(HYPERLINK("#Technical!A"&amp;MATCH(A192,Technical!A:A,0),"Open"),HYPERLINK("#Technical!A1","Open"))</f>
        <v>Open</v>
      </c>
      <c r="U192" s="34"/>
    </row>
    <row r="193" spans="1:21" ht="30" customHeight="1" x14ac:dyDescent="0.25">
      <c r="A193" s="30" t="s">
        <v>201</v>
      </c>
      <c r="B193" s="37">
        <v>13164</v>
      </c>
      <c r="C193" s="55" t="s">
        <v>1008</v>
      </c>
      <c r="D193" s="37" t="s">
        <v>1253</v>
      </c>
      <c r="E193" s="32" t="s">
        <v>72</v>
      </c>
      <c r="F193" s="37" t="s">
        <v>1254</v>
      </c>
      <c r="G193" s="42">
        <v>67</v>
      </c>
      <c r="H193" s="37">
        <v>75</v>
      </c>
      <c r="I193" s="37" t="s">
        <v>1255</v>
      </c>
      <c r="J193" s="37" t="s">
        <v>1256</v>
      </c>
      <c r="K193" s="57" t="s">
        <v>40</v>
      </c>
      <c r="L193" s="37" t="s">
        <v>1257</v>
      </c>
      <c r="M193" s="37" t="s">
        <v>323</v>
      </c>
      <c r="N193" s="37" t="s">
        <v>330</v>
      </c>
      <c r="O193" s="29" t="s">
        <v>2</v>
      </c>
      <c r="P193" s="37">
        <v>4</v>
      </c>
      <c r="Q193" s="37" t="s">
        <v>1282</v>
      </c>
      <c r="R193" s="37" t="s">
        <v>1259</v>
      </c>
      <c r="S193" t="str">
        <f>IFERROR(HYPERLINK("#Main!A"&amp;MATCH(A193,Main!A:A,0),"Open"),HYPERLINK("#Main!A1","Open"))</f>
        <v>Open</v>
      </c>
      <c r="T193" t="str">
        <f>IFERROR(HYPERLINK("#Technical!A"&amp;MATCH(A193,Technical!A:A,0),"Open"),HYPERLINK("#Technical!A1","Open"))</f>
        <v>Open</v>
      </c>
    </row>
    <row r="194" spans="1:21" ht="30" customHeight="1" x14ac:dyDescent="0.25">
      <c r="A194" s="33" t="s">
        <v>201</v>
      </c>
      <c r="B194" s="28">
        <v>13164</v>
      </c>
      <c r="C194" s="55" t="s">
        <v>1008</v>
      </c>
      <c r="D194" s="28" t="s">
        <v>1253</v>
      </c>
      <c r="E194" s="32" t="s">
        <v>72</v>
      </c>
      <c r="F194" s="28" t="s">
        <v>1269</v>
      </c>
      <c r="G194" s="39">
        <v>67</v>
      </c>
      <c r="H194" s="28">
        <v>0</v>
      </c>
      <c r="I194" s="28" t="s">
        <v>1270</v>
      </c>
      <c r="J194" s="28" t="s">
        <v>1271</v>
      </c>
      <c r="K194" s="56" t="s">
        <v>18</v>
      </c>
      <c r="L194" s="28" t="s">
        <v>875</v>
      </c>
      <c r="M194" s="28" t="s">
        <v>323</v>
      </c>
      <c r="N194" s="28" t="s">
        <v>330</v>
      </c>
      <c r="O194" s="29" t="s">
        <v>2</v>
      </c>
      <c r="P194" s="28">
        <v>4</v>
      </c>
      <c r="Q194" s="28" t="s">
        <v>1283</v>
      </c>
      <c r="R194" s="28" t="s">
        <v>1273</v>
      </c>
      <c r="S194" s="34" t="str">
        <f>IFERROR(HYPERLINK("#Main!A"&amp;MATCH(A194,Main!A:A,0),"Open"),HYPERLINK("#Main!A1","Open"))</f>
        <v>Open</v>
      </c>
      <c r="T194" s="34" t="str">
        <f>IFERROR(HYPERLINK("#Technical!A"&amp;MATCH(A194,Technical!A:A,0),"Open"),HYPERLINK("#Technical!A1","Open"))</f>
        <v>Open</v>
      </c>
      <c r="U194" s="34"/>
    </row>
    <row r="195" spans="1:21" ht="30" customHeight="1" x14ac:dyDescent="0.25">
      <c r="A195" s="30" t="s">
        <v>201</v>
      </c>
      <c r="B195" s="37">
        <v>13164</v>
      </c>
      <c r="C195" s="55" t="s">
        <v>1008</v>
      </c>
      <c r="D195" s="37" t="s">
        <v>1253</v>
      </c>
      <c r="E195" s="32" t="s">
        <v>72</v>
      </c>
      <c r="F195" s="37" t="s">
        <v>1260</v>
      </c>
      <c r="G195" s="42">
        <v>67</v>
      </c>
      <c r="H195" s="37">
        <v>31</v>
      </c>
      <c r="I195" s="37" t="s">
        <v>1261</v>
      </c>
      <c r="J195" s="37" t="s">
        <v>1262</v>
      </c>
      <c r="K195" s="57" t="s">
        <v>18</v>
      </c>
      <c r="L195" s="37" t="s">
        <v>871</v>
      </c>
      <c r="M195" s="37" t="s">
        <v>323</v>
      </c>
      <c r="N195" s="37" t="s">
        <v>330</v>
      </c>
      <c r="O195" s="29" t="s">
        <v>2</v>
      </c>
      <c r="P195" s="37">
        <v>4</v>
      </c>
      <c r="Q195" s="37" t="s">
        <v>1284</v>
      </c>
      <c r="R195" s="37" t="s">
        <v>1264</v>
      </c>
      <c r="S195" t="str">
        <f>IFERROR(HYPERLINK("#Main!A"&amp;MATCH(A195,Main!A:A,0),"Open"),HYPERLINK("#Main!A1","Open"))</f>
        <v>Open</v>
      </c>
      <c r="T195" t="str">
        <f>IFERROR(HYPERLINK("#Technical!A"&amp;MATCH(A195,Technical!A:A,0),"Open"),HYPERLINK("#Technical!A1","Open"))</f>
        <v>Open</v>
      </c>
    </row>
    <row r="196" spans="1:21" ht="30" customHeight="1" x14ac:dyDescent="0.25">
      <c r="A196" s="33" t="s">
        <v>208</v>
      </c>
      <c r="B196" s="28">
        <v>12407</v>
      </c>
      <c r="C196" s="55" t="s">
        <v>1010</v>
      </c>
      <c r="D196" s="28" t="s">
        <v>1253</v>
      </c>
      <c r="E196" s="32" t="s">
        <v>72</v>
      </c>
      <c r="F196" s="28" t="s">
        <v>1254</v>
      </c>
      <c r="G196" s="39">
        <v>67</v>
      </c>
      <c r="H196" s="28">
        <v>75</v>
      </c>
      <c r="I196" s="28" t="s">
        <v>1255</v>
      </c>
      <c r="J196" s="28" t="s">
        <v>1256</v>
      </c>
      <c r="K196" s="56" t="s">
        <v>40</v>
      </c>
      <c r="L196" s="28" t="s">
        <v>1257</v>
      </c>
      <c r="M196" s="28" t="s">
        <v>323</v>
      </c>
      <c r="N196" s="28" t="s">
        <v>330</v>
      </c>
      <c r="O196" s="29" t="s">
        <v>2</v>
      </c>
      <c r="P196" s="28">
        <v>4</v>
      </c>
      <c r="Q196" s="28" t="s">
        <v>1285</v>
      </c>
      <c r="R196" s="28" t="s">
        <v>1259</v>
      </c>
      <c r="S196" s="34" t="str">
        <f>IFERROR(HYPERLINK("#Main!A"&amp;MATCH(A196,Main!A:A,0),"Open"),HYPERLINK("#Main!A1","Open"))</f>
        <v>Open</v>
      </c>
      <c r="T196" s="34" t="str">
        <f>IFERROR(HYPERLINK("#Technical!A"&amp;MATCH(A196,Technical!A:A,0),"Open"),HYPERLINK("#Technical!A1","Open"))</f>
        <v>Open</v>
      </c>
      <c r="U196" s="34"/>
    </row>
    <row r="197" spans="1:21" ht="30" customHeight="1" x14ac:dyDescent="0.25">
      <c r="A197" s="30" t="s">
        <v>208</v>
      </c>
      <c r="B197" s="37">
        <v>12407</v>
      </c>
      <c r="C197" s="55" t="s">
        <v>1010</v>
      </c>
      <c r="D197" s="37" t="s">
        <v>1253</v>
      </c>
      <c r="E197" s="32" t="s">
        <v>72</v>
      </c>
      <c r="F197" s="37" t="s">
        <v>1260</v>
      </c>
      <c r="G197" s="42">
        <v>67</v>
      </c>
      <c r="H197" s="37">
        <v>195</v>
      </c>
      <c r="I197" s="37" t="s">
        <v>1261</v>
      </c>
      <c r="J197" s="37" t="s">
        <v>1262</v>
      </c>
      <c r="K197" s="57" t="s">
        <v>18</v>
      </c>
      <c r="L197" s="37" t="s">
        <v>871</v>
      </c>
      <c r="M197" s="37" t="s">
        <v>323</v>
      </c>
      <c r="N197" s="37" t="s">
        <v>330</v>
      </c>
      <c r="O197" s="29" t="s">
        <v>2</v>
      </c>
      <c r="P197" s="37">
        <v>4</v>
      </c>
      <c r="Q197" s="37" t="s">
        <v>1286</v>
      </c>
      <c r="R197" s="37" t="s">
        <v>1264</v>
      </c>
      <c r="S197" t="str">
        <f>IFERROR(HYPERLINK("#Main!A"&amp;MATCH(A197,Main!A:A,0),"Open"),HYPERLINK("#Main!A1","Open"))</f>
        <v>Open</v>
      </c>
      <c r="T197" t="str">
        <f>IFERROR(HYPERLINK("#Technical!A"&amp;MATCH(A197,Technical!A:A,0),"Open"),HYPERLINK("#Technical!A1","Open"))</f>
        <v>Open</v>
      </c>
    </row>
    <row r="198" spans="1:21" ht="30" customHeight="1" x14ac:dyDescent="0.25">
      <c r="A198" s="33" t="s">
        <v>216</v>
      </c>
      <c r="B198" s="28">
        <v>12497</v>
      </c>
      <c r="C198" s="55" t="s">
        <v>1012</v>
      </c>
      <c r="D198" s="28" t="s">
        <v>1253</v>
      </c>
      <c r="E198" s="32" t="s">
        <v>72</v>
      </c>
      <c r="F198" s="28" t="s">
        <v>1269</v>
      </c>
      <c r="G198" s="39">
        <v>67</v>
      </c>
      <c r="H198" s="28">
        <v>0</v>
      </c>
      <c r="I198" s="28" t="s">
        <v>1270</v>
      </c>
      <c r="J198" s="28" t="s">
        <v>1271</v>
      </c>
      <c r="K198" s="56" t="s">
        <v>18</v>
      </c>
      <c r="L198" s="28" t="s">
        <v>875</v>
      </c>
      <c r="M198" s="28" t="s">
        <v>323</v>
      </c>
      <c r="N198" s="28" t="s">
        <v>330</v>
      </c>
      <c r="O198" s="29" t="s">
        <v>2</v>
      </c>
      <c r="P198" s="28">
        <v>4</v>
      </c>
      <c r="Q198" s="28" t="s">
        <v>1287</v>
      </c>
      <c r="R198" s="28" t="s">
        <v>1273</v>
      </c>
      <c r="S198" s="34" t="str">
        <f>IFERROR(HYPERLINK("#Main!A"&amp;MATCH(A198,Main!A:A,0),"Open"),HYPERLINK("#Main!A1","Open"))</f>
        <v>Open</v>
      </c>
      <c r="T198" s="34" t="str">
        <f>IFERROR(HYPERLINK("#Technical!A"&amp;MATCH(A198,Technical!A:A,0),"Open"),HYPERLINK("#Technical!A1","Open"))</f>
        <v>Open</v>
      </c>
      <c r="U198" s="34"/>
    </row>
    <row r="199" spans="1:21" ht="30" customHeight="1" x14ac:dyDescent="0.25">
      <c r="A199" s="30" t="s">
        <v>216</v>
      </c>
      <c r="B199" s="37">
        <v>12497</v>
      </c>
      <c r="C199" s="55" t="s">
        <v>1012</v>
      </c>
      <c r="D199" s="37" t="s">
        <v>1253</v>
      </c>
      <c r="E199" s="32" t="s">
        <v>72</v>
      </c>
      <c r="F199" s="37" t="s">
        <v>1260</v>
      </c>
      <c r="G199" s="42">
        <v>67</v>
      </c>
      <c r="H199" s="37">
        <v>97</v>
      </c>
      <c r="I199" s="37" t="s">
        <v>1261</v>
      </c>
      <c r="J199" s="37" t="s">
        <v>1262</v>
      </c>
      <c r="K199" s="57" t="s">
        <v>18</v>
      </c>
      <c r="L199" s="37" t="s">
        <v>871</v>
      </c>
      <c r="M199" s="37" t="s">
        <v>323</v>
      </c>
      <c r="N199" s="37" t="s">
        <v>330</v>
      </c>
      <c r="O199" s="29" t="s">
        <v>2</v>
      </c>
      <c r="P199" s="37">
        <v>4</v>
      </c>
      <c r="Q199" s="37" t="s">
        <v>1288</v>
      </c>
      <c r="R199" s="37" t="s">
        <v>1264</v>
      </c>
      <c r="S199" t="str">
        <f>IFERROR(HYPERLINK("#Main!A"&amp;MATCH(A199,Main!A:A,0),"Open"),HYPERLINK("#Main!A1","Open"))</f>
        <v>Open</v>
      </c>
      <c r="T199" t="str">
        <f>IFERROR(HYPERLINK("#Technical!A"&amp;MATCH(A199,Technical!A:A,0),"Open"),HYPERLINK("#Technical!A1","Open"))</f>
        <v>Open</v>
      </c>
    </row>
    <row r="200" spans="1:21" ht="30" customHeight="1" x14ac:dyDescent="0.25">
      <c r="A200" s="33" t="s">
        <v>224</v>
      </c>
      <c r="B200" s="28">
        <v>13098</v>
      </c>
      <c r="C200" s="55" t="s">
        <v>1014</v>
      </c>
      <c r="D200" s="28" t="s">
        <v>1253</v>
      </c>
      <c r="E200" s="32" t="s">
        <v>72</v>
      </c>
      <c r="F200" s="28" t="s">
        <v>1254</v>
      </c>
      <c r="G200" s="39">
        <v>67</v>
      </c>
      <c r="H200" s="28">
        <v>72.73</v>
      </c>
      <c r="I200" s="28" t="s">
        <v>1255</v>
      </c>
      <c r="J200" s="28" t="s">
        <v>1256</v>
      </c>
      <c r="K200" s="56" t="s">
        <v>40</v>
      </c>
      <c r="L200" s="28" t="s">
        <v>1257</v>
      </c>
      <c r="M200" s="28" t="s">
        <v>323</v>
      </c>
      <c r="N200" s="28" t="s">
        <v>330</v>
      </c>
      <c r="O200" s="29" t="s">
        <v>2</v>
      </c>
      <c r="P200" s="28">
        <v>4</v>
      </c>
      <c r="Q200" s="28" t="s">
        <v>1289</v>
      </c>
      <c r="R200" s="28" t="s">
        <v>1259</v>
      </c>
      <c r="S200" s="34" t="str">
        <f>IFERROR(HYPERLINK("#Main!A"&amp;MATCH(A200,Main!A:A,0),"Open"),HYPERLINK("#Main!A1","Open"))</f>
        <v>Open</v>
      </c>
      <c r="T200" s="34" t="str">
        <f>IFERROR(HYPERLINK("#Technical!A"&amp;MATCH(A200,Technical!A:A,0),"Open"),HYPERLINK("#Technical!A1","Open"))</f>
        <v>Open</v>
      </c>
      <c r="U200" s="34"/>
    </row>
    <row r="201" spans="1:21" ht="30" customHeight="1" x14ac:dyDescent="0.25">
      <c r="A201" s="30" t="s">
        <v>224</v>
      </c>
      <c r="B201" s="37">
        <v>13098</v>
      </c>
      <c r="C201" s="55" t="s">
        <v>1014</v>
      </c>
      <c r="D201" s="37" t="s">
        <v>1253</v>
      </c>
      <c r="E201" s="32" t="s">
        <v>72</v>
      </c>
      <c r="F201" s="37" t="s">
        <v>1260</v>
      </c>
      <c r="G201" s="42">
        <v>67</v>
      </c>
      <c r="H201" s="37">
        <v>111</v>
      </c>
      <c r="I201" s="37" t="s">
        <v>1261</v>
      </c>
      <c r="J201" s="37" t="s">
        <v>1262</v>
      </c>
      <c r="K201" s="57" t="s">
        <v>18</v>
      </c>
      <c r="L201" s="37" t="s">
        <v>871</v>
      </c>
      <c r="M201" s="37" t="s">
        <v>323</v>
      </c>
      <c r="N201" s="37" t="s">
        <v>330</v>
      </c>
      <c r="O201" s="29" t="s">
        <v>2</v>
      </c>
      <c r="P201" s="37">
        <v>4</v>
      </c>
      <c r="Q201" s="37" t="s">
        <v>1290</v>
      </c>
      <c r="R201" s="37" t="s">
        <v>1264</v>
      </c>
      <c r="S201" t="str">
        <f>IFERROR(HYPERLINK("#Main!A"&amp;MATCH(A201,Main!A:A,0),"Open"),HYPERLINK("#Main!A1","Open"))</f>
        <v>Open</v>
      </c>
      <c r="T201" t="str">
        <f>IFERROR(HYPERLINK("#Technical!A"&amp;MATCH(A201,Technical!A:A,0),"Open"),HYPERLINK("#Technical!A1","Open"))</f>
        <v>Open</v>
      </c>
    </row>
    <row r="202" spans="1:21" ht="30" customHeight="1" x14ac:dyDescent="0.25">
      <c r="A202" s="33" t="s">
        <v>233</v>
      </c>
      <c r="B202" s="28">
        <v>13549</v>
      </c>
      <c r="C202" s="55" t="s">
        <v>1016</v>
      </c>
      <c r="D202" s="28" t="s">
        <v>1253</v>
      </c>
      <c r="E202" s="32" t="s">
        <v>72</v>
      </c>
      <c r="F202" s="28" t="s">
        <v>1254</v>
      </c>
      <c r="G202" s="39">
        <v>67</v>
      </c>
      <c r="H202" s="28">
        <v>75</v>
      </c>
      <c r="I202" s="28" t="s">
        <v>1255</v>
      </c>
      <c r="J202" s="28" t="s">
        <v>1256</v>
      </c>
      <c r="K202" s="56" t="s">
        <v>40</v>
      </c>
      <c r="L202" s="28" t="s">
        <v>1257</v>
      </c>
      <c r="M202" s="28" t="s">
        <v>323</v>
      </c>
      <c r="N202" s="28" t="s">
        <v>330</v>
      </c>
      <c r="O202" s="29" t="s">
        <v>2</v>
      </c>
      <c r="P202" s="28">
        <v>4</v>
      </c>
      <c r="Q202" s="28" t="s">
        <v>1291</v>
      </c>
      <c r="R202" s="28" t="s">
        <v>1259</v>
      </c>
      <c r="S202" s="34" t="str">
        <f>IFERROR(HYPERLINK("#Main!A"&amp;MATCH(A202,Main!A:A,0),"Open"),HYPERLINK("#Main!A1","Open"))</f>
        <v>Open</v>
      </c>
      <c r="T202" s="34" t="str">
        <f>IFERROR(HYPERLINK("#Technical!A"&amp;MATCH(A202,Technical!A:A,0),"Open"),HYPERLINK("#Technical!A1","Open"))</f>
        <v>Open</v>
      </c>
      <c r="U202" s="34"/>
    </row>
    <row r="203" spans="1:21" ht="30" customHeight="1" x14ac:dyDescent="0.25">
      <c r="A203" s="30" t="s">
        <v>233</v>
      </c>
      <c r="B203" s="37">
        <v>13549</v>
      </c>
      <c r="C203" s="55" t="s">
        <v>1016</v>
      </c>
      <c r="D203" s="37" t="s">
        <v>1253</v>
      </c>
      <c r="E203" s="32" t="s">
        <v>72</v>
      </c>
      <c r="F203" s="37" t="s">
        <v>1260</v>
      </c>
      <c r="G203" s="42">
        <v>67</v>
      </c>
      <c r="H203" s="37">
        <v>46</v>
      </c>
      <c r="I203" s="37" t="s">
        <v>1261</v>
      </c>
      <c r="J203" s="37" t="s">
        <v>1262</v>
      </c>
      <c r="K203" s="57" t="s">
        <v>18</v>
      </c>
      <c r="L203" s="37" t="s">
        <v>871</v>
      </c>
      <c r="M203" s="37" t="s">
        <v>323</v>
      </c>
      <c r="N203" s="37" t="s">
        <v>330</v>
      </c>
      <c r="O203" s="29" t="s">
        <v>2</v>
      </c>
      <c r="P203" s="37">
        <v>4</v>
      </c>
      <c r="Q203" s="37" t="s">
        <v>1292</v>
      </c>
      <c r="R203" s="37" t="s">
        <v>1264</v>
      </c>
      <c r="S203" t="str">
        <f>IFERROR(HYPERLINK("#Main!A"&amp;MATCH(A203,Main!A:A,0),"Open"),HYPERLINK("#Main!A1","Open"))</f>
        <v>Open</v>
      </c>
      <c r="T203" t="str">
        <f>IFERROR(HYPERLINK("#Technical!A"&amp;MATCH(A203,Technical!A:A,0),"Open"),HYPERLINK("#Technical!A1","Open"))</f>
        <v>Open</v>
      </c>
    </row>
    <row r="204" spans="1:21" ht="30" customHeight="1" x14ac:dyDescent="0.25">
      <c r="A204" s="33" t="s">
        <v>241</v>
      </c>
      <c r="B204" s="28">
        <v>13282</v>
      </c>
      <c r="C204" s="55" t="s">
        <v>1018</v>
      </c>
      <c r="D204" s="28" t="s">
        <v>1253</v>
      </c>
      <c r="E204" s="32" t="s">
        <v>72</v>
      </c>
      <c r="F204" s="28" t="s">
        <v>1254</v>
      </c>
      <c r="G204" s="39">
        <v>67</v>
      </c>
      <c r="H204" s="28">
        <v>65.91</v>
      </c>
      <c r="I204" s="28" t="s">
        <v>1255</v>
      </c>
      <c r="J204" s="28" t="s">
        <v>1256</v>
      </c>
      <c r="K204" s="56" t="s">
        <v>40</v>
      </c>
      <c r="L204" s="28" t="s">
        <v>1257</v>
      </c>
      <c r="M204" s="28" t="s">
        <v>323</v>
      </c>
      <c r="N204" s="28" t="s">
        <v>330</v>
      </c>
      <c r="O204" s="29" t="s">
        <v>2</v>
      </c>
      <c r="P204" s="28">
        <v>4</v>
      </c>
      <c r="Q204" s="28" t="s">
        <v>1293</v>
      </c>
      <c r="R204" s="28" t="s">
        <v>1259</v>
      </c>
      <c r="S204" s="34" t="str">
        <f>IFERROR(HYPERLINK("#Main!A"&amp;MATCH(A204,Main!A:A,0),"Open"),HYPERLINK("#Main!A1","Open"))</f>
        <v>Open</v>
      </c>
      <c r="T204" s="34" t="str">
        <f>IFERROR(HYPERLINK("#Technical!A"&amp;MATCH(A204,Technical!A:A,0),"Open"),HYPERLINK("#Technical!A1","Open"))</f>
        <v>Open</v>
      </c>
      <c r="U204" s="34"/>
    </row>
    <row r="205" spans="1:21" ht="30" customHeight="1" x14ac:dyDescent="0.25">
      <c r="A205" s="30" t="s">
        <v>241</v>
      </c>
      <c r="B205" s="37">
        <v>13282</v>
      </c>
      <c r="C205" s="55" t="s">
        <v>1018</v>
      </c>
      <c r="D205" s="37" t="s">
        <v>1253</v>
      </c>
      <c r="E205" s="32" t="s">
        <v>72</v>
      </c>
      <c r="F205" s="37" t="s">
        <v>1260</v>
      </c>
      <c r="G205" s="42">
        <v>67</v>
      </c>
      <c r="H205" s="37">
        <v>36</v>
      </c>
      <c r="I205" s="37" t="s">
        <v>1261</v>
      </c>
      <c r="J205" s="37" t="s">
        <v>1262</v>
      </c>
      <c r="K205" s="57" t="s">
        <v>18</v>
      </c>
      <c r="L205" s="37" t="s">
        <v>871</v>
      </c>
      <c r="M205" s="37" t="s">
        <v>323</v>
      </c>
      <c r="N205" s="37" t="s">
        <v>330</v>
      </c>
      <c r="O205" s="29" t="s">
        <v>2</v>
      </c>
      <c r="P205" s="37">
        <v>4</v>
      </c>
      <c r="Q205" s="37" t="s">
        <v>1294</v>
      </c>
      <c r="R205" s="37" t="s">
        <v>1264</v>
      </c>
      <c r="S205" t="str">
        <f>IFERROR(HYPERLINK("#Main!A"&amp;MATCH(A205,Main!A:A,0),"Open"),HYPERLINK("#Main!A1","Open"))</f>
        <v>Open</v>
      </c>
      <c r="T205" t="str">
        <f>IFERROR(HYPERLINK("#Technical!A"&amp;MATCH(A205,Technical!A:A,0),"Open"),HYPERLINK("#Technical!A1","Open"))</f>
        <v>Open</v>
      </c>
    </row>
    <row r="206" spans="1:21" ht="30" customHeight="1" x14ac:dyDescent="0.25">
      <c r="A206" s="33" t="s">
        <v>485</v>
      </c>
      <c r="B206" s="28">
        <v>12945</v>
      </c>
      <c r="C206" s="55" t="s">
        <v>1020</v>
      </c>
      <c r="D206" s="28" t="s">
        <v>1253</v>
      </c>
      <c r="E206" s="32" t="s">
        <v>72</v>
      </c>
      <c r="F206" s="28" t="s">
        <v>1254</v>
      </c>
      <c r="G206" s="39">
        <v>67</v>
      </c>
      <c r="H206" s="28">
        <v>75</v>
      </c>
      <c r="I206" s="28" t="s">
        <v>1255</v>
      </c>
      <c r="J206" s="28" t="s">
        <v>1256</v>
      </c>
      <c r="K206" s="56" t="s">
        <v>40</v>
      </c>
      <c r="L206" s="28" t="s">
        <v>1257</v>
      </c>
      <c r="M206" s="28" t="s">
        <v>323</v>
      </c>
      <c r="N206" s="28" t="s">
        <v>330</v>
      </c>
      <c r="O206" s="29" t="s">
        <v>2</v>
      </c>
      <c r="P206" s="28">
        <v>4</v>
      </c>
      <c r="Q206" s="28" t="s">
        <v>1295</v>
      </c>
      <c r="R206" s="28" t="s">
        <v>1259</v>
      </c>
      <c r="S206" s="34" t="str">
        <f>IFERROR(HYPERLINK("#Main!A"&amp;MATCH(A206,Main!A:A,0),"Open"),HYPERLINK("#Main!A1","Open"))</f>
        <v>Open</v>
      </c>
      <c r="T206" s="34" t="str">
        <f>IFERROR(HYPERLINK("#Technical!A"&amp;MATCH(A206,Technical!A:A,0),"Open"),HYPERLINK("#Technical!A1","Open"))</f>
        <v>Open</v>
      </c>
      <c r="U206" s="34"/>
    </row>
    <row r="207" spans="1:21" ht="30" customHeight="1" x14ac:dyDescent="0.25">
      <c r="A207" s="30" t="s">
        <v>488</v>
      </c>
      <c r="B207" s="37">
        <v>13179</v>
      </c>
      <c r="C207" s="55" t="s">
        <v>1022</v>
      </c>
      <c r="D207" s="37" t="s">
        <v>1253</v>
      </c>
      <c r="E207" s="32" t="s">
        <v>72</v>
      </c>
      <c r="F207" s="37" t="s">
        <v>1260</v>
      </c>
      <c r="G207" s="42">
        <v>67</v>
      </c>
      <c r="H207" s="37">
        <v>193</v>
      </c>
      <c r="I207" s="37" t="s">
        <v>1261</v>
      </c>
      <c r="J207" s="37" t="s">
        <v>1262</v>
      </c>
      <c r="K207" s="57" t="s">
        <v>18</v>
      </c>
      <c r="L207" s="37" t="s">
        <v>871</v>
      </c>
      <c r="M207" s="37" t="s">
        <v>323</v>
      </c>
      <c r="N207" s="37" t="s">
        <v>330</v>
      </c>
      <c r="O207" s="29" t="s">
        <v>2</v>
      </c>
      <c r="P207" s="37">
        <v>4</v>
      </c>
      <c r="Q207" s="37" t="s">
        <v>1296</v>
      </c>
      <c r="R207" s="37" t="s">
        <v>1264</v>
      </c>
      <c r="S207" t="str">
        <f>IFERROR(HYPERLINK("#Main!A"&amp;MATCH(A207,Main!A:A,0),"Open"),HYPERLINK("#Main!A1","Open"))</f>
        <v>Open</v>
      </c>
      <c r="T207" t="str">
        <f>IFERROR(HYPERLINK("#Technical!A"&amp;MATCH(A207,Technical!A:A,0),"Open"),HYPERLINK("#Technical!A1","Open"))</f>
        <v>Open</v>
      </c>
    </row>
    <row r="208" spans="1:21" ht="30" customHeight="1" x14ac:dyDescent="0.25">
      <c r="A208" s="33" t="s">
        <v>494</v>
      </c>
      <c r="B208" s="28">
        <v>18318</v>
      </c>
      <c r="C208" s="55" t="s">
        <v>1026</v>
      </c>
      <c r="D208" s="28" t="s">
        <v>1253</v>
      </c>
      <c r="E208" s="32" t="s">
        <v>72</v>
      </c>
      <c r="F208" s="28" t="s">
        <v>1254</v>
      </c>
      <c r="G208" s="39">
        <v>67</v>
      </c>
      <c r="H208" s="28">
        <v>79.59</v>
      </c>
      <c r="I208" s="28" t="s">
        <v>1255</v>
      </c>
      <c r="J208" s="28" t="s">
        <v>1256</v>
      </c>
      <c r="K208" s="56" t="s">
        <v>40</v>
      </c>
      <c r="L208" s="28" t="s">
        <v>1257</v>
      </c>
      <c r="M208" s="28" t="s">
        <v>323</v>
      </c>
      <c r="N208" s="28" t="s">
        <v>330</v>
      </c>
      <c r="O208" s="29" t="s">
        <v>2</v>
      </c>
      <c r="P208" s="28">
        <v>4</v>
      </c>
      <c r="Q208" s="28" t="s">
        <v>1297</v>
      </c>
      <c r="R208" s="28" t="s">
        <v>1259</v>
      </c>
      <c r="S208" s="34" t="str">
        <f>IFERROR(HYPERLINK("#Main!A"&amp;MATCH(A208,Main!A:A,0),"Open"),HYPERLINK("#Main!A1","Open"))</f>
        <v>Open</v>
      </c>
      <c r="T208" s="34" t="str">
        <f>IFERROR(HYPERLINK("#Technical!A"&amp;MATCH(A208,Technical!A:A,0),"Open"),HYPERLINK("#Technical!A1","Open"))</f>
        <v>Open</v>
      </c>
      <c r="U208" s="34"/>
    </row>
    <row r="209" spans="1:21" ht="30" customHeight="1" x14ac:dyDescent="0.25">
      <c r="A209" s="30" t="s">
        <v>494</v>
      </c>
      <c r="B209" s="37">
        <v>18318</v>
      </c>
      <c r="C209" s="55" t="s">
        <v>1026</v>
      </c>
      <c r="D209" s="37" t="s">
        <v>1253</v>
      </c>
      <c r="E209" s="32" t="s">
        <v>72</v>
      </c>
      <c r="F209" s="37" t="s">
        <v>1260</v>
      </c>
      <c r="G209" s="42">
        <v>67</v>
      </c>
      <c r="H209" s="37">
        <v>126</v>
      </c>
      <c r="I209" s="37" t="s">
        <v>1261</v>
      </c>
      <c r="J209" s="37" t="s">
        <v>1262</v>
      </c>
      <c r="K209" s="57" t="s">
        <v>18</v>
      </c>
      <c r="L209" s="37" t="s">
        <v>871</v>
      </c>
      <c r="M209" s="37" t="s">
        <v>323</v>
      </c>
      <c r="N209" s="37" t="s">
        <v>330</v>
      </c>
      <c r="O209" s="29" t="s">
        <v>2</v>
      </c>
      <c r="P209" s="37">
        <v>4</v>
      </c>
      <c r="Q209" s="37" t="s">
        <v>1298</v>
      </c>
      <c r="R209" s="37" t="s">
        <v>1264</v>
      </c>
      <c r="S209" t="str">
        <f>IFERROR(HYPERLINK("#Main!A"&amp;MATCH(A209,Main!A:A,0),"Open"),HYPERLINK("#Main!A1","Open"))</f>
        <v>Open</v>
      </c>
      <c r="T209" t="str">
        <f>IFERROR(HYPERLINK("#Technical!A"&amp;MATCH(A209,Technical!A:A,0),"Open"),HYPERLINK("#Technical!A1","Open"))</f>
        <v>Open</v>
      </c>
    </row>
    <row r="210" spans="1:21" ht="30" customHeight="1" x14ac:dyDescent="0.25">
      <c r="A210" s="33" t="s">
        <v>497</v>
      </c>
      <c r="B210" s="28">
        <v>23710</v>
      </c>
      <c r="C210" s="55" t="s">
        <v>1028</v>
      </c>
      <c r="D210" s="28" t="s">
        <v>1253</v>
      </c>
      <c r="E210" s="32" t="s">
        <v>72</v>
      </c>
      <c r="F210" s="28" t="s">
        <v>1254</v>
      </c>
      <c r="G210" s="39">
        <v>67</v>
      </c>
      <c r="H210" s="28">
        <v>52.7</v>
      </c>
      <c r="I210" s="28" t="s">
        <v>1255</v>
      </c>
      <c r="J210" s="28" t="s">
        <v>1256</v>
      </c>
      <c r="K210" s="56" t="s">
        <v>40</v>
      </c>
      <c r="L210" s="28" t="s">
        <v>1257</v>
      </c>
      <c r="M210" s="28" t="s">
        <v>323</v>
      </c>
      <c r="N210" s="28" t="s">
        <v>330</v>
      </c>
      <c r="O210" s="29" t="s">
        <v>2</v>
      </c>
      <c r="P210" s="28">
        <v>4</v>
      </c>
      <c r="Q210" s="28" t="s">
        <v>1299</v>
      </c>
      <c r="R210" s="28" t="s">
        <v>1259</v>
      </c>
      <c r="S210" s="34" t="str">
        <f>IFERROR(HYPERLINK("#Main!A"&amp;MATCH(A210,Main!A:A,0),"Open"),HYPERLINK("#Main!A1","Open"))</f>
        <v>Open</v>
      </c>
      <c r="T210" s="34" t="str">
        <f>IFERROR(HYPERLINK("#Technical!A"&amp;MATCH(A210,Technical!A:A,0),"Open"),HYPERLINK("#Technical!A1","Open"))</f>
        <v>Open</v>
      </c>
      <c r="U210" s="34"/>
    </row>
    <row r="211" spans="1:21" ht="30" customHeight="1" x14ac:dyDescent="0.25">
      <c r="A211" s="30" t="s">
        <v>500</v>
      </c>
      <c r="B211" s="37">
        <v>30257</v>
      </c>
      <c r="C211" s="55" t="s">
        <v>1030</v>
      </c>
      <c r="D211" s="37" t="s">
        <v>1253</v>
      </c>
      <c r="E211" s="32" t="s">
        <v>72</v>
      </c>
      <c r="F211" s="37" t="s">
        <v>1254</v>
      </c>
      <c r="G211" s="42">
        <v>67</v>
      </c>
      <c r="H211" s="37">
        <v>13.76</v>
      </c>
      <c r="I211" s="37" t="s">
        <v>1255</v>
      </c>
      <c r="J211" s="37" t="s">
        <v>1256</v>
      </c>
      <c r="K211" s="57" t="s">
        <v>40</v>
      </c>
      <c r="L211" s="37" t="s">
        <v>1257</v>
      </c>
      <c r="M211" s="37" t="s">
        <v>323</v>
      </c>
      <c r="N211" s="37" t="s">
        <v>330</v>
      </c>
      <c r="O211" s="29" t="s">
        <v>2</v>
      </c>
      <c r="P211" s="37">
        <v>4</v>
      </c>
      <c r="Q211" s="37" t="s">
        <v>1300</v>
      </c>
      <c r="R211" s="37" t="s">
        <v>1259</v>
      </c>
      <c r="S211" t="str">
        <f>IFERROR(HYPERLINK("#Main!A"&amp;MATCH(A211,Main!A:A,0),"Open"),HYPERLINK("#Main!A1","Open"))</f>
        <v>Open</v>
      </c>
      <c r="T211" t="str">
        <f>IFERROR(HYPERLINK("#Technical!A"&amp;MATCH(A211,Technical!A:A,0),"Open"),HYPERLINK("#Technical!A1","Open"))</f>
        <v>Open</v>
      </c>
    </row>
    <row r="212" spans="1:21" ht="30" customHeight="1" x14ac:dyDescent="0.25">
      <c r="A212" s="33" t="s">
        <v>503</v>
      </c>
      <c r="B212" s="28">
        <v>31478</v>
      </c>
      <c r="C212" s="55" t="s">
        <v>1032</v>
      </c>
      <c r="D212" s="28" t="s">
        <v>1253</v>
      </c>
      <c r="E212" s="32" t="s">
        <v>72</v>
      </c>
      <c r="F212" s="28" t="s">
        <v>1254</v>
      </c>
      <c r="G212" s="39">
        <v>67</v>
      </c>
      <c r="H212" s="28">
        <v>66.67</v>
      </c>
      <c r="I212" s="28" t="s">
        <v>1255</v>
      </c>
      <c r="J212" s="28" t="s">
        <v>1256</v>
      </c>
      <c r="K212" s="56" t="s">
        <v>40</v>
      </c>
      <c r="L212" s="28" t="s">
        <v>1257</v>
      </c>
      <c r="M212" s="28" t="s">
        <v>323</v>
      </c>
      <c r="N212" s="28" t="s">
        <v>330</v>
      </c>
      <c r="O212" s="29" t="s">
        <v>2</v>
      </c>
      <c r="P212" s="28">
        <v>4</v>
      </c>
      <c r="Q212" s="28" t="s">
        <v>1301</v>
      </c>
      <c r="R212" s="28" t="s">
        <v>1259</v>
      </c>
      <c r="S212" s="34" t="str">
        <f>IFERROR(HYPERLINK("#Main!A"&amp;MATCH(A212,Main!A:A,0),"Open"),HYPERLINK("#Main!A1","Open"))</f>
        <v>Open</v>
      </c>
      <c r="T212" s="34" t="str">
        <f>IFERROR(HYPERLINK("#Technical!A"&amp;MATCH(A212,Technical!A:A,0),"Open"),HYPERLINK("#Technical!A1","Open"))</f>
        <v>Open</v>
      </c>
      <c r="U212" s="34"/>
    </row>
    <row r="213" spans="1:21" ht="30" customHeight="1" x14ac:dyDescent="0.25">
      <c r="A213" s="30" t="s">
        <v>506</v>
      </c>
      <c r="B213" s="37">
        <v>33280</v>
      </c>
      <c r="C213" s="55" t="s">
        <v>1034</v>
      </c>
      <c r="D213" s="37" t="s">
        <v>1253</v>
      </c>
      <c r="E213" s="32" t="s">
        <v>72</v>
      </c>
      <c r="F213" s="37" t="s">
        <v>1254</v>
      </c>
      <c r="G213" s="42">
        <v>67</v>
      </c>
      <c r="H213" s="37">
        <v>75</v>
      </c>
      <c r="I213" s="37" t="s">
        <v>1255</v>
      </c>
      <c r="J213" s="37" t="s">
        <v>1256</v>
      </c>
      <c r="K213" s="57" t="s">
        <v>40</v>
      </c>
      <c r="L213" s="37" t="s">
        <v>1257</v>
      </c>
      <c r="M213" s="37" t="s">
        <v>323</v>
      </c>
      <c r="N213" s="37" t="s">
        <v>330</v>
      </c>
      <c r="O213" s="29" t="s">
        <v>2</v>
      </c>
      <c r="P213" s="37">
        <v>4</v>
      </c>
      <c r="Q213" s="37" t="s">
        <v>1302</v>
      </c>
      <c r="R213" s="37" t="s">
        <v>1259</v>
      </c>
      <c r="S213" t="str">
        <f>IFERROR(HYPERLINK("#Main!A"&amp;MATCH(A213,Main!A:A,0),"Open"),HYPERLINK("#Main!A1","Open"))</f>
        <v>Open</v>
      </c>
      <c r="T213" t="str">
        <f>IFERROR(HYPERLINK("#Technical!A"&amp;MATCH(A213,Technical!A:A,0),"Open"),HYPERLINK("#Technical!A1","Open"))</f>
        <v>Open</v>
      </c>
    </row>
    <row r="214" spans="1:21" ht="30" customHeight="1" x14ac:dyDescent="0.25">
      <c r="A214" s="33" t="s">
        <v>506</v>
      </c>
      <c r="B214" s="28">
        <v>33280</v>
      </c>
      <c r="C214" s="55" t="s">
        <v>1034</v>
      </c>
      <c r="D214" s="28" t="s">
        <v>1253</v>
      </c>
      <c r="E214" s="32" t="s">
        <v>72</v>
      </c>
      <c r="F214" s="28" t="s">
        <v>1260</v>
      </c>
      <c r="G214" s="39">
        <v>67</v>
      </c>
      <c r="H214" s="28">
        <v>209</v>
      </c>
      <c r="I214" s="28" t="s">
        <v>1261</v>
      </c>
      <c r="J214" s="28" t="s">
        <v>1262</v>
      </c>
      <c r="K214" s="56" t="s">
        <v>18</v>
      </c>
      <c r="L214" s="28" t="s">
        <v>871</v>
      </c>
      <c r="M214" s="28" t="s">
        <v>323</v>
      </c>
      <c r="N214" s="28" t="s">
        <v>330</v>
      </c>
      <c r="O214" s="29" t="s">
        <v>2</v>
      </c>
      <c r="P214" s="28">
        <v>4</v>
      </c>
      <c r="Q214" s="28" t="s">
        <v>1303</v>
      </c>
      <c r="R214" s="28" t="s">
        <v>1264</v>
      </c>
      <c r="S214" s="34" t="str">
        <f>IFERROR(HYPERLINK("#Main!A"&amp;MATCH(A214,Main!A:A,0),"Open"),HYPERLINK("#Main!A1","Open"))</f>
        <v>Open</v>
      </c>
      <c r="T214" s="34" t="str">
        <f>IFERROR(HYPERLINK("#Technical!A"&amp;MATCH(A214,Technical!A:A,0),"Open"),HYPERLINK("#Technical!A1","Open"))</f>
        <v>Open</v>
      </c>
      <c r="U214" s="34"/>
    </row>
    <row r="215" spans="1:21" ht="30" customHeight="1" x14ac:dyDescent="0.25">
      <c r="A215" s="30" t="s">
        <v>509</v>
      </c>
      <c r="B215" s="37">
        <v>22778</v>
      </c>
      <c r="C215" s="55" t="s">
        <v>1036</v>
      </c>
      <c r="D215" s="37" t="s">
        <v>1253</v>
      </c>
      <c r="E215" s="32" t="s">
        <v>72</v>
      </c>
      <c r="F215" s="37" t="s">
        <v>1254</v>
      </c>
      <c r="G215" s="42">
        <v>67</v>
      </c>
      <c r="H215" s="37">
        <v>75</v>
      </c>
      <c r="I215" s="37" t="s">
        <v>1255</v>
      </c>
      <c r="J215" s="37" t="s">
        <v>1256</v>
      </c>
      <c r="K215" s="57" t="s">
        <v>40</v>
      </c>
      <c r="L215" s="37" t="s">
        <v>1257</v>
      </c>
      <c r="M215" s="37" t="s">
        <v>323</v>
      </c>
      <c r="N215" s="37" t="s">
        <v>330</v>
      </c>
      <c r="O215" s="29" t="s">
        <v>2</v>
      </c>
      <c r="P215" s="37">
        <v>4</v>
      </c>
      <c r="Q215" s="37" t="s">
        <v>1304</v>
      </c>
      <c r="R215" s="37" t="s">
        <v>1259</v>
      </c>
      <c r="S215" t="str">
        <f>IFERROR(HYPERLINK("#Main!A"&amp;MATCH(A215,Main!A:A,0),"Open"),HYPERLINK("#Main!A1","Open"))</f>
        <v>Open</v>
      </c>
      <c r="T215" t="str">
        <f>IFERROR(HYPERLINK("#Technical!A"&amp;MATCH(A215,Technical!A:A,0),"Open"),HYPERLINK("#Technical!A1","Open"))</f>
        <v>Open</v>
      </c>
    </row>
    <row r="216" spans="1:21" ht="30" customHeight="1" x14ac:dyDescent="0.25">
      <c r="A216" s="33" t="s">
        <v>509</v>
      </c>
      <c r="B216" s="28">
        <v>22778</v>
      </c>
      <c r="C216" s="55" t="s">
        <v>1036</v>
      </c>
      <c r="D216" s="28" t="s">
        <v>1253</v>
      </c>
      <c r="E216" s="32" t="s">
        <v>72</v>
      </c>
      <c r="F216" s="28" t="s">
        <v>1260</v>
      </c>
      <c r="G216" s="39">
        <v>67</v>
      </c>
      <c r="H216" s="28">
        <v>192</v>
      </c>
      <c r="I216" s="28" t="s">
        <v>1261</v>
      </c>
      <c r="J216" s="28" t="s">
        <v>1262</v>
      </c>
      <c r="K216" s="56" t="s">
        <v>18</v>
      </c>
      <c r="L216" s="28" t="s">
        <v>871</v>
      </c>
      <c r="M216" s="28" t="s">
        <v>323</v>
      </c>
      <c r="N216" s="28" t="s">
        <v>330</v>
      </c>
      <c r="O216" s="29" t="s">
        <v>2</v>
      </c>
      <c r="P216" s="28">
        <v>4</v>
      </c>
      <c r="Q216" s="28" t="s">
        <v>1305</v>
      </c>
      <c r="R216" s="28" t="s">
        <v>1264</v>
      </c>
      <c r="S216" s="34" t="str">
        <f>IFERROR(HYPERLINK("#Main!A"&amp;MATCH(A216,Main!A:A,0),"Open"),HYPERLINK("#Main!A1","Open"))</f>
        <v>Open</v>
      </c>
      <c r="T216" s="34" t="str">
        <f>IFERROR(HYPERLINK("#Technical!A"&amp;MATCH(A216,Technical!A:A,0),"Open"),HYPERLINK("#Technical!A1","Open"))</f>
        <v>Open</v>
      </c>
      <c r="U216" s="34"/>
    </row>
    <row r="217" spans="1:21" ht="30" customHeight="1" x14ac:dyDescent="0.25">
      <c r="A217" s="30" t="s">
        <v>512</v>
      </c>
      <c r="B217" s="37">
        <v>5057</v>
      </c>
      <c r="C217" s="55" t="s">
        <v>1038</v>
      </c>
      <c r="D217" s="37" t="s">
        <v>1253</v>
      </c>
      <c r="E217" s="32" t="s">
        <v>72</v>
      </c>
      <c r="F217" s="37" t="s">
        <v>1254</v>
      </c>
      <c r="G217" s="42">
        <v>67</v>
      </c>
      <c r="H217" s="37">
        <v>75</v>
      </c>
      <c r="I217" s="37" t="s">
        <v>1255</v>
      </c>
      <c r="J217" s="37" t="s">
        <v>1256</v>
      </c>
      <c r="K217" s="57" t="s">
        <v>40</v>
      </c>
      <c r="L217" s="37" t="s">
        <v>1257</v>
      </c>
      <c r="M217" s="37" t="s">
        <v>323</v>
      </c>
      <c r="N217" s="37" t="s">
        <v>330</v>
      </c>
      <c r="O217" s="29" t="s">
        <v>2</v>
      </c>
      <c r="P217" s="37">
        <v>4</v>
      </c>
      <c r="Q217" s="37" t="s">
        <v>1306</v>
      </c>
      <c r="R217" s="37" t="s">
        <v>1259</v>
      </c>
      <c r="S217" t="str">
        <f>IFERROR(HYPERLINK("#Main!A"&amp;MATCH(A217,Main!A:A,0),"Open"),HYPERLINK("#Main!A1","Open"))</f>
        <v>Open</v>
      </c>
      <c r="T217" t="str">
        <f>IFERROR(HYPERLINK("#Technical!A"&amp;MATCH(A217,Technical!A:A,0),"Open"),HYPERLINK("#Technical!A1","Open"))</f>
        <v>Open</v>
      </c>
    </row>
    <row r="218" spans="1:21" ht="30" customHeight="1" x14ac:dyDescent="0.25">
      <c r="A218" s="33" t="s">
        <v>512</v>
      </c>
      <c r="B218" s="28">
        <v>5057</v>
      </c>
      <c r="C218" s="55" t="s">
        <v>1038</v>
      </c>
      <c r="D218" s="28" t="s">
        <v>1253</v>
      </c>
      <c r="E218" s="32" t="s">
        <v>72</v>
      </c>
      <c r="F218" s="28" t="s">
        <v>1269</v>
      </c>
      <c r="G218" s="39">
        <v>67</v>
      </c>
      <c r="H218" s="28">
        <v>0</v>
      </c>
      <c r="I218" s="28" t="s">
        <v>1270</v>
      </c>
      <c r="J218" s="28" t="s">
        <v>1271</v>
      </c>
      <c r="K218" s="56" t="s">
        <v>18</v>
      </c>
      <c r="L218" s="28" t="s">
        <v>875</v>
      </c>
      <c r="M218" s="28" t="s">
        <v>323</v>
      </c>
      <c r="N218" s="28" t="s">
        <v>330</v>
      </c>
      <c r="O218" s="29" t="s">
        <v>2</v>
      </c>
      <c r="P218" s="28">
        <v>4</v>
      </c>
      <c r="Q218" s="28" t="s">
        <v>1307</v>
      </c>
      <c r="R218" s="28" t="s">
        <v>1273</v>
      </c>
      <c r="S218" s="34" t="str">
        <f>IFERROR(HYPERLINK("#Main!A"&amp;MATCH(A218,Main!A:A,0),"Open"),HYPERLINK("#Main!A1","Open"))</f>
        <v>Open</v>
      </c>
      <c r="T218" s="34" t="str">
        <f>IFERROR(HYPERLINK("#Technical!A"&amp;MATCH(A218,Technical!A:A,0),"Open"),HYPERLINK("#Technical!A1","Open"))</f>
        <v>Open</v>
      </c>
      <c r="U218" s="34"/>
    </row>
    <row r="219" spans="1:21" ht="30" customHeight="1" x14ac:dyDescent="0.25">
      <c r="A219" s="30" t="s">
        <v>476</v>
      </c>
      <c r="B219" s="37"/>
      <c r="C219" s="37"/>
      <c r="D219" s="37" t="s">
        <v>1253</v>
      </c>
      <c r="E219" s="32" t="s">
        <v>72</v>
      </c>
      <c r="F219" s="37" t="s">
        <v>1260</v>
      </c>
      <c r="G219" s="42">
        <v>67</v>
      </c>
      <c r="H219" s="37">
        <v>0</v>
      </c>
      <c r="I219" s="37" t="s">
        <v>1261</v>
      </c>
      <c r="J219" s="37" t="s">
        <v>1262</v>
      </c>
      <c r="K219" s="57" t="s">
        <v>18</v>
      </c>
      <c r="L219" s="37" t="s">
        <v>871</v>
      </c>
      <c r="M219" s="37" t="s">
        <v>323</v>
      </c>
      <c r="N219" s="37" t="s">
        <v>330</v>
      </c>
      <c r="O219" s="29" t="s">
        <v>2</v>
      </c>
      <c r="P219" s="37">
        <v>4</v>
      </c>
      <c r="Q219" s="37" t="s">
        <v>1308</v>
      </c>
      <c r="R219" s="37" t="s">
        <v>1264</v>
      </c>
      <c r="S219" t="str">
        <f>IFERROR(HYPERLINK("#Main!A"&amp;MATCH(A219,Main!A:A,0),"Open"),HYPERLINK("#Main!A1","Open"))</f>
        <v>Open</v>
      </c>
      <c r="T219" t="str">
        <f>IFERROR(HYPERLINK("#Technical!A"&amp;MATCH(A219,Technical!A:A,0),"Open"),HYPERLINK("#Technical!A1","Open"))</f>
        <v>Open</v>
      </c>
    </row>
    <row r="220" spans="1:21" ht="30" customHeight="1" x14ac:dyDescent="0.25">
      <c r="A220" s="33" t="s">
        <v>515</v>
      </c>
      <c r="B220" s="28">
        <v>12477</v>
      </c>
      <c r="C220" s="55" t="s">
        <v>1040</v>
      </c>
      <c r="D220" s="28" t="s">
        <v>1253</v>
      </c>
      <c r="E220" s="32" t="s">
        <v>72</v>
      </c>
      <c r="F220" s="28" t="s">
        <v>1254</v>
      </c>
      <c r="G220" s="39">
        <v>67</v>
      </c>
      <c r="H220" s="28">
        <v>45.45</v>
      </c>
      <c r="I220" s="28" t="s">
        <v>1255</v>
      </c>
      <c r="J220" s="28" t="s">
        <v>1256</v>
      </c>
      <c r="K220" s="56" t="s">
        <v>40</v>
      </c>
      <c r="L220" s="28" t="s">
        <v>1257</v>
      </c>
      <c r="M220" s="28" t="s">
        <v>323</v>
      </c>
      <c r="N220" s="28" t="s">
        <v>330</v>
      </c>
      <c r="O220" s="29" t="s">
        <v>2</v>
      </c>
      <c r="P220" s="28">
        <v>4</v>
      </c>
      <c r="Q220" s="28" t="s">
        <v>1309</v>
      </c>
      <c r="R220" s="28" t="s">
        <v>1259</v>
      </c>
      <c r="S220" s="34" t="str">
        <f>IFERROR(HYPERLINK("#Main!A"&amp;MATCH(A220,Main!A:A,0),"Open"),HYPERLINK("#Main!A1","Open"))</f>
        <v>Open</v>
      </c>
      <c r="T220" s="34" t="str">
        <f>IFERROR(HYPERLINK("#Technical!A"&amp;MATCH(A220,Technical!A:A,0),"Open"),HYPERLINK("#Technical!A1","Open"))</f>
        <v>Open</v>
      </c>
      <c r="U220" s="34"/>
    </row>
    <row r="221" spans="1:21" ht="30" customHeight="1" x14ac:dyDescent="0.25">
      <c r="A221" s="30" t="s">
        <v>521</v>
      </c>
      <c r="B221" s="37">
        <v>21984</v>
      </c>
      <c r="C221" s="55" t="s">
        <v>1044</v>
      </c>
      <c r="D221" s="37" t="s">
        <v>1253</v>
      </c>
      <c r="E221" s="32" t="s">
        <v>72</v>
      </c>
      <c r="F221" s="37" t="s">
        <v>1269</v>
      </c>
      <c r="G221" s="42">
        <v>67</v>
      </c>
      <c r="H221" s="37">
        <v>0</v>
      </c>
      <c r="I221" s="37" t="s">
        <v>1270</v>
      </c>
      <c r="J221" s="37" t="s">
        <v>1271</v>
      </c>
      <c r="K221" s="57" t="s">
        <v>18</v>
      </c>
      <c r="L221" s="37" t="s">
        <v>875</v>
      </c>
      <c r="M221" s="37" t="s">
        <v>323</v>
      </c>
      <c r="N221" s="37" t="s">
        <v>330</v>
      </c>
      <c r="O221" s="29" t="s">
        <v>2</v>
      </c>
      <c r="P221" s="37">
        <v>4</v>
      </c>
      <c r="Q221" s="37" t="s">
        <v>1310</v>
      </c>
      <c r="R221" s="37" t="s">
        <v>1273</v>
      </c>
      <c r="S221" t="str">
        <f>IFERROR(HYPERLINK("#Main!A"&amp;MATCH(A221,Main!A:A,0),"Open"),HYPERLINK("#Main!A1","Open"))</f>
        <v>Open</v>
      </c>
      <c r="T221" t="str">
        <f>IFERROR(HYPERLINK("#Technical!A"&amp;MATCH(A221,Technical!A:A,0),"Open"),HYPERLINK("#Technical!A1","Open"))</f>
        <v>Open</v>
      </c>
    </row>
    <row r="222" spans="1:21" ht="30" customHeight="1" x14ac:dyDescent="0.25">
      <c r="A222" s="33" t="s">
        <v>521</v>
      </c>
      <c r="B222" s="28">
        <v>21984</v>
      </c>
      <c r="C222" s="55" t="s">
        <v>1044</v>
      </c>
      <c r="D222" s="28" t="s">
        <v>1253</v>
      </c>
      <c r="E222" s="32" t="s">
        <v>72</v>
      </c>
      <c r="F222" s="28" t="s">
        <v>1260</v>
      </c>
      <c r="G222" s="39">
        <v>67</v>
      </c>
      <c r="H222" s="28">
        <v>52</v>
      </c>
      <c r="I222" s="28" t="s">
        <v>1261</v>
      </c>
      <c r="J222" s="28" t="s">
        <v>1262</v>
      </c>
      <c r="K222" s="56" t="s">
        <v>18</v>
      </c>
      <c r="L222" s="28" t="s">
        <v>871</v>
      </c>
      <c r="M222" s="28" t="s">
        <v>323</v>
      </c>
      <c r="N222" s="28" t="s">
        <v>330</v>
      </c>
      <c r="O222" s="29" t="s">
        <v>2</v>
      </c>
      <c r="P222" s="28">
        <v>4</v>
      </c>
      <c r="Q222" s="28" t="s">
        <v>1311</v>
      </c>
      <c r="R222" s="28" t="s">
        <v>1264</v>
      </c>
      <c r="S222" s="34" t="str">
        <f>IFERROR(HYPERLINK("#Main!A"&amp;MATCH(A222,Main!A:A,0),"Open"),HYPERLINK("#Main!A1","Open"))</f>
        <v>Open</v>
      </c>
      <c r="T222" s="34" t="str">
        <f>IFERROR(HYPERLINK("#Technical!A"&amp;MATCH(A222,Technical!A:A,0),"Open"),HYPERLINK("#Technical!A1","Open"))</f>
        <v>Open</v>
      </c>
      <c r="U222" s="34"/>
    </row>
    <row r="223" spans="1:21" ht="30" customHeight="1" x14ac:dyDescent="0.25">
      <c r="A223" s="30" t="s">
        <v>524</v>
      </c>
      <c r="B223" s="37">
        <v>33131</v>
      </c>
      <c r="C223" s="55" t="s">
        <v>1046</v>
      </c>
      <c r="D223" s="37" t="s">
        <v>1253</v>
      </c>
      <c r="E223" s="32" t="s">
        <v>72</v>
      </c>
      <c r="F223" s="37" t="s">
        <v>1254</v>
      </c>
      <c r="G223" s="42">
        <v>67</v>
      </c>
      <c r="H223" s="37">
        <v>75</v>
      </c>
      <c r="I223" s="37" t="s">
        <v>1255</v>
      </c>
      <c r="J223" s="37" t="s">
        <v>1256</v>
      </c>
      <c r="K223" s="57" t="s">
        <v>40</v>
      </c>
      <c r="L223" s="37" t="s">
        <v>1257</v>
      </c>
      <c r="M223" s="37" t="s">
        <v>323</v>
      </c>
      <c r="N223" s="37" t="s">
        <v>330</v>
      </c>
      <c r="O223" s="29" t="s">
        <v>2</v>
      </c>
      <c r="P223" s="37">
        <v>4</v>
      </c>
      <c r="Q223" s="37" t="s">
        <v>1312</v>
      </c>
      <c r="R223" s="37" t="s">
        <v>1259</v>
      </c>
      <c r="S223" t="str">
        <f>IFERROR(HYPERLINK("#Main!A"&amp;MATCH(A223,Main!A:A,0),"Open"),HYPERLINK("#Main!A1","Open"))</f>
        <v>Open</v>
      </c>
      <c r="T223" t="str">
        <f>IFERROR(HYPERLINK("#Technical!A"&amp;MATCH(A223,Technical!A:A,0),"Open"),HYPERLINK("#Technical!A1","Open"))</f>
        <v>Open</v>
      </c>
    </row>
    <row r="224" spans="1:21" ht="30" customHeight="1" x14ac:dyDescent="0.25">
      <c r="A224" s="33" t="s">
        <v>524</v>
      </c>
      <c r="B224" s="28">
        <v>33131</v>
      </c>
      <c r="C224" s="55" t="s">
        <v>1046</v>
      </c>
      <c r="D224" s="28" t="s">
        <v>1253</v>
      </c>
      <c r="E224" s="32" t="s">
        <v>72</v>
      </c>
      <c r="F224" s="28" t="s">
        <v>1260</v>
      </c>
      <c r="G224" s="39">
        <v>67</v>
      </c>
      <c r="H224" s="28">
        <v>205</v>
      </c>
      <c r="I224" s="28" t="s">
        <v>1261</v>
      </c>
      <c r="J224" s="28" t="s">
        <v>1262</v>
      </c>
      <c r="K224" s="56" t="s">
        <v>18</v>
      </c>
      <c r="L224" s="28" t="s">
        <v>871</v>
      </c>
      <c r="M224" s="28" t="s">
        <v>323</v>
      </c>
      <c r="N224" s="28" t="s">
        <v>330</v>
      </c>
      <c r="O224" s="29" t="s">
        <v>2</v>
      </c>
      <c r="P224" s="28">
        <v>4</v>
      </c>
      <c r="Q224" s="28" t="s">
        <v>1313</v>
      </c>
      <c r="R224" s="28" t="s">
        <v>1264</v>
      </c>
      <c r="S224" s="34" t="str">
        <f>IFERROR(HYPERLINK("#Main!A"&amp;MATCH(A224,Main!A:A,0),"Open"),HYPERLINK("#Main!A1","Open"))</f>
        <v>Open</v>
      </c>
      <c r="T224" s="34" t="str">
        <f>IFERROR(HYPERLINK("#Technical!A"&amp;MATCH(A224,Technical!A:A,0),"Open"),HYPERLINK("#Technical!A1","Open"))</f>
        <v>Open</v>
      </c>
      <c r="U224" s="34"/>
    </row>
    <row r="225" spans="1:21" ht="45" customHeight="1" x14ac:dyDescent="0.25">
      <c r="A225" s="30" t="s">
        <v>528</v>
      </c>
      <c r="B225" s="37">
        <v>25857</v>
      </c>
      <c r="C225" s="55" t="s">
        <v>1049</v>
      </c>
      <c r="D225" s="37" t="s">
        <v>1253</v>
      </c>
      <c r="E225" s="32" t="s">
        <v>72</v>
      </c>
      <c r="F225" s="37" t="s">
        <v>1260</v>
      </c>
      <c r="G225" s="42">
        <v>67</v>
      </c>
      <c r="H225" s="37">
        <v>82</v>
      </c>
      <c r="I225" s="37" t="s">
        <v>1261</v>
      </c>
      <c r="J225" s="37" t="s">
        <v>1262</v>
      </c>
      <c r="K225" s="57" t="s">
        <v>18</v>
      </c>
      <c r="L225" s="37" t="s">
        <v>871</v>
      </c>
      <c r="M225" s="37" t="s">
        <v>323</v>
      </c>
      <c r="N225" s="37" t="s">
        <v>330</v>
      </c>
      <c r="O225" s="29" t="s">
        <v>2</v>
      </c>
      <c r="P225" s="37">
        <v>4</v>
      </c>
      <c r="Q225" s="37" t="s">
        <v>1314</v>
      </c>
      <c r="R225" s="37" t="s">
        <v>1264</v>
      </c>
      <c r="S225" t="str">
        <f>IFERROR(HYPERLINK("#Main!A"&amp;MATCH(A225,Main!A:A,0),"Open"),HYPERLINK("#Main!A1","Open"))</f>
        <v>Open</v>
      </c>
      <c r="T225" t="str">
        <f>IFERROR(HYPERLINK("#Technical!A"&amp;MATCH(A225,Technical!A:A,0),"Open"),HYPERLINK("#Technical!A1","Open"))</f>
        <v>Open</v>
      </c>
    </row>
    <row r="226" spans="1:21" ht="30" customHeight="1" x14ac:dyDescent="0.25">
      <c r="A226" s="33" t="s">
        <v>537</v>
      </c>
      <c r="B226" s="28">
        <v>24882</v>
      </c>
      <c r="C226" s="55" t="s">
        <v>1055</v>
      </c>
      <c r="D226" s="28" t="s">
        <v>1253</v>
      </c>
      <c r="E226" s="32" t="s">
        <v>72</v>
      </c>
      <c r="F226" s="28" t="s">
        <v>1254</v>
      </c>
      <c r="G226" s="39">
        <v>67</v>
      </c>
      <c r="H226" s="28">
        <v>71.430000000000007</v>
      </c>
      <c r="I226" s="28" t="s">
        <v>1255</v>
      </c>
      <c r="J226" s="28" t="s">
        <v>1256</v>
      </c>
      <c r="K226" s="56" t="s">
        <v>40</v>
      </c>
      <c r="L226" s="28" t="s">
        <v>1257</v>
      </c>
      <c r="M226" s="28" t="s">
        <v>323</v>
      </c>
      <c r="N226" s="28" t="s">
        <v>330</v>
      </c>
      <c r="O226" s="29" t="s">
        <v>2</v>
      </c>
      <c r="P226" s="28">
        <v>4</v>
      </c>
      <c r="Q226" s="28" t="s">
        <v>1315</v>
      </c>
      <c r="R226" s="28" t="s">
        <v>1259</v>
      </c>
      <c r="S226" s="34" t="str">
        <f>IFERROR(HYPERLINK("#Main!A"&amp;MATCH(A226,Main!A:A,0),"Open"),HYPERLINK("#Main!A1","Open"))</f>
        <v>Open</v>
      </c>
      <c r="T226" s="34" t="str">
        <f>IFERROR(HYPERLINK("#Technical!A"&amp;MATCH(A226,Technical!A:A,0),"Open"),HYPERLINK("#Technical!A1","Open"))</f>
        <v>Open</v>
      </c>
      <c r="U226" s="34"/>
    </row>
    <row r="227" spans="1:21" ht="30" customHeight="1" x14ac:dyDescent="0.25">
      <c r="A227" s="30" t="s">
        <v>537</v>
      </c>
      <c r="B227" s="37">
        <v>24882</v>
      </c>
      <c r="C227" s="55" t="s">
        <v>1055</v>
      </c>
      <c r="D227" s="37" t="s">
        <v>1253</v>
      </c>
      <c r="E227" s="32" t="s">
        <v>72</v>
      </c>
      <c r="F227" s="37" t="s">
        <v>1260</v>
      </c>
      <c r="G227" s="42">
        <v>67</v>
      </c>
      <c r="H227" s="37">
        <v>61</v>
      </c>
      <c r="I227" s="37" t="s">
        <v>1261</v>
      </c>
      <c r="J227" s="37" t="s">
        <v>1262</v>
      </c>
      <c r="K227" s="57" t="s">
        <v>18</v>
      </c>
      <c r="L227" s="37" t="s">
        <v>871</v>
      </c>
      <c r="M227" s="37" t="s">
        <v>323</v>
      </c>
      <c r="N227" s="37" t="s">
        <v>330</v>
      </c>
      <c r="O227" s="29" t="s">
        <v>2</v>
      </c>
      <c r="P227" s="37">
        <v>4</v>
      </c>
      <c r="Q227" s="37" t="s">
        <v>1316</v>
      </c>
      <c r="R227" s="37" t="s">
        <v>1264</v>
      </c>
      <c r="S227" t="str">
        <f>IFERROR(HYPERLINK("#Main!A"&amp;MATCH(A227,Main!A:A,0),"Open"),HYPERLINK("#Main!A1","Open"))</f>
        <v>Open</v>
      </c>
      <c r="T227" t="str">
        <f>IFERROR(HYPERLINK("#Technical!A"&amp;MATCH(A227,Technical!A:A,0),"Open"),HYPERLINK("#Technical!A1","Open"))</f>
        <v>Open</v>
      </c>
    </row>
    <row r="228" spans="1:21" ht="45" customHeight="1" x14ac:dyDescent="0.25">
      <c r="A228" s="33" t="s">
        <v>540</v>
      </c>
      <c r="B228" s="28">
        <v>22595</v>
      </c>
      <c r="C228" s="55" t="s">
        <v>1057</v>
      </c>
      <c r="D228" s="28" t="s">
        <v>1253</v>
      </c>
      <c r="E228" s="32" t="s">
        <v>72</v>
      </c>
      <c r="F228" s="28" t="s">
        <v>1260</v>
      </c>
      <c r="G228" s="39">
        <v>67</v>
      </c>
      <c r="H228" s="28">
        <v>62</v>
      </c>
      <c r="I228" s="28" t="s">
        <v>1261</v>
      </c>
      <c r="J228" s="28" t="s">
        <v>1262</v>
      </c>
      <c r="K228" s="56" t="s">
        <v>18</v>
      </c>
      <c r="L228" s="28" t="s">
        <v>871</v>
      </c>
      <c r="M228" s="28" t="s">
        <v>323</v>
      </c>
      <c r="N228" s="28" t="s">
        <v>330</v>
      </c>
      <c r="O228" s="29" t="s">
        <v>2</v>
      </c>
      <c r="P228" s="28">
        <v>4</v>
      </c>
      <c r="Q228" s="28" t="s">
        <v>1317</v>
      </c>
      <c r="R228" s="28" t="s">
        <v>1264</v>
      </c>
      <c r="S228" s="34" t="str">
        <f>IFERROR(HYPERLINK("#Main!A"&amp;MATCH(A228,Main!A:A,0),"Open"),HYPERLINK("#Main!A1","Open"))</f>
        <v>Open</v>
      </c>
      <c r="T228" s="34" t="str">
        <f>IFERROR(HYPERLINK("#Technical!A"&amp;MATCH(A228,Technical!A:A,0),"Open"),HYPERLINK("#Technical!A1","Open"))</f>
        <v>Open</v>
      </c>
      <c r="U228" s="34"/>
    </row>
    <row r="229" spans="1:21" ht="30" customHeight="1" x14ac:dyDescent="0.25">
      <c r="A229" s="30" t="s">
        <v>543</v>
      </c>
      <c r="B229" s="37">
        <v>29496</v>
      </c>
      <c r="C229" s="55" t="s">
        <v>1059</v>
      </c>
      <c r="D229" s="37" t="s">
        <v>1253</v>
      </c>
      <c r="E229" s="32" t="s">
        <v>72</v>
      </c>
      <c r="F229" s="37" t="s">
        <v>1254</v>
      </c>
      <c r="G229" s="42">
        <v>67</v>
      </c>
      <c r="H229" s="37">
        <v>34.880000000000003</v>
      </c>
      <c r="I229" s="37" t="s">
        <v>1255</v>
      </c>
      <c r="J229" s="37" t="s">
        <v>1256</v>
      </c>
      <c r="K229" s="57" t="s">
        <v>40</v>
      </c>
      <c r="L229" s="37" t="s">
        <v>1257</v>
      </c>
      <c r="M229" s="37" t="s">
        <v>323</v>
      </c>
      <c r="N229" s="37" t="s">
        <v>330</v>
      </c>
      <c r="O229" s="29" t="s">
        <v>2</v>
      </c>
      <c r="P229" s="37">
        <v>4</v>
      </c>
      <c r="Q229" s="37" t="s">
        <v>1318</v>
      </c>
      <c r="R229" s="37" t="s">
        <v>1259</v>
      </c>
      <c r="S229" t="str">
        <f>IFERROR(HYPERLINK("#Main!A"&amp;MATCH(A229,Main!A:A,0),"Open"),HYPERLINK("#Main!A1","Open"))</f>
        <v>Open</v>
      </c>
      <c r="T229" t="str">
        <f>IFERROR(HYPERLINK("#Technical!A"&amp;MATCH(A229,Technical!A:A,0),"Open"),HYPERLINK("#Technical!A1","Open"))</f>
        <v>Open</v>
      </c>
    </row>
    <row r="230" spans="1:21" ht="30" customHeight="1" x14ac:dyDescent="0.25">
      <c r="A230" s="33" t="s">
        <v>483</v>
      </c>
      <c r="B230" s="28"/>
      <c r="C230" s="28"/>
      <c r="D230" s="28" t="s">
        <v>1253</v>
      </c>
      <c r="E230" s="32" t="s">
        <v>72</v>
      </c>
      <c r="F230" s="28" t="s">
        <v>1260</v>
      </c>
      <c r="G230" s="39">
        <v>67</v>
      </c>
      <c r="H230" s="28">
        <v>0</v>
      </c>
      <c r="I230" s="28" t="s">
        <v>1261</v>
      </c>
      <c r="J230" s="28" t="s">
        <v>1262</v>
      </c>
      <c r="K230" s="56" t="s">
        <v>18</v>
      </c>
      <c r="L230" s="28" t="s">
        <v>871</v>
      </c>
      <c r="M230" s="28" t="s">
        <v>323</v>
      </c>
      <c r="N230" s="28" t="s">
        <v>330</v>
      </c>
      <c r="O230" s="29" t="s">
        <v>2</v>
      </c>
      <c r="P230" s="28">
        <v>4</v>
      </c>
      <c r="Q230" s="28" t="s">
        <v>1319</v>
      </c>
      <c r="R230" s="28" t="s">
        <v>1264</v>
      </c>
      <c r="S230" s="34" t="str">
        <f>IFERROR(HYPERLINK("#Main!A"&amp;MATCH(A230,Main!A:A,0),"Open"),HYPERLINK("#Main!A1","Open"))</f>
        <v>Open</v>
      </c>
      <c r="T230" s="34" t="str">
        <f>IFERROR(HYPERLINK("#Technical!A"&amp;MATCH(A230,Technical!A:A,0),"Open"),HYPERLINK("#Technical!A1","Open"))</f>
        <v>Open</v>
      </c>
      <c r="U230" s="34"/>
    </row>
    <row r="231" spans="1:21" ht="30" customHeight="1" x14ac:dyDescent="0.25">
      <c r="A231" s="30" t="s">
        <v>549</v>
      </c>
      <c r="B231" s="37">
        <v>23021</v>
      </c>
      <c r="C231" s="55" t="s">
        <v>1063</v>
      </c>
      <c r="D231" s="37" t="s">
        <v>1253</v>
      </c>
      <c r="E231" s="32" t="s">
        <v>72</v>
      </c>
      <c r="F231" s="37" t="s">
        <v>1254</v>
      </c>
      <c r="G231" s="42">
        <v>67</v>
      </c>
      <c r="H231" s="37">
        <v>78.95</v>
      </c>
      <c r="I231" s="37" t="s">
        <v>1255</v>
      </c>
      <c r="J231" s="37" t="s">
        <v>1256</v>
      </c>
      <c r="K231" s="57" t="s">
        <v>40</v>
      </c>
      <c r="L231" s="37" t="s">
        <v>1257</v>
      </c>
      <c r="M231" s="37" t="s">
        <v>323</v>
      </c>
      <c r="N231" s="37" t="s">
        <v>330</v>
      </c>
      <c r="O231" s="29" t="s">
        <v>2</v>
      </c>
      <c r="P231" s="37">
        <v>4</v>
      </c>
      <c r="Q231" s="37" t="s">
        <v>1320</v>
      </c>
      <c r="R231" s="37" t="s">
        <v>1259</v>
      </c>
      <c r="S231" t="str">
        <f>IFERROR(HYPERLINK("#Main!A"&amp;MATCH(A231,Main!A:A,0),"Open"),HYPERLINK("#Main!A1","Open"))</f>
        <v>Open</v>
      </c>
      <c r="T231" t="str">
        <f>IFERROR(HYPERLINK("#Technical!A"&amp;MATCH(A231,Technical!A:A,0),"Open"),HYPERLINK("#Technical!A1","Open"))</f>
        <v>Open</v>
      </c>
    </row>
    <row r="232" spans="1:21" ht="30" customHeight="1" x14ac:dyDescent="0.25">
      <c r="A232" s="33" t="s">
        <v>549</v>
      </c>
      <c r="B232" s="28">
        <v>23021</v>
      </c>
      <c r="C232" s="55" t="s">
        <v>1063</v>
      </c>
      <c r="D232" s="28" t="s">
        <v>1253</v>
      </c>
      <c r="E232" s="32" t="s">
        <v>72</v>
      </c>
      <c r="F232" s="28" t="s">
        <v>1260</v>
      </c>
      <c r="G232" s="39">
        <v>67</v>
      </c>
      <c r="H232" s="28">
        <v>62</v>
      </c>
      <c r="I232" s="28" t="s">
        <v>1261</v>
      </c>
      <c r="J232" s="28" t="s">
        <v>1262</v>
      </c>
      <c r="K232" s="56" t="s">
        <v>18</v>
      </c>
      <c r="L232" s="28" t="s">
        <v>871</v>
      </c>
      <c r="M232" s="28" t="s">
        <v>323</v>
      </c>
      <c r="N232" s="28" t="s">
        <v>330</v>
      </c>
      <c r="O232" s="29" t="s">
        <v>2</v>
      </c>
      <c r="P232" s="28">
        <v>4</v>
      </c>
      <c r="Q232" s="28" t="s">
        <v>1321</v>
      </c>
      <c r="R232" s="28" t="s">
        <v>1264</v>
      </c>
      <c r="S232" s="34" t="str">
        <f>IFERROR(HYPERLINK("#Main!A"&amp;MATCH(A232,Main!A:A,0),"Open"),HYPERLINK("#Main!A1","Open"))</f>
        <v>Open</v>
      </c>
      <c r="T232" s="34" t="str">
        <f>IFERROR(HYPERLINK("#Technical!A"&amp;MATCH(A232,Technical!A:A,0),"Open"),HYPERLINK("#Technical!A1","Open"))</f>
        <v>Open</v>
      </c>
      <c r="U232" s="34"/>
    </row>
    <row r="233" spans="1:21" ht="30" customHeight="1" x14ac:dyDescent="0.25">
      <c r="A233" s="30" t="s">
        <v>552</v>
      </c>
      <c r="B233" s="37">
        <v>6553</v>
      </c>
      <c r="C233" s="55" t="s">
        <v>1065</v>
      </c>
      <c r="D233" s="37" t="s">
        <v>1253</v>
      </c>
      <c r="E233" s="32" t="s">
        <v>72</v>
      </c>
      <c r="F233" s="37" t="s">
        <v>1254</v>
      </c>
      <c r="G233" s="42">
        <v>67</v>
      </c>
      <c r="H233" s="37">
        <v>76.19</v>
      </c>
      <c r="I233" s="37" t="s">
        <v>1255</v>
      </c>
      <c r="J233" s="37" t="s">
        <v>1256</v>
      </c>
      <c r="K233" s="57" t="s">
        <v>40</v>
      </c>
      <c r="L233" s="37" t="s">
        <v>1257</v>
      </c>
      <c r="M233" s="37" t="s">
        <v>323</v>
      </c>
      <c r="N233" s="37" t="s">
        <v>330</v>
      </c>
      <c r="O233" s="29" t="s">
        <v>2</v>
      </c>
      <c r="P233" s="37">
        <v>4</v>
      </c>
      <c r="Q233" s="37" t="s">
        <v>1322</v>
      </c>
      <c r="R233" s="37" t="s">
        <v>1259</v>
      </c>
      <c r="S233" t="str">
        <f>IFERROR(HYPERLINK("#Main!A"&amp;MATCH(A233,Main!A:A,0),"Open"),HYPERLINK("#Main!A1","Open"))</f>
        <v>Open</v>
      </c>
      <c r="T233" t="str">
        <f>IFERROR(HYPERLINK("#Technical!A"&amp;MATCH(A233,Technical!A:A,0),"Open"),HYPERLINK("#Technical!A1","Open"))</f>
        <v>Open</v>
      </c>
    </row>
    <row r="234" spans="1:21" ht="30" customHeight="1" x14ac:dyDescent="0.25">
      <c r="A234" s="33" t="s">
        <v>552</v>
      </c>
      <c r="B234" s="28">
        <v>6553</v>
      </c>
      <c r="C234" s="55" t="s">
        <v>1065</v>
      </c>
      <c r="D234" s="28" t="s">
        <v>1253</v>
      </c>
      <c r="E234" s="32" t="s">
        <v>72</v>
      </c>
      <c r="F234" s="28" t="s">
        <v>1269</v>
      </c>
      <c r="G234" s="39">
        <v>67</v>
      </c>
      <c r="H234" s="28">
        <v>0</v>
      </c>
      <c r="I234" s="28" t="s">
        <v>1270</v>
      </c>
      <c r="J234" s="28" t="s">
        <v>1271</v>
      </c>
      <c r="K234" s="56" t="s">
        <v>18</v>
      </c>
      <c r="L234" s="28" t="s">
        <v>875</v>
      </c>
      <c r="M234" s="28" t="s">
        <v>323</v>
      </c>
      <c r="N234" s="28" t="s">
        <v>330</v>
      </c>
      <c r="O234" s="29" t="s">
        <v>2</v>
      </c>
      <c r="P234" s="28">
        <v>4</v>
      </c>
      <c r="Q234" s="28" t="s">
        <v>1323</v>
      </c>
      <c r="R234" s="28" t="s">
        <v>1273</v>
      </c>
      <c r="S234" s="34" t="str">
        <f>IFERROR(HYPERLINK("#Main!A"&amp;MATCH(A234,Main!A:A,0),"Open"),HYPERLINK("#Main!A1","Open"))</f>
        <v>Open</v>
      </c>
      <c r="T234" s="34" t="str">
        <f>IFERROR(HYPERLINK("#Technical!A"&amp;MATCH(A234,Technical!A:A,0),"Open"),HYPERLINK("#Technical!A1","Open"))</f>
        <v>Open</v>
      </c>
      <c r="U234" s="34"/>
    </row>
    <row r="235" spans="1:21" ht="30" customHeight="1" x14ac:dyDescent="0.25">
      <c r="A235" s="30" t="s">
        <v>552</v>
      </c>
      <c r="B235" s="37">
        <v>6553</v>
      </c>
      <c r="C235" s="55" t="s">
        <v>1065</v>
      </c>
      <c r="D235" s="37" t="s">
        <v>1253</v>
      </c>
      <c r="E235" s="32" t="s">
        <v>72</v>
      </c>
      <c r="F235" s="37" t="s">
        <v>1260</v>
      </c>
      <c r="G235" s="42">
        <v>67</v>
      </c>
      <c r="H235" s="37">
        <v>230</v>
      </c>
      <c r="I235" s="37" t="s">
        <v>1261</v>
      </c>
      <c r="J235" s="37" t="s">
        <v>1262</v>
      </c>
      <c r="K235" s="57" t="s">
        <v>18</v>
      </c>
      <c r="L235" s="37" t="s">
        <v>871</v>
      </c>
      <c r="M235" s="37" t="s">
        <v>323</v>
      </c>
      <c r="N235" s="37" t="s">
        <v>330</v>
      </c>
      <c r="O235" s="29" t="s">
        <v>2</v>
      </c>
      <c r="P235" s="37">
        <v>4</v>
      </c>
      <c r="Q235" s="37" t="s">
        <v>1324</v>
      </c>
      <c r="R235" s="37" t="s">
        <v>1264</v>
      </c>
      <c r="S235" t="str">
        <f>IFERROR(HYPERLINK("#Main!A"&amp;MATCH(A235,Main!A:A,0),"Open"),HYPERLINK("#Main!A1","Open"))</f>
        <v>Open</v>
      </c>
      <c r="T235" t="str">
        <f>IFERROR(HYPERLINK("#Technical!A"&amp;MATCH(A235,Technical!A:A,0),"Open"),HYPERLINK("#Technical!A1","Open"))</f>
        <v>Open</v>
      </c>
    </row>
    <row r="236" spans="1:21" ht="30" customHeight="1" x14ac:dyDescent="0.25">
      <c r="A236" s="33" t="s">
        <v>555</v>
      </c>
      <c r="B236" s="28">
        <v>6816</v>
      </c>
      <c r="C236" s="55" t="s">
        <v>1067</v>
      </c>
      <c r="D236" s="28" t="s">
        <v>1253</v>
      </c>
      <c r="E236" s="32" t="s">
        <v>72</v>
      </c>
      <c r="F236" s="28" t="s">
        <v>1254</v>
      </c>
      <c r="G236" s="39">
        <v>67</v>
      </c>
      <c r="H236" s="28">
        <v>75</v>
      </c>
      <c r="I236" s="28" t="s">
        <v>1255</v>
      </c>
      <c r="J236" s="28" t="s">
        <v>1256</v>
      </c>
      <c r="K236" s="56" t="s">
        <v>40</v>
      </c>
      <c r="L236" s="28" t="s">
        <v>1257</v>
      </c>
      <c r="M236" s="28" t="s">
        <v>323</v>
      </c>
      <c r="N236" s="28" t="s">
        <v>330</v>
      </c>
      <c r="O236" s="29" t="s">
        <v>2</v>
      </c>
      <c r="P236" s="28">
        <v>4</v>
      </c>
      <c r="Q236" s="28" t="s">
        <v>1325</v>
      </c>
      <c r="R236" s="28" t="s">
        <v>1259</v>
      </c>
      <c r="S236" s="34" t="str">
        <f>IFERROR(HYPERLINK("#Main!A"&amp;MATCH(A236,Main!A:A,0),"Open"),HYPERLINK("#Main!A1","Open"))</f>
        <v>Open</v>
      </c>
      <c r="T236" s="34" t="str">
        <f>IFERROR(HYPERLINK("#Technical!A"&amp;MATCH(A236,Technical!A:A,0),"Open"),HYPERLINK("#Technical!A1","Open"))</f>
        <v>Open</v>
      </c>
      <c r="U236" s="34"/>
    </row>
    <row r="237" spans="1:21" ht="30" customHeight="1" x14ac:dyDescent="0.25">
      <c r="A237" s="30" t="s">
        <v>555</v>
      </c>
      <c r="B237" s="37">
        <v>6816</v>
      </c>
      <c r="C237" s="55" t="s">
        <v>1067</v>
      </c>
      <c r="D237" s="37" t="s">
        <v>1253</v>
      </c>
      <c r="E237" s="32" t="s">
        <v>72</v>
      </c>
      <c r="F237" s="37" t="s">
        <v>1269</v>
      </c>
      <c r="G237" s="42">
        <v>67</v>
      </c>
      <c r="H237" s="37">
        <v>0</v>
      </c>
      <c r="I237" s="37" t="s">
        <v>1270</v>
      </c>
      <c r="J237" s="37" t="s">
        <v>1271</v>
      </c>
      <c r="K237" s="57" t="s">
        <v>18</v>
      </c>
      <c r="L237" s="37" t="s">
        <v>875</v>
      </c>
      <c r="M237" s="37" t="s">
        <v>323</v>
      </c>
      <c r="N237" s="37" t="s">
        <v>330</v>
      </c>
      <c r="O237" s="29" t="s">
        <v>2</v>
      </c>
      <c r="P237" s="37">
        <v>4</v>
      </c>
      <c r="Q237" s="37" t="s">
        <v>1326</v>
      </c>
      <c r="R237" s="37" t="s">
        <v>1273</v>
      </c>
      <c r="S237" t="str">
        <f>IFERROR(HYPERLINK("#Main!A"&amp;MATCH(A237,Main!A:A,0),"Open"),HYPERLINK("#Main!A1","Open"))</f>
        <v>Open</v>
      </c>
      <c r="T237" t="str">
        <f>IFERROR(HYPERLINK("#Technical!A"&amp;MATCH(A237,Technical!A:A,0),"Open"),HYPERLINK("#Technical!A1","Open"))</f>
        <v>Open</v>
      </c>
    </row>
    <row r="238" spans="1:21" ht="30" customHeight="1" x14ac:dyDescent="0.25">
      <c r="A238" s="33" t="s">
        <v>555</v>
      </c>
      <c r="B238" s="28">
        <v>6816</v>
      </c>
      <c r="C238" s="55" t="s">
        <v>1067</v>
      </c>
      <c r="D238" s="28" t="s">
        <v>1253</v>
      </c>
      <c r="E238" s="32" t="s">
        <v>72</v>
      </c>
      <c r="F238" s="28" t="s">
        <v>1260</v>
      </c>
      <c r="G238" s="39">
        <v>67</v>
      </c>
      <c r="H238" s="28">
        <v>31</v>
      </c>
      <c r="I238" s="28" t="s">
        <v>1261</v>
      </c>
      <c r="J238" s="28" t="s">
        <v>1262</v>
      </c>
      <c r="K238" s="56" t="s">
        <v>18</v>
      </c>
      <c r="L238" s="28" t="s">
        <v>871</v>
      </c>
      <c r="M238" s="28" t="s">
        <v>323</v>
      </c>
      <c r="N238" s="28" t="s">
        <v>330</v>
      </c>
      <c r="O238" s="29" t="s">
        <v>2</v>
      </c>
      <c r="P238" s="28">
        <v>4</v>
      </c>
      <c r="Q238" s="28" t="s">
        <v>1327</v>
      </c>
      <c r="R238" s="28" t="s">
        <v>1264</v>
      </c>
      <c r="S238" s="34" t="str">
        <f>IFERROR(HYPERLINK("#Main!A"&amp;MATCH(A238,Main!A:A,0),"Open"),HYPERLINK("#Main!A1","Open"))</f>
        <v>Open</v>
      </c>
      <c r="T238" s="34" t="str">
        <f>IFERROR(HYPERLINK("#Technical!A"&amp;MATCH(A238,Technical!A:A,0),"Open"),HYPERLINK("#Technical!A1","Open"))</f>
        <v>Open</v>
      </c>
      <c r="U238" s="34"/>
    </row>
    <row r="239" spans="1:21" ht="30" customHeight="1" x14ac:dyDescent="0.25">
      <c r="A239" s="30" t="s">
        <v>557</v>
      </c>
      <c r="B239" s="37">
        <v>6822</v>
      </c>
      <c r="C239" s="55" t="s">
        <v>1069</v>
      </c>
      <c r="D239" s="37" t="s">
        <v>1253</v>
      </c>
      <c r="E239" s="32" t="s">
        <v>72</v>
      </c>
      <c r="F239" s="37" t="s">
        <v>1269</v>
      </c>
      <c r="G239" s="42">
        <v>67</v>
      </c>
      <c r="H239" s="37">
        <v>0</v>
      </c>
      <c r="I239" s="37" t="s">
        <v>1270</v>
      </c>
      <c r="J239" s="37" t="s">
        <v>1271</v>
      </c>
      <c r="K239" s="57" t="s">
        <v>18</v>
      </c>
      <c r="L239" s="37" t="s">
        <v>875</v>
      </c>
      <c r="M239" s="37" t="s">
        <v>323</v>
      </c>
      <c r="N239" s="37" t="s">
        <v>330</v>
      </c>
      <c r="O239" s="29" t="s">
        <v>2</v>
      </c>
      <c r="P239" s="37">
        <v>4</v>
      </c>
      <c r="Q239" s="37" t="s">
        <v>1328</v>
      </c>
      <c r="R239" s="37" t="s">
        <v>1273</v>
      </c>
      <c r="S239" t="str">
        <f>IFERROR(HYPERLINK("#Main!A"&amp;MATCH(A239,Main!A:A,0),"Open"),HYPERLINK("#Main!A1","Open"))</f>
        <v>Open</v>
      </c>
      <c r="T239" t="str">
        <f>IFERROR(HYPERLINK("#Technical!A"&amp;MATCH(A239,Technical!A:A,0),"Open"),HYPERLINK("#Technical!A1","Open"))</f>
        <v>Open</v>
      </c>
    </row>
    <row r="240" spans="1:21" ht="30" customHeight="1" x14ac:dyDescent="0.25">
      <c r="A240" s="33" t="s">
        <v>557</v>
      </c>
      <c r="B240" s="28">
        <v>6822</v>
      </c>
      <c r="C240" s="55" t="s">
        <v>1069</v>
      </c>
      <c r="D240" s="28" t="s">
        <v>1253</v>
      </c>
      <c r="E240" s="32" t="s">
        <v>72</v>
      </c>
      <c r="F240" s="28" t="s">
        <v>1260</v>
      </c>
      <c r="G240" s="39">
        <v>67</v>
      </c>
      <c r="H240" s="28">
        <v>48</v>
      </c>
      <c r="I240" s="28" t="s">
        <v>1261</v>
      </c>
      <c r="J240" s="28" t="s">
        <v>1262</v>
      </c>
      <c r="K240" s="56" t="s">
        <v>18</v>
      </c>
      <c r="L240" s="28" t="s">
        <v>871</v>
      </c>
      <c r="M240" s="28" t="s">
        <v>323</v>
      </c>
      <c r="N240" s="28" t="s">
        <v>330</v>
      </c>
      <c r="O240" s="29" t="s">
        <v>2</v>
      </c>
      <c r="P240" s="28">
        <v>4</v>
      </c>
      <c r="Q240" s="28" t="s">
        <v>1329</v>
      </c>
      <c r="R240" s="28" t="s">
        <v>1264</v>
      </c>
      <c r="S240" s="34" t="str">
        <f>IFERROR(HYPERLINK("#Main!A"&amp;MATCH(A240,Main!A:A,0),"Open"),HYPERLINK("#Main!A1","Open"))</f>
        <v>Open</v>
      </c>
      <c r="T240" s="34" t="str">
        <f>IFERROR(HYPERLINK("#Technical!A"&amp;MATCH(A240,Technical!A:A,0),"Open"),HYPERLINK("#Technical!A1","Open"))</f>
        <v>Open</v>
      </c>
      <c r="U240" s="34"/>
    </row>
    <row r="241" spans="1:21" ht="30" customHeight="1" x14ac:dyDescent="0.25">
      <c r="A241" s="30" t="s">
        <v>560</v>
      </c>
      <c r="B241" s="37">
        <v>4492</v>
      </c>
      <c r="C241" s="55" t="s">
        <v>1071</v>
      </c>
      <c r="D241" s="37" t="s">
        <v>1253</v>
      </c>
      <c r="E241" s="32" t="s">
        <v>72</v>
      </c>
      <c r="F241" s="37" t="s">
        <v>1269</v>
      </c>
      <c r="G241" s="42">
        <v>67</v>
      </c>
      <c r="H241" s="37">
        <v>0</v>
      </c>
      <c r="I241" s="37" t="s">
        <v>1270</v>
      </c>
      <c r="J241" s="37" t="s">
        <v>1271</v>
      </c>
      <c r="K241" s="57" t="s">
        <v>18</v>
      </c>
      <c r="L241" s="37" t="s">
        <v>875</v>
      </c>
      <c r="M241" s="37" t="s">
        <v>323</v>
      </c>
      <c r="N241" s="37" t="s">
        <v>330</v>
      </c>
      <c r="O241" s="29" t="s">
        <v>2</v>
      </c>
      <c r="P241" s="37">
        <v>4</v>
      </c>
      <c r="Q241" s="37" t="s">
        <v>1330</v>
      </c>
      <c r="R241" s="37" t="s">
        <v>1273</v>
      </c>
      <c r="S241" t="str">
        <f>IFERROR(HYPERLINK("#Main!A"&amp;MATCH(A241,Main!A:A,0),"Open"),HYPERLINK("#Main!A1","Open"))</f>
        <v>Open</v>
      </c>
      <c r="T241" t="str">
        <f>IFERROR(HYPERLINK("#Technical!A"&amp;MATCH(A241,Technical!A:A,0),"Open"),HYPERLINK("#Technical!A1","Open"))</f>
        <v>Open</v>
      </c>
    </row>
    <row r="242" spans="1:21" ht="30" customHeight="1" x14ac:dyDescent="0.25">
      <c r="A242" s="33" t="s">
        <v>563</v>
      </c>
      <c r="B242" s="28">
        <v>23001</v>
      </c>
      <c r="C242" s="55" t="s">
        <v>1073</v>
      </c>
      <c r="D242" s="28" t="s">
        <v>1253</v>
      </c>
      <c r="E242" s="32" t="s">
        <v>72</v>
      </c>
      <c r="F242" s="28" t="s">
        <v>1254</v>
      </c>
      <c r="G242" s="39">
        <v>67</v>
      </c>
      <c r="H242" s="28">
        <v>71.430000000000007</v>
      </c>
      <c r="I242" s="28" t="s">
        <v>1255</v>
      </c>
      <c r="J242" s="28" t="s">
        <v>1256</v>
      </c>
      <c r="K242" s="56" t="s">
        <v>40</v>
      </c>
      <c r="L242" s="28" t="s">
        <v>1257</v>
      </c>
      <c r="M242" s="28" t="s">
        <v>323</v>
      </c>
      <c r="N242" s="28" t="s">
        <v>330</v>
      </c>
      <c r="O242" s="29" t="s">
        <v>2</v>
      </c>
      <c r="P242" s="28">
        <v>4</v>
      </c>
      <c r="Q242" s="28" t="s">
        <v>1331</v>
      </c>
      <c r="R242" s="28" t="s">
        <v>1259</v>
      </c>
      <c r="S242" s="34" t="str">
        <f>IFERROR(HYPERLINK("#Main!A"&amp;MATCH(A242,Main!A:A,0),"Open"),HYPERLINK("#Main!A1","Open"))</f>
        <v>Open</v>
      </c>
      <c r="T242" s="34" t="str">
        <f>IFERROR(HYPERLINK("#Technical!A"&amp;MATCH(A242,Technical!A:A,0),"Open"),HYPERLINK("#Technical!A1","Open"))</f>
        <v>Open</v>
      </c>
      <c r="U242" s="34"/>
    </row>
    <row r="243" spans="1:21" ht="30" customHeight="1" x14ac:dyDescent="0.25">
      <c r="A243" s="30" t="s">
        <v>566</v>
      </c>
      <c r="B243" s="37">
        <v>21952</v>
      </c>
      <c r="C243" s="55" t="s">
        <v>1075</v>
      </c>
      <c r="D243" s="37" t="s">
        <v>1253</v>
      </c>
      <c r="E243" s="32" t="s">
        <v>72</v>
      </c>
      <c r="F243" s="37" t="s">
        <v>1254</v>
      </c>
      <c r="G243" s="42">
        <v>67</v>
      </c>
      <c r="H243" s="37">
        <v>58.21</v>
      </c>
      <c r="I243" s="37" t="s">
        <v>1255</v>
      </c>
      <c r="J243" s="37" t="s">
        <v>1256</v>
      </c>
      <c r="K243" s="57" t="s">
        <v>40</v>
      </c>
      <c r="L243" s="37" t="s">
        <v>1257</v>
      </c>
      <c r="M243" s="37" t="s">
        <v>323</v>
      </c>
      <c r="N243" s="37" t="s">
        <v>330</v>
      </c>
      <c r="O243" s="29" t="s">
        <v>2</v>
      </c>
      <c r="P243" s="37">
        <v>4</v>
      </c>
      <c r="Q243" s="37" t="s">
        <v>1332</v>
      </c>
      <c r="R243" s="37" t="s">
        <v>1259</v>
      </c>
      <c r="S243" t="str">
        <f>IFERROR(HYPERLINK("#Main!A"&amp;MATCH(A243,Main!A:A,0),"Open"),HYPERLINK("#Main!A1","Open"))</f>
        <v>Open</v>
      </c>
      <c r="T243" t="str">
        <f>IFERROR(HYPERLINK("#Technical!A"&amp;MATCH(A243,Technical!A:A,0),"Open"),HYPERLINK("#Technical!A1","Open"))</f>
        <v>Open</v>
      </c>
    </row>
    <row r="244" spans="1:21" ht="30" customHeight="1" x14ac:dyDescent="0.25">
      <c r="A244" s="33" t="s">
        <v>570</v>
      </c>
      <c r="B244" s="28">
        <v>22679</v>
      </c>
      <c r="C244" s="55" t="s">
        <v>1077</v>
      </c>
      <c r="D244" s="28" t="s">
        <v>1253</v>
      </c>
      <c r="E244" s="32" t="s">
        <v>72</v>
      </c>
      <c r="F244" s="28" t="s">
        <v>1254</v>
      </c>
      <c r="G244" s="39">
        <v>67</v>
      </c>
      <c r="H244" s="28">
        <v>71.430000000000007</v>
      </c>
      <c r="I244" s="28" t="s">
        <v>1255</v>
      </c>
      <c r="J244" s="28" t="s">
        <v>1256</v>
      </c>
      <c r="K244" s="56" t="s">
        <v>40</v>
      </c>
      <c r="L244" s="28" t="s">
        <v>1257</v>
      </c>
      <c r="M244" s="28" t="s">
        <v>323</v>
      </c>
      <c r="N244" s="28" t="s">
        <v>330</v>
      </c>
      <c r="O244" s="29" t="s">
        <v>2</v>
      </c>
      <c r="P244" s="28">
        <v>4</v>
      </c>
      <c r="Q244" s="28" t="s">
        <v>1333</v>
      </c>
      <c r="R244" s="28" t="s">
        <v>1259</v>
      </c>
      <c r="S244" s="34" t="str">
        <f>IFERROR(HYPERLINK("#Main!A"&amp;MATCH(A244,Main!A:A,0),"Open"),HYPERLINK("#Main!A1","Open"))</f>
        <v>Open</v>
      </c>
      <c r="T244" s="34" t="str">
        <f>IFERROR(HYPERLINK("#Technical!A"&amp;MATCH(A244,Technical!A:A,0),"Open"),HYPERLINK("#Technical!A1","Open"))</f>
        <v>Open</v>
      </c>
      <c r="U244" s="34"/>
    </row>
    <row r="245" spans="1:21" ht="30" customHeight="1" x14ac:dyDescent="0.25">
      <c r="A245" s="30" t="s">
        <v>573</v>
      </c>
      <c r="B245" s="37">
        <v>34622</v>
      </c>
      <c r="C245" s="55" t="s">
        <v>1079</v>
      </c>
      <c r="D245" s="37" t="s">
        <v>1253</v>
      </c>
      <c r="E245" s="32" t="s">
        <v>72</v>
      </c>
      <c r="F245" s="37" t="s">
        <v>1254</v>
      </c>
      <c r="G245" s="42">
        <v>67</v>
      </c>
      <c r="H245" s="37">
        <v>42.86</v>
      </c>
      <c r="I245" s="37" t="s">
        <v>1255</v>
      </c>
      <c r="J245" s="37" t="s">
        <v>1256</v>
      </c>
      <c r="K245" s="57" t="s">
        <v>40</v>
      </c>
      <c r="L245" s="37" t="s">
        <v>1257</v>
      </c>
      <c r="M245" s="37" t="s">
        <v>323</v>
      </c>
      <c r="N245" s="37" t="s">
        <v>330</v>
      </c>
      <c r="O245" s="29" t="s">
        <v>2</v>
      </c>
      <c r="P245" s="37">
        <v>4</v>
      </c>
      <c r="Q245" s="37" t="s">
        <v>1334</v>
      </c>
      <c r="R245" s="37" t="s">
        <v>1259</v>
      </c>
      <c r="S245" t="str">
        <f>IFERROR(HYPERLINK("#Main!A"&amp;MATCH(A245,Main!A:A,0),"Open"),HYPERLINK("#Main!A1","Open"))</f>
        <v>Open</v>
      </c>
      <c r="T245" t="str">
        <f>IFERROR(HYPERLINK("#Technical!A"&amp;MATCH(A245,Technical!A:A,0),"Open"),HYPERLINK("#Technical!A1","Open"))</f>
        <v>Open</v>
      </c>
    </row>
    <row r="246" spans="1:21" ht="30" customHeight="1" x14ac:dyDescent="0.25">
      <c r="A246" s="33" t="s">
        <v>577</v>
      </c>
      <c r="B246" s="28">
        <v>32554</v>
      </c>
      <c r="C246" s="55" t="s">
        <v>1081</v>
      </c>
      <c r="D246" s="28" t="s">
        <v>1253</v>
      </c>
      <c r="E246" s="32" t="s">
        <v>72</v>
      </c>
      <c r="F246" s="28" t="s">
        <v>1254</v>
      </c>
      <c r="G246" s="39">
        <v>67</v>
      </c>
      <c r="H246" s="28">
        <v>41.67</v>
      </c>
      <c r="I246" s="28" t="s">
        <v>1255</v>
      </c>
      <c r="J246" s="28" t="s">
        <v>1256</v>
      </c>
      <c r="K246" s="56" t="s">
        <v>40</v>
      </c>
      <c r="L246" s="28" t="s">
        <v>1257</v>
      </c>
      <c r="M246" s="28" t="s">
        <v>323</v>
      </c>
      <c r="N246" s="28" t="s">
        <v>330</v>
      </c>
      <c r="O246" s="29" t="s">
        <v>2</v>
      </c>
      <c r="P246" s="28">
        <v>4</v>
      </c>
      <c r="Q246" s="28" t="s">
        <v>1335</v>
      </c>
      <c r="R246" s="28" t="s">
        <v>1259</v>
      </c>
      <c r="S246" s="34" t="str">
        <f>IFERROR(HYPERLINK("#Main!A"&amp;MATCH(A246,Main!A:A,0),"Open"),HYPERLINK("#Main!A1","Open"))</f>
        <v>Open</v>
      </c>
      <c r="T246" s="34" t="str">
        <f>IFERROR(HYPERLINK("#Technical!A"&amp;MATCH(A246,Technical!A:A,0),"Open"),HYPERLINK("#Technical!A1","Open"))</f>
        <v>Open</v>
      </c>
      <c r="U246" s="34"/>
    </row>
    <row r="247" spans="1:21" ht="30" customHeight="1" x14ac:dyDescent="0.25">
      <c r="A247" s="30" t="s">
        <v>579</v>
      </c>
      <c r="B247" s="37">
        <v>34552</v>
      </c>
      <c r="C247" s="55" t="s">
        <v>1083</v>
      </c>
      <c r="D247" s="37" t="s">
        <v>1253</v>
      </c>
      <c r="E247" s="32" t="s">
        <v>72</v>
      </c>
      <c r="F247" s="37" t="s">
        <v>1254</v>
      </c>
      <c r="G247" s="42">
        <v>67</v>
      </c>
      <c r="H247" s="37">
        <v>38.46</v>
      </c>
      <c r="I247" s="37" t="s">
        <v>1255</v>
      </c>
      <c r="J247" s="37" t="s">
        <v>1256</v>
      </c>
      <c r="K247" s="57" t="s">
        <v>40</v>
      </c>
      <c r="L247" s="37" t="s">
        <v>1257</v>
      </c>
      <c r="M247" s="37" t="s">
        <v>323</v>
      </c>
      <c r="N247" s="37" t="s">
        <v>330</v>
      </c>
      <c r="O247" s="29" t="s">
        <v>2</v>
      </c>
      <c r="P247" s="37">
        <v>4</v>
      </c>
      <c r="Q247" s="37" t="s">
        <v>1336</v>
      </c>
      <c r="R247" s="37" t="s">
        <v>1259</v>
      </c>
      <c r="S247" t="str">
        <f>IFERROR(HYPERLINK("#Main!A"&amp;MATCH(A247,Main!A:A,0),"Open"),HYPERLINK("#Main!A1","Open"))</f>
        <v>Open</v>
      </c>
      <c r="T247" t="str">
        <f>IFERROR(HYPERLINK("#Technical!A"&amp;MATCH(A247,Technical!A:A,0),"Open"),HYPERLINK("#Technical!A1","Open"))</f>
        <v>Open</v>
      </c>
    </row>
    <row r="248" spans="1:21" ht="30" customHeight="1" x14ac:dyDescent="0.25">
      <c r="A248" s="33" t="s">
        <v>582</v>
      </c>
      <c r="B248" s="28">
        <v>28742</v>
      </c>
      <c r="C248" s="55" t="s">
        <v>1085</v>
      </c>
      <c r="D248" s="28" t="s">
        <v>1253</v>
      </c>
      <c r="E248" s="32" t="s">
        <v>72</v>
      </c>
      <c r="F248" s="28" t="s">
        <v>1254</v>
      </c>
      <c r="G248" s="39">
        <v>67</v>
      </c>
      <c r="H248" s="28">
        <v>71.430000000000007</v>
      </c>
      <c r="I248" s="28" t="s">
        <v>1255</v>
      </c>
      <c r="J248" s="28" t="s">
        <v>1256</v>
      </c>
      <c r="K248" s="56" t="s">
        <v>40</v>
      </c>
      <c r="L248" s="28" t="s">
        <v>1257</v>
      </c>
      <c r="M248" s="28" t="s">
        <v>323</v>
      </c>
      <c r="N248" s="28" t="s">
        <v>330</v>
      </c>
      <c r="O248" s="29" t="s">
        <v>2</v>
      </c>
      <c r="P248" s="28">
        <v>4</v>
      </c>
      <c r="Q248" s="28" t="s">
        <v>1337</v>
      </c>
      <c r="R248" s="28" t="s">
        <v>1259</v>
      </c>
      <c r="S248" s="34" t="str">
        <f>IFERROR(HYPERLINK("#Main!A"&amp;MATCH(A248,Main!A:A,0),"Open"),HYPERLINK("#Main!A1","Open"))</f>
        <v>Open</v>
      </c>
      <c r="T248" s="34" t="str">
        <f>IFERROR(HYPERLINK("#Technical!A"&amp;MATCH(A248,Technical!A:A,0),"Open"),HYPERLINK("#Technical!A1","Open"))</f>
        <v>Open</v>
      </c>
      <c r="U248" s="34"/>
    </row>
    <row r="249" spans="1:21" ht="30" customHeight="1" x14ac:dyDescent="0.25">
      <c r="A249" s="30" t="s">
        <v>582</v>
      </c>
      <c r="B249" s="37">
        <v>28742</v>
      </c>
      <c r="C249" s="55" t="s">
        <v>1085</v>
      </c>
      <c r="D249" s="37" t="s">
        <v>1253</v>
      </c>
      <c r="E249" s="32" t="s">
        <v>72</v>
      </c>
      <c r="F249" s="37" t="s">
        <v>1269</v>
      </c>
      <c r="G249" s="42">
        <v>67</v>
      </c>
      <c r="H249" s="37">
        <v>0</v>
      </c>
      <c r="I249" s="37" t="s">
        <v>1270</v>
      </c>
      <c r="J249" s="37" t="s">
        <v>1271</v>
      </c>
      <c r="K249" s="57" t="s">
        <v>18</v>
      </c>
      <c r="L249" s="37" t="s">
        <v>875</v>
      </c>
      <c r="M249" s="37" t="s">
        <v>323</v>
      </c>
      <c r="N249" s="37" t="s">
        <v>330</v>
      </c>
      <c r="O249" s="29" t="s">
        <v>2</v>
      </c>
      <c r="P249" s="37">
        <v>4</v>
      </c>
      <c r="Q249" s="37" t="s">
        <v>1338</v>
      </c>
      <c r="R249" s="37" t="s">
        <v>1273</v>
      </c>
      <c r="S249" t="str">
        <f>IFERROR(HYPERLINK("#Main!A"&amp;MATCH(A249,Main!A:A,0),"Open"),HYPERLINK("#Main!A1","Open"))</f>
        <v>Open</v>
      </c>
      <c r="T249" t="str">
        <f>IFERROR(HYPERLINK("#Technical!A"&amp;MATCH(A249,Technical!A:A,0),"Open"),HYPERLINK("#Technical!A1","Open"))</f>
        <v>Open</v>
      </c>
    </row>
    <row r="250" spans="1:21" ht="30" customHeight="1" x14ac:dyDescent="0.25">
      <c r="A250" s="33" t="s">
        <v>585</v>
      </c>
      <c r="B250" s="28">
        <v>9075</v>
      </c>
      <c r="C250" s="55" t="s">
        <v>1087</v>
      </c>
      <c r="D250" s="28" t="s">
        <v>1253</v>
      </c>
      <c r="E250" s="32" t="s">
        <v>72</v>
      </c>
      <c r="F250" s="28" t="s">
        <v>1254</v>
      </c>
      <c r="G250" s="39">
        <v>67</v>
      </c>
      <c r="H250" s="28">
        <v>76.19</v>
      </c>
      <c r="I250" s="28" t="s">
        <v>1255</v>
      </c>
      <c r="J250" s="28" t="s">
        <v>1256</v>
      </c>
      <c r="K250" s="56" t="s">
        <v>40</v>
      </c>
      <c r="L250" s="28" t="s">
        <v>1257</v>
      </c>
      <c r="M250" s="28" t="s">
        <v>323</v>
      </c>
      <c r="N250" s="28" t="s">
        <v>330</v>
      </c>
      <c r="O250" s="29" t="s">
        <v>2</v>
      </c>
      <c r="P250" s="28">
        <v>4</v>
      </c>
      <c r="Q250" s="28" t="s">
        <v>1339</v>
      </c>
      <c r="R250" s="28" t="s">
        <v>1259</v>
      </c>
      <c r="S250" s="34" t="str">
        <f>IFERROR(HYPERLINK("#Main!A"&amp;MATCH(A250,Main!A:A,0),"Open"),HYPERLINK("#Main!A1","Open"))</f>
        <v>Open</v>
      </c>
      <c r="T250" s="34" t="str">
        <f>IFERROR(HYPERLINK("#Technical!A"&amp;MATCH(A250,Technical!A:A,0),"Open"),HYPERLINK("#Technical!A1","Open"))</f>
        <v>Open</v>
      </c>
      <c r="U250" s="34"/>
    </row>
    <row r="251" spans="1:21" ht="30" customHeight="1" x14ac:dyDescent="0.25">
      <c r="A251" s="30" t="s">
        <v>588</v>
      </c>
      <c r="B251" s="37">
        <v>20001</v>
      </c>
      <c r="C251" s="55" t="s">
        <v>1089</v>
      </c>
      <c r="D251" s="37" t="s">
        <v>1253</v>
      </c>
      <c r="E251" s="32" t="s">
        <v>72</v>
      </c>
      <c r="F251" s="37" t="s">
        <v>1260</v>
      </c>
      <c r="G251" s="42">
        <v>67</v>
      </c>
      <c r="H251" s="37">
        <v>68</v>
      </c>
      <c r="I251" s="37" t="s">
        <v>1261</v>
      </c>
      <c r="J251" s="37" t="s">
        <v>1262</v>
      </c>
      <c r="K251" s="57" t="s">
        <v>18</v>
      </c>
      <c r="L251" s="37" t="s">
        <v>871</v>
      </c>
      <c r="M251" s="37" t="s">
        <v>323</v>
      </c>
      <c r="N251" s="37" t="s">
        <v>330</v>
      </c>
      <c r="O251" s="29" t="s">
        <v>2</v>
      </c>
      <c r="P251" s="37">
        <v>4</v>
      </c>
      <c r="Q251" s="37" t="s">
        <v>1340</v>
      </c>
      <c r="R251" s="37" t="s">
        <v>1264</v>
      </c>
      <c r="S251" t="str">
        <f>IFERROR(HYPERLINK("#Main!A"&amp;MATCH(A251,Main!A:A,0),"Open"),HYPERLINK("#Main!A1","Open"))</f>
        <v>Open</v>
      </c>
      <c r="T251" t="str">
        <f>IFERROR(HYPERLINK("#Technical!A"&amp;MATCH(A251,Technical!A:A,0),"Open"),HYPERLINK("#Technical!A1","Open"))</f>
        <v>Open</v>
      </c>
    </row>
    <row r="252" spans="1:21" ht="30" customHeight="1" x14ac:dyDescent="0.25">
      <c r="A252" s="33" t="s">
        <v>591</v>
      </c>
      <c r="B252" s="28">
        <v>19980</v>
      </c>
      <c r="C252" s="55" t="s">
        <v>1091</v>
      </c>
      <c r="D252" s="28" t="s">
        <v>1253</v>
      </c>
      <c r="E252" s="32" t="s">
        <v>72</v>
      </c>
      <c r="F252" s="28" t="s">
        <v>1260</v>
      </c>
      <c r="G252" s="39">
        <v>67</v>
      </c>
      <c r="H252" s="28">
        <v>66</v>
      </c>
      <c r="I252" s="28" t="s">
        <v>1261</v>
      </c>
      <c r="J252" s="28" t="s">
        <v>1262</v>
      </c>
      <c r="K252" s="56" t="s">
        <v>18</v>
      </c>
      <c r="L252" s="28" t="s">
        <v>871</v>
      </c>
      <c r="M252" s="28" t="s">
        <v>323</v>
      </c>
      <c r="N252" s="28" t="s">
        <v>330</v>
      </c>
      <c r="O252" s="29" t="s">
        <v>2</v>
      </c>
      <c r="P252" s="28">
        <v>4</v>
      </c>
      <c r="Q252" s="28" t="s">
        <v>1341</v>
      </c>
      <c r="R252" s="28" t="s">
        <v>1264</v>
      </c>
      <c r="S252" s="34" t="str">
        <f>IFERROR(HYPERLINK("#Main!A"&amp;MATCH(A252,Main!A:A,0),"Open"),HYPERLINK("#Main!A1","Open"))</f>
        <v>Open</v>
      </c>
      <c r="T252" s="34" t="str">
        <f>IFERROR(HYPERLINK("#Technical!A"&amp;MATCH(A252,Technical!A:A,0),"Open"),HYPERLINK("#Technical!A1","Open"))</f>
        <v>Open</v>
      </c>
      <c r="U252" s="34"/>
    </row>
    <row r="253" spans="1:21" ht="30" customHeight="1" x14ac:dyDescent="0.25">
      <c r="A253" s="30" t="s">
        <v>594</v>
      </c>
      <c r="B253" s="37">
        <v>10823</v>
      </c>
      <c r="C253" s="55" t="s">
        <v>1093</v>
      </c>
      <c r="D253" s="37" t="s">
        <v>1253</v>
      </c>
      <c r="E253" s="32" t="s">
        <v>72</v>
      </c>
      <c r="F253" s="37" t="s">
        <v>1254</v>
      </c>
      <c r="G253" s="42">
        <v>67</v>
      </c>
      <c r="H253" s="37">
        <v>76.19</v>
      </c>
      <c r="I253" s="37" t="s">
        <v>1255</v>
      </c>
      <c r="J253" s="37" t="s">
        <v>1256</v>
      </c>
      <c r="K253" s="57" t="s">
        <v>40</v>
      </c>
      <c r="L253" s="37" t="s">
        <v>1257</v>
      </c>
      <c r="M253" s="37" t="s">
        <v>323</v>
      </c>
      <c r="N253" s="37" t="s">
        <v>330</v>
      </c>
      <c r="O253" s="29" t="s">
        <v>2</v>
      </c>
      <c r="P253" s="37">
        <v>4</v>
      </c>
      <c r="Q253" s="37" t="s">
        <v>1342</v>
      </c>
      <c r="R253" s="37" t="s">
        <v>1259</v>
      </c>
      <c r="S253" t="str">
        <f>IFERROR(HYPERLINK("#Main!A"&amp;MATCH(A253,Main!A:A,0),"Open"),HYPERLINK("#Main!A1","Open"))</f>
        <v>Open</v>
      </c>
      <c r="T253" t="str">
        <f>IFERROR(HYPERLINK("#Technical!A"&amp;MATCH(A253,Technical!A:A,0),"Open"),HYPERLINK("#Technical!A1","Open"))</f>
        <v>Open</v>
      </c>
    </row>
    <row r="254" spans="1:21" ht="30" customHeight="1" x14ac:dyDescent="0.25">
      <c r="A254" s="33" t="s">
        <v>594</v>
      </c>
      <c r="B254" s="28">
        <v>10823</v>
      </c>
      <c r="C254" s="55" t="s">
        <v>1093</v>
      </c>
      <c r="D254" s="28" t="s">
        <v>1253</v>
      </c>
      <c r="E254" s="32" t="s">
        <v>72</v>
      </c>
      <c r="F254" s="28" t="s">
        <v>1269</v>
      </c>
      <c r="G254" s="39">
        <v>67</v>
      </c>
      <c r="H254" s="28">
        <v>0</v>
      </c>
      <c r="I254" s="28" t="s">
        <v>1270</v>
      </c>
      <c r="J254" s="28" t="s">
        <v>1271</v>
      </c>
      <c r="K254" s="56" t="s">
        <v>18</v>
      </c>
      <c r="L254" s="28" t="s">
        <v>875</v>
      </c>
      <c r="M254" s="28" t="s">
        <v>323</v>
      </c>
      <c r="N254" s="28" t="s">
        <v>330</v>
      </c>
      <c r="O254" s="29" t="s">
        <v>2</v>
      </c>
      <c r="P254" s="28">
        <v>4</v>
      </c>
      <c r="Q254" s="28" t="s">
        <v>1343</v>
      </c>
      <c r="R254" s="28" t="s">
        <v>1273</v>
      </c>
      <c r="S254" s="34" t="str">
        <f>IFERROR(HYPERLINK("#Main!A"&amp;MATCH(A254,Main!A:A,0),"Open"),HYPERLINK("#Main!A1","Open"))</f>
        <v>Open</v>
      </c>
      <c r="T254" s="34" t="str">
        <f>IFERROR(HYPERLINK("#Technical!A"&amp;MATCH(A254,Technical!A:A,0),"Open"),HYPERLINK("#Technical!A1","Open"))</f>
        <v>Open</v>
      </c>
      <c r="U254" s="34"/>
    </row>
    <row r="255" spans="1:21" ht="30" customHeight="1" x14ac:dyDescent="0.25">
      <c r="A255" s="30" t="s">
        <v>594</v>
      </c>
      <c r="B255" s="37">
        <v>10823</v>
      </c>
      <c r="C255" s="55" t="s">
        <v>1093</v>
      </c>
      <c r="D255" s="37" t="s">
        <v>1253</v>
      </c>
      <c r="E255" s="32" t="s">
        <v>72</v>
      </c>
      <c r="F255" s="37" t="s">
        <v>1260</v>
      </c>
      <c r="G255" s="42">
        <v>67</v>
      </c>
      <c r="H255" s="37">
        <v>47</v>
      </c>
      <c r="I255" s="37" t="s">
        <v>1261</v>
      </c>
      <c r="J255" s="37" t="s">
        <v>1262</v>
      </c>
      <c r="K255" s="57" t="s">
        <v>18</v>
      </c>
      <c r="L255" s="37" t="s">
        <v>871</v>
      </c>
      <c r="M255" s="37" t="s">
        <v>323</v>
      </c>
      <c r="N255" s="37" t="s">
        <v>330</v>
      </c>
      <c r="O255" s="29" t="s">
        <v>2</v>
      </c>
      <c r="P255" s="37">
        <v>4</v>
      </c>
      <c r="Q255" s="37" t="s">
        <v>1344</v>
      </c>
      <c r="R255" s="37" t="s">
        <v>1264</v>
      </c>
      <c r="S255" t="str">
        <f>IFERROR(HYPERLINK("#Main!A"&amp;MATCH(A255,Main!A:A,0),"Open"),HYPERLINK("#Main!A1","Open"))</f>
        <v>Open</v>
      </c>
      <c r="T255" t="str">
        <f>IFERROR(HYPERLINK("#Technical!A"&amp;MATCH(A255,Technical!A:A,0),"Open"),HYPERLINK("#Technical!A1","Open"))</f>
        <v>Open</v>
      </c>
    </row>
    <row r="256" spans="1:21" ht="30" customHeight="1" x14ac:dyDescent="0.25">
      <c r="A256" s="33" t="s">
        <v>597</v>
      </c>
      <c r="B256" s="28">
        <v>17908</v>
      </c>
      <c r="C256" s="55" t="s">
        <v>975</v>
      </c>
      <c r="D256" s="28" t="s">
        <v>1253</v>
      </c>
      <c r="E256" s="32" t="s">
        <v>72</v>
      </c>
      <c r="F256" s="28" t="s">
        <v>1254</v>
      </c>
      <c r="G256" s="39">
        <v>67</v>
      </c>
      <c r="H256" s="28">
        <v>72.73</v>
      </c>
      <c r="I256" s="28" t="s">
        <v>1255</v>
      </c>
      <c r="J256" s="28" t="s">
        <v>1256</v>
      </c>
      <c r="K256" s="56" t="s">
        <v>40</v>
      </c>
      <c r="L256" s="28" t="s">
        <v>1257</v>
      </c>
      <c r="M256" s="28" t="s">
        <v>323</v>
      </c>
      <c r="N256" s="28" t="s">
        <v>330</v>
      </c>
      <c r="O256" s="29" t="s">
        <v>2</v>
      </c>
      <c r="P256" s="28">
        <v>4</v>
      </c>
      <c r="Q256" s="28" t="s">
        <v>1345</v>
      </c>
      <c r="R256" s="28" t="s">
        <v>1259</v>
      </c>
      <c r="S256" s="34" t="str">
        <f>IFERROR(HYPERLINK("#Main!A"&amp;MATCH(A256,Main!A:A,0),"Open"),HYPERLINK("#Main!A1","Open"))</f>
        <v>Open</v>
      </c>
      <c r="T256" s="34" t="str">
        <f>IFERROR(HYPERLINK("#Technical!A"&amp;MATCH(A256,Technical!A:A,0),"Open"),HYPERLINK("#Technical!A1","Open"))</f>
        <v>Open</v>
      </c>
      <c r="U256" s="34"/>
    </row>
    <row r="257" spans="1:21" ht="30" customHeight="1" x14ac:dyDescent="0.25">
      <c r="A257" s="30" t="s">
        <v>597</v>
      </c>
      <c r="B257" s="37">
        <v>17908</v>
      </c>
      <c r="C257" s="55" t="s">
        <v>975</v>
      </c>
      <c r="D257" s="37" t="s">
        <v>1253</v>
      </c>
      <c r="E257" s="32" t="s">
        <v>72</v>
      </c>
      <c r="F257" s="37" t="s">
        <v>1269</v>
      </c>
      <c r="G257" s="42">
        <v>67</v>
      </c>
      <c r="H257" s="37">
        <v>0</v>
      </c>
      <c r="I257" s="37" t="s">
        <v>1270</v>
      </c>
      <c r="J257" s="37" t="s">
        <v>1271</v>
      </c>
      <c r="K257" s="57" t="s">
        <v>18</v>
      </c>
      <c r="L257" s="37" t="s">
        <v>875</v>
      </c>
      <c r="M257" s="37" t="s">
        <v>323</v>
      </c>
      <c r="N257" s="37" t="s">
        <v>330</v>
      </c>
      <c r="O257" s="29" t="s">
        <v>2</v>
      </c>
      <c r="P257" s="37">
        <v>4</v>
      </c>
      <c r="Q257" s="37" t="s">
        <v>1346</v>
      </c>
      <c r="R257" s="37" t="s">
        <v>1273</v>
      </c>
      <c r="S257" t="str">
        <f>IFERROR(HYPERLINK("#Main!A"&amp;MATCH(A257,Main!A:A,0),"Open"),HYPERLINK("#Main!A1","Open"))</f>
        <v>Open</v>
      </c>
      <c r="T257" t="str">
        <f>IFERROR(HYPERLINK("#Technical!A"&amp;MATCH(A257,Technical!A:A,0),"Open"),HYPERLINK("#Technical!A1","Open"))</f>
        <v>Open</v>
      </c>
    </row>
    <row r="258" spans="1:21" ht="30" customHeight="1" x14ac:dyDescent="0.25">
      <c r="A258" s="33" t="s">
        <v>597</v>
      </c>
      <c r="B258" s="28">
        <v>17908</v>
      </c>
      <c r="C258" s="55" t="s">
        <v>975</v>
      </c>
      <c r="D258" s="28" t="s">
        <v>1253</v>
      </c>
      <c r="E258" s="32" t="s">
        <v>72</v>
      </c>
      <c r="F258" s="28" t="s">
        <v>1260</v>
      </c>
      <c r="G258" s="39">
        <v>67</v>
      </c>
      <c r="H258" s="28">
        <v>23</v>
      </c>
      <c r="I258" s="28" t="s">
        <v>1261</v>
      </c>
      <c r="J258" s="28" t="s">
        <v>1262</v>
      </c>
      <c r="K258" s="56" t="s">
        <v>18</v>
      </c>
      <c r="L258" s="28" t="s">
        <v>871</v>
      </c>
      <c r="M258" s="28" t="s">
        <v>323</v>
      </c>
      <c r="N258" s="28" t="s">
        <v>330</v>
      </c>
      <c r="O258" s="29" t="s">
        <v>2</v>
      </c>
      <c r="P258" s="28">
        <v>4</v>
      </c>
      <c r="Q258" s="28" t="s">
        <v>1347</v>
      </c>
      <c r="R258" s="28" t="s">
        <v>1264</v>
      </c>
      <c r="S258" s="34" t="str">
        <f>IFERROR(HYPERLINK("#Main!A"&amp;MATCH(A258,Main!A:A,0),"Open"),HYPERLINK("#Main!A1","Open"))</f>
        <v>Open</v>
      </c>
      <c r="T258" s="34" t="str">
        <f>IFERROR(HYPERLINK("#Technical!A"&amp;MATCH(A258,Technical!A:A,0),"Open"),HYPERLINK("#Technical!A1","Open"))</f>
        <v>Open</v>
      </c>
      <c r="U258" s="34"/>
    </row>
    <row r="259" spans="1:21" ht="30" customHeight="1" x14ac:dyDescent="0.25">
      <c r="A259" s="30" t="s">
        <v>604</v>
      </c>
      <c r="B259" s="37">
        <v>16472</v>
      </c>
      <c r="C259" s="55" t="s">
        <v>1098</v>
      </c>
      <c r="D259" s="37" t="s">
        <v>1253</v>
      </c>
      <c r="E259" s="32" t="s">
        <v>72</v>
      </c>
      <c r="F259" s="37" t="s">
        <v>1254</v>
      </c>
      <c r="G259" s="42">
        <v>67</v>
      </c>
      <c r="H259" s="37">
        <v>68.180000000000007</v>
      </c>
      <c r="I259" s="37" t="s">
        <v>1255</v>
      </c>
      <c r="J259" s="37" t="s">
        <v>1256</v>
      </c>
      <c r="K259" s="57" t="s">
        <v>40</v>
      </c>
      <c r="L259" s="37" t="s">
        <v>1257</v>
      </c>
      <c r="M259" s="37" t="s">
        <v>323</v>
      </c>
      <c r="N259" s="37" t="s">
        <v>330</v>
      </c>
      <c r="O259" s="29" t="s">
        <v>2</v>
      </c>
      <c r="P259" s="37">
        <v>4</v>
      </c>
      <c r="Q259" s="37" t="s">
        <v>1348</v>
      </c>
      <c r="R259" s="37" t="s">
        <v>1259</v>
      </c>
      <c r="S259" t="str">
        <f>IFERROR(HYPERLINK("#Main!A"&amp;MATCH(A259,Main!A:A,0),"Open"),HYPERLINK("#Main!A1","Open"))</f>
        <v>Open</v>
      </c>
      <c r="T259" t="str">
        <f>IFERROR(HYPERLINK("#Technical!A"&amp;MATCH(A259,Technical!A:A,0),"Open"),HYPERLINK("#Technical!A1","Open"))</f>
        <v>Open</v>
      </c>
    </row>
    <row r="260" spans="1:21" ht="30" customHeight="1" x14ac:dyDescent="0.25">
      <c r="A260" s="33" t="s">
        <v>608</v>
      </c>
      <c r="B260" s="28">
        <v>92</v>
      </c>
      <c r="C260" s="55" t="s">
        <v>1100</v>
      </c>
      <c r="D260" s="28" t="s">
        <v>1253</v>
      </c>
      <c r="E260" s="32" t="s">
        <v>72</v>
      </c>
      <c r="F260" s="28" t="s">
        <v>1254</v>
      </c>
      <c r="G260" s="39">
        <v>67</v>
      </c>
      <c r="H260" s="28">
        <v>71.430000000000007</v>
      </c>
      <c r="I260" s="28" t="s">
        <v>1255</v>
      </c>
      <c r="J260" s="28" t="s">
        <v>1256</v>
      </c>
      <c r="K260" s="56" t="s">
        <v>40</v>
      </c>
      <c r="L260" s="28" t="s">
        <v>1257</v>
      </c>
      <c r="M260" s="28" t="s">
        <v>323</v>
      </c>
      <c r="N260" s="28" t="s">
        <v>330</v>
      </c>
      <c r="O260" s="29" t="s">
        <v>2</v>
      </c>
      <c r="P260" s="28">
        <v>4</v>
      </c>
      <c r="Q260" s="28" t="s">
        <v>1349</v>
      </c>
      <c r="R260" s="28" t="s">
        <v>1259</v>
      </c>
      <c r="S260" s="34" t="str">
        <f>IFERROR(HYPERLINK("#Main!A"&amp;MATCH(A260,Main!A:A,0),"Open"),HYPERLINK("#Main!A1","Open"))</f>
        <v>Open</v>
      </c>
      <c r="T260" s="34" t="str">
        <f>IFERROR(HYPERLINK("#Technical!A"&amp;MATCH(A260,Technical!A:A,0),"Open"),HYPERLINK("#Technical!A1","Open"))</f>
        <v>Open</v>
      </c>
      <c r="U260" s="34"/>
    </row>
    <row r="261" spans="1:21" ht="30" customHeight="1" x14ac:dyDescent="0.25">
      <c r="A261" s="30" t="s">
        <v>611</v>
      </c>
      <c r="B261" s="37">
        <v>18478</v>
      </c>
      <c r="C261" s="55" t="s">
        <v>1102</v>
      </c>
      <c r="D261" s="37" t="s">
        <v>1253</v>
      </c>
      <c r="E261" s="32" t="s">
        <v>72</v>
      </c>
      <c r="F261" s="37" t="s">
        <v>1254</v>
      </c>
      <c r="G261" s="42">
        <v>67</v>
      </c>
      <c r="H261" s="37">
        <v>71.430000000000007</v>
      </c>
      <c r="I261" s="37" t="s">
        <v>1255</v>
      </c>
      <c r="J261" s="37" t="s">
        <v>1256</v>
      </c>
      <c r="K261" s="57" t="s">
        <v>40</v>
      </c>
      <c r="L261" s="37" t="s">
        <v>1257</v>
      </c>
      <c r="M261" s="37" t="s">
        <v>323</v>
      </c>
      <c r="N261" s="37" t="s">
        <v>330</v>
      </c>
      <c r="O261" s="29" t="s">
        <v>2</v>
      </c>
      <c r="P261" s="37">
        <v>4</v>
      </c>
      <c r="Q261" s="37" t="s">
        <v>1350</v>
      </c>
      <c r="R261" s="37" t="s">
        <v>1259</v>
      </c>
      <c r="S261" t="str">
        <f>IFERROR(HYPERLINK("#Main!A"&amp;MATCH(A261,Main!A:A,0),"Open"),HYPERLINK("#Main!A1","Open"))</f>
        <v>Open</v>
      </c>
      <c r="T261" t="str">
        <f>IFERROR(HYPERLINK("#Technical!A"&amp;MATCH(A261,Technical!A:A,0),"Open"),HYPERLINK("#Technical!A1","Open"))</f>
        <v>Open</v>
      </c>
    </row>
    <row r="262" spans="1:21" ht="30" customHeight="1" x14ac:dyDescent="0.25">
      <c r="A262" s="33" t="s">
        <v>611</v>
      </c>
      <c r="B262" s="28">
        <v>18478</v>
      </c>
      <c r="C262" s="55" t="s">
        <v>1102</v>
      </c>
      <c r="D262" s="28" t="s">
        <v>1253</v>
      </c>
      <c r="E262" s="32" t="s">
        <v>72</v>
      </c>
      <c r="F262" s="28" t="s">
        <v>1269</v>
      </c>
      <c r="G262" s="39">
        <v>67</v>
      </c>
      <c r="H262" s="28">
        <v>0</v>
      </c>
      <c r="I262" s="28" t="s">
        <v>1270</v>
      </c>
      <c r="J262" s="28" t="s">
        <v>1271</v>
      </c>
      <c r="K262" s="56" t="s">
        <v>18</v>
      </c>
      <c r="L262" s="28" t="s">
        <v>875</v>
      </c>
      <c r="M262" s="28" t="s">
        <v>323</v>
      </c>
      <c r="N262" s="28" t="s">
        <v>330</v>
      </c>
      <c r="O262" s="29" t="s">
        <v>2</v>
      </c>
      <c r="P262" s="28">
        <v>4</v>
      </c>
      <c r="Q262" s="28" t="s">
        <v>1351</v>
      </c>
      <c r="R262" s="28" t="s">
        <v>1273</v>
      </c>
      <c r="S262" s="34" t="str">
        <f>IFERROR(HYPERLINK("#Main!A"&amp;MATCH(A262,Main!A:A,0),"Open"),HYPERLINK("#Main!A1","Open"))</f>
        <v>Open</v>
      </c>
      <c r="T262" s="34" t="str">
        <f>IFERROR(HYPERLINK("#Technical!A"&amp;MATCH(A262,Technical!A:A,0),"Open"),HYPERLINK("#Technical!A1","Open"))</f>
        <v>Open</v>
      </c>
      <c r="U262" s="34"/>
    </row>
    <row r="263" spans="1:21" ht="30" customHeight="1" x14ac:dyDescent="0.25">
      <c r="A263" s="30" t="s">
        <v>611</v>
      </c>
      <c r="B263" s="37">
        <v>18478</v>
      </c>
      <c r="C263" s="55" t="s">
        <v>1102</v>
      </c>
      <c r="D263" s="37" t="s">
        <v>1253</v>
      </c>
      <c r="E263" s="32" t="s">
        <v>72</v>
      </c>
      <c r="F263" s="37" t="s">
        <v>1260</v>
      </c>
      <c r="G263" s="42">
        <v>67</v>
      </c>
      <c r="H263" s="37">
        <v>44</v>
      </c>
      <c r="I263" s="37" t="s">
        <v>1261</v>
      </c>
      <c r="J263" s="37" t="s">
        <v>1262</v>
      </c>
      <c r="K263" s="57" t="s">
        <v>18</v>
      </c>
      <c r="L263" s="37" t="s">
        <v>871</v>
      </c>
      <c r="M263" s="37" t="s">
        <v>323</v>
      </c>
      <c r="N263" s="37" t="s">
        <v>330</v>
      </c>
      <c r="O263" s="29" t="s">
        <v>2</v>
      </c>
      <c r="P263" s="37">
        <v>4</v>
      </c>
      <c r="Q263" s="37" t="s">
        <v>1352</v>
      </c>
      <c r="R263" s="37" t="s">
        <v>1264</v>
      </c>
      <c r="S263" t="str">
        <f>IFERROR(HYPERLINK("#Main!A"&amp;MATCH(A263,Main!A:A,0),"Open"),HYPERLINK("#Main!A1","Open"))</f>
        <v>Open</v>
      </c>
      <c r="T263" t="str">
        <f>IFERROR(HYPERLINK("#Technical!A"&amp;MATCH(A263,Technical!A:A,0),"Open"),HYPERLINK("#Technical!A1","Open"))</f>
        <v>Open</v>
      </c>
    </row>
    <row r="264" spans="1:21" ht="30" customHeight="1" x14ac:dyDescent="0.25">
      <c r="A264" s="33" t="s">
        <v>615</v>
      </c>
      <c r="B264" s="28">
        <v>19172</v>
      </c>
      <c r="C264" s="55" t="s">
        <v>1104</v>
      </c>
      <c r="D264" s="28" t="s">
        <v>1253</v>
      </c>
      <c r="E264" s="32" t="s">
        <v>72</v>
      </c>
      <c r="F264" s="28" t="s">
        <v>1254</v>
      </c>
      <c r="G264" s="39">
        <v>67</v>
      </c>
      <c r="H264" s="28">
        <v>71.430000000000007</v>
      </c>
      <c r="I264" s="28" t="s">
        <v>1255</v>
      </c>
      <c r="J264" s="28" t="s">
        <v>1256</v>
      </c>
      <c r="K264" s="56" t="s">
        <v>40</v>
      </c>
      <c r="L264" s="28" t="s">
        <v>1257</v>
      </c>
      <c r="M264" s="28" t="s">
        <v>323</v>
      </c>
      <c r="N264" s="28" t="s">
        <v>330</v>
      </c>
      <c r="O264" s="29" t="s">
        <v>2</v>
      </c>
      <c r="P264" s="28">
        <v>4</v>
      </c>
      <c r="Q264" s="28" t="s">
        <v>1353</v>
      </c>
      <c r="R264" s="28" t="s">
        <v>1259</v>
      </c>
      <c r="S264" s="34" t="str">
        <f>IFERROR(HYPERLINK("#Main!A"&amp;MATCH(A264,Main!A:A,0),"Open"),HYPERLINK("#Main!A1","Open"))</f>
        <v>Open</v>
      </c>
      <c r="T264" s="34" t="str">
        <f>IFERROR(HYPERLINK("#Technical!A"&amp;MATCH(A264,Technical!A:A,0),"Open"),HYPERLINK("#Technical!A1","Open"))</f>
        <v>Open</v>
      </c>
      <c r="U264" s="34"/>
    </row>
    <row r="265" spans="1:21" ht="30" customHeight="1" x14ac:dyDescent="0.25">
      <c r="A265" s="30" t="s">
        <v>615</v>
      </c>
      <c r="B265" s="37">
        <v>19172</v>
      </c>
      <c r="C265" s="55" t="s">
        <v>1104</v>
      </c>
      <c r="D265" s="37" t="s">
        <v>1253</v>
      </c>
      <c r="E265" s="32" t="s">
        <v>72</v>
      </c>
      <c r="F265" s="37" t="s">
        <v>1269</v>
      </c>
      <c r="G265" s="42">
        <v>67</v>
      </c>
      <c r="H265" s="37">
        <v>0</v>
      </c>
      <c r="I265" s="37" t="s">
        <v>1270</v>
      </c>
      <c r="J265" s="37" t="s">
        <v>1271</v>
      </c>
      <c r="K265" s="57" t="s">
        <v>18</v>
      </c>
      <c r="L265" s="37" t="s">
        <v>875</v>
      </c>
      <c r="M265" s="37" t="s">
        <v>323</v>
      </c>
      <c r="N265" s="37" t="s">
        <v>330</v>
      </c>
      <c r="O265" s="29" t="s">
        <v>2</v>
      </c>
      <c r="P265" s="37">
        <v>4</v>
      </c>
      <c r="Q265" s="37" t="s">
        <v>1354</v>
      </c>
      <c r="R265" s="37" t="s">
        <v>1273</v>
      </c>
      <c r="S265" t="str">
        <f>IFERROR(HYPERLINK("#Main!A"&amp;MATCH(A265,Main!A:A,0),"Open"),HYPERLINK("#Main!A1","Open"))</f>
        <v>Open</v>
      </c>
      <c r="T265" t="str">
        <f>IFERROR(HYPERLINK("#Technical!A"&amp;MATCH(A265,Technical!A:A,0),"Open"),HYPERLINK("#Technical!A1","Open"))</f>
        <v>Open</v>
      </c>
    </row>
    <row r="266" spans="1:21" ht="30" customHeight="1" x14ac:dyDescent="0.25">
      <c r="A266" s="33" t="s">
        <v>615</v>
      </c>
      <c r="B266" s="28">
        <v>19172</v>
      </c>
      <c r="C266" s="55" t="s">
        <v>1104</v>
      </c>
      <c r="D266" s="28" t="s">
        <v>1253</v>
      </c>
      <c r="E266" s="32" t="s">
        <v>72</v>
      </c>
      <c r="F266" s="28" t="s">
        <v>1260</v>
      </c>
      <c r="G266" s="39">
        <v>67</v>
      </c>
      <c r="H266" s="28">
        <v>40</v>
      </c>
      <c r="I266" s="28" t="s">
        <v>1261</v>
      </c>
      <c r="J266" s="28" t="s">
        <v>1262</v>
      </c>
      <c r="K266" s="56" t="s">
        <v>18</v>
      </c>
      <c r="L266" s="28" t="s">
        <v>871</v>
      </c>
      <c r="M266" s="28" t="s">
        <v>323</v>
      </c>
      <c r="N266" s="28" t="s">
        <v>330</v>
      </c>
      <c r="O266" s="29" t="s">
        <v>2</v>
      </c>
      <c r="P266" s="28">
        <v>4</v>
      </c>
      <c r="Q266" s="28" t="s">
        <v>1355</v>
      </c>
      <c r="R266" s="28" t="s">
        <v>1264</v>
      </c>
      <c r="S266" s="34" t="str">
        <f>IFERROR(HYPERLINK("#Main!A"&amp;MATCH(A266,Main!A:A,0),"Open"),HYPERLINK("#Main!A1","Open"))</f>
        <v>Open</v>
      </c>
      <c r="T266" s="34" t="str">
        <f>IFERROR(HYPERLINK("#Technical!A"&amp;MATCH(A266,Technical!A:A,0),"Open"),HYPERLINK("#Technical!A1","Open"))</f>
        <v>Open</v>
      </c>
      <c r="U266" s="34"/>
    </row>
    <row r="267" spans="1:21" ht="30" customHeight="1" x14ac:dyDescent="0.25">
      <c r="A267" s="30" t="s">
        <v>618</v>
      </c>
      <c r="B267" s="37">
        <v>88</v>
      </c>
      <c r="C267" s="55" t="s">
        <v>1106</v>
      </c>
      <c r="D267" s="37" t="s">
        <v>1253</v>
      </c>
      <c r="E267" s="32" t="s">
        <v>72</v>
      </c>
      <c r="F267" s="37" t="s">
        <v>1254</v>
      </c>
      <c r="G267" s="42">
        <v>67</v>
      </c>
      <c r="H267" s="37">
        <v>76.19</v>
      </c>
      <c r="I267" s="37" t="s">
        <v>1255</v>
      </c>
      <c r="J267" s="37" t="s">
        <v>1256</v>
      </c>
      <c r="K267" s="57" t="s">
        <v>40</v>
      </c>
      <c r="L267" s="37" t="s">
        <v>1257</v>
      </c>
      <c r="M267" s="37" t="s">
        <v>323</v>
      </c>
      <c r="N267" s="37" t="s">
        <v>330</v>
      </c>
      <c r="O267" s="29" t="s">
        <v>2</v>
      </c>
      <c r="P267" s="37">
        <v>4</v>
      </c>
      <c r="Q267" s="37" t="s">
        <v>1356</v>
      </c>
      <c r="R267" s="37" t="s">
        <v>1259</v>
      </c>
      <c r="S267" t="str">
        <f>IFERROR(HYPERLINK("#Main!A"&amp;MATCH(A267,Main!A:A,0),"Open"),HYPERLINK("#Main!A1","Open"))</f>
        <v>Open</v>
      </c>
      <c r="T267" t="str">
        <f>IFERROR(HYPERLINK("#Technical!A"&amp;MATCH(A267,Technical!A:A,0),"Open"),HYPERLINK("#Technical!A1","Open"))</f>
        <v>Open</v>
      </c>
    </row>
    <row r="268" spans="1:21" ht="30" customHeight="1" x14ac:dyDescent="0.25">
      <c r="A268" s="33" t="s">
        <v>618</v>
      </c>
      <c r="B268" s="28">
        <v>88</v>
      </c>
      <c r="C268" s="55" t="s">
        <v>1106</v>
      </c>
      <c r="D268" s="28" t="s">
        <v>1253</v>
      </c>
      <c r="E268" s="32" t="s">
        <v>72</v>
      </c>
      <c r="F268" s="28" t="s">
        <v>1269</v>
      </c>
      <c r="G268" s="39">
        <v>67</v>
      </c>
      <c r="H268" s="28">
        <v>0</v>
      </c>
      <c r="I268" s="28" t="s">
        <v>1270</v>
      </c>
      <c r="J268" s="28" t="s">
        <v>1271</v>
      </c>
      <c r="K268" s="56" t="s">
        <v>18</v>
      </c>
      <c r="L268" s="28" t="s">
        <v>875</v>
      </c>
      <c r="M268" s="28" t="s">
        <v>323</v>
      </c>
      <c r="N268" s="28" t="s">
        <v>330</v>
      </c>
      <c r="O268" s="29" t="s">
        <v>2</v>
      </c>
      <c r="P268" s="28">
        <v>4</v>
      </c>
      <c r="Q268" s="28" t="s">
        <v>1357</v>
      </c>
      <c r="R268" s="28" t="s">
        <v>1273</v>
      </c>
      <c r="S268" s="34" t="str">
        <f>IFERROR(HYPERLINK("#Main!A"&amp;MATCH(A268,Main!A:A,0),"Open"),HYPERLINK("#Main!A1","Open"))</f>
        <v>Open</v>
      </c>
      <c r="T268" s="34" t="str">
        <f>IFERROR(HYPERLINK("#Technical!A"&amp;MATCH(A268,Technical!A:A,0),"Open"),HYPERLINK("#Technical!A1","Open"))</f>
        <v>Open</v>
      </c>
      <c r="U268" s="34"/>
    </row>
    <row r="269" spans="1:21" ht="30" customHeight="1" x14ac:dyDescent="0.25">
      <c r="A269" s="30" t="s">
        <v>621</v>
      </c>
      <c r="B269" s="37">
        <v>16548</v>
      </c>
      <c r="C269" s="55" t="s">
        <v>1108</v>
      </c>
      <c r="D269" s="37" t="s">
        <v>1253</v>
      </c>
      <c r="E269" s="32" t="s">
        <v>72</v>
      </c>
      <c r="F269" s="37" t="s">
        <v>1254</v>
      </c>
      <c r="G269" s="42">
        <v>67</v>
      </c>
      <c r="H269" s="37">
        <v>71.430000000000007</v>
      </c>
      <c r="I269" s="37" t="s">
        <v>1255</v>
      </c>
      <c r="J269" s="37" t="s">
        <v>1256</v>
      </c>
      <c r="K269" s="57" t="s">
        <v>40</v>
      </c>
      <c r="L269" s="37" t="s">
        <v>1257</v>
      </c>
      <c r="M269" s="37" t="s">
        <v>323</v>
      </c>
      <c r="N269" s="37" t="s">
        <v>330</v>
      </c>
      <c r="O269" s="29" t="s">
        <v>2</v>
      </c>
      <c r="P269" s="37">
        <v>4</v>
      </c>
      <c r="Q269" s="37" t="s">
        <v>1358</v>
      </c>
      <c r="R269" s="37" t="s">
        <v>1259</v>
      </c>
      <c r="S269" t="str">
        <f>IFERROR(HYPERLINK("#Main!A"&amp;MATCH(A269,Main!A:A,0),"Open"),HYPERLINK("#Main!A1","Open"))</f>
        <v>Open</v>
      </c>
      <c r="T269" t="str">
        <f>IFERROR(HYPERLINK("#Technical!A"&amp;MATCH(A269,Technical!A:A,0),"Open"),HYPERLINK("#Technical!A1","Open"))</f>
        <v>Open</v>
      </c>
    </row>
    <row r="270" spans="1:21" ht="30" customHeight="1" x14ac:dyDescent="0.25">
      <c r="A270" s="33" t="s">
        <v>621</v>
      </c>
      <c r="B270" s="28">
        <v>16548</v>
      </c>
      <c r="C270" s="55" t="s">
        <v>1108</v>
      </c>
      <c r="D270" s="28" t="s">
        <v>1253</v>
      </c>
      <c r="E270" s="32" t="s">
        <v>72</v>
      </c>
      <c r="F270" s="28" t="s">
        <v>1269</v>
      </c>
      <c r="G270" s="39">
        <v>67</v>
      </c>
      <c r="H270" s="28">
        <v>0</v>
      </c>
      <c r="I270" s="28" t="s">
        <v>1270</v>
      </c>
      <c r="J270" s="28" t="s">
        <v>1271</v>
      </c>
      <c r="K270" s="56" t="s">
        <v>18</v>
      </c>
      <c r="L270" s="28" t="s">
        <v>875</v>
      </c>
      <c r="M270" s="28" t="s">
        <v>323</v>
      </c>
      <c r="N270" s="28" t="s">
        <v>330</v>
      </c>
      <c r="O270" s="29" t="s">
        <v>2</v>
      </c>
      <c r="P270" s="28">
        <v>4</v>
      </c>
      <c r="Q270" s="28" t="s">
        <v>1359</v>
      </c>
      <c r="R270" s="28" t="s">
        <v>1273</v>
      </c>
      <c r="S270" s="34" t="str">
        <f>IFERROR(HYPERLINK("#Main!A"&amp;MATCH(A270,Main!A:A,0),"Open"),HYPERLINK("#Main!A1","Open"))</f>
        <v>Open</v>
      </c>
      <c r="T270" s="34" t="str">
        <f>IFERROR(HYPERLINK("#Technical!A"&amp;MATCH(A270,Technical!A:A,0),"Open"),HYPERLINK("#Technical!A1","Open"))</f>
        <v>Open</v>
      </c>
      <c r="U270" s="34"/>
    </row>
    <row r="271" spans="1:21" ht="30" customHeight="1" x14ac:dyDescent="0.25">
      <c r="A271" s="30" t="s">
        <v>621</v>
      </c>
      <c r="B271" s="37">
        <v>16548</v>
      </c>
      <c r="C271" s="55" t="s">
        <v>1108</v>
      </c>
      <c r="D271" s="37" t="s">
        <v>1253</v>
      </c>
      <c r="E271" s="32" t="s">
        <v>72</v>
      </c>
      <c r="F271" s="37" t="s">
        <v>1260</v>
      </c>
      <c r="G271" s="42">
        <v>67</v>
      </c>
      <c r="H271" s="37">
        <v>65</v>
      </c>
      <c r="I271" s="37" t="s">
        <v>1261</v>
      </c>
      <c r="J271" s="37" t="s">
        <v>1262</v>
      </c>
      <c r="K271" s="57" t="s">
        <v>18</v>
      </c>
      <c r="L271" s="37" t="s">
        <v>871</v>
      </c>
      <c r="M271" s="37" t="s">
        <v>323</v>
      </c>
      <c r="N271" s="37" t="s">
        <v>330</v>
      </c>
      <c r="O271" s="29" t="s">
        <v>2</v>
      </c>
      <c r="P271" s="37">
        <v>4</v>
      </c>
      <c r="Q271" s="37" t="s">
        <v>1360</v>
      </c>
      <c r="R271" s="37" t="s">
        <v>1264</v>
      </c>
      <c r="S271" t="str">
        <f>IFERROR(HYPERLINK("#Main!A"&amp;MATCH(A271,Main!A:A,0),"Open"),HYPERLINK("#Main!A1","Open"))</f>
        <v>Open</v>
      </c>
      <c r="T271" t="str">
        <f>IFERROR(HYPERLINK("#Technical!A"&amp;MATCH(A271,Technical!A:A,0),"Open"),HYPERLINK("#Technical!A1","Open"))</f>
        <v>Open</v>
      </c>
    </row>
    <row r="272" spans="1:21" ht="30" customHeight="1" x14ac:dyDescent="0.25">
      <c r="A272" s="33" t="s">
        <v>624</v>
      </c>
      <c r="B272" s="28">
        <v>20341</v>
      </c>
      <c r="C272" s="55" t="s">
        <v>1110</v>
      </c>
      <c r="D272" s="28" t="s">
        <v>1253</v>
      </c>
      <c r="E272" s="32" t="s">
        <v>72</v>
      </c>
      <c r="F272" s="28" t="s">
        <v>1254</v>
      </c>
      <c r="G272" s="39">
        <v>67</v>
      </c>
      <c r="H272" s="28">
        <v>60</v>
      </c>
      <c r="I272" s="28" t="s">
        <v>1255</v>
      </c>
      <c r="J272" s="28" t="s">
        <v>1256</v>
      </c>
      <c r="K272" s="56" t="s">
        <v>40</v>
      </c>
      <c r="L272" s="28" t="s">
        <v>1257</v>
      </c>
      <c r="M272" s="28" t="s">
        <v>323</v>
      </c>
      <c r="N272" s="28" t="s">
        <v>330</v>
      </c>
      <c r="O272" s="29" t="s">
        <v>2</v>
      </c>
      <c r="P272" s="28">
        <v>4</v>
      </c>
      <c r="Q272" s="28" t="s">
        <v>1361</v>
      </c>
      <c r="R272" s="28" t="s">
        <v>1259</v>
      </c>
      <c r="S272" s="34" t="str">
        <f>IFERROR(HYPERLINK("#Main!A"&amp;MATCH(A272,Main!A:A,0),"Open"),HYPERLINK("#Main!A1","Open"))</f>
        <v>Open</v>
      </c>
      <c r="T272" s="34" t="str">
        <f>IFERROR(HYPERLINK("#Technical!A"&amp;MATCH(A272,Technical!A:A,0),"Open"),HYPERLINK("#Technical!A1","Open"))</f>
        <v>Open</v>
      </c>
      <c r="U272" s="34"/>
    </row>
    <row r="273" spans="1:21" ht="30" customHeight="1" x14ac:dyDescent="0.25">
      <c r="A273" s="30" t="s">
        <v>624</v>
      </c>
      <c r="B273" s="37">
        <v>20341</v>
      </c>
      <c r="C273" s="55" t="s">
        <v>1110</v>
      </c>
      <c r="D273" s="37" t="s">
        <v>1253</v>
      </c>
      <c r="E273" s="32" t="s">
        <v>72</v>
      </c>
      <c r="F273" s="37" t="s">
        <v>1269</v>
      </c>
      <c r="G273" s="42">
        <v>67</v>
      </c>
      <c r="H273" s="37">
        <v>0</v>
      </c>
      <c r="I273" s="37" t="s">
        <v>1270</v>
      </c>
      <c r="J273" s="37" t="s">
        <v>1271</v>
      </c>
      <c r="K273" s="57" t="s">
        <v>18</v>
      </c>
      <c r="L273" s="37" t="s">
        <v>875</v>
      </c>
      <c r="M273" s="37" t="s">
        <v>323</v>
      </c>
      <c r="N273" s="37" t="s">
        <v>330</v>
      </c>
      <c r="O273" s="29" t="s">
        <v>2</v>
      </c>
      <c r="P273" s="37">
        <v>4</v>
      </c>
      <c r="Q273" s="37" t="s">
        <v>1362</v>
      </c>
      <c r="R273" s="37" t="s">
        <v>1273</v>
      </c>
      <c r="S273" t="str">
        <f>IFERROR(HYPERLINK("#Main!A"&amp;MATCH(A273,Main!A:A,0),"Open"),HYPERLINK("#Main!A1","Open"))</f>
        <v>Open</v>
      </c>
      <c r="T273" t="str">
        <f>IFERROR(HYPERLINK("#Technical!A"&amp;MATCH(A273,Technical!A:A,0),"Open"),HYPERLINK("#Technical!A1","Open"))</f>
        <v>Open</v>
      </c>
    </row>
    <row r="274" spans="1:21" ht="30" customHeight="1" x14ac:dyDescent="0.25">
      <c r="A274" s="33" t="s">
        <v>624</v>
      </c>
      <c r="B274" s="28">
        <v>20341</v>
      </c>
      <c r="C274" s="55" t="s">
        <v>1110</v>
      </c>
      <c r="D274" s="28" t="s">
        <v>1253</v>
      </c>
      <c r="E274" s="32" t="s">
        <v>72</v>
      </c>
      <c r="F274" s="28" t="s">
        <v>1260</v>
      </c>
      <c r="G274" s="39">
        <v>67</v>
      </c>
      <c r="H274" s="28">
        <v>39</v>
      </c>
      <c r="I274" s="28" t="s">
        <v>1261</v>
      </c>
      <c r="J274" s="28" t="s">
        <v>1262</v>
      </c>
      <c r="K274" s="56" t="s">
        <v>18</v>
      </c>
      <c r="L274" s="28" t="s">
        <v>871</v>
      </c>
      <c r="M274" s="28" t="s">
        <v>323</v>
      </c>
      <c r="N274" s="28" t="s">
        <v>330</v>
      </c>
      <c r="O274" s="29" t="s">
        <v>2</v>
      </c>
      <c r="P274" s="28">
        <v>4</v>
      </c>
      <c r="Q274" s="28" t="s">
        <v>1363</v>
      </c>
      <c r="R274" s="28" t="s">
        <v>1264</v>
      </c>
      <c r="S274" s="34" t="str">
        <f>IFERROR(HYPERLINK("#Main!A"&amp;MATCH(A274,Main!A:A,0),"Open"),HYPERLINK("#Main!A1","Open"))</f>
        <v>Open</v>
      </c>
      <c r="T274" s="34" t="str">
        <f>IFERROR(HYPERLINK("#Technical!A"&amp;MATCH(A274,Technical!A:A,0),"Open"),HYPERLINK("#Technical!A1","Open"))</f>
        <v>Open</v>
      </c>
      <c r="U274" s="34"/>
    </row>
    <row r="275" spans="1:21" ht="30" customHeight="1" x14ac:dyDescent="0.25">
      <c r="A275" s="30" t="s">
        <v>626</v>
      </c>
      <c r="B275" s="37">
        <v>31820</v>
      </c>
      <c r="C275" s="55" t="s">
        <v>1112</v>
      </c>
      <c r="D275" s="37" t="s">
        <v>1253</v>
      </c>
      <c r="E275" s="32" t="s">
        <v>72</v>
      </c>
      <c r="F275" s="37" t="s">
        <v>1254</v>
      </c>
      <c r="G275" s="42">
        <v>67</v>
      </c>
      <c r="H275" s="37">
        <v>74.47</v>
      </c>
      <c r="I275" s="37" t="s">
        <v>1255</v>
      </c>
      <c r="J275" s="37" t="s">
        <v>1256</v>
      </c>
      <c r="K275" s="57" t="s">
        <v>40</v>
      </c>
      <c r="L275" s="37" t="s">
        <v>1257</v>
      </c>
      <c r="M275" s="37" t="s">
        <v>323</v>
      </c>
      <c r="N275" s="37" t="s">
        <v>330</v>
      </c>
      <c r="O275" s="29" t="s">
        <v>2</v>
      </c>
      <c r="P275" s="37">
        <v>4</v>
      </c>
      <c r="Q275" s="37" t="s">
        <v>1364</v>
      </c>
      <c r="R275" s="37" t="s">
        <v>1259</v>
      </c>
      <c r="S275" t="str">
        <f>IFERROR(HYPERLINK("#Main!A"&amp;MATCH(A275,Main!A:A,0),"Open"),HYPERLINK("#Main!A1","Open"))</f>
        <v>Open</v>
      </c>
      <c r="T275" t="str">
        <f>IFERROR(HYPERLINK("#Technical!A"&amp;MATCH(A275,Technical!A:A,0),"Open"),HYPERLINK("#Technical!A1","Open"))</f>
        <v>Open</v>
      </c>
    </row>
    <row r="276" spans="1:21" ht="30" customHeight="1" x14ac:dyDescent="0.25">
      <c r="A276" s="33" t="s">
        <v>629</v>
      </c>
      <c r="B276" s="28">
        <v>5597</v>
      </c>
      <c r="C276" s="55" t="s">
        <v>1114</v>
      </c>
      <c r="D276" s="28" t="s">
        <v>1253</v>
      </c>
      <c r="E276" s="32" t="s">
        <v>72</v>
      </c>
      <c r="F276" s="28" t="s">
        <v>1254</v>
      </c>
      <c r="G276" s="39">
        <v>67</v>
      </c>
      <c r="H276" s="28">
        <v>75</v>
      </c>
      <c r="I276" s="28" t="s">
        <v>1255</v>
      </c>
      <c r="J276" s="28" t="s">
        <v>1256</v>
      </c>
      <c r="K276" s="56" t="s">
        <v>40</v>
      </c>
      <c r="L276" s="28" t="s">
        <v>1257</v>
      </c>
      <c r="M276" s="28" t="s">
        <v>323</v>
      </c>
      <c r="N276" s="28" t="s">
        <v>330</v>
      </c>
      <c r="O276" s="29" t="s">
        <v>2</v>
      </c>
      <c r="P276" s="28">
        <v>4</v>
      </c>
      <c r="Q276" s="28" t="s">
        <v>1365</v>
      </c>
      <c r="R276" s="28" t="s">
        <v>1259</v>
      </c>
      <c r="S276" s="34" t="str">
        <f>IFERROR(HYPERLINK("#Main!A"&amp;MATCH(A276,Main!A:A,0),"Open"),HYPERLINK("#Main!A1","Open"))</f>
        <v>Open</v>
      </c>
      <c r="T276" s="34" t="str">
        <f>IFERROR(HYPERLINK("#Technical!A"&amp;MATCH(A276,Technical!A:A,0),"Open"),HYPERLINK("#Technical!A1","Open"))</f>
        <v>Open</v>
      </c>
      <c r="U276" s="34"/>
    </row>
    <row r="277" spans="1:21" ht="30" customHeight="1" x14ac:dyDescent="0.25">
      <c r="A277" s="30" t="s">
        <v>629</v>
      </c>
      <c r="B277" s="37">
        <v>5597</v>
      </c>
      <c r="C277" s="55" t="s">
        <v>1114</v>
      </c>
      <c r="D277" s="37" t="s">
        <v>1253</v>
      </c>
      <c r="E277" s="32" t="s">
        <v>72</v>
      </c>
      <c r="F277" s="37" t="s">
        <v>1269</v>
      </c>
      <c r="G277" s="42">
        <v>67</v>
      </c>
      <c r="H277" s="37">
        <v>0</v>
      </c>
      <c r="I277" s="37" t="s">
        <v>1270</v>
      </c>
      <c r="J277" s="37" t="s">
        <v>1271</v>
      </c>
      <c r="K277" s="57" t="s">
        <v>18</v>
      </c>
      <c r="L277" s="37" t="s">
        <v>875</v>
      </c>
      <c r="M277" s="37" t="s">
        <v>323</v>
      </c>
      <c r="N277" s="37" t="s">
        <v>330</v>
      </c>
      <c r="O277" s="29" t="s">
        <v>2</v>
      </c>
      <c r="P277" s="37">
        <v>4</v>
      </c>
      <c r="Q277" s="37" t="s">
        <v>1366</v>
      </c>
      <c r="R277" s="37" t="s">
        <v>1273</v>
      </c>
      <c r="S277" t="str">
        <f>IFERROR(HYPERLINK("#Main!A"&amp;MATCH(A277,Main!A:A,0),"Open"),HYPERLINK("#Main!A1","Open"))</f>
        <v>Open</v>
      </c>
      <c r="T277" t="str">
        <f>IFERROR(HYPERLINK("#Technical!A"&amp;MATCH(A277,Technical!A:A,0),"Open"),HYPERLINK("#Technical!A1","Open"))</f>
        <v>Open</v>
      </c>
    </row>
    <row r="278" spans="1:21" ht="30" customHeight="1" x14ac:dyDescent="0.25">
      <c r="A278" s="33" t="s">
        <v>629</v>
      </c>
      <c r="B278" s="28">
        <v>5597</v>
      </c>
      <c r="C278" s="55" t="s">
        <v>1114</v>
      </c>
      <c r="D278" s="28" t="s">
        <v>1253</v>
      </c>
      <c r="E278" s="32" t="s">
        <v>72</v>
      </c>
      <c r="F278" s="28" t="s">
        <v>1260</v>
      </c>
      <c r="G278" s="39">
        <v>67</v>
      </c>
      <c r="H278" s="28">
        <v>55</v>
      </c>
      <c r="I278" s="28" t="s">
        <v>1261</v>
      </c>
      <c r="J278" s="28" t="s">
        <v>1262</v>
      </c>
      <c r="K278" s="56" t="s">
        <v>18</v>
      </c>
      <c r="L278" s="28" t="s">
        <v>871</v>
      </c>
      <c r="M278" s="28" t="s">
        <v>323</v>
      </c>
      <c r="N278" s="28" t="s">
        <v>330</v>
      </c>
      <c r="O278" s="29" t="s">
        <v>2</v>
      </c>
      <c r="P278" s="28">
        <v>4</v>
      </c>
      <c r="Q278" s="28" t="s">
        <v>1367</v>
      </c>
      <c r="R278" s="28" t="s">
        <v>1264</v>
      </c>
      <c r="S278" s="34" t="str">
        <f>IFERROR(HYPERLINK("#Main!A"&amp;MATCH(A278,Main!A:A,0),"Open"),HYPERLINK("#Main!A1","Open"))</f>
        <v>Open</v>
      </c>
      <c r="T278" s="34" t="str">
        <f>IFERROR(HYPERLINK("#Technical!A"&amp;MATCH(A278,Technical!A:A,0),"Open"),HYPERLINK("#Technical!A1","Open"))</f>
        <v>Open</v>
      </c>
      <c r="U278" s="34"/>
    </row>
    <row r="279" spans="1:21" ht="30" customHeight="1" x14ac:dyDescent="0.25">
      <c r="A279" s="30" t="s">
        <v>632</v>
      </c>
      <c r="B279" s="37">
        <v>33050</v>
      </c>
      <c r="C279" s="55" t="s">
        <v>1116</v>
      </c>
      <c r="D279" s="37" t="s">
        <v>1253</v>
      </c>
      <c r="E279" s="32" t="s">
        <v>72</v>
      </c>
      <c r="F279" s="37" t="s">
        <v>1254</v>
      </c>
      <c r="G279" s="42">
        <v>67</v>
      </c>
      <c r="H279" s="37">
        <v>62.5</v>
      </c>
      <c r="I279" s="37" t="s">
        <v>1255</v>
      </c>
      <c r="J279" s="37" t="s">
        <v>1256</v>
      </c>
      <c r="K279" s="57" t="s">
        <v>40</v>
      </c>
      <c r="L279" s="37" t="s">
        <v>1257</v>
      </c>
      <c r="M279" s="37" t="s">
        <v>323</v>
      </c>
      <c r="N279" s="37" t="s">
        <v>330</v>
      </c>
      <c r="O279" s="29" t="s">
        <v>2</v>
      </c>
      <c r="P279" s="37">
        <v>4</v>
      </c>
      <c r="Q279" s="37" t="s">
        <v>1368</v>
      </c>
      <c r="R279" s="37" t="s">
        <v>1259</v>
      </c>
      <c r="S279" t="str">
        <f>IFERROR(HYPERLINK("#Main!A"&amp;MATCH(A279,Main!A:A,0),"Open"),HYPERLINK("#Main!A1","Open"))</f>
        <v>Open</v>
      </c>
      <c r="T279" t="str">
        <f>IFERROR(HYPERLINK("#Technical!A"&amp;MATCH(A279,Technical!A:A,0),"Open"),HYPERLINK("#Technical!A1","Open"))</f>
        <v>Open</v>
      </c>
    </row>
    <row r="280" spans="1:21" ht="30" customHeight="1" x14ac:dyDescent="0.25">
      <c r="A280" s="33" t="s">
        <v>632</v>
      </c>
      <c r="B280" s="28">
        <v>33050</v>
      </c>
      <c r="C280" s="55" t="s">
        <v>1116</v>
      </c>
      <c r="D280" s="28" t="s">
        <v>1253</v>
      </c>
      <c r="E280" s="32" t="s">
        <v>72</v>
      </c>
      <c r="F280" s="28" t="s">
        <v>1260</v>
      </c>
      <c r="G280" s="39">
        <v>67</v>
      </c>
      <c r="H280" s="28">
        <v>180</v>
      </c>
      <c r="I280" s="28" t="s">
        <v>1261</v>
      </c>
      <c r="J280" s="28" t="s">
        <v>1262</v>
      </c>
      <c r="K280" s="56" t="s">
        <v>18</v>
      </c>
      <c r="L280" s="28" t="s">
        <v>871</v>
      </c>
      <c r="M280" s="28" t="s">
        <v>323</v>
      </c>
      <c r="N280" s="28" t="s">
        <v>330</v>
      </c>
      <c r="O280" s="29" t="s">
        <v>2</v>
      </c>
      <c r="P280" s="28">
        <v>4</v>
      </c>
      <c r="Q280" s="28" t="s">
        <v>1369</v>
      </c>
      <c r="R280" s="28" t="s">
        <v>1264</v>
      </c>
      <c r="S280" s="34" t="str">
        <f>IFERROR(HYPERLINK("#Main!A"&amp;MATCH(A280,Main!A:A,0),"Open"),HYPERLINK("#Main!A1","Open"))</f>
        <v>Open</v>
      </c>
      <c r="T280" s="34" t="str">
        <f>IFERROR(HYPERLINK("#Technical!A"&amp;MATCH(A280,Technical!A:A,0),"Open"),HYPERLINK("#Technical!A1","Open"))</f>
        <v>Open</v>
      </c>
      <c r="U280" s="34"/>
    </row>
    <row r="281" spans="1:21" ht="30" customHeight="1" x14ac:dyDescent="0.25">
      <c r="A281" s="30" t="s">
        <v>635</v>
      </c>
      <c r="B281" s="37">
        <v>86</v>
      </c>
      <c r="C281" s="55" t="s">
        <v>1118</v>
      </c>
      <c r="D281" s="37" t="s">
        <v>1253</v>
      </c>
      <c r="E281" s="32" t="s">
        <v>72</v>
      </c>
      <c r="F281" s="37" t="s">
        <v>1254</v>
      </c>
      <c r="G281" s="42">
        <v>67</v>
      </c>
      <c r="H281" s="37">
        <v>44.74</v>
      </c>
      <c r="I281" s="37" t="s">
        <v>1255</v>
      </c>
      <c r="J281" s="37" t="s">
        <v>1256</v>
      </c>
      <c r="K281" s="57" t="s">
        <v>40</v>
      </c>
      <c r="L281" s="37" t="s">
        <v>1257</v>
      </c>
      <c r="M281" s="37" t="s">
        <v>323</v>
      </c>
      <c r="N281" s="37" t="s">
        <v>330</v>
      </c>
      <c r="O281" s="29" t="s">
        <v>2</v>
      </c>
      <c r="P281" s="37">
        <v>4</v>
      </c>
      <c r="Q281" s="37" t="s">
        <v>1370</v>
      </c>
      <c r="R281" s="37" t="s">
        <v>1259</v>
      </c>
      <c r="S281" t="str">
        <f>IFERROR(HYPERLINK("#Main!A"&amp;MATCH(A281,Main!A:A,0),"Open"),HYPERLINK("#Main!A1","Open"))</f>
        <v>Open</v>
      </c>
      <c r="T281" t="str">
        <f>IFERROR(HYPERLINK("#Technical!A"&amp;MATCH(A281,Technical!A:A,0),"Open"),HYPERLINK("#Technical!A1","Open"))</f>
        <v>Open</v>
      </c>
    </row>
    <row r="282" spans="1:21" ht="30" customHeight="1" x14ac:dyDescent="0.25">
      <c r="A282" s="33" t="s">
        <v>638</v>
      </c>
      <c r="B282" s="28">
        <v>2196</v>
      </c>
      <c r="C282" s="55" t="s">
        <v>1120</v>
      </c>
      <c r="D282" s="28" t="s">
        <v>1253</v>
      </c>
      <c r="E282" s="32" t="s">
        <v>72</v>
      </c>
      <c r="F282" s="28" t="s">
        <v>1260</v>
      </c>
      <c r="G282" s="39">
        <v>67</v>
      </c>
      <c r="H282" s="28">
        <v>35</v>
      </c>
      <c r="I282" s="28" t="s">
        <v>1261</v>
      </c>
      <c r="J282" s="28" t="s">
        <v>1262</v>
      </c>
      <c r="K282" s="56" t="s">
        <v>18</v>
      </c>
      <c r="L282" s="28" t="s">
        <v>871</v>
      </c>
      <c r="M282" s="28" t="s">
        <v>323</v>
      </c>
      <c r="N282" s="28" t="s">
        <v>330</v>
      </c>
      <c r="O282" s="29" t="s">
        <v>2</v>
      </c>
      <c r="P282" s="28">
        <v>4</v>
      </c>
      <c r="Q282" s="28" t="s">
        <v>1371</v>
      </c>
      <c r="R282" s="28" t="s">
        <v>1264</v>
      </c>
      <c r="S282" s="34" t="str">
        <f>IFERROR(HYPERLINK("#Main!A"&amp;MATCH(A282,Main!A:A,0),"Open"),HYPERLINK("#Main!A1","Open"))</f>
        <v>Open</v>
      </c>
      <c r="T282" s="34" t="str">
        <f>IFERROR(HYPERLINK("#Technical!A"&amp;MATCH(A282,Technical!A:A,0),"Open"),HYPERLINK("#Technical!A1","Open"))</f>
        <v>Open</v>
      </c>
      <c r="U282" s="34"/>
    </row>
    <row r="283" spans="1:21" ht="30" customHeight="1" x14ac:dyDescent="0.25">
      <c r="A283" s="30" t="s">
        <v>641</v>
      </c>
      <c r="B283" s="37">
        <v>3</v>
      </c>
      <c r="C283" s="55" t="s">
        <v>1122</v>
      </c>
      <c r="D283" s="37" t="s">
        <v>1253</v>
      </c>
      <c r="E283" s="32" t="s">
        <v>72</v>
      </c>
      <c r="F283" s="37" t="s">
        <v>1254</v>
      </c>
      <c r="G283" s="42">
        <v>67</v>
      </c>
      <c r="H283" s="37">
        <v>75</v>
      </c>
      <c r="I283" s="37" t="s">
        <v>1255</v>
      </c>
      <c r="J283" s="37" t="s">
        <v>1256</v>
      </c>
      <c r="K283" s="57" t="s">
        <v>40</v>
      </c>
      <c r="L283" s="37" t="s">
        <v>1257</v>
      </c>
      <c r="M283" s="37" t="s">
        <v>323</v>
      </c>
      <c r="N283" s="37" t="s">
        <v>330</v>
      </c>
      <c r="O283" s="29" t="s">
        <v>2</v>
      </c>
      <c r="P283" s="37">
        <v>4</v>
      </c>
      <c r="Q283" s="37" t="s">
        <v>1372</v>
      </c>
      <c r="R283" s="37" t="s">
        <v>1259</v>
      </c>
      <c r="S283" t="str">
        <f>IFERROR(HYPERLINK("#Main!A"&amp;MATCH(A283,Main!A:A,0),"Open"),HYPERLINK("#Main!A1","Open"))</f>
        <v>Open</v>
      </c>
      <c r="T283" t="str">
        <f>IFERROR(HYPERLINK("#Technical!A"&amp;MATCH(A283,Technical!A:A,0),"Open"),HYPERLINK("#Technical!A1","Open"))</f>
        <v>Open</v>
      </c>
    </row>
    <row r="284" spans="1:21" ht="30" customHeight="1" x14ac:dyDescent="0.25">
      <c r="A284" s="33" t="s">
        <v>644</v>
      </c>
      <c r="B284" s="28">
        <v>9047</v>
      </c>
      <c r="C284" s="55" t="s">
        <v>1124</v>
      </c>
      <c r="D284" s="28" t="s">
        <v>1253</v>
      </c>
      <c r="E284" s="32" t="s">
        <v>72</v>
      </c>
      <c r="F284" s="28" t="s">
        <v>1254</v>
      </c>
      <c r="G284" s="39">
        <v>67</v>
      </c>
      <c r="H284" s="28">
        <v>51.28</v>
      </c>
      <c r="I284" s="28" t="s">
        <v>1255</v>
      </c>
      <c r="J284" s="28" t="s">
        <v>1256</v>
      </c>
      <c r="K284" s="56" t="s">
        <v>40</v>
      </c>
      <c r="L284" s="28" t="s">
        <v>1257</v>
      </c>
      <c r="M284" s="28" t="s">
        <v>323</v>
      </c>
      <c r="N284" s="28" t="s">
        <v>330</v>
      </c>
      <c r="O284" s="29" t="s">
        <v>2</v>
      </c>
      <c r="P284" s="28">
        <v>4</v>
      </c>
      <c r="Q284" s="28" t="s">
        <v>1373</v>
      </c>
      <c r="R284" s="28" t="s">
        <v>1259</v>
      </c>
      <c r="S284" s="34" t="str">
        <f>IFERROR(HYPERLINK("#Main!A"&amp;MATCH(A284,Main!A:A,0),"Open"),HYPERLINK("#Main!A1","Open"))</f>
        <v>Open</v>
      </c>
      <c r="T284" s="34" t="str">
        <f>IFERROR(HYPERLINK("#Technical!A"&amp;MATCH(A284,Technical!A:A,0),"Open"),HYPERLINK("#Technical!A1","Open"))</f>
        <v>Open</v>
      </c>
      <c r="U284" s="34"/>
    </row>
    <row r="285" spans="1:21" ht="30" customHeight="1" x14ac:dyDescent="0.25">
      <c r="A285" s="30" t="s">
        <v>644</v>
      </c>
      <c r="B285" s="37">
        <v>9047</v>
      </c>
      <c r="C285" s="55" t="s">
        <v>1124</v>
      </c>
      <c r="D285" s="37" t="s">
        <v>1253</v>
      </c>
      <c r="E285" s="32" t="s">
        <v>72</v>
      </c>
      <c r="F285" s="37" t="s">
        <v>1269</v>
      </c>
      <c r="G285" s="42">
        <v>67</v>
      </c>
      <c r="H285" s="37">
        <v>0</v>
      </c>
      <c r="I285" s="37" t="s">
        <v>1270</v>
      </c>
      <c r="J285" s="37" t="s">
        <v>1271</v>
      </c>
      <c r="K285" s="57" t="s">
        <v>18</v>
      </c>
      <c r="L285" s="37" t="s">
        <v>875</v>
      </c>
      <c r="M285" s="37" t="s">
        <v>323</v>
      </c>
      <c r="N285" s="37" t="s">
        <v>330</v>
      </c>
      <c r="O285" s="29" t="s">
        <v>2</v>
      </c>
      <c r="P285" s="37">
        <v>4</v>
      </c>
      <c r="Q285" s="37" t="s">
        <v>1374</v>
      </c>
      <c r="R285" s="37" t="s">
        <v>1273</v>
      </c>
      <c r="S285" t="str">
        <f>IFERROR(HYPERLINK("#Main!A"&amp;MATCH(A285,Main!A:A,0),"Open"),HYPERLINK("#Main!A1","Open"))</f>
        <v>Open</v>
      </c>
      <c r="T285" t="str">
        <f>IFERROR(HYPERLINK("#Technical!A"&amp;MATCH(A285,Technical!A:A,0),"Open"),HYPERLINK("#Technical!A1","Open"))</f>
        <v>Open</v>
      </c>
    </row>
    <row r="286" spans="1:21" ht="30" customHeight="1" x14ac:dyDescent="0.25">
      <c r="A286" s="33" t="s">
        <v>644</v>
      </c>
      <c r="B286" s="28">
        <v>9047</v>
      </c>
      <c r="C286" s="55" t="s">
        <v>1124</v>
      </c>
      <c r="D286" s="28" t="s">
        <v>1253</v>
      </c>
      <c r="E286" s="32" t="s">
        <v>72</v>
      </c>
      <c r="F286" s="28" t="s">
        <v>1260</v>
      </c>
      <c r="G286" s="39">
        <v>67</v>
      </c>
      <c r="H286" s="28">
        <v>131</v>
      </c>
      <c r="I286" s="28" t="s">
        <v>1261</v>
      </c>
      <c r="J286" s="28" t="s">
        <v>1262</v>
      </c>
      <c r="K286" s="56" t="s">
        <v>18</v>
      </c>
      <c r="L286" s="28" t="s">
        <v>871</v>
      </c>
      <c r="M286" s="28" t="s">
        <v>323</v>
      </c>
      <c r="N286" s="28" t="s">
        <v>330</v>
      </c>
      <c r="O286" s="29" t="s">
        <v>2</v>
      </c>
      <c r="P286" s="28">
        <v>4</v>
      </c>
      <c r="Q286" s="28" t="s">
        <v>1375</v>
      </c>
      <c r="R286" s="28" t="s">
        <v>1264</v>
      </c>
      <c r="S286" s="34" t="str">
        <f>IFERROR(HYPERLINK("#Main!A"&amp;MATCH(A286,Main!A:A,0),"Open"),HYPERLINK("#Main!A1","Open"))</f>
        <v>Open</v>
      </c>
      <c r="T286" s="34" t="str">
        <f>IFERROR(HYPERLINK("#Technical!A"&amp;MATCH(A286,Technical!A:A,0),"Open"),HYPERLINK("#Technical!A1","Open"))</f>
        <v>Open</v>
      </c>
      <c r="U286" s="34"/>
    </row>
    <row r="287" spans="1:21" ht="30" customHeight="1" x14ac:dyDescent="0.25">
      <c r="A287" s="30" t="s">
        <v>647</v>
      </c>
      <c r="B287" s="37">
        <v>3686</v>
      </c>
      <c r="C287" s="55" t="s">
        <v>1126</v>
      </c>
      <c r="D287" s="37" t="s">
        <v>1253</v>
      </c>
      <c r="E287" s="32" t="s">
        <v>72</v>
      </c>
      <c r="F287" s="37" t="s">
        <v>1254</v>
      </c>
      <c r="G287" s="42">
        <v>67</v>
      </c>
      <c r="H287" s="37">
        <v>75</v>
      </c>
      <c r="I287" s="37" t="s">
        <v>1255</v>
      </c>
      <c r="J287" s="37" t="s">
        <v>1256</v>
      </c>
      <c r="K287" s="57" t="s">
        <v>40</v>
      </c>
      <c r="L287" s="37" t="s">
        <v>1257</v>
      </c>
      <c r="M287" s="37" t="s">
        <v>323</v>
      </c>
      <c r="N287" s="37" t="s">
        <v>330</v>
      </c>
      <c r="O287" s="29" t="s">
        <v>2</v>
      </c>
      <c r="P287" s="37">
        <v>4</v>
      </c>
      <c r="Q287" s="37" t="s">
        <v>1376</v>
      </c>
      <c r="R287" s="37" t="s">
        <v>1259</v>
      </c>
      <c r="S287" t="str">
        <f>IFERROR(HYPERLINK("#Main!A"&amp;MATCH(A287,Main!A:A,0),"Open"),HYPERLINK("#Main!A1","Open"))</f>
        <v>Open</v>
      </c>
      <c r="T287" t="str">
        <f>IFERROR(HYPERLINK("#Technical!A"&amp;MATCH(A287,Technical!A:A,0),"Open"),HYPERLINK("#Technical!A1","Open"))</f>
        <v>Open</v>
      </c>
    </row>
    <row r="288" spans="1:21" ht="30" customHeight="1" x14ac:dyDescent="0.25">
      <c r="A288" s="33" t="s">
        <v>647</v>
      </c>
      <c r="B288" s="28">
        <v>3686</v>
      </c>
      <c r="C288" s="55" t="s">
        <v>1126</v>
      </c>
      <c r="D288" s="28" t="s">
        <v>1253</v>
      </c>
      <c r="E288" s="32" t="s">
        <v>72</v>
      </c>
      <c r="F288" s="28" t="s">
        <v>1260</v>
      </c>
      <c r="G288" s="39">
        <v>67</v>
      </c>
      <c r="H288" s="28">
        <v>168</v>
      </c>
      <c r="I288" s="28" t="s">
        <v>1261</v>
      </c>
      <c r="J288" s="28" t="s">
        <v>1262</v>
      </c>
      <c r="K288" s="56" t="s">
        <v>18</v>
      </c>
      <c r="L288" s="28" t="s">
        <v>871</v>
      </c>
      <c r="M288" s="28" t="s">
        <v>323</v>
      </c>
      <c r="N288" s="28" t="s">
        <v>330</v>
      </c>
      <c r="O288" s="29" t="s">
        <v>2</v>
      </c>
      <c r="P288" s="28">
        <v>4</v>
      </c>
      <c r="Q288" s="28" t="s">
        <v>1377</v>
      </c>
      <c r="R288" s="28" t="s">
        <v>1264</v>
      </c>
      <c r="S288" s="34" t="str">
        <f>IFERROR(HYPERLINK("#Main!A"&amp;MATCH(A288,Main!A:A,0),"Open"),HYPERLINK("#Main!A1","Open"))</f>
        <v>Open</v>
      </c>
      <c r="T288" s="34" t="str">
        <f>IFERROR(HYPERLINK("#Technical!A"&amp;MATCH(A288,Technical!A:A,0),"Open"),HYPERLINK("#Technical!A1","Open"))</f>
        <v>Open</v>
      </c>
      <c r="U288" s="34"/>
    </row>
    <row r="289" spans="1:21" ht="30" customHeight="1" x14ac:dyDescent="0.25">
      <c r="A289" s="30" t="s">
        <v>650</v>
      </c>
      <c r="B289" s="37">
        <v>3252</v>
      </c>
      <c r="C289" s="55" t="s">
        <v>1128</v>
      </c>
      <c r="D289" s="37" t="s">
        <v>1253</v>
      </c>
      <c r="E289" s="32" t="s">
        <v>72</v>
      </c>
      <c r="F289" s="37" t="s">
        <v>1254</v>
      </c>
      <c r="G289" s="42">
        <v>67</v>
      </c>
      <c r="H289" s="37">
        <v>75.760000000000005</v>
      </c>
      <c r="I289" s="37" t="s">
        <v>1255</v>
      </c>
      <c r="J289" s="37" t="s">
        <v>1256</v>
      </c>
      <c r="K289" s="57" t="s">
        <v>40</v>
      </c>
      <c r="L289" s="37" t="s">
        <v>1257</v>
      </c>
      <c r="M289" s="37" t="s">
        <v>323</v>
      </c>
      <c r="N289" s="37" t="s">
        <v>330</v>
      </c>
      <c r="O289" s="29" t="s">
        <v>2</v>
      </c>
      <c r="P289" s="37">
        <v>4</v>
      </c>
      <c r="Q289" s="37" t="s">
        <v>1378</v>
      </c>
      <c r="R289" s="37" t="s">
        <v>1259</v>
      </c>
      <c r="S289" t="str">
        <f>IFERROR(HYPERLINK("#Main!A"&amp;MATCH(A289,Main!A:A,0),"Open"),HYPERLINK("#Main!A1","Open"))</f>
        <v>Open</v>
      </c>
      <c r="T289" t="str">
        <f>IFERROR(HYPERLINK("#Technical!A"&amp;MATCH(A289,Technical!A:A,0),"Open"),HYPERLINK("#Technical!A1","Open"))</f>
        <v>Open</v>
      </c>
    </row>
    <row r="290" spans="1:21" ht="30" customHeight="1" x14ac:dyDescent="0.25">
      <c r="A290" s="33" t="s">
        <v>650</v>
      </c>
      <c r="B290" s="28">
        <v>3252</v>
      </c>
      <c r="C290" s="55" t="s">
        <v>1128</v>
      </c>
      <c r="D290" s="28" t="s">
        <v>1253</v>
      </c>
      <c r="E290" s="32" t="s">
        <v>72</v>
      </c>
      <c r="F290" s="28" t="s">
        <v>1269</v>
      </c>
      <c r="G290" s="39">
        <v>67</v>
      </c>
      <c r="H290" s="28">
        <v>0</v>
      </c>
      <c r="I290" s="28" t="s">
        <v>1270</v>
      </c>
      <c r="J290" s="28" t="s">
        <v>1271</v>
      </c>
      <c r="K290" s="56" t="s">
        <v>18</v>
      </c>
      <c r="L290" s="28" t="s">
        <v>875</v>
      </c>
      <c r="M290" s="28" t="s">
        <v>323</v>
      </c>
      <c r="N290" s="28" t="s">
        <v>330</v>
      </c>
      <c r="O290" s="29" t="s">
        <v>2</v>
      </c>
      <c r="P290" s="28">
        <v>4</v>
      </c>
      <c r="Q290" s="28" t="s">
        <v>1379</v>
      </c>
      <c r="R290" s="28" t="s">
        <v>1273</v>
      </c>
      <c r="S290" s="34" t="str">
        <f>IFERROR(HYPERLINK("#Main!A"&amp;MATCH(A290,Main!A:A,0),"Open"),HYPERLINK("#Main!A1","Open"))</f>
        <v>Open</v>
      </c>
      <c r="T290" s="34" t="str">
        <f>IFERROR(HYPERLINK("#Technical!A"&amp;MATCH(A290,Technical!A:A,0),"Open"),HYPERLINK("#Technical!A1","Open"))</f>
        <v>Open</v>
      </c>
      <c r="U290" s="34"/>
    </row>
    <row r="291" spans="1:21" ht="30" customHeight="1" x14ac:dyDescent="0.25">
      <c r="A291" s="30" t="s">
        <v>650</v>
      </c>
      <c r="B291" s="37">
        <v>3252</v>
      </c>
      <c r="C291" s="55" t="s">
        <v>1128</v>
      </c>
      <c r="D291" s="37" t="s">
        <v>1253</v>
      </c>
      <c r="E291" s="32" t="s">
        <v>72</v>
      </c>
      <c r="F291" s="37" t="s">
        <v>1260</v>
      </c>
      <c r="G291" s="42">
        <v>67</v>
      </c>
      <c r="H291" s="37">
        <v>191</v>
      </c>
      <c r="I291" s="37" t="s">
        <v>1261</v>
      </c>
      <c r="J291" s="37" t="s">
        <v>1262</v>
      </c>
      <c r="K291" s="57" t="s">
        <v>18</v>
      </c>
      <c r="L291" s="37" t="s">
        <v>871</v>
      </c>
      <c r="M291" s="37" t="s">
        <v>323</v>
      </c>
      <c r="N291" s="37" t="s">
        <v>330</v>
      </c>
      <c r="O291" s="29" t="s">
        <v>2</v>
      </c>
      <c r="P291" s="37">
        <v>4</v>
      </c>
      <c r="Q291" s="37" t="s">
        <v>1380</v>
      </c>
      <c r="R291" s="37" t="s">
        <v>1264</v>
      </c>
      <c r="S291" t="str">
        <f>IFERROR(HYPERLINK("#Main!A"&amp;MATCH(A291,Main!A:A,0),"Open"),HYPERLINK("#Main!A1","Open"))</f>
        <v>Open</v>
      </c>
      <c r="T291" t="str">
        <f>IFERROR(HYPERLINK("#Technical!A"&amp;MATCH(A291,Technical!A:A,0),"Open"),HYPERLINK("#Technical!A1","Open"))</f>
        <v>Open</v>
      </c>
    </row>
    <row r="292" spans="1:21" ht="30" customHeight="1" x14ac:dyDescent="0.25">
      <c r="A292" s="33" t="s">
        <v>652</v>
      </c>
      <c r="B292" s="28">
        <v>21962</v>
      </c>
      <c r="C292" s="55" t="s">
        <v>1130</v>
      </c>
      <c r="D292" s="28" t="s">
        <v>1253</v>
      </c>
      <c r="E292" s="32" t="s">
        <v>72</v>
      </c>
      <c r="F292" s="28" t="s">
        <v>1254</v>
      </c>
      <c r="G292" s="39">
        <v>67</v>
      </c>
      <c r="H292" s="28">
        <v>24.59</v>
      </c>
      <c r="I292" s="28" t="s">
        <v>1255</v>
      </c>
      <c r="J292" s="28" t="s">
        <v>1256</v>
      </c>
      <c r="K292" s="56" t="s">
        <v>40</v>
      </c>
      <c r="L292" s="28" t="s">
        <v>1257</v>
      </c>
      <c r="M292" s="28" t="s">
        <v>323</v>
      </c>
      <c r="N292" s="28" t="s">
        <v>330</v>
      </c>
      <c r="O292" s="29" t="s">
        <v>2</v>
      </c>
      <c r="P292" s="28">
        <v>4</v>
      </c>
      <c r="Q292" s="28" t="s">
        <v>1381</v>
      </c>
      <c r="R292" s="28" t="s">
        <v>1259</v>
      </c>
      <c r="S292" s="34" t="str">
        <f>IFERROR(HYPERLINK("#Main!A"&amp;MATCH(A292,Main!A:A,0),"Open"),HYPERLINK("#Main!A1","Open"))</f>
        <v>Open</v>
      </c>
      <c r="T292" s="34" t="str">
        <f>IFERROR(HYPERLINK("#Technical!A"&amp;MATCH(A292,Technical!A:A,0),"Open"),HYPERLINK("#Technical!A1","Open"))</f>
        <v>Open</v>
      </c>
      <c r="U292" s="34"/>
    </row>
    <row r="293" spans="1:21" ht="30" customHeight="1" x14ac:dyDescent="0.25">
      <c r="A293" s="30" t="s">
        <v>655</v>
      </c>
      <c r="B293" s="37">
        <v>3634</v>
      </c>
      <c r="C293" s="55" t="s">
        <v>1132</v>
      </c>
      <c r="D293" s="37" t="s">
        <v>1253</v>
      </c>
      <c r="E293" s="32" t="s">
        <v>72</v>
      </c>
      <c r="F293" s="37" t="s">
        <v>1254</v>
      </c>
      <c r="G293" s="42">
        <v>67</v>
      </c>
      <c r="H293" s="37">
        <v>71.430000000000007</v>
      </c>
      <c r="I293" s="37" t="s">
        <v>1255</v>
      </c>
      <c r="J293" s="37" t="s">
        <v>1256</v>
      </c>
      <c r="K293" s="57" t="s">
        <v>40</v>
      </c>
      <c r="L293" s="37" t="s">
        <v>1257</v>
      </c>
      <c r="M293" s="37" t="s">
        <v>323</v>
      </c>
      <c r="N293" s="37" t="s">
        <v>330</v>
      </c>
      <c r="O293" s="29" t="s">
        <v>2</v>
      </c>
      <c r="P293" s="37">
        <v>4</v>
      </c>
      <c r="Q293" s="37" t="s">
        <v>1382</v>
      </c>
      <c r="R293" s="37" t="s">
        <v>1259</v>
      </c>
      <c r="S293" t="str">
        <f>IFERROR(HYPERLINK("#Main!A"&amp;MATCH(A293,Main!A:A,0),"Open"),HYPERLINK("#Main!A1","Open"))</f>
        <v>Open</v>
      </c>
      <c r="T293" t="str">
        <f>IFERROR(HYPERLINK("#Technical!A"&amp;MATCH(A293,Technical!A:A,0),"Open"),HYPERLINK("#Technical!A1","Open"))</f>
        <v>Open</v>
      </c>
    </row>
    <row r="294" spans="1:21" ht="30" customHeight="1" x14ac:dyDescent="0.25">
      <c r="A294" s="33" t="s">
        <v>658</v>
      </c>
      <c r="B294" s="28">
        <v>7781</v>
      </c>
      <c r="C294" s="55" t="s">
        <v>1134</v>
      </c>
      <c r="D294" s="28" t="s">
        <v>1253</v>
      </c>
      <c r="E294" s="32" t="s">
        <v>72</v>
      </c>
      <c r="F294" s="28" t="s">
        <v>1254</v>
      </c>
      <c r="G294" s="39">
        <v>67</v>
      </c>
      <c r="H294" s="28">
        <v>75</v>
      </c>
      <c r="I294" s="28" t="s">
        <v>1255</v>
      </c>
      <c r="J294" s="28" t="s">
        <v>1256</v>
      </c>
      <c r="K294" s="56" t="s">
        <v>40</v>
      </c>
      <c r="L294" s="28" t="s">
        <v>1257</v>
      </c>
      <c r="M294" s="28" t="s">
        <v>323</v>
      </c>
      <c r="N294" s="28" t="s">
        <v>330</v>
      </c>
      <c r="O294" s="29" t="s">
        <v>2</v>
      </c>
      <c r="P294" s="28">
        <v>4</v>
      </c>
      <c r="Q294" s="28" t="s">
        <v>1383</v>
      </c>
      <c r="R294" s="28" t="s">
        <v>1259</v>
      </c>
      <c r="S294" s="34" t="str">
        <f>IFERROR(HYPERLINK("#Main!A"&amp;MATCH(A294,Main!A:A,0),"Open"),HYPERLINK("#Main!A1","Open"))</f>
        <v>Open</v>
      </c>
      <c r="T294" s="34" t="str">
        <f>IFERROR(HYPERLINK("#Technical!A"&amp;MATCH(A294,Technical!A:A,0),"Open"),HYPERLINK("#Technical!A1","Open"))</f>
        <v>Open</v>
      </c>
      <c r="U294" s="34"/>
    </row>
    <row r="295" spans="1:21" ht="30" customHeight="1" x14ac:dyDescent="0.25">
      <c r="A295" s="30" t="s">
        <v>658</v>
      </c>
      <c r="B295" s="37">
        <v>7781</v>
      </c>
      <c r="C295" s="55" t="s">
        <v>1134</v>
      </c>
      <c r="D295" s="37" t="s">
        <v>1253</v>
      </c>
      <c r="E295" s="32" t="s">
        <v>72</v>
      </c>
      <c r="F295" s="37" t="s">
        <v>1269</v>
      </c>
      <c r="G295" s="42">
        <v>67</v>
      </c>
      <c r="H295" s="37">
        <v>0</v>
      </c>
      <c r="I295" s="37" t="s">
        <v>1270</v>
      </c>
      <c r="J295" s="37" t="s">
        <v>1271</v>
      </c>
      <c r="K295" s="57" t="s">
        <v>18</v>
      </c>
      <c r="L295" s="37" t="s">
        <v>875</v>
      </c>
      <c r="M295" s="37" t="s">
        <v>323</v>
      </c>
      <c r="N295" s="37" t="s">
        <v>330</v>
      </c>
      <c r="O295" s="29" t="s">
        <v>2</v>
      </c>
      <c r="P295" s="37">
        <v>4</v>
      </c>
      <c r="Q295" s="37" t="s">
        <v>1384</v>
      </c>
      <c r="R295" s="37" t="s">
        <v>1273</v>
      </c>
      <c r="S295" t="str">
        <f>IFERROR(HYPERLINK("#Main!A"&amp;MATCH(A295,Main!A:A,0),"Open"),HYPERLINK("#Main!A1","Open"))</f>
        <v>Open</v>
      </c>
      <c r="T295" t="str">
        <f>IFERROR(HYPERLINK("#Technical!A"&amp;MATCH(A295,Technical!A:A,0),"Open"),HYPERLINK("#Technical!A1","Open"))</f>
        <v>Open</v>
      </c>
    </row>
    <row r="296" spans="1:21" ht="30" customHeight="1" x14ac:dyDescent="0.25">
      <c r="A296" s="33" t="s">
        <v>661</v>
      </c>
      <c r="B296" s="28">
        <v>5490</v>
      </c>
      <c r="C296" s="55" t="s">
        <v>1136</v>
      </c>
      <c r="D296" s="28" t="s">
        <v>1253</v>
      </c>
      <c r="E296" s="32" t="s">
        <v>72</v>
      </c>
      <c r="F296" s="28" t="s">
        <v>1269</v>
      </c>
      <c r="G296" s="39">
        <v>67</v>
      </c>
      <c r="H296" s="28">
        <v>0</v>
      </c>
      <c r="I296" s="28" t="s">
        <v>1270</v>
      </c>
      <c r="J296" s="28" t="s">
        <v>1271</v>
      </c>
      <c r="K296" s="56" t="s">
        <v>18</v>
      </c>
      <c r="L296" s="28" t="s">
        <v>875</v>
      </c>
      <c r="M296" s="28" t="s">
        <v>323</v>
      </c>
      <c r="N296" s="28" t="s">
        <v>330</v>
      </c>
      <c r="O296" s="29" t="s">
        <v>2</v>
      </c>
      <c r="P296" s="28">
        <v>4</v>
      </c>
      <c r="Q296" s="28" t="s">
        <v>1385</v>
      </c>
      <c r="R296" s="28" t="s">
        <v>1273</v>
      </c>
      <c r="S296" s="34" t="str">
        <f>IFERROR(HYPERLINK("#Main!A"&amp;MATCH(A296,Main!A:A,0),"Open"),HYPERLINK("#Main!A1","Open"))</f>
        <v>Open</v>
      </c>
      <c r="T296" s="34" t="str">
        <f>IFERROR(HYPERLINK("#Technical!A"&amp;MATCH(A296,Technical!A:A,0),"Open"),HYPERLINK("#Technical!A1","Open"))</f>
        <v>Open</v>
      </c>
      <c r="U296" s="34"/>
    </row>
    <row r="297" spans="1:21" ht="30" customHeight="1" x14ac:dyDescent="0.25">
      <c r="A297" s="30" t="s">
        <v>661</v>
      </c>
      <c r="B297" s="37">
        <v>5490</v>
      </c>
      <c r="C297" s="55" t="s">
        <v>1136</v>
      </c>
      <c r="D297" s="37" t="s">
        <v>1253</v>
      </c>
      <c r="E297" s="32" t="s">
        <v>72</v>
      </c>
      <c r="F297" s="37" t="s">
        <v>1260</v>
      </c>
      <c r="G297" s="42">
        <v>67</v>
      </c>
      <c r="H297" s="37">
        <v>193</v>
      </c>
      <c r="I297" s="37" t="s">
        <v>1261</v>
      </c>
      <c r="J297" s="37" t="s">
        <v>1262</v>
      </c>
      <c r="K297" s="57" t="s">
        <v>18</v>
      </c>
      <c r="L297" s="37" t="s">
        <v>871</v>
      </c>
      <c r="M297" s="37" t="s">
        <v>323</v>
      </c>
      <c r="N297" s="37" t="s">
        <v>330</v>
      </c>
      <c r="O297" s="29" t="s">
        <v>2</v>
      </c>
      <c r="P297" s="37">
        <v>4</v>
      </c>
      <c r="Q297" s="37" t="s">
        <v>1386</v>
      </c>
      <c r="R297" s="37" t="s">
        <v>1264</v>
      </c>
      <c r="S297" t="str">
        <f>IFERROR(HYPERLINK("#Main!A"&amp;MATCH(A297,Main!A:A,0),"Open"),HYPERLINK("#Main!A1","Open"))</f>
        <v>Open</v>
      </c>
      <c r="T297" t="str">
        <f>IFERROR(HYPERLINK("#Technical!A"&amp;MATCH(A297,Technical!A:A,0),"Open"),HYPERLINK("#Technical!A1","Open"))</f>
        <v>Open</v>
      </c>
    </row>
    <row r="298" spans="1:21" ht="30" customHeight="1" x14ac:dyDescent="0.25">
      <c r="A298" s="33" t="s">
        <v>664</v>
      </c>
      <c r="B298" s="28">
        <v>27352</v>
      </c>
      <c r="C298" s="55" t="s">
        <v>1138</v>
      </c>
      <c r="D298" s="28" t="s">
        <v>1253</v>
      </c>
      <c r="E298" s="32" t="s">
        <v>72</v>
      </c>
      <c r="F298" s="28" t="s">
        <v>1254</v>
      </c>
      <c r="G298" s="39">
        <v>67</v>
      </c>
      <c r="H298" s="28">
        <v>62.5</v>
      </c>
      <c r="I298" s="28" t="s">
        <v>1255</v>
      </c>
      <c r="J298" s="28" t="s">
        <v>1256</v>
      </c>
      <c r="K298" s="56" t="s">
        <v>40</v>
      </c>
      <c r="L298" s="28" t="s">
        <v>1257</v>
      </c>
      <c r="M298" s="28" t="s">
        <v>323</v>
      </c>
      <c r="N298" s="28" t="s">
        <v>330</v>
      </c>
      <c r="O298" s="29" t="s">
        <v>2</v>
      </c>
      <c r="P298" s="28">
        <v>4</v>
      </c>
      <c r="Q298" s="28" t="s">
        <v>1387</v>
      </c>
      <c r="R298" s="28" t="s">
        <v>1259</v>
      </c>
      <c r="S298" s="34" t="str">
        <f>IFERROR(HYPERLINK("#Main!A"&amp;MATCH(A298,Main!A:A,0),"Open"),HYPERLINK("#Main!A1","Open"))</f>
        <v>Open</v>
      </c>
      <c r="T298" s="34" t="str">
        <f>IFERROR(HYPERLINK("#Technical!A"&amp;MATCH(A298,Technical!A:A,0),"Open"),HYPERLINK("#Technical!A1","Open"))</f>
        <v>Open</v>
      </c>
      <c r="U298" s="34"/>
    </row>
    <row r="299" spans="1:21" ht="30" customHeight="1" x14ac:dyDescent="0.25">
      <c r="A299" s="30" t="s">
        <v>664</v>
      </c>
      <c r="B299" s="37">
        <v>27352</v>
      </c>
      <c r="C299" s="55" t="s">
        <v>1138</v>
      </c>
      <c r="D299" s="37" t="s">
        <v>1253</v>
      </c>
      <c r="E299" s="32" t="s">
        <v>72</v>
      </c>
      <c r="F299" s="37" t="s">
        <v>1269</v>
      </c>
      <c r="G299" s="42">
        <v>67</v>
      </c>
      <c r="H299" s="37">
        <v>0</v>
      </c>
      <c r="I299" s="37" t="s">
        <v>1270</v>
      </c>
      <c r="J299" s="37" t="s">
        <v>1271</v>
      </c>
      <c r="K299" s="57" t="s">
        <v>18</v>
      </c>
      <c r="L299" s="37" t="s">
        <v>875</v>
      </c>
      <c r="M299" s="37" t="s">
        <v>323</v>
      </c>
      <c r="N299" s="37" t="s">
        <v>330</v>
      </c>
      <c r="O299" s="29" t="s">
        <v>2</v>
      </c>
      <c r="P299" s="37">
        <v>4</v>
      </c>
      <c r="Q299" s="37" t="s">
        <v>1388</v>
      </c>
      <c r="R299" s="37" t="s">
        <v>1273</v>
      </c>
      <c r="S299" t="str">
        <f>IFERROR(HYPERLINK("#Main!A"&amp;MATCH(A299,Main!A:A,0),"Open"),HYPERLINK("#Main!A1","Open"))</f>
        <v>Open</v>
      </c>
      <c r="T299" t="str">
        <f>IFERROR(HYPERLINK("#Technical!A"&amp;MATCH(A299,Technical!A:A,0),"Open"),HYPERLINK("#Technical!A1","Open"))</f>
        <v>Open</v>
      </c>
    </row>
    <row r="300" spans="1:21" ht="30" customHeight="1" x14ac:dyDescent="0.25">
      <c r="A300" s="33" t="s">
        <v>664</v>
      </c>
      <c r="B300" s="28">
        <v>27352</v>
      </c>
      <c r="C300" s="55" t="s">
        <v>1138</v>
      </c>
      <c r="D300" s="28" t="s">
        <v>1253</v>
      </c>
      <c r="E300" s="32" t="s">
        <v>72</v>
      </c>
      <c r="F300" s="28" t="s">
        <v>1260</v>
      </c>
      <c r="G300" s="39">
        <v>67</v>
      </c>
      <c r="H300" s="28">
        <v>166</v>
      </c>
      <c r="I300" s="28" t="s">
        <v>1261</v>
      </c>
      <c r="J300" s="28" t="s">
        <v>1262</v>
      </c>
      <c r="K300" s="56" t="s">
        <v>18</v>
      </c>
      <c r="L300" s="28" t="s">
        <v>871</v>
      </c>
      <c r="M300" s="28" t="s">
        <v>323</v>
      </c>
      <c r="N300" s="28" t="s">
        <v>330</v>
      </c>
      <c r="O300" s="29" t="s">
        <v>2</v>
      </c>
      <c r="P300" s="28">
        <v>4</v>
      </c>
      <c r="Q300" s="28" t="s">
        <v>1389</v>
      </c>
      <c r="R300" s="28" t="s">
        <v>1264</v>
      </c>
      <c r="S300" s="34" t="str">
        <f>IFERROR(HYPERLINK("#Main!A"&amp;MATCH(A300,Main!A:A,0),"Open"),HYPERLINK("#Main!A1","Open"))</f>
        <v>Open</v>
      </c>
      <c r="T300" s="34" t="str">
        <f>IFERROR(HYPERLINK("#Technical!A"&amp;MATCH(A300,Technical!A:A,0),"Open"),HYPERLINK("#Technical!A1","Open"))</f>
        <v>Open</v>
      </c>
      <c r="U300" s="34"/>
    </row>
    <row r="301" spans="1:21" ht="30" customHeight="1" x14ac:dyDescent="0.25">
      <c r="A301" s="30" t="s">
        <v>667</v>
      </c>
      <c r="B301" s="37">
        <v>17195</v>
      </c>
      <c r="C301" s="55" t="s">
        <v>1140</v>
      </c>
      <c r="D301" s="37" t="s">
        <v>1253</v>
      </c>
      <c r="E301" s="32" t="s">
        <v>72</v>
      </c>
      <c r="F301" s="37" t="s">
        <v>1269</v>
      </c>
      <c r="G301" s="42">
        <v>67</v>
      </c>
      <c r="H301" s="37">
        <v>0</v>
      </c>
      <c r="I301" s="37" t="s">
        <v>1270</v>
      </c>
      <c r="J301" s="37" t="s">
        <v>1271</v>
      </c>
      <c r="K301" s="57" t="s">
        <v>18</v>
      </c>
      <c r="L301" s="37" t="s">
        <v>875</v>
      </c>
      <c r="M301" s="37" t="s">
        <v>323</v>
      </c>
      <c r="N301" s="37" t="s">
        <v>330</v>
      </c>
      <c r="O301" s="29" t="s">
        <v>2</v>
      </c>
      <c r="P301" s="37">
        <v>4</v>
      </c>
      <c r="Q301" s="37" t="s">
        <v>1390</v>
      </c>
      <c r="R301" s="37" t="s">
        <v>1273</v>
      </c>
      <c r="S301" t="str">
        <f>IFERROR(HYPERLINK("#Main!A"&amp;MATCH(A301,Main!A:A,0),"Open"),HYPERLINK("#Main!A1","Open"))</f>
        <v>Open</v>
      </c>
      <c r="T301" t="str">
        <f>IFERROR(HYPERLINK("#Technical!A"&amp;MATCH(A301,Technical!A:A,0),"Open"),HYPERLINK("#Technical!A1","Open"))</f>
        <v>Open</v>
      </c>
    </row>
    <row r="302" spans="1:21" ht="30" customHeight="1" x14ac:dyDescent="0.25">
      <c r="A302" s="33" t="s">
        <v>667</v>
      </c>
      <c r="B302" s="28">
        <v>17195</v>
      </c>
      <c r="C302" s="55" t="s">
        <v>1140</v>
      </c>
      <c r="D302" s="28" t="s">
        <v>1253</v>
      </c>
      <c r="E302" s="32" t="s">
        <v>72</v>
      </c>
      <c r="F302" s="28" t="s">
        <v>1260</v>
      </c>
      <c r="G302" s="39">
        <v>67</v>
      </c>
      <c r="H302" s="28">
        <v>74</v>
      </c>
      <c r="I302" s="28" t="s">
        <v>1261</v>
      </c>
      <c r="J302" s="28" t="s">
        <v>1262</v>
      </c>
      <c r="K302" s="56" t="s">
        <v>18</v>
      </c>
      <c r="L302" s="28" t="s">
        <v>871</v>
      </c>
      <c r="M302" s="28" t="s">
        <v>323</v>
      </c>
      <c r="N302" s="28" t="s">
        <v>330</v>
      </c>
      <c r="O302" s="29" t="s">
        <v>2</v>
      </c>
      <c r="P302" s="28">
        <v>4</v>
      </c>
      <c r="Q302" s="28" t="s">
        <v>1391</v>
      </c>
      <c r="R302" s="28" t="s">
        <v>1264</v>
      </c>
      <c r="S302" s="34" t="str">
        <f>IFERROR(HYPERLINK("#Main!A"&amp;MATCH(A302,Main!A:A,0),"Open"),HYPERLINK("#Main!A1","Open"))</f>
        <v>Open</v>
      </c>
      <c r="T302" s="34" t="str">
        <f>IFERROR(HYPERLINK("#Technical!A"&amp;MATCH(A302,Technical!A:A,0),"Open"),HYPERLINK("#Technical!A1","Open"))</f>
        <v>Open</v>
      </c>
      <c r="U302" s="34"/>
    </row>
    <row r="303" spans="1:21" ht="30" customHeight="1" x14ac:dyDescent="0.25">
      <c r="A303" s="30" t="s">
        <v>670</v>
      </c>
      <c r="B303" s="37">
        <v>21591</v>
      </c>
      <c r="C303" s="55" t="s">
        <v>1142</v>
      </c>
      <c r="D303" s="37" t="s">
        <v>1253</v>
      </c>
      <c r="E303" s="32" t="s">
        <v>72</v>
      </c>
      <c r="F303" s="37" t="s">
        <v>1269</v>
      </c>
      <c r="G303" s="42">
        <v>67</v>
      </c>
      <c r="H303" s="37">
        <v>0</v>
      </c>
      <c r="I303" s="37" t="s">
        <v>1270</v>
      </c>
      <c r="J303" s="37" t="s">
        <v>1271</v>
      </c>
      <c r="K303" s="57" t="s">
        <v>18</v>
      </c>
      <c r="L303" s="37" t="s">
        <v>875</v>
      </c>
      <c r="M303" s="37" t="s">
        <v>323</v>
      </c>
      <c r="N303" s="37" t="s">
        <v>330</v>
      </c>
      <c r="O303" s="29" t="s">
        <v>2</v>
      </c>
      <c r="P303" s="37">
        <v>4</v>
      </c>
      <c r="Q303" s="37" t="s">
        <v>1392</v>
      </c>
      <c r="R303" s="37" t="s">
        <v>1273</v>
      </c>
      <c r="S303" t="str">
        <f>IFERROR(HYPERLINK("#Main!A"&amp;MATCH(A303,Main!A:A,0),"Open"),HYPERLINK("#Main!A1","Open"))</f>
        <v>Open</v>
      </c>
      <c r="T303" t="str">
        <f>IFERROR(HYPERLINK("#Technical!A"&amp;MATCH(A303,Technical!A:A,0),"Open"),HYPERLINK("#Technical!A1","Open"))</f>
        <v>Open</v>
      </c>
    </row>
    <row r="304" spans="1:21" ht="30" customHeight="1" x14ac:dyDescent="0.25">
      <c r="A304" s="33" t="s">
        <v>670</v>
      </c>
      <c r="B304" s="28">
        <v>21591</v>
      </c>
      <c r="C304" s="55" t="s">
        <v>1142</v>
      </c>
      <c r="D304" s="28" t="s">
        <v>1253</v>
      </c>
      <c r="E304" s="32" t="s">
        <v>72</v>
      </c>
      <c r="F304" s="28" t="s">
        <v>1260</v>
      </c>
      <c r="G304" s="39">
        <v>67</v>
      </c>
      <c r="H304" s="28">
        <v>62</v>
      </c>
      <c r="I304" s="28" t="s">
        <v>1261</v>
      </c>
      <c r="J304" s="28" t="s">
        <v>1262</v>
      </c>
      <c r="K304" s="56" t="s">
        <v>18</v>
      </c>
      <c r="L304" s="28" t="s">
        <v>871</v>
      </c>
      <c r="M304" s="28" t="s">
        <v>323</v>
      </c>
      <c r="N304" s="28" t="s">
        <v>330</v>
      </c>
      <c r="O304" s="29" t="s">
        <v>2</v>
      </c>
      <c r="P304" s="28">
        <v>4</v>
      </c>
      <c r="Q304" s="28" t="s">
        <v>1393</v>
      </c>
      <c r="R304" s="28" t="s">
        <v>1264</v>
      </c>
      <c r="S304" s="34" t="str">
        <f>IFERROR(HYPERLINK("#Main!A"&amp;MATCH(A304,Main!A:A,0),"Open"),HYPERLINK("#Main!A1","Open"))</f>
        <v>Open</v>
      </c>
      <c r="T304" s="34" t="str">
        <f>IFERROR(HYPERLINK("#Technical!A"&amp;MATCH(A304,Technical!A:A,0),"Open"),HYPERLINK("#Technical!A1","Open"))</f>
        <v>Open</v>
      </c>
      <c r="U304" s="34"/>
    </row>
    <row r="305" spans="1:21" ht="30" customHeight="1" x14ac:dyDescent="0.25">
      <c r="A305" s="30" t="s">
        <v>673</v>
      </c>
      <c r="B305" s="37">
        <v>7916</v>
      </c>
      <c r="C305" s="55" t="s">
        <v>1144</v>
      </c>
      <c r="D305" s="37" t="s">
        <v>1253</v>
      </c>
      <c r="E305" s="32" t="s">
        <v>72</v>
      </c>
      <c r="F305" s="37" t="s">
        <v>1254</v>
      </c>
      <c r="G305" s="42">
        <v>67</v>
      </c>
      <c r="H305" s="37">
        <v>62.5</v>
      </c>
      <c r="I305" s="37" t="s">
        <v>1255</v>
      </c>
      <c r="J305" s="37" t="s">
        <v>1256</v>
      </c>
      <c r="K305" s="57" t="s">
        <v>40</v>
      </c>
      <c r="L305" s="37" t="s">
        <v>1257</v>
      </c>
      <c r="M305" s="37" t="s">
        <v>323</v>
      </c>
      <c r="N305" s="37" t="s">
        <v>330</v>
      </c>
      <c r="O305" s="29" t="s">
        <v>2</v>
      </c>
      <c r="P305" s="37">
        <v>4</v>
      </c>
      <c r="Q305" s="37" t="s">
        <v>1394</v>
      </c>
      <c r="R305" s="37" t="s">
        <v>1259</v>
      </c>
      <c r="S305" t="str">
        <f>IFERROR(HYPERLINK("#Main!A"&amp;MATCH(A305,Main!A:A,0),"Open"),HYPERLINK("#Main!A1","Open"))</f>
        <v>Open</v>
      </c>
      <c r="T305" t="str">
        <f>IFERROR(HYPERLINK("#Technical!A"&amp;MATCH(A305,Technical!A:A,0),"Open"),HYPERLINK("#Technical!A1","Open"))</f>
        <v>Open</v>
      </c>
    </row>
    <row r="306" spans="1:21" ht="30" customHeight="1" x14ac:dyDescent="0.25">
      <c r="A306" s="33" t="s">
        <v>673</v>
      </c>
      <c r="B306" s="28">
        <v>7916</v>
      </c>
      <c r="C306" s="55" t="s">
        <v>1144</v>
      </c>
      <c r="D306" s="28" t="s">
        <v>1253</v>
      </c>
      <c r="E306" s="32" t="s">
        <v>72</v>
      </c>
      <c r="F306" s="28" t="s">
        <v>1269</v>
      </c>
      <c r="G306" s="39">
        <v>67</v>
      </c>
      <c r="H306" s="28">
        <v>0</v>
      </c>
      <c r="I306" s="28" t="s">
        <v>1270</v>
      </c>
      <c r="J306" s="28" t="s">
        <v>1271</v>
      </c>
      <c r="K306" s="56" t="s">
        <v>18</v>
      </c>
      <c r="L306" s="28" t="s">
        <v>875</v>
      </c>
      <c r="M306" s="28" t="s">
        <v>323</v>
      </c>
      <c r="N306" s="28" t="s">
        <v>330</v>
      </c>
      <c r="O306" s="29" t="s">
        <v>2</v>
      </c>
      <c r="P306" s="28">
        <v>4</v>
      </c>
      <c r="Q306" s="28" t="s">
        <v>1395</v>
      </c>
      <c r="R306" s="28" t="s">
        <v>1273</v>
      </c>
      <c r="S306" s="34" t="str">
        <f>IFERROR(HYPERLINK("#Main!A"&amp;MATCH(A306,Main!A:A,0),"Open"),HYPERLINK("#Main!A1","Open"))</f>
        <v>Open</v>
      </c>
      <c r="T306" s="34" t="str">
        <f>IFERROR(HYPERLINK("#Technical!A"&amp;MATCH(A306,Technical!A:A,0),"Open"),HYPERLINK("#Technical!A1","Open"))</f>
        <v>Open</v>
      </c>
      <c r="U306" s="34"/>
    </row>
    <row r="307" spans="1:21" ht="30" customHeight="1" x14ac:dyDescent="0.25">
      <c r="A307" s="30" t="s">
        <v>673</v>
      </c>
      <c r="B307" s="37">
        <v>7916</v>
      </c>
      <c r="C307" s="55" t="s">
        <v>1144</v>
      </c>
      <c r="D307" s="37" t="s">
        <v>1253</v>
      </c>
      <c r="E307" s="32" t="s">
        <v>72</v>
      </c>
      <c r="F307" s="37" t="s">
        <v>1260</v>
      </c>
      <c r="G307" s="42">
        <v>67</v>
      </c>
      <c r="H307" s="37">
        <v>171</v>
      </c>
      <c r="I307" s="37" t="s">
        <v>1261</v>
      </c>
      <c r="J307" s="37" t="s">
        <v>1262</v>
      </c>
      <c r="K307" s="57" t="s">
        <v>18</v>
      </c>
      <c r="L307" s="37" t="s">
        <v>871</v>
      </c>
      <c r="M307" s="37" t="s">
        <v>323</v>
      </c>
      <c r="N307" s="37" t="s">
        <v>330</v>
      </c>
      <c r="O307" s="29" t="s">
        <v>2</v>
      </c>
      <c r="P307" s="37">
        <v>4</v>
      </c>
      <c r="Q307" s="37" t="s">
        <v>1396</v>
      </c>
      <c r="R307" s="37" t="s">
        <v>1264</v>
      </c>
      <c r="S307" t="str">
        <f>IFERROR(HYPERLINK("#Main!A"&amp;MATCH(A307,Main!A:A,0),"Open"),HYPERLINK("#Main!A1","Open"))</f>
        <v>Open</v>
      </c>
      <c r="T307" t="str">
        <f>IFERROR(HYPERLINK("#Technical!A"&amp;MATCH(A307,Technical!A:A,0),"Open"),HYPERLINK("#Technical!A1","Open"))</f>
        <v>Open</v>
      </c>
    </row>
    <row r="308" spans="1:21" ht="30" customHeight="1" x14ac:dyDescent="0.25">
      <c r="A308" s="33" t="s">
        <v>677</v>
      </c>
      <c r="B308" s="28">
        <v>17000</v>
      </c>
      <c r="C308" s="55" t="s">
        <v>1146</v>
      </c>
      <c r="D308" s="28" t="s">
        <v>1253</v>
      </c>
      <c r="E308" s="32" t="s">
        <v>72</v>
      </c>
      <c r="F308" s="28" t="s">
        <v>1269</v>
      </c>
      <c r="G308" s="39">
        <v>67</v>
      </c>
      <c r="H308" s="28">
        <v>0</v>
      </c>
      <c r="I308" s="28" t="s">
        <v>1270</v>
      </c>
      <c r="J308" s="28" t="s">
        <v>1271</v>
      </c>
      <c r="K308" s="56" t="s">
        <v>18</v>
      </c>
      <c r="L308" s="28" t="s">
        <v>875</v>
      </c>
      <c r="M308" s="28" t="s">
        <v>323</v>
      </c>
      <c r="N308" s="28" t="s">
        <v>330</v>
      </c>
      <c r="O308" s="29" t="s">
        <v>2</v>
      </c>
      <c r="P308" s="28">
        <v>4</v>
      </c>
      <c r="Q308" s="28" t="s">
        <v>1397</v>
      </c>
      <c r="R308" s="28" t="s">
        <v>1273</v>
      </c>
      <c r="S308" s="34" t="str">
        <f>IFERROR(HYPERLINK("#Main!A"&amp;MATCH(A308,Main!A:A,0),"Open"),HYPERLINK("#Main!A1","Open"))</f>
        <v>Open</v>
      </c>
      <c r="T308" s="34" t="str">
        <f>IFERROR(HYPERLINK("#Technical!A"&amp;MATCH(A308,Technical!A:A,0),"Open"),HYPERLINK("#Technical!A1","Open"))</f>
        <v>Open</v>
      </c>
      <c r="U308" s="34"/>
    </row>
    <row r="309" spans="1:21" ht="30" customHeight="1" x14ac:dyDescent="0.25">
      <c r="A309" s="30" t="s">
        <v>677</v>
      </c>
      <c r="B309" s="37">
        <v>17000</v>
      </c>
      <c r="C309" s="55" t="s">
        <v>1146</v>
      </c>
      <c r="D309" s="37" t="s">
        <v>1253</v>
      </c>
      <c r="E309" s="32" t="s">
        <v>72</v>
      </c>
      <c r="F309" s="37" t="s">
        <v>1260</v>
      </c>
      <c r="G309" s="42">
        <v>67</v>
      </c>
      <c r="H309" s="37">
        <v>54</v>
      </c>
      <c r="I309" s="37" t="s">
        <v>1261</v>
      </c>
      <c r="J309" s="37" t="s">
        <v>1262</v>
      </c>
      <c r="K309" s="57" t="s">
        <v>18</v>
      </c>
      <c r="L309" s="37" t="s">
        <v>871</v>
      </c>
      <c r="M309" s="37" t="s">
        <v>323</v>
      </c>
      <c r="N309" s="37" t="s">
        <v>330</v>
      </c>
      <c r="O309" s="29" t="s">
        <v>2</v>
      </c>
      <c r="P309" s="37">
        <v>4</v>
      </c>
      <c r="Q309" s="37" t="s">
        <v>1398</v>
      </c>
      <c r="R309" s="37" t="s">
        <v>1264</v>
      </c>
      <c r="S309" t="str">
        <f>IFERROR(HYPERLINK("#Main!A"&amp;MATCH(A309,Main!A:A,0),"Open"),HYPERLINK("#Main!A1","Open"))</f>
        <v>Open</v>
      </c>
      <c r="T309" t="str">
        <f>IFERROR(HYPERLINK("#Technical!A"&amp;MATCH(A309,Technical!A:A,0),"Open"),HYPERLINK("#Technical!A1","Open"))</f>
        <v>Open</v>
      </c>
    </row>
    <row r="310" spans="1:21" ht="30" customHeight="1" x14ac:dyDescent="0.25">
      <c r="A310" s="33" t="s">
        <v>680</v>
      </c>
      <c r="B310" s="28">
        <v>17196</v>
      </c>
      <c r="C310" s="55" t="s">
        <v>1148</v>
      </c>
      <c r="D310" s="28" t="s">
        <v>1253</v>
      </c>
      <c r="E310" s="32" t="s">
        <v>72</v>
      </c>
      <c r="F310" s="28" t="s">
        <v>1254</v>
      </c>
      <c r="G310" s="39">
        <v>67</v>
      </c>
      <c r="H310" s="28">
        <v>71.430000000000007</v>
      </c>
      <c r="I310" s="28" t="s">
        <v>1255</v>
      </c>
      <c r="J310" s="28" t="s">
        <v>1256</v>
      </c>
      <c r="K310" s="56" t="s">
        <v>40</v>
      </c>
      <c r="L310" s="28" t="s">
        <v>1257</v>
      </c>
      <c r="M310" s="28" t="s">
        <v>323</v>
      </c>
      <c r="N310" s="28" t="s">
        <v>330</v>
      </c>
      <c r="O310" s="29" t="s">
        <v>2</v>
      </c>
      <c r="P310" s="28">
        <v>4</v>
      </c>
      <c r="Q310" s="28" t="s">
        <v>1399</v>
      </c>
      <c r="R310" s="28" t="s">
        <v>1259</v>
      </c>
      <c r="S310" s="34" t="str">
        <f>IFERROR(HYPERLINK("#Main!A"&amp;MATCH(A310,Main!A:A,0),"Open"),HYPERLINK("#Main!A1","Open"))</f>
        <v>Open</v>
      </c>
      <c r="T310" s="34" t="str">
        <f>IFERROR(HYPERLINK("#Technical!A"&amp;MATCH(A310,Technical!A:A,0),"Open"),HYPERLINK("#Technical!A1","Open"))</f>
        <v>Open</v>
      </c>
      <c r="U310" s="34"/>
    </row>
    <row r="311" spans="1:21" ht="30" customHeight="1" x14ac:dyDescent="0.25">
      <c r="A311" s="30" t="s">
        <v>680</v>
      </c>
      <c r="B311" s="37">
        <v>17196</v>
      </c>
      <c r="C311" s="55" t="s">
        <v>1148</v>
      </c>
      <c r="D311" s="37" t="s">
        <v>1253</v>
      </c>
      <c r="E311" s="32" t="s">
        <v>72</v>
      </c>
      <c r="F311" s="37" t="s">
        <v>1269</v>
      </c>
      <c r="G311" s="42">
        <v>67</v>
      </c>
      <c r="H311" s="37">
        <v>0</v>
      </c>
      <c r="I311" s="37" t="s">
        <v>1270</v>
      </c>
      <c r="J311" s="37" t="s">
        <v>1271</v>
      </c>
      <c r="K311" s="57" t="s">
        <v>18</v>
      </c>
      <c r="L311" s="37" t="s">
        <v>875</v>
      </c>
      <c r="M311" s="37" t="s">
        <v>323</v>
      </c>
      <c r="N311" s="37" t="s">
        <v>330</v>
      </c>
      <c r="O311" s="29" t="s">
        <v>2</v>
      </c>
      <c r="P311" s="37">
        <v>4</v>
      </c>
      <c r="Q311" s="37" t="s">
        <v>1400</v>
      </c>
      <c r="R311" s="37" t="s">
        <v>1273</v>
      </c>
      <c r="S311" t="str">
        <f>IFERROR(HYPERLINK("#Main!A"&amp;MATCH(A311,Main!A:A,0),"Open"),HYPERLINK("#Main!A1","Open"))</f>
        <v>Open</v>
      </c>
      <c r="T311" t="str">
        <f>IFERROR(HYPERLINK("#Technical!A"&amp;MATCH(A311,Technical!A:A,0),"Open"),HYPERLINK("#Technical!A1","Open"))</f>
        <v>Open</v>
      </c>
    </row>
    <row r="312" spans="1:21" ht="30" customHeight="1" x14ac:dyDescent="0.25">
      <c r="A312" s="33" t="s">
        <v>680</v>
      </c>
      <c r="B312" s="28">
        <v>17196</v>
      </c>
      <c r="C312" s="55" t="s">
        <v>1148</v>
      </c>
      <c r="D312" s="28" t="s">
        <v>1253</v>
      </c>
      <c r="E312" s="32" t="s">
        <v>72</v>
      </c>
      <c r="F312" s="28" t="s">
        <v>1260</v>
      </c>
      <c r="G312" s="39">
        <v>67</v>
      </c>
      <c r="H312" s="28">
        <v>39</v>
      </c>
      <c r="I312" s="28" t="s">
        <v>1261</v>
      </c>
      <c r="J312" s="28" t="s">
        <v>1262</v>
      </c>
      <c r="K312" s="56" t="s">
        <v>18</v>
      </c>
      <c r="L312" s="28" t="s">
        <v>871</v>
      </c>
      <c r="M312" s="28" t="s">
        <v>323</v>
      </c>
      <c r="N312" s="28" t="s">
        <v>330</v>
      </c>
      <c r="O312" s="29" t="s">
        <v>2</v>
      </c>
      <c r="P312" s="28">
        <v>4</v>
      </c>
      <c r="Q312" s="28" t="s">
        <v>1401</v>
      </c>
      <c r="R312" s="28" t="s">
        <v>1264</v>
      </c>
      <c r="S312" s="34" t="str">
        <f>IFERROR(HYPERLINK("#Main!A"&amp;MATCH(A312,Main!A:A,0),"Open"),HYPERLINK("#Main!A1","Open"))</f>
        <v>Open</v>
      </c>
      <c r="T312" s="34" t="str">
        <f>IFERROR(HYPERLINK("#Technical!A"&amp;MATCH(A312,Technical!A:A,0),"Open"),HYPERLINK("#Technical!A1","Open"))</f>
        <v>Open</v>
      </c>
      <c r="U312" s="34"/>
    </row>
    <row r="313" spans="1:21" ht="30" customHeight="1" x14ac:dyDescent="0.25">
      <c r="A313" s="30" t="s">
        <v>683</v>
      </c>
      <c r="B313" s="37">
        <v>4909</v>
      </c>
      <c r="C313" s="55" t="s">
        <v>1150</v>
      </c>
      <c r="D313" s="37" t="s">
        <v>1253</v>
      </c>
      <c r="E313" s="32" t="s">
        <v>72</v>
      </c>
      <c r="F313" s="37" t="s">
        <v>1254</v>
      </c>
      <c r="G313" s="42">
        <v>67</v>
      </c>
      <c r="H313" s="37">
        <v>75</v>
      </c>
      <c r="I313" s="37" t="s">
        <v>1255</v>
      </c>
      <c r="J313" s="37" t="s">
        <v>1256</v>
      </c>
      <c r="K313" s="57" t="s">
        <v>40</v>
      </c>
      <c r="L313" s="37" t="s">
        <v>1257</v>
      </c>
      <c r="M313" s="37" t="s">
        <v>323</v>
      </c>
      <c r="N313" s="37" t="s">
        <v>330</v>
      </c>
      <c r="O313" s="29" t="s">
        <v>2</v>
      </c>
      <c r="P313" s="37">
        <v>4</v>
      </c>
      <c r="Q313" s="37" t="s">
        <v>1402</v>
      </c>
      <c r="R313" s="37" t="s">
        <v>1259</v>
      </c>
      <c r="S313" t="str">
        <f>IFERROR(HYPERLINK("#Main!A"&amp;MATCH(A313,Main!A:A,0),"Open"),HYPERLINK("#Main!A1","Open"))</f>
        <v>Open</v>
      </c>
      <c r="T313" t="str">
        <f>IFERROR(HYPERLINK("#Technical!A"&amp;MATCH(A313,Technical!A:A,0),"Open"),HYPERLINK("#Technical!A1","Open"))</f>
        <v>Open</v>
      </c>
    </row>
    <row r="314" spans="1:21" ht="30" customHeight="1" x14ac:dyDescent="0.25">
      <c r="A314" s="33" t="s">
        <v>683</v>
      </c>
      <c r="B314" s="28">
        <v>4909</v>
      </c>
      <c r="C314" s="55" t="s">
        <v>1150</v>
      </c>
      <c r="D314" s="28" t="s">
        <v>1253</v>
      </c>
      <c r="E314" s="32" t="s">
        <v>72</v>
      </c>
      <c r="F314" s="28" t="s">
        <v>1269</v>
      </c>
      <c r="G314" s="39">
        <v>67</v>
      </c>
      <c r="H314" s="28">
        <v>0</v>
      </c>
      <c r="I314" s="28" t="s">
        <v>1270</v>
      </c>
      <c r="J314" s="28" t="s">
        <v>1271</v>
      </c>
      <c r="K314" s="56" t="s">
        <v>18</v>
      </c>
      <c r="L314" s="28" t="s">
        <v>875</v>
      </c>
      <c r="M314" s="28" t="s">
        <v>323</v>
      </c>
      <c r="N314" s="28" t="s">
        <v>330</v>
      </c>
      <c r="O314" s="29" t="s">
        <v>2</v>
      </c>
      <c r="P314" s="28">
        <v>4</v>
      </c>
      <c r="Q314" s="28" t="s">
        <v>1403</v>
      </c>
      <c r="R314" s="28" t="s">
        <v>1273</v>
      </c>
      <c r="S314" s="34" t="str">
        <f>IFERROR(HYPERLINK("#Main!A"&amp;MATCH(A314,Main!A:A,0),"Open"),HYPERLINK("#Main!A1","Open"))</f>
        <v>Open</v>
      </c>
      <c r="T314" s="34" t="str">
        <f>IFERROR(HYPERLINK("#Technical!A"&amp;MATCH(A314,Technical!A:A,0),"Open"),HYPERLINK("#Technical!A1","Open"))</f>
        <v>Open</v>
      </c>
      <c r="U314" s="34"/>
    </row>
    <row r="315" spans="1:21" ht="30" customHeight="1" x14ac:dyDescent="0.25">
      <c r="A315" s="30" t="s">
        <v>683</v>
      </c>
      <c r="B315" s="37">
        <v>4909</v>
      </c>
      <c r="C315" s="55" t="s">
        <v>1150</v>
      </c>
      <c r="D315" s="37" t="s">
        <v>1253</v>
      </c>
      <c r="E315" s="32" t="s">
        <v>72</v>
      </c>
      <c r="F315" s="37" t="s">
        <v>1260</v>
      </c>
      <c r="G315" s="42">
        <v>67</v>
      </c>
      <c r="H315" s="37">
        <v>94</v>
      </c>
      <c r="I315" s="37" t="s">
        <v>1261</v>
      </c>
      <c r="J315" s="37" t="s">
        <v>1262</v>
      </c>
      <c r="K315" s="57" t="s">
        <v>18</v>
      </c>
      <c r="L315" s="37" t="s">
        <v>871</v>
      </c>
      <c r="M315" s="37" t="s">
        <v>323</v>
      </c>
      <c r="N315" s="37" t="s">
        <v>330</v>
      </c>
      <c r="O315" s="29" t="s">
        <v>2</v>
      </c>
      <c r="P315" s="37">
        <v>4</v>
      </c>
      <c r="Q315" s="37" t="s">
        <v>1404</v>
      </c>
      <c r="R315" s="37" t="s">
        <v>1264</v>
      </c>
      <c r="S315" t="str">
        <f>IFERROR(HYPERLINK("#Main!A"&amp;MATCH(A315,Main!A:A,0),"Open"),HYPERLINK("#Main!A1","Open"))</f>
        <v>Open</v>
      </c>
      <c r="T315" t="str">
        <f>IFERROR(HYPERLINK("#Technical!A"&amp;MATCH(A315,Technical!A:A,0),"Open"),HYPERLINK("#Technical!A1","Open"))</f>
        <v>Open</v>
      </c>
    </row>
    <row r="316" spans="1:21" ht="30" customHeight="1" x14ac:dyDescent="0.25">
      <c r="A316" s="33" t="s">
        <v>686</v>
      </c>
      <c r="B316" s="28">
        <v>5290</v>
      </c>
      <c r="C316" s="55" t="s">
        <v>1152</v>
      </c>
      <c r="D316" s="28" t="s">
        <v>1253</v>
      </c>
      <c r="E316" s="32" t="s">
        <v>72</v>
      </c>
      <c r="F316" s="28" t="s">
        <v>1254</v>
      </c>
      <c r="G316" s="39">
        <v>67</v>
      </c>
      <c r="H316" s="28">
        <v>75</v>
      </c>
      <c r="I316" s="28" t="s">
        <v>1255</v>
      </c>
      <c r="J316" s="28" t="s">
        <v>1256</v>
      </c>
      <c r="K316" s="56" t="s">
        <v>40</v>
      </c>
      <c r="L316" s="28" t="s">
        <v>1257</v>
      </c>
      <c r="M316" s="28" t="s">
        <v>323</v>
      </c>
      <c r="N316" s="28" t="s">
        <v>330</v>
      </c>
      <c r="O316" s="29" t="s">
        <v>2</v>
      </c>
      <c r="P316" s="28">
        <v>4</v>
      </c>
      <c r="Q316" s="28" t="s">
        <v>1405</v>
      </c>
      <c r="R316" s="28" t="s">
        <v>1259</v>
      </c>
      <c r="S316" s="34" t="str">
        <f>IFERROR(HYPERLINK("#Main!A"&amp;MATCH(A316,Main!A:A,0),"Open"),HYPERLINK("#Main!A1","Open"))</f>
        <v>Open</v>
      </c>
      <c r="T316" s="34" t="str">
        <f>IFERROR(HYPERLINK("#Technical!A"&amp;MATCH(A316,Technical!A:A,0),"Open"),HYPERLINK("#Technical!A1","Open"))</f>
        <v>Open</v>
      </c>
      <c r="U316" s="34"/>
    </row>
    <row r="317" spans="1:21" ht="30" customHeight="1" x14ac:dyDescent="0.25">
      <c r="A317" s="30" t="s">
        <v>686</v>
      </c>
      <c r="B317" s="37">
        <v>5290</v>
      </c>
      <c r="C317" s="55" t="s">
        <v>1152</v>
      </c>
      <c r="D317" s="37" t="s">
        <v>1253</v>
      </c>
      <c r="E317" s="32" t="s">
        <v>72</v>
      </c>
      <c r="F317" s="37" t="s">
        <v>1269</v>
      </c>
      <c r="G317" s="42">
        <v>67</v>
      </c>
      <c r="H317" s="37">
        <v>0</v>
      </c>
      <c r="I317" s="37" t="s">
        <v>1270</v>
      </c>
      <c r="J317" s="37" t="s">
        <v>1271</v>
      </c>
      <c r="K317" s="57" t="s">
        <v>18</v>
      </c>
      <c r="L317" s="37" t="s">
        <v>875</v>
      </c>
      <c r="M317" s="37" t="s">
        <v>323</v>
      </c>
      <c r="N317" s="37" t="s">
        <v>330</v>
      </c>
      <c r="O317" s="29" t="s">
        <v>2</v>
      </c>
      <c r="P317" s="37">
        <v>4</v>
      </c>
      <c r="Q317" s="37" t="s">
        <v>1406</v>
      </c>
      <c r="R317" s="37" t="s">
        <v>1273</v>
      </c>
      <c r="S317" t="str">
        <f>IFERROR(HYPERLINK("#Main!A"&amp;MATCH(A317,Main!A:A,0),"Open"),HYPERLINK("#Main!A1","Open"))</f>
        <v>Open</v>
      </c>
      <c r="T317" t="str">
        <f>IFERROR(HYPERLINK("#Technical!A"&amp;MATCH(A317,Technical!A:A,0),"Open"),HYPERLINK("#Technical!A1","Open"))</f>
        <v>Open</v>
      </c>
    </row>
    <row r="318" spans="1:21" ht="45" customHeight="1" x14ac:dyDescent="0.25">
      <c r="A318" s="33" t="s">
        <v>127</v>
      </c>
      <c r="B318" s="28">
        <v>8</v>
      </c>
      <c r="C318" s="55" t="s">
        <v>988</v>
      </c>
      <c r="D318" s="28" t="s">
        <v>1407</v>
      </c>
      <c r="E318" s="32" t="s">
        <v>72</v>
      </c>
      <c r="F318" s="28" t="s">
        <v>1408</v>
      </c>
      <c r="G318" s="39">
        <v>67</v>
      </c>
      <c r="H318" s="28">
        <v>0</v>
      </c>
      <c r="I318" s="28" t="s">
        <v>1409</v>
      </c>
      <c r="J318" s="28" t="s">
        <v>1410</v>
      </c>
      <c r="K318" s="56" t="s">
        <v>22</v>
      </c>
      <c r="L318" s="28" t="s">
        <v>726</v>
      </c>
      <c r="M318" s="28" t="s">
        <v>323</v>
      </c>
      <c r="N318" s="28" t="s">
        <v>330</v>
      </c>
      <c r="O318" s="29" t="s">
        <v>2</v>
      </c>
      <c r="P318" s="28">
        <v>4</v>
      </c>
      <c r="Q318" s="28" t="s">
        <v>1411</v>
      </c>
      <c r="R318" s="28" t="s">
        <v>1412</v>
      </c>
      <c r="S318" s="34" t="str">
        <f>IFERROR(HYPERLINK("#Main!A"&amp;MATCH(A318,Main!A:A,0),"Open"),HYPERLINK("#Main!A1","Open"))</f>
        <v>Open</v>
      </c>
      <c r="T318" s="34" t="str">
        <f>IFERROR(HYPERLINK("#Technical!A"&amp;MATCH(A318,Technical!A:A,0),"Open"),HYPERLINK("#Technical!A1","Open"))</f>
        <v>Open</v>
      </c>
      <c r="U318" s="34"/>
    </row>
    <row r="319" spans="1:21" ht="45" customHeight="1" x14ac:dyDescent="0.25">
      <c r="A319" s="30" t="s">
        <v>135</v>
      </c>
      <c r="B319" s="37">
        <v>84</v>
      </c>
      <c r="C319" s="55" t="s">
        <v>992</v>
      </c>
      <c r="D319" s="37" t="s">
        <v>1407</v>
      </c>
      <c r="E319" s="32" t="s">
        <v>72</v>
      </c>
      <c r="F319" s="37" t="s">
        <v>1408</v>
      </c>
      <c r="G319" s="42">
        <v>67</v>
      </c>
      <c r="H319" s="37">
        <v>0</v>
      </c>
      <c r="I319" s="37" t="s">
        <v>1409</v>
      </c>
      <c r="J319" s="37" t="s">
        <v>1410</v>
      </c>
      <c r="K319" s="57" t="s">
        <v>22</v>
      </c>
      <c r="L319" s="37" t="s">
        <v>726</v>
      </c>
      <c r="M319" s="37" t="s">
        <v>323</v>
      </c>
      <c r="N319" s="37" t="s">
        <v>330</v>
      </c>
      <c r="O319" s="29" t="s">
        <v>2</v>
      </c>
      <c r="P319" s="37">
        <v>4</v>
      </c>
      <c r="Q319" s="37" t="s">
        <v>1413</v>
      </c>
      <c r="R319" s="37" t="s">
        <v>1412</v>
      </c>
      <c r="S319" t="str">
        <f>IFERROR(HYPERLINK("#Main!A"&amp;MATCH(A319,Main!A:A,0),"Open"),HYPERLINK("#Main!A1","Open"))</f>
        <v>Open</v>
      </c>
      <c r="T319" t="str">
        <f>IFERROR(HYPERLINK("#Technical!A"&amp;MATCH(A319,Technical!A:A,0),"Open"),HYPERLINK("#Technical!A1","Open"))</f>
        <v>Open</v>
      </c>
    </row>
    <row r="320" spans="1:21" ht="45" customHeight="1" x14ac:dyDescent="0.25">
      <c r="A320" s="33" t="s">
        <v>144</v>
      </c>
      <c r="B320" s="28">
        <v>28165</v>
      </c>
      <c r="C320" s="55" t="s">
        <v>994</v>
      </c>
      <c r="D320" s="28" t="s">
        <v>1407</v>
      </c>
      <c r="E320" s="32" t="s">
        <v>72</v>
      </c>
      <c r="F320" s="28" t="s">
        <v>1408</v>
      </c>
      <c r="G320" s="39">
        <v>67</v>
      </c>
      <c r="H320" s="28">
        <v>0</v>
      </c>
      <c r="I320" s="28" t="s">
        <v>1409</v>
      </c>
      <c r="J320" s="28" t="s">
        <v>1410</v>
      </c>
      <c r="K320" s="56" t="s">
        <v>22</v>
      </c>
      <c r="L320" s="28" t="s">
        <v>726</v>
      </c>
      <c r="M320" s="28" t="s">
        <v>323</v>
      </c>
      <c r="N320" s="28" t="s">
        <v>330</v>
      </c>
      <c r="O320" s="29" t="s">
        <v>2</v>
      </c>
      <c r="P320" s="28">
        <v>4</v>
      </c>
      <c r="Q320" s="28" t="s">
        <v>1414</v>
      </c>
      <c r="R320" s="28" t="s">
        <v>1412</v>
      </c>
      <c r="S320" s="34" t="str">
        <f>IFERROR(HYPERLINK("#Main!A"&amp;MATCH(A320,Main!A:A,0),"Open"),HYPERLINK("#Main!A1","Open"))</f>
        <v>Open</v>
      </c>
      <c r="T320" s="34" t="str">
        <f>IFERROR(HYPERLINK("#Technical!A"&amp;MATCH(A320,Technical!A:A,0),"Open"),HYPERLINK("#Technical!A1","Open"))</f>
        <v>Open</v>
      </c>
      <c r="U320" s="34"/>
    </row>
    <row r="321" spans="1:21" ht="45" customHeight="1" x14ac:dyDescent="0.25">
      <c r="A321" s="30" t="s">
        <v>152</v>
      </c>
      <c r="B321" s="37">
        <v>16125</v>
      </c>
      <c r="C321" s="55" t="s">
        <v>996</v>
      </c>
      <c r="D321" s="37" t="s">
        <v>1407</v>
      </c>
      <c r="E321" s="32" t="s">
        <v>72</v>
      </c>
      <c r="F321" s="37" t="s">
        <v>1408</v>
      </c>
      <c r="G321" s="42">
        <v>67</v>
      </c>
      <c r="H321" s="37">
        <v>0</v>
      </c>
      <c r="I321" s="37" t="s">
        <v>1409</v>
      </c>
      <c r="J321" s="37" t="s">
        <v>1410</v>
      </c>
      <c r="K321" s="57" t="s">
        <v>22</v>
      </c>
      <c r="L321" s="37" t="s">
        <v>726</v>
      </c>
      <c r="M321" s="37" t="s">
        <v>323</v>
      </c>
      <c r="N321" s="37" t="s">
        <v>330</v>
      </c>
      <c r="O321" s="29" t="s">
        <v>2</v>
      </c>
      <c r="P321" s="37">
        <v>4</v>
      </c>
      <c r="Q321" s="37" t="s">
        <v>1415</v>
      </c>
      <c r="R321" s="37" t="s">
        <v>1412</v>
      </c>
      <c r="S321" t="str">
        <f>IFERROR(HYPERLINK("#Main!A"&amp;MATCH(A321,Main!A:A,0),"Open"),HYPERLINK("#Main!A1","Open"))</f>
        <v>Open</v>
      </c>
      <c r="T321" t="str">
        <f>IFERROR(HYPERLINK("#Technical!A"&amp;MATCH(A321,Technical!A:A,0),"Open"),HYPERLINK("#Technical!A1","Open"))</f>
        <v>Open</v>
      </c>
    </row>
    <row r="322" spans="1:21" ht="45" customHeight="1" x14ac:dyDescent="0.25">
      <c r="A322" s="33" t="s">
        <v>161</v>
      </c>
      <c r="B322" s="28">
        <v>4494</v>
      </c>
      <c r="C322" s="55" t="s">
        <v>998</v>
      </c>
      <c r="D322" s="28" t="s">
        <v>1407</v>
      </c>
      <c r="E322" s="32" t="s">
        <v>72</v>
      </c>
      <c r="F322" s="28" t="s">
        <v>1408</v>
      </c>
      <c r="G322" s="39">
        <v>67</v>
      </c>
      <c r="H322" s="28">
        <v>0</v>
      </c>
      <c r="I322" s="28" t="s">
        <v>1409</v>
      </c>
      <c r="J322" s="28" t="s">
        <v>1410</v>
      </c>
      <c r="K322" s="56" t="s">
        <v>22</v>
      </c>
      <c r="L322" s="28" t="s">
        <v>726</v>
      </c>
      <c r="M322" s="28" t="s">
        <v>323</v>
      </c>
      <c r="N322" s="28" t="s">
        <v>330</v>
      </c>
      <c r="O322" s="29" t="s">
        <v>2</v>
      </c>
      <c r="P322" s="28">
        <v>4</v>
      </c>
      <c r="Q322" s="28" t="s">
        <v>1416</v>
      </c>
      <c r="R322" s="28" t="s">
        <v>1412</v>
      </c>
      <c r="S322" s="34" t="str">
        <f>IFERROR(HYPERLINK("#Main!A"&amp;MATCH(A322,Main!A:A,0),"Open"),HYPERLINK("#Main!A1","Open"))</f>
        <v>Open</v>
      </c>
      <c r="T322" s="34" t="str">
        <f>IFERROR(HYPERLINK("#Technical!A"&amp;MATCH(A322,Technical!A:A,0),"Open"),HYPERLINK("#Technical!A1","Open"))</f>
        <v>Open</v>
      </c>
      <c r="U322" s="34"/>
    </row>
    <row r="323" spans="1:21" ht="45" customHeight="1" x14ac:dyDescent="0.25">
      <c r="A323" s="30" t="s">
        <v>169</v>
      </c>
      <c r="B323" s="37">
        <v>5619</v>
      </c>
      <c r="C323" s="55" t="s">
        <v>1000</v>
      </c>
      <c r="D323" s="37" t="s">
        <v>1407</v>
      </c>
      <c r="E323" s="32" t="s">
        <v>72</v>
      </c>
      <c r="F323" s="37" t="s">
        <v>1408</v>
      </c>
      <c r="G323" s="42">
        <v>67</v>
      </c>
      <c r="H323" s="37">
        <v>0</v>
      </c>
      <c r="I323" s="37" t="s">
        <v>1409</v>
      </c>
      <c r="J323" s="37" t="s">
        <v>1410</v>
      </c>
      <c r="K323" s="57" t="s">
        <v>22</v>
      </c>
      <c r="L323" s="37" t="s">
        <v>726</v>
      </c>
      <c r="M323" s="37" t="s">
        <v>323</v>
      </c>
      <c r="N323" s="37" t="s">
        <v>330</v>
      </c>
      <c r="O323" s="29" t="s">
        <v>2</v>
      </c>
      <c r="P323" s="37">
        <v>4</v>
      </c>
      <c r="Q323" s="37" t="s">
        <v>1417</v>
      </c>
      <c r="R323" s="37" t="s">
        <v>1412</v>
      </c>
      <c r="S323" t="str">
        <f>IFERROR(HYPERLINK("#Main!A"&amp;MATCH(A323,Main!A:A,0),"Open"),HYPERLINK("#Main!A1","Open"))</f>
        <v>Open</v>
      </c>
      <c r="T323" t="str">
        <f>IFERROR(HYPERLINK("#Technical!A"&amp;MATCH(A323,Technical!A:A,0),"Open"),HYPERLINK("#Technical!A1","Open"))</f>
        <v>Open</v>
      </c>
    </row>
    <row r="324" spans="1:21" ht="45" customHeight="1" x14ac:dyDescent="0.25">
      <c r="A324" s="33" t="s">
        <v>177</v>
      </c>
      <c r="B324" s="28">
        <v>4941</v>
      </c>
      <c r="C324" s="55" t="s">
        <v>1002</v>
      </c>
      <c r="D324" s="28" t="s">
        <v>1407</v>
      </c>
      <c r="E324" s="32" t="s">
        <v>72</v>
      </c>
      <c r="F324" s="28" t="s">
        <v>1408</v>
      </c>
      <c r="G324" s="39">
        <v>67</v>
      </c>
      <c r="H324" s="28">
        <v>0</v>
      </c>
      <c r="I324" s="28" t="s">
        <v>1409</v>
      </c>
      <c r="J324" s="28" t="s">
        <v>1410</v>
      </c>
      <c r="K324" s="56" t="s">
        <v>22</v>
      </c>
      <c r="L324" s="28" t="s">
        <v>726</v>
      </c>
      <c r="M324" s="28" t="s">
        <v>323</v>
      </c>
      <c r="N324" s="28" t="s">
        <v>330</v>
      </c>
      <c r="O324" s="29" t="s">
        <v>2</v>
      </c>
      <c r="P324" s="28">
        <v>4</v>
      </c>
      <c r="Q324" s="28" t="s">
        <v>1418</v>
      </c>
      <c r="R324" s="28" t="s">
        <v>1412</v>
      </c>
      <c r="S324" s="34" t="str">
        <f>IFERROR(HYPERLINK("#Main!A"&amp;MATCH(A324,Main!A:A,0),"Open"),HYPERLINK("#Main!A1","Open"))</f>
        <v>Open</v>
      </c>
      <c r="T324" s="34" t="str">
        <f>IFERROR(HYPERLINK("#Technical!A"&amp;MATCH(A324,Technical!A:A,0),"Open"),HYPERLINK("#Technical!A1","Open"))</f>
        <v>Open</v>
      </c>
      <c r="U324" s="34"/>
    </row>
    <row r="325" spans="1:21" ht="45" customHeight="1" x14ac:dyDescent="0.25">
      <c r="A325" s="30" t="s">
        <v>185</v>
      </c>
      <c r="B325" s="37">
        <v>12371</v>
      </c>
      <c r="C325" s="55" t="s">
        <v>1004</v>
      </c>
      <c r="D325" s="37" t="s">
        <v>1407</v>
      </c>
      <c r="E325" s="32" t="s">
        <v>72</v>
      </c>
      <c r="F325" s="37" t="s">
        <v>1408</v>
      </c>
      <c r="G325" s="42">
        <v>67</v>
      </c>
      <c r="H325" s="37">
        <v>0</v>
      </c>
      <c r="I325" s="37" t="s">
        <v>1409</v>
      </c>
      <c r="J325" s="37" t="s">
        <v>1410</v>
      </c>
      <c r="K325" s="57" t="s">
        <v>22</v>
      </c>
      <c r="L325" s="37" t="s">
        <v>726</v>
      </c>
      <c r="M325" s="37" t="s">
        <v>323</v>
      </c>
      <c r="N325" s="37" t="s">
        <v>330</v>
      </c>
      <c r="O325" s="29" t="s">
        <v>2</v>
      </c>
      <c r="P325" s="37">
        <v>4</v>
      </c>
      <c r="Q325" s="37" t="s">
        <v>1419</v>
      </c>
      <c r="R325" s="37" t="s">
        <v>1412</v>
      </c>
      <c r="S325" t="str">
        <f>IFERROR(HYPERLINK("#Main!A"&amp;MATCH(A325,Main!A:A,0),"Open"),HYPERLINK("#Main!A1","Open"))</f>
        <v>Open</v>
      </c>
      <c r="T325" t="str">
        <f>IFERROR(HYPERLINK("#Technical!A"&amp;MATCH(A325,Technical!A:A,0),"Open"),HYPERLINK("#Technical!A1","Open"))</f>
        <v>Open</v>
      </c>
    </row>
    <row r="326" spans="1:21" ht="45" customHeight="1" x14ac:dyDescent="0.25">
      <c r="A326" s="33" t="s">
        <v>193</v>
      </c>
      <c r="B326" s="28">
        <v>12954</v>
      </c>
      <c r="C326" s="55" t="s">
        <v>1006</v>
      </c>
      <c r="D326" s="28" t="s">
        <v>1407</v>
      </c>
      <c r="E326" s="32" t="s">
        <v>72</v>
      </c>
      <c r="F326" s="28" t="s">
        <v>1408</v>
      </c>
      <c r="G326" s="39">
        <v>67</v>
      </c>
      <c r="H326" s="28">
        <v>0</v>
      </c>
      <c r="I326" s="28" t="s">
        <v>1409</v>
      </c>
      <c r="J326" s="28" t="s">
        <v>1410</v>
      </c>
      <c r="K326" s="56" t="s">
        <v>22</v>
      </c>
      <c r="L326" s="28" t="s">
        <v>726</v>
      </c>
      <c r="M326" s="28" t="s">
        <v>323</v>
      </c>
      <c r="N326" s="28" t="s">
        <v>330</v>
      </c>
      <c r="O326" s="29" t="s">
        <v>2</v>
      </c>
      <c r="P326" s="28">
        <v>4</v>
      </c>
      <c r="Q326" s="28" t="s">
        <v>1420</v>
      </c>
      <c r="R326" s="28" t="s">
        <v>1412</v>
      </c>
      <c r="S326" s="34" t="str">
        <f>IFERROR(HYPERLINK("#Main!A"&amp;MATCH(A326,Main!A:A,0),"Open"),HYPERLINK("#Main!A1","Open"))</f>
        <v>Open</v>
      </c>
      <c r="T326" s="34" t="str">
        <f>IFERROR(HYPERLINK("#Technical!A"&amp;MATCH(A326,Technical!A:A,0),"Open"),HYPERLINK("#Technical!A1","Open"))</f>
        <v>Open</v>
      </c>
      <c r="U326" s="34"/>
    </row>
    <row r="327" spans="1:21" ht="45" customHeight="1" x14ac:dyDescent="0.25">
      <c r="A327" s="30" t="s">
        <v>201</v>
      </c>
      <c r="B327" s="37">
        <v>13164</v>
      </c>
      <c r="C327" s="55" t="s">
        <v>1008</v>
      </c>
      <c r="D327" s="37" t="s">
        <v>1407</v>
      </c>
      <c r="E327" s="32" t="s">
        <v>72</v>
      </c>
      <c r="F327" s="37" t="s">
        <v>1408</v>
      </c>
      <c r="G327" s="42">
        <v>67</v>
      </c>
      <c r="H327" s="37">
        <v>0</v>
      </c>
      <c r="I327" s="37" t="s">
        <v>1409</v>
      </c>
      <c r="J327" s="37" t="s">
        <v>1410</v>
      </c>
      <c r="K327" s="57" t="s">
        <v>22</v>
      </c>
      <c r="L327" s="37" t="s">
        <v>726</v>
      </c>
      <c r="M327" s="37" t="s">
        <v>323</v>
      </c>
      <c r="N327" s="37" t="s">
        <v>330</v>
      </c>
      <c r="O327" s="29" t="s">
        <v>2</v>
      </c>
      <c r="P327" s="37">
        <v>4</v>
      </c>
      <c r="Q327" s="37" t="s">
        <v>1421</v>
      </c>
      <c r="R327" s="37" t="s">
        <v>1412</v>
      </c>
      <c r="S327" t="str">
        <f>IFERROR(HYPERLINK("#Main!A"&amp;MATCH(A327,Main!A:A,0),"Open"),HYPERLINK("#Main!A1","Open"))</f>
        <v>Open</v>
      </c>
      <c r="T327" t="str">
        <f>IFERROR(HYPERLINK("#Technical!A"&amp;MATCH(A327,Technical!A:A,0),"Open"),HYPERLINK("#Technical!A1","Open"))</f>
        <v>Open</v>
      </c>
    </row>
    <row r="328" spans="1:21" ht="45" customHeight="1" x14ac:dyDescent="0.25">
      <c r="A328" s="33" t="s">
        <v>208</v>
      </c>
      <c r="B328" s="28">
        <v>12407</v>
      </c>
      <c r="C328" s="55" t="s">
        <v>1010</v>
      </c>
      <c r="D328" s="28" t="s">
        <v>1407</v>
      </c>
      <c r="E328" s="32" t="s">
        <v>72</v>
      </c>
      <c r="F328" s="28" t="s">
        <v>1408</v>
      </c>
      <c r="G328" s="39">
        <v>67</v>
      </c>
      <c r="H328" s="28">
        <v>0</v>
      </c>
      <c r="I328" s="28" t="s">
        <v>1409</v>
      </c>
      <c r="J328" s="28" t="s">
        <v>1410</v>
      </c>
      <c r="K328" s="56" t="s">
        <v>22</v>
      </c>
      <c r="L328" s="28" t="s">
        <v>726</v>
      </c>
      <c r="M328" s="28" t="s">
        <v>323</v>
      </c>
      <c r="N328" s="28" t="s">
        <v>330</v>
      </c>
      <c r="O328" s="29" t="s">
        <v>2</v>
      </c>
      <c r="P328" s="28">
        <v>4</v>
      </c>
      <c r="Q328" s="28" t="s">
        <v>1422</v>
      </c>
      <c r="R328" s="28" t="s">
        <v>1412</v>
      </c>
      <c r="S328" s="34" t="str">
        <f>IFERROR(HYPERLINK("#Main!A"&amp;MATCH(A328,Main!A:A,0),"Open"),HYPERLINK("#Main!A1","Open"))</f>
        <v>Open</v>
      </c>
      <c r="T328" s="34" t="str">
        <f>IFERROR(HYPERLINK("#Technical!A"&amp;MATCH(A328,Technical!A:A,0),"Open"),HYPERLINK("#Technical!A1","Open"))</f>
        <v>Open</v>
      </c>
      <c r="U328" s="34"/>
    </row>
    <row r="329" spans="1:21" ht="45" customHeight="1" x14ac:dyDescent="0.25">
      <c r="A329" s="30" t="s">
        <v>216</v>
      </c>
      <c r="B329" s="37">
        <v>12497</v>
      </c>
      <c r="C329" s="55" t="s">
        <v>1012</v>
      </c>
      <c r="D329" s="37" t="s">
        <v>1407</v>
      </c>
      <c r="E329" s="32" t="s">
        <v>72</v>
      </c>
      <c r="F329" s="37" t="s">
        <v>1408</v>
      </c>
      <c r="G329" s="42">
        <v>67</v>
      </c>
      <c r="H329" s="37">
        <v>0</v>
      </c>
      <c r="I329" s="37" t="s">
        <v>1409</v>
      </c>
      <c r="J329" s="37" t="s">
        <v>1410</v>
      </c>
      <c r="K329" s="57" t="s">
        <v>22</v>
      </c>
      <c r="L329" s="37" t="s">
        <v>726</v>
      </c>
      <c r="M329" s="37" t="s">
        <v>323</v>
      </c>
      <c r="N329" s="37" t="s">
        <v>330</v>
      </c>
      <c r="O329" s="29" t="s">
        <v>2</v>
      </c>
      <c r="P329" s="37">
        <v>4</v>
      </c>
      <c r="Q329" s="37" t="s">
        <v>1423</v>
      </c>
      <c r="R329" s="37" t="s">
        <v>1412</v>
      </c>
      <c r="S329" t="str">
        <f>IFERROR(HYPERLINK("#Main!A"&amp;MATCH(A329,Main!A:A,0),"Open"),HYPERLINK("#Main!A1","Open"))</f>
        <v>Open</v>
      </c>
      <c r="T329" t="str">
        <f>IFERROR(HYPERLINK("#Technical!A"&amp;MATCH(A329,Technical!A:A,0),"Open"),HYPERLINK("#Technical!A1","Open"))</f>
        <v>Open</v>
      </c>
    </row>
    <row r="330" spans="1:21" ht="45" customHeight="1" x14ac:dyDescent="0.25">
      <c r="A330" s="33" t="s">
        <v>224</v>
      </c>
      <c r="B330" s="28">
        <v>13098</v>
      </c>
      <c r="C330" s="55" t="s">
        <v>1014</v>
      </c>
      <c r="D330" s="28" t="s">
        <v>1407</v>
      </c>
      <c r="E330" s="32" t="s">
        <v>72</v>
      </c>
      <c r="F330" s="28" t="s">
        <v>1408</v>
      </c>
      <c r="G330" s="39">
        <v>67</v>
      </c>
      <c r="H330" s="28">
        <v>0</v>
      </c>
      <c r="I330" s="28" t="s">
        <v>1409</v>
      </c>
      <c r="J330" s="28" t="s">
        <v>1410</v>
      </c>
      <c r="K330" s="56" t="s">
        <v>22</v>
      </c>
      <c r="L330" s="28" t="s">
        <v>726</v>
      </c>
      <c r="M330" s="28" t="s">
        <v>323</v>
      </c>
      <c r="N330" s="28" t="s">
        <v>330</v>
      </c>
      <c r="O330" s="29" t="s">
        <v>2</v>
      </c>
      <c r="P330" s="28">
        <v>4</v>
      </c>
      <c r="Q330" s="28" t="s">
        <v>1424</v>
      </c>
      <c r="R330" s="28" t="s">
        <v>1412</v>
      </c>
      <c r="S330" s="34" t="str">
        <f>IFERROR(HYPERLINK("#Main!A"&amp;MATCH(A330,Main!A:A,0),"Open"),HYPERLINK("#Main!A1","Open"))</f>
        <v>Open</v>
      </c>
      <c r="T330" s="34" t="str">
        <f>IFERROR(HYPERLINK("#Technical!A"&amp;MATCH(A330,Technical!A:A,0),"Open"),HYPERLINK("#Technical!A1","Open"))</f>
        <v>Open</v>
      </c>
      <c r="U330" s="34"/>
    </row>
    <row r="331" spans="1:21" ht="45" customHeight="1" x14ac:dyDescent="0.25">
      <c r="A331" s="30" t="s">
        <v>233</v>
      </c>
      <c r="B331" s="37">
        <v>13549</v>
      </c>
      <c r="C331" s="55" t="s">
        <v>1016</v>
      </c>
      <c r="D331" s="37" t="s">
        <v>1407</v>
      </c>
      <c r="E331" s="32" t="s">
        <v>72</v>
      </c>
      <c r="F331" s="37" t="s">
        <v>1408</v>
      </c>
      <c r="G331" s="42">
        <v>67</v>
      </c>
      <c r="H331" s="37">
        <v>0</v>
      </c>
      <c r="I331" s="37" t="s">
        <v>1409</v>
      </c>
      <c r="J331" s="37" t="s">
        <v>1410</v>
      </c>
      <c r="K331" s="57" t="s">
        <v>22</v>
      </c>
      <c r="L331" s="37" t="s">
        <v>726</v>
      </c>
      <c r="M331" s="37" t="s">
        <v>323</v>
      </c>
      <c r="N331" s="37" t="s">
        <v>330</v>
      </c>
      <c r="O331" s="29" t="s">
        <v>2</v>
      </c>
      <c r="P331" s="37">
        <v>4</v>
      </c>
      <c r="Q331" s="37" t="s">
        <v>1425</v>
      </c>
      <c r="R331" s="37" t="s">
        <v>1412</v>
      </c>
      <c r="S331" t="str">
        <f>IFERROR(HYPERLINK("#Main!A"&amp;MATCH(A331,Main!A:A,0),"Open"),HYPERLINK("#Main!A1","Open"))</f>
        <v>Open</v>
      </c>
      <c r="T331" t="str">
        <f>IFERROR(HYPERLINK("#Technical!A"&amp;MATCH(A331,Technical!A:A,0),"Open"),HYPERLINK("#Technical!A1","Open"))</f>
        <v>Open</v>
      </c>
    </row>
    <row r="332" spans="1:21" ht="45" customHeight="1" x14ac:dyDescent="0.25">
      <c r="A332" s="33" t="s">
        <v>241</v>
      </c>
      <c r="B332" s="28">
        <v>13282</v>
      </c>
      <c r="C332" s="55" t="s">
        <v>1018</v>
      </c>
      <c r="D332" s="28" t="s">
        <v>1407</v>
      </c>
      <c r="E332" s="32" t="s">
        <v>72</v>
      </c>
      <c r="F332" s="28" t="s">
        <v>1408</v>
      </c>
      <c r="G332" s="39">
        <v>67</v>
      </c>
      <c r="H332" s="28">
        <v>0</v>
      </c>
      <c r="I332" s="28" t="s">
        <v>1409</v>
      </c>
      <c r="J332" s="28" t="s">
        <v>1410</v>
      </c>
      <c r="K332" s="56" t="s">
        <v>22</v>
      </c>
      <c r="L332" s="28" t="s">
        <v>726</v>
      </c>
      <c r="M332" s="28" t="s">
        <v>323</v>
      </c>
      <c r="N332" s="28" t="s">
        <v>330</v>
      </c>
      <c r="O332" s="29" t="s">
        <v>2</v>
      </c>
      <c r="P332" s="28">
        <v>4</v>
      </c>
      <c r="Q332" s="28" t="s">
        <v>1426</v>
      </c>
      <c r="R332" s="28" t="s">
        <v>1412</v>
      </c>
      <c r="S332" s="34" t="str">
        <f>IFERROR(HYPERLINK("#Main!A"&amp;MATCH(A332,Main!A:A,0),"Open"),HYPERLINK("#Main!A1","Open"))</f>
        <v>Open</v>
      </c>
      <c r="T332" s="34" t="str">
        <f>IFERROR(HYPERLINK("#Technical!A"&amp;MATCH(A332,Technical!A:A,0),"Open"),HYPERLINK("#Technical!A1","Open"))</f>
        <v>Open</v>
      </c>
      <c r="U332" s="34"/>
    </row>
    <row r="333" spans="1:21" ht="45" customHeight="1" x14ac:dyDescent="0.25">
      <c r="A333" s="30" t="s">
        <v>485</v>
      </c>
      <c r="B333" s="37">
        <v>12945</v>
      </c>
      <c r="C333" s="55" t="s">
        <v>1020</v>
      </c>
      <c r="D333" s="37" t="s">
        <v>1407</v>
      </c>
      <c r="E333" s="32" t="s">
        <v>72</v>
      </c>
      <c r="F333" s="37" t="s">
        <v>1408</v>
      </c>
      <c r="G333" s="42">
        <v>67</v>
      </c>
      <c r="H333" s="37">
        <v>0</v>
      </c>
      <c r="I333" s="37" t="s">
        <v>1409</v>
      </c>
      <c r="J333" s="37" t="s">
        <v>1410</v>
      </c>
      <c r="K333" s="57" t="s">
        <v>22</v>
      </c>
      <c r="L333" s="37" t="s">
        <v>726</v>
      </c>
      <c r="M333" s="37" t="s">
        <v>323</v>
      </c>
      <c r="N333" s="37" t="s">
        <v>330</v>
      </c>
      <c r="O333" s="29" t="s">
        <v>2</v>
      </c>
      <c r="P333" s="37">
        <v>4</v>
      </c>
      <c r="Q333" s="37" t="s">
        <v>1427</v>
      </c>
      <c r="R333" s="37" t="s">
        <v>1412</v>
      </c>
      <c r="S333" t="str">
        <f>IFERROR(HYPERLINK("#Main!A"&amp;MATCH(A333,Main!A:A,0),"Open"),HYPERLINK("#Main!A1","Open"))</f>
        <v>Open</v>
      </c>
      <c r="T333" t="str">
        <f>IFERROR(HYPERLINK("#Technical!A"&amp;MATCH(A333,Technical!A:A,0),"Open"),HYPERLINK("#Technical!A1","Open"))</f>
        <v>Open</v>
      </c>
    </row>
    <row r="334" spans="1:21" ht="45" customHeight="1" x14ac:dyDescent="0.25">
      <c r="A334" s="33" t="s">
        <v>488</v>
      </c>
      <c r="B334" s="28">
        <v>13179</v>
      </c>
      <c r="C334" s="55" t="s">
        <v>1022</v>
      </c>
      <c r="D334" s="28" t="s">
        <v>1407</v>
      </c>
      <c r="E334" s="32" t="s">
        <v>72</v>
      </c>
      <c r="F334" s="28" t="s">
        <v>1408</v>
      </c>
      <c r="G334" s="39">
        <v>67</v>
      </c>
      <c r="H334" s="28">
        <v>0</v>
      </c>
      <c r="I334" s="28" t="s">
        <v>1409</v>
      </c>
      <c r="J334" s="28" t="s">
        <v>1410</v>
      </c>
      <c r="K334" s="56" t="s">
        <v>22</v>
      </c>
      <c r="L334" s="28" t="s">
        <v>726</v>
      </c>
      <c r="M334" s="28" t="s">
        <v>323</v>
      </c>
      <c r="N334" s="28" t="s">
        <v>330</v>
      </c>
      <c r="O334" s="29" t="s">
        <v>2</v>
      </c>
      <c r="P334" s="28">
        <v>4</v>
      </c>
      <c r="Q334" s="28" t="s">
        <v>1428</v>
      </c>
      <c r="R334" s="28" t="s">
        <v>1412</v>
      </c>
      <c r="S334" s="34" t="str">
        <f>IFERROR(HYPERLINK("#Main!A"&amp;MATCH(A334,Main!A:A,0),"Open"),HYPERLINK("#Main!A1","Open"))</f>
        <v>Open</v>
      </c>
      <c r="T334" s="34" t="str">
        <f>IFERROR(HYPERLINK("#Technical!A"&amp;MATCH(A334,Technical!A:A,0),"Open"),HYPERLINK("#Technical!A1","Open"))</f>
        <v>Open</v>
      </c>
      <c r="U334" s="34"/>
    </row>
    <row r="335" spans="1:21" ht="45" customHeight="1" x14ac:dyDescent="0.25">
      <c r="A335" s="30" t="s">
        <v>491</v>
      </c>
      <c r="B335" s="37">
        <v>22401</v>
      </c>
      <c r="C335" s="55" t="s">
        <v>1024</v>
      </c>
      <c r="D335" s="37" t="s">
        <v>1407</v>
      </c>
      <c r="E335" s="32" t="s">
        <v>72</v>
      </c>
      <c r="F335" s="37" t="s">
        <v>1408</v>
      </c>
      <c r="G335" s="42">
        <v>67</v>
      </c>
      <c r="H335" s="37">
        <v>0</v>
      </c>
      <c r="I335" s="37" t="s">
        <v>1409</v>
      </c>
      <c r="J335" s="37" t="s">
        <v>1410</v>
      </c>
      <c r="K335" s="57" t="s">
        <v>22</v>
      </c>
      <c r="L335" s="37" t="s">
        <v>726</v>
      </c>
      <c r="M335" s="37" t="s">
        <v>323</v>
      </c>
      <c r="N335" s="37" t="s">
        <v>330</v>
      </c>
      <c r="O335" s="29" t="s">
        <v>2</v>
      </c>
      <c r="P335" s="37">
        <v>4</v>
      </c>
      <c r="Q335" s="37" t="s">
        <v>1429</v>
      </c>
      <c r="R335" s="37" t="s">
        <v>1412</v>
      </c>
      <c r="S335" t="str">
        <f>IFERROR(HYPERLINK("#Main!A"&amp;MATCH(A335,Main!A:A,0),"Open"),HYPERLINK("#Main!A1","Open"))</f>
        <v>Open</v>
      </c>
      <c r="T335" t="str">
        <f>IFERROR(HYPERLINK("#Technical!A"&amp;MATCH(A335,Technical!A:A,0),"Open"),HYPERLINK("#Technical!A1","Open"))</f>
        <v>Open</v>
      </c>
    </row>
    <row r="336" spans="1:21" ht="45" customHeight="1" x14ac:dyDescent="0.25">
      <c r="A336" s="33" t="s">
        <v>494</v>
      </c>
      <c r="B336" s="28">
        <v>18318</v>
      </c>
      <c r="C336" s="55" t="s">
        <v>1026</v>
      </c>
      <c r="D336" s="28" t="s">
        <v>1407</v>
      </c>
      <c r="E336" s="32" t="s">
        <v>72</v>
      </c>
      <c r="F336" s="28" t="s">
        <v>1408</v>
      </c>
      <c r="G336" s="39">
        <v>67</v>
      </c>
      <c r="H336" s="28">
        <v>0</v>
      </c>
      <c r="I336" s="28" t="s">
        <v>1409</v>
      </c>
      <c r="J336" s="28" t="s">
        <v>1410</v>
      </c>
      <c r="K336" s="56" t="s">
        <v>22</v>
      </c>
      <c r="L336" s="28" t="s">
        <v>726</v>
      </c>
      <c r="M336" s="28" t="s">
        <v>323</v>
      </c>
      <c r="N336" s="28" t="s">
        <v>330</v>
      </c>
      <c r="O336" s="29" t="s">
        <v>2</v>
      </c>
      <c r="P336" s="28">
        <v>4</v>
      </c>
      <c r="Q336" s="28" t="s">
        <v>1430</v>
      </c>
      <c r="R336" s="28" t="s">
        <v>1412</v>
      </c>
      <c r="S336" s="34" t="str">
        <f>IFERROR(HYPERLINK("#Main!A"&amp;MATCH(A336,Main!A:A,0),"Open"),HYPERLINK("#Main!A1","Open"))</f>
        <v>Open</v>
      </c>
      <c r="T336" s="34" t="str">
        <f>IFERROR(HYPERLINK("#Technical!A"&amp;MATCH(A336,Technical!A:A,0),"Open"),HYPERLINK("#Technical!A1","Open"))</f>
        <v>Open</v>
      </c>
      <c r="U336" s="34"/>
    </row>
    <row r="337" spans="1:21" ht="45" customHeight="1" x14ac:dyDescent="0.25">
      <c r="A337" s="30" t="s">
        <v>497</v>
      </c>
      <c r="B337" s="37">
        <v>23710</v>
      </c>
      <c r="C337" s="55" t="s">
        <v>1028</v>
      </c>
      <c r="D337" s="37" t="s">
        <v>1407</v>
      </c>
      <c r="E337" s="32" t="s">
        <v>72</v>
      </c>
      <c r="F337" s="37" t="s">
        <v>1408</v>
      </c>
      <c r="G337" s="42">
        <v>67</v>
      </c>
      <c r="H337" s="37">
        <v>0</v>
      </c>
      <c r="I337" s="37" t="s">
        <v>1409</v>
      </c>
      <c r="J337" s="37" t="s">
        <v>1410</v>
      </c>
      <c r="K337" s="57" t="s">
        <v>22</v>
      </c>
      <c r="L337" s="37" t="s">
        <v>726</v>
      </c>
      <c r="M337" s="37" t="s">
        <v>323</v>
      </c>
      <c r="N337" s="37" t="s">
        <v>330</v>
      </c>
      <c r="O337" s="29" t="s">
        <v>2</v>
      </c>
      <c r="P337" s="37">
        <v>4</v>
      </c>
      <c r="Q337" s="37" t="s">
        <v>1431</v>
      </c>
      <c r="R337" s="37" t="s">
        <v>1412</v>
      </c>
      <c r="S337" t="str">
        <f>IFERROR(HYPERLINK("#Main!A"&amp;MATCH(A337,Main!A:A,0),"Open"),HYPERLINK("#Main!A1","Open"))</f>
        <v>Open</v>
      </c>
      <c r="T337" t="str">
        <f>IFERROR(HYPERLINK("#Technical!A"&amp;MATCH(A337,Technical!A:A,0),"Open"),HYPERLINK("#Technical!A1","Open"))</f>
        <v>Open</v>
      </c>
    </row>
    <row r="338" spans="1:21" ht="45" customHeight="1" x14ac:dyDescent="0.25">
      <c r="A338" s="33" t="s">
        <v>500</v>
      </c>
      <c r="B338" s="28">
        <v>30257</v>
      </c>
      <c r="C338" s="55" t="s">
        <v>1030</v>
      </c>
      <c r="D338" s="28" t="s">
        <v>1407</v>
      </c>
      <c r="E338" s="32" t="s">
        <v>72</v>
      </c>
      <c r="F338" s="28" t="s">
        <v>1408</v>
      </c>
      <c r="G338" s="39">
        <v>67</v>
      </c>
      <c r="H338" s="28">
        <v>0</v>
      </c>
      <c r="I338" s="28" t="s">
        <v>1409</v>
      </c>
      <c r="J338" s="28" t="s">
        <v>1410</v>
      </c>
      <c r="K338" s="56" t="s">
        <v>22</v>
      </c>
      <c r="L338" s="28" t="s">
        <v>726</v>
      </c>
      <c r="M338" s="28" t="s">
        <v>323</v>
      </c>
      <c r="N338" s="28" t="s">
        <v>330</v>
      </c>
      <c r="O338" s="29" t="s">
        <v>2</v>
      </c>
      <c r="P338" s="28">
        <v>4</v>
      </c>
      <c r="Q338" s="28" t="s">
        <v>1432</v>
      </c>
      <c r="R338" s="28" t="s">
        <v>1412</v>
      </c>
      <c r="S338" s="34" t="str">
        <f>IFERROR(HYPERLINK("#Main!A"&amp;MATCH(A338,Main!A:A,0),"Open"),HYPERLINK("#Main!A1","Open"))</f>
        <v>Open</v>
      </c>
      <c r="T338" s="34" t="str">
        <f>IFERROR(HYPERLINK("#Technical!A"&amp;MATCH(A338,Technical!A:A,0),"Open"),HYPERLINK("#Technical!A1","Open"))</f>
        <v>Open</v>
      </c>
      <c r="U338" s="34"/>
    </row>
    <row r="339" spans="1:21" ht="45" customHeight="1" x14ac:dyDescent="0.25">
      <c r="A339" s="30" t="s">
        <v>503</v>
      </c>
      <c r="B339" s="37">
        <v>31478</v>
      </c>
      <c r="C339" s="55" t="s">
        <v>1032</v>
      </c>
      <c r="D339" s="37" t="s">
        <v>1407</v>
      </c>
      <c r="E339" s="32" t="s">
        <v>72</v>
      </c>
      <c r="F339" s="37" t="s">
        <v>1408</v>
      </c>
      <c r="G339" s="42">
        <v>67</v>
      </c>
      <c r="H339" s="37">
        <v>0</v>
      </c>
      <c r="I339" s="37" t="s">
        <v>1409</v>
      </c>
      <c r="J339" s="37" t="s">
        <v>1410</v>
      </c>
      <c r="K339" s="57" t="s">
        <v>22</v>
      </c>
      <c r="L339" s="37" t="s">
        <v>726</v>
      </c>
      <c r="M339" s="37" t="s">
        <v>323</v>
      </c>
      <c r="N339" s="37" t="s">
        <v>330</v>
      </c>
      <c r="O339" s="29" t="s">
        <v>2</v>
      </c>
      <c r="P339" s="37">
        <v>4</v>
      </c>
      <c r="Q339" s="37" t="s">
        <v>1433</v>
      </c>
      <c r="R339" s="37" t="s">
        <v>1412</v>
      </c>
      <c r="S339" t="str">
        <f>IFERROR(HYPERLINK("#Main!A"&amp;MATCH(A339,Main!A:A,0),"Open"),HYPERLINK("#Main!A1","Open"))</f>
        <v>Open</v>
      </c>
      <c r="T339" t="str">
        <f>IFERROR(HYPERLINK("#Technical!A"&amp;MATCH(A339,Technical!A:A,0),"Open"),HYPERLINK("#Technical!A1","Open"))</f>
        <v>Open</v>
      </c>
    </row>
    <row r="340" spans="1:21" ht="45" customHeight="1" x14ac:dyDescent="0.25">
      <c r="A340" s="33" t="s">
        <v>506</v>
      </c>
      <c r="B340" s="28">
        <v>33280</v>
      </c>
      <c r="C340" s="55" t="s">
        <v>1034</v>
      </c>
      <c r="D340" s="28" t="s">
        <v>1407</v>
      </c>
      <c r="E340" s="32" t="s">
        <v>72</v>
      </c>
      <c r="F340" s="28" t="s">
        <v>1408</v>
      </c>
      <c r="G340" s="39">
        <v>67</v>
      </c>
      <c r="H340" s="28">
        <v>0</v>
      </c>
      <c r="I340" s="28" t="s">
        <v>1409</v>
      </c>
      <c r="J340" s="28" t="s">
        <v>1410</v>
      </c>
      <c r="K340" s="56" t="s">
        <v>22</v>
      </c>
      <c r="L340" s="28" t="s">
        <v>726</v>
      </c>
      <c r="M340" s="28" t="s">
        <v>323</v>
      </c>
      <c r="N340" s="28" t="s">
        <v>330</v>
      </c>
      <c r="O340" s="29" t="s">
        <v>2</v>
      </c>
      <c r="P340" s="28">
        <v>4</v>
      </c>
      <c r="Q340" s="28" t="s">
        <v>1434</v>
      </c>
      <c r="R340" s="28" t="s">
        <v>1412</v>
      </c>
      <c r="S340" s="34" t="str">
        <f>IFERROR(HYPERLINK("#Main!A"&amp;MATCH(A340,Main!A:A,0),"Open"),HYPERLINK("#Main!A1","Open"))</f>
        <v>Open</v>
      </c>
      <c r="T340" s="34" t="str">
        <f>IFERROR(HYPERLINK("#Technical!A"&amp;MATCH(A340,Technical!A:A,0),"Open"),HYPERLINK("#Technical!A1","Open"))</f>
        <v>Open</v>
      </c>
      <c r="U340" s="34"/>
    </row>
    <row r="341" spans="1:21" ht="45" customHeight="1" x14ac:dyDescent="0.25">
      <c r="A341" s="30" t="s">
        <v>509</v>
      </c>
      <c r="B341" s="37">
        <v>22778</v>
      </c>
      <c r="C341" s="55" t="s">
        <v>1036</v>
      </c>
      <c r="D341" s="37" t="s">
        <v>1407</v>
      </c>
      <c r="E341" s="32" t="s">
        <v>72</v>
      </c>
      <c r="F341" s="37" t="s">
        <v>1408</v>
      </c>
      <c r="G341" s="42">
        <v>67</v>
      </c>
      <c r="H341" s="37">
        <v>0</v>
      </c>
      <c r="I341" s="37" t="s">
        <v>1409</v>
      </c>
      <c r="J341" s="37" t="s">
        <v>1410</v>
      </c>
      <c r="K341" s="57" t="s">
        <v>22</v>
      </c>
      <c r="L341" s="37" t="s">
        <v>726</v>
      </c>
      <c r="M341" s="37" t="s">
        <v>323</v>
      </c>
      <c r="N341" s="37" t="s">
        <v>330</v>
      </c>
      <c r="O341" s="29" t="s">
        <v>2</v>
      </c>
      <c r="P341" s="37">
        <v>4</v>
      </c>
      <c r="Q341" s="37" t="s">
        <v>1435</v>
      </c>
      <c r="R341" s="37" t="s">
        <v>1412</v>
      </c>
      <c r="S341" t="str">
        <f>IFERROR(HYPERLINK("#Main!A"&amp;MATCH(A341,Main!A:A,0),"Open"),HYPERLINK("#Main!A1","Open"))</f>
        <v>Open</v>
      </c>
      <c r="T341" t="str">
        <f>IFERROR(HYPERLINK("#Technical!A"&amp;MATCH(A341,Technical!A:A,0),"Open"),HYPERLINK("#Technical!A1","Open"))</f>
        <v>Open</v>
      </c>
    </row>
    <row r="342" spans="1:21" ht="45" customHeight="1" x14ac:dyDescent="0.25">
      <c r="A342" s="33" t="s">
        <v>512</v>
      </c>
      <c r="B342" s="28">
        <v>5057</v>
      </c>
      <c r="C342" s="55" t="s">
        <v>1038</v>
      </c>
      <c r="D342" s="28" t="s">
        <v>1407</v>
      </c>
      <c r="E342" s="32" t="s">
        <v>72</v>
      </c>
      <c r="F342" s="28" t="s">
        <v>1408</v>
      </c>
      <c r="G342" s="39">
        <v>67</v>
      </c>
      <c r="H342" s="28">
        <v>0</v>
      </c>
      <c r="I342" s="28" t="s">
        <v>1409</v>
      </c>
      <c r="J342" s="28" t="s">
        <v>1410</v>
      </c>
      <c r="K342" s="56" t="s">
        <v>22</v>
      </c>
      <c r="L342" s="28" t="s">
        <v>726</v>
      </c>
      <c r="M342" s="28" t="s">
        <v>323</v>
      </c>
      <c r="N342" s="28" t="s">
        <v>330</v>
      </c>
      <c r="O342" s="29" t="s">
        <v>2</v>
      </c>
      <c r="P342" s="28">
        <v>4</v>
      </c>
      <c r="Q342" s="28" t="s">
        <v>1436</v>
      </c>
      <c r="R342" s="28" t="s">
        <v>1412</v>
      </c>
      <c r="S342" s="34" t="str">
        <f>IFERROR(HYPERLINK("#Main!A"&amp;MATCH(A342,Main!A:A,0),"Open"),HYPERLINK("#Main!A1","Open"))</f>
        <v>Open</v>
      </c>
      <c r="T342" s="34" t="str">
        <f>IFERROR(HYPERLINK("#Technical!A"&amp;MATCH(A342,Technical!A:A,0),"Open"),HYPERLINK("#Technical!A1","Open"))</f>
        <v>Open</v>
      </c>
      <c r="U342" s="34"/>
    </row>
    <row r="343" spans="1:21" ht="45" customHeight="1" x14ac:dyDescent="0.25">
      <c r="A343" s="30" t="s">
        <v>476</v>
      </c>
      <c r="B343" s="37"/>
      <c r="C343" s="37"/>
      <c r="D343" s="37" t="s">
        <v>1407</v>
      </c>
      <c r="E343" s="32" t="s">
        <v>72</v>
      </c>
      <c r="F343" s="37" t="s">
        <v>1408</v>
      </c>
      <c r="G343" s="42">
        <v>67</v>
      </c>
      <c r="H343" s="37">
        <v>0</v>
      </c>
      <c r="I343" s="37" t="s">
        <v>1409</v>
      </c>
      <c r="J343" s="37" t="s">
        <v>1410</v>
      </c>
      <c r="K343" s="57" t="s">
        <v>22</v>
      </c>
      <c r="L343" s="37" t="s">
        <v>726</v>
      </c>
      <c r="M343" s="37" t="s">
        <v>323</v>
      </c>
      <c r="N343" s="37" t="s">
        <v>330</v>
      </c>
      <c r="O343" s="29" t="s">
        <v>2</v>
      </c>
      <c r="P343" s="37">
        <v>4</v>
      </c>
      <c r="Q343" s="37" t="s">
        <v>1437</v>
      </c>
      <c r="R343" s="37" t="s">
        <v>1412</v>
      </c>
      <c r="S343" t="str">
        <f>IFERROR(HYPERLINK("#Main!A"&amp;MATCH(A343,Main!A:A,0),"Open"),HYPERLINK("#Main!A1","Open"))</f>
        <v>Open</v>
      </c>
      <c r="T343" t="str">
        <f>IFERROR(HYPERLINK("#Technical!A"&amp;MATCH(A343,Technical!A:A,0),"Open"),HYPERLINK("#Technical!A1","Open"))</f>
        <v>Open</v>
      </c>
    </row>
    <row r="344" spans="1:21" ht="45" customHeight="1" x14ac:dyDescent="0.25">
      <c r="A344" s="33" t="s">
        <v>515</v>
      </c>
      <c r="B344" s="28">
        <v>12477</v>
      </c>
      <c r="C344" s="55" t="s">
        <v>1040</v>
      </c>
      <c r="D344" s="28" t="s">
        <v>1407</v>
      </c>
      <c r="E344" s="32" t="s">
        <v>72</v>
      </c>
      <c r="F344" s="28" t="s">
        <v>1408</v>
      </c>
      <c r="G344" s="39">
        <v>67</v>
      </c>
      <c r="H344" s="28">
        <v>0</v>
      </c>
      <c r="I344" s="28" t="s">
        <v>1409</v>
      </c>
      <c r="J344" s="28" t="s">
        <v>1410</v>
      </c>
      <c r="K344" s="56" t="s">
        <v>22</v>
      </c>
      <c r="L344" s="28" t="s">
        <v>726</v>
      </c>
      <c r="M344" s="28" t="s">
        <v>323</v>
      </c>
      <c r="N344" s="28" t="s">
        <v>330</v>
      </c>
      <c r="O344" s="29" t="s">
        <v>2</v>
      </c>
      <c r="P344" s="28">
        <v>4</v>
      </c>
      <c r="Q344" s="28" t="s">
        <v>1438</v>
      </c>
      <c r="R344" s="28" t="s">
        <v>1412</v>
      </c>
      <c r="S344" s="34" t="str">
        <f>IFERROR(HYPERLINK("#Main!A"&amp;MATCH(A344,Main!A:A,0),"Open"),HYPERLINK("#Main!A1","Open"))</f>
        <v>Open</v>
      </c>
      <c r="T344" s="34" t="str">
        <f>IFERROR(HYPERLINK("#Technical!A"&amp;MATCH(A344,Technical!A:A,0),"Open"),HYPERLINK("#Technical!A1","Open"))</f>
        <v>Open</v>
      </c>
      <c r="U344" s="34"/>
    </row>
    <row r="345" spans="1:21" ht="45" customHeight="1" x14ac:dyDescent="0.25">
      <c r="A345" s="30" t="s">
        <v>518</v>
      </c>
      <c r="B345" s="37">
        <v>21958</v>
      </c>
      <c r="C345" s="55" t="s">
        <v>1042</v>
      </c>
      <c r="D345" s="37" t="s">
        <v>1407</v>
      </c>
      <c r="E345" s="32" t="s">
        <v>72</v>
      </c>
      <c r="F345" s="37" t="s">
        <v>1408</v>
      </c>
      <c r="G345" s="42">
        <v>67</v>
      </c>
      <c r="H345" s="37">
        <v>0</v>
      </c>
      <c r="I345" s="37" t="s">
        <v>1409</v>
      </c>
      <c r="J345" s="37" t="s">
        <v>1410</v>
      </c>
      <c r="K345" s="57" t="s">
        <v>22</v>
      </c>
      <c r="L345" s="37" t="s">
        <v>726</v>
      </c>
      <c r="M345" s="37" t="s">
        <v>323</v>
      </c>
      <c r="N345" s="37" t="s">
        <v>330</v>
      </c>
      <c r="O345" s="29" t="s">
        <v>2</v>
      </c>
      <c r="P345" s="37">
        <v>4</v>
      </c>
      <c r="Q345" s="37" t="s">
        <v>1439</v>
      </c>
      <c r="R345" s="37" t="s">
        <v>1412</v>
      </c>
      <c r="S345" t="str">
        <f>IFERROR(HYPERLINK("#Main!A"&amp;MATCH(A345,Main!A:A,0),"Open"),HYPERLINK("#Main!A1","Open"))</f>
        <v>Open</v>
      </c>
      <c r="T345" t="str">
        <f>IFERROR(HYPERLINK("#Technical!A"&amp;MATCH(A345,Technical!A:A,0),"Open"),HYPERLINK("#Technical!A1","Open"))</f>
        <v>Open</v>
      </c>
    </row>
    <row r="346" spans="1:21" ht="45" customHeight="1" x14ac:dyDescent="0.25">
      <c r="A346" s="33" t="s">
        <v>521</v>
      </c>
      <c r="B346" s="28">
        <v>21984</v>
      </c>
      <c r="C346" s="55" t="s">
        <v>1044</v>
      </c>
      <c r="D346" s="28" t="s">
        <v>1407</v>
      </c>
      <c r="E346" s="32" t="s">
        <v>72</v>
      </c>
      <c r="F346" s="28" t="s">
        <v>1408</v>
      </c>
      <c r="G346" s="39">
        <v>67</v>
      </c>
      <c r="H346" s="28">
        <v>0</v>
      </c>
      <c r="I346" s="28" t="s">
        <v>1409</v>
      </c>
      <c r="J346" s="28" t="s">
        <v>1410</v>
      </c>
      <c r="K346" s="56" t="s">
        <v>22</v>
      </c>
      <c r="L346" s="28" t="s">
        <v>726</v>
      </c>
      <c r="M346" s="28" t="s">
        <v>323</v>
      </c>
      <c r="N346" s="28" t="s">
        <v>330</v>
      </c>
      <c r="O346" s="29" t="s">
        <v>2</v>
      </c>
      <c r="P346" s="28">
        <v>4</v>
      </c>
      <c r="Q346" s="28" t="s">
        <v>1440</v>
      </c>
      <c r="R346" s="28" t="s">
        <v>1412</v>
      </c>
      <c r="S346" s="34" t="str">
        <f>IFERROR(HYPERLINK("#Main!A"&amp;MATCH(A346,Main!A:A,0),"Open"),HYPERLINK("#Main!A1","Open"))</f>
        <v>Open</v>
      </c>
      <c r="T346" s="34" t="str">
        <f>IFERROR(HYPERLINK("#Technical!A"&amp;MATCH(A346,Technical!A:A,0),"Open"),HYPERLINK("#Technical!A1","Open"))</f>
        <v>Open</v>
      </c>
      <c r="U346" s="34"/>
    </row>
    <row r="347" spans="1:21" ht="45" customHeight="1" x14ac:dyDescent="0.25">
      <c r="A347" s="30" t="s">
        <v>524</v>
      </c>
      <c r="B347" s="37">
        <v>33131</v>
      </c>
      <c r="C347" s="55" t="s">
        <v>1046</v>
      </c>
      <c r="D347" s="37" t="s">
        <v>1407</v>
      </c>
      <c r="E347" s="32" t="s">
        <v>72</v>
      </c>
      <c r="F347" s="37" t="s">
        <v>1408</v>
      </c>
      <c r="G347" s="42">
        <v>67</v>
      </c>
      <c r="H347" s="37">
        <v>0</v>
      </c>
      <c r="I347" s="37" t="s">
        <v>1409</v>
      </c>
      <c r="J347" s="37" t="s">
        <v>1410</v>
      </c>
      <c r="K347" s="57" t="s">
        <v>22</v>
      </c>
      <c r="L347" s="37" t="s">
        <v>726</v>
      </c>
      <c r="M347" s="37" t="s">
        <v>323</v>
      </c>
      <c r="N347" s="37" t="s">
        <v>330</v>
      </c>
      <c r="O347" s="29" t="s">
        <v>2</v>
      </c>
      <c r="P347" s="37">
        <v>4</v>
      </c>
      <c r="Q347" s="37" t="s">
        <v>1441</v>
      </c>
      <c r="R347" s="37" t="s">
        <v>1412</v>
      </c>
      <c r="S347" t="str">
        <f>IFERROR(HYPERLINK("#Main!A"&amp;MATCH(A347,Main!A:A,0),"Open"),HYPERLINK("#Main!A1","Open"))</f>
        <v>Open</v>
      </c>
      <c r="T347" t="str">
        <f>IFERROR(HYPERLINK("#Technical!A"&amp;MATCH(A347,Technical!A:A,0),"Open"),HYPERLINK("#Technical!A1","Open"))</f>
        <v>Open</v>
      </c>
    </row>
    <row r="348" spans="1:21" ht="45" customHeight="1" x14ac:dyDescent="0.25">
      <c r="A348" s="33" t="s">
        <v>527</v>
      </c>
      <c r="B348" s="28">
        <v>21958</v>
      </c>
      <c r="C348" s="55" t="s">
        <v>1042</v>
      </c>
      <c r="D348" s="28" t="s">
        <v>1407</v>
      </c>
      <c r="E348" s="32" t="s">
        <v>72</v>
      </c>
      <c r="F348" s="28" t="s">
        <v>1408</v>
      </c>
      <c r="G348" s="39">
        <v>67</v>
      </c>
      <c r="H348" s="28">
        <v>0</v>
      </c>
      <c r="I348" s="28" t="s">
        <v>1409</v>
      </c>
      <c r="J348" s="28" t="s">
        <v>1410</v>
      </c>
      <c r="K348" s="56" t="s">
        <v>22</v>
      </c>
      <c r="L348" s="28" t="s">
        <v>726</v>
      </c>
      <c r="M348" s="28" t="s">
        <v>323</v>
      </c>
      <c r="N348" s="28" t="s">
        <v>330</v>
      </c>
      <c r="O348" s="29" t="s">
        <v>2</v>
      </c>
      <c r="P348" s="28">
        <v>4</v>
      </c>
      <c r="Q348" s="28" t="s">
        <v>1442</v>
      </c>
      <c r="R348" s="28" t="s">
        <v>1412</v>
      </c>
      <c r="S348" s="34" t="str">
        <f>IFERROR(HYPERLINK("#Main!A"&amp;MATCH(A348,Main!A:A,0),"Open"),HYPERLINK("#Main!A1","Open"))</f>
        <v>Open</v>
      </c>
      <c r="T348" s="34" t="str">
        <f>IFERROR(HYPERLINK("#Technical!A"&amp;MATCH(A348,Technical!A:A,0),"Open"),HYPERLINK("#Technical!A1","Open"))</f>
        <v>Open</v>
      </c>
      <c r="U348" s="34"/>
    </row>
    <row r="349" spans="1:21" ht="45" customHeight="1" x14ac:dyDescent="0.25">
      <c r="A349" s="30" t="s">
        <v>528</v>
      </c>
      <c r="B349" s="37">
        <v>25857</v>
      </c>
      <c r="C349" s="55" t="s">
        <v>1049</v>
      </c>
      <c r="D349" s="37" t="s">
        <v>1407</v>
      </c>
      <c r="E349" s="32" t="s">
        <v>72</v>
      </c>
      <c r="F349" s="37" t="s">
        <v>1408</v>
      </c>
      <c r="G349" s="42">
        <v>67</v>
      </c>
      <c r="H349" s="37">
        <v>0</v>
      </c>
      <c r="I349" s="37" t="s">
        <v>1409</v>
      </c>
      <c r="J349" s="37" t="s">
        <v>1410</v>
      </c>
      <c r="K349" s="57" t="s">
        <v>22</v>
      </c>
      <c r="L349" s="37" t="s">
        <v>726</v>
      </c>
      <c r="M349" s="37" t="s">
        <v>323</v>
      </c>
      <c r="N349" s="37" t="s">
        <v>330</v>
      </c>
      <c r="O349" s="29" t="s">
        <v>2</v>
      </c>
      <c r="P349" s="37">
        <v>4</v>
      </c>
      <c r="Q349" s="37" t="s">
        <v>1443</v>
      </c>
      <c r="R349" s="37" t="s">
        <v>1412</v>
      </c>
      <c r="S349" t="str">
        <f>IFERROR(HYPERLINK("#Main!A"&amp;MATCH(A349,Main!A:A,0),"Open"),HYPERLINK("#Main!A1","Open"))</f>
        <v>Open</v>
      </c>
      <c r="T349" t="str">
        <f>IFERROR(HYPERLINK("#Technical!A"&amp;MATCH(A349,Technical!A:A,0),"Open"),HYPERLINK("#Technical!A1","Open"))</f>
        <v>Open</v>
      </c>
    </row>
    <row r="350" spans="1:21" ht="45" customHeight="1" x14ac:dyDescent="0.25">
      <c r="A350" s="33" t="s">
        <v>531</v>
      </c>
      <c r="B350" s="28">
        <v>25788</v>
      </c>
      <c r="C350" s="55" t="s">
        <v>1051</v>
      </c>
      <c r="D350" s="28" t="s">
        <v>1407</v>
      </c>
      <c r="E350" s="32" t="s">
        <v>72</v>
      </c>
      <c r="F350" s="28" t="s">
        <v>1408</v>
      </c>
      <c r="G350" s="39">
        <v>67</v>
      </c>
      <c r="H350" s="28">
        <v>0</v>
      </c>
      <c r="I350" s="28" t="s">
        <v>1409</v>
      </c>
      <c r="J350" s="28" t="s">
        <v>1410</v>
      </c>
      <c r="K350" s="56" t="s">
        <v>22</v>
      </c>
      <c r="L350" s="28" t="s">
        <v>726</v>
      </c>
      <c r="M350" s="28" t="s">
        <v>323</v>
      </c>
      <c r="N350" s="28" t="s">
        <v>330</v>
      </c>
      <c r="O350" s="29" t="s">
        <v>2</v>
      </c>
      <c r="P350" s="28">
        <v>4</v>
      </c>
      <c r="Q350" s="28" t="s">
        <v>1444</v>
      </c>
      <c r="R350" s="28" t="s">
        <v>1412</v>
      </c>
      <c r="S350" s="34" t="str">
        <f>IFERROR(HYPERLINK("#Main!A"&amp;MATCH(A350,Main!A:A,0),"Open"),HYPERLINK("#Main!A1","Open"))</f>
        <v>Open</v>
      </c>
      <c r="T350" s="34" t="str">
        <f>IFERROR(HYPERLINK("#Technical!A"&amp;MATCH(A350,Technical!A:A,0),"Open"),HYPERLINK("#Technical!A1","Open"))</f>
        <v>Open</v>
      </c>
      <c r="U350" s="34"/>
    </row>
    <row r="351" spans="1:21" ht="45" customHeight="1" x14ac:dyDescent="0.25">
      <c r="A351" s="30" t="s">
        <v>534</v>
      </c>
      <c r="B351" s="37">
        <v>26290</v>
      </c>
      <c r="C351" s="55" t="s">
        <v>1053</v>
      </c>
      <c r="D351" s="37" t="s">
        <v>1407</v>
      </c>
      <c r="E351" s="32" t="s">
        <v>72</v>
      </c>
      <c r="F351" s="37" t="s">
        <v>1408</v>
      </c>
      <c r="G351" s="42">
        <v>67</v>
      </c>
      <c r="H351" s="37">
        <v>0</v>
      </c>
      <c r="I351" s="37" t="s">
        <v>1409</v>
      </c>
      <c r="J351" s="37" t="s">
        <v>1410</v>
      </c>
      <c r="K351" s="57" t="s">
        <v>22</v>
      </c>
      <c r="L351" s="37" t="s">
        <v>726</v>
      </c>
      <c r="M351" s="37" t="s">
        <v>323</v>
      </c>
      <c r="N351" s="37" t="s">
        <v>330</v>
      </c>
      <c r="O351" s="29" t="s">
        <v>2</v>
      </c>
      <c r="P351" s="37">
        <v>4</v>
      </c>
      <c r="Q351" s="37" t="s">
        <v>1445</v>
      </c>
      <c r="R351" s="37" t="s">
        <v>1412</v>
      </c>
      <c r="S351" t="str">
        <f>IFERROR(HYPERLINK("#Main!A"&amp;MATCH(A351,Main!A:A,0),"Open"),HYPERLINK("#Main!A1","Open"))</f>
        <v>Open</v>
      </c>
      <c r="T351" t="str">
        <f>IFERROR(HYPERLINK("#Technical!A"&amp;MATCH(A351,Technical!A:A,0),"Open"),HYPERLINK("#Technical!A1","Open"))</f>
        <v>Open</v>
      </c>
    </row>
    <row r="352" spans="1:21" ht="45" customHeight="1" x14ac:dyDescent="0.25">
      <c r="A352" s="33" t="s">
        <v>537</v>
      </c>
      <c r="B352" s="28">
        <v>24882</v>
      </c>
      <c r="C352" s="55" t="s">
        <v>1055</v>
      </c>
      <c r="D352" s="28" t="s">
        <v>1407</v>
      </c>
      <c r="E352" s="32" t="s">
        <v>72</v>
      </c>
      <c r="F352" s="28" t="s">
        <v>1408</v>
      </c>
      <c r="G352" s="39">
        <v>67</v>
      </c>
      <c r="H352" s="28">
        <v>0</v>
      </c>
      <c r="I352" s="28" t="s">
        <v>1409</v>
      </c>
      <c r="J352" s="28" t="s">
        <v>1410</v>
      </c>
      <c r="K352" s="56" t="s">
        <v>22</v>
      </c>
      <c r="L352" s="28" t="s">
        <v>726</v>
      </c>
      <c r="M352" s="28" t="s">
        <v>323</v>
      </c>
      <c r="N352" s="28" t="s">
        <v>330</v>
      </c>
      <c r="O352" s="29" t="s">
        <v>2</v>
      </c>
      <c r="P352" s="28">
        <v>4</v>
      </c>
      <c r="Q352" s="28" t="s">
        <v>1446</v>
      </c>
      <c r="R352" s="28" t="s">
        <v>1412</v>
      </c>
      <c r="S352" s="34" t="str">
        <f>IFERROR(HYPERLINK("#Main!A"&amp;MATCH(A352,Main!A:A,0),"Open"),HYPERLINK("#Main!A1","Open"))</f>
        <v>Open</v>
      </c>
      <c r="T352" s="34" t="str">
        <f>IFERROR(HYPERLINK("#Technical!A"&amp;MATCH(A352,Technical!A:A,0),"Open"),HYPERLINK("#Technical!A1","Open"))</f>
        <v>Open</v>
      </c>
      <c r="U352" s="34"/>
    </row>
    <row r="353" spans="1:21" ht="45" customHeight="1" x14ac:dyDescent="0.25">
      <c r="A353" s="30" t="s">
        <v>540</v>
      </c>
      <c r="B353" s="37">
        <v>22595</v>
      </c>
      <c r="C353" s="55" t="s">
        <v>1057</v>
      </c>
      <c r="D353" s="37" t="s">
        <v>1407</v>
      </c>
      <c r="E353" s="32" t="s">
        <v>72</v>
      </c>
      <c r="F353" s="37" t="s">
        <v>1408</v>
      </c>
      <c r="G353" s="42">
        <v>67</v>
      </c>
      <c r="H353" s="37">
        <v>0</v>
      </c>
      <c r="I353" s="37" t="s">
        <v>1409</v>
      </c>
      <c r="J353" s="37" t="s">
        <v>1410</v>
      </c>
      <c r="K353" s="57" t="s">
        <v>22</v>
      </c>
      <c r="L353" s="37" t="s">
        <v>726</v>
      </c>
      <c r="M353" s="37" t="s">
        <v>323</v>
      </c>
      <c r="N353" s="37" t="s">
        <v>330</v>
      </c>
      <c r="O353" s="29" t="s">
        <v>2</v>
      </c>
      <c r="P353" s="37">
        <v>4</v>
      </c>
      <c r="Q353" s="37" t="s">
        <v>1447</v>
      </c>
      <c r="R353" s="37" t="s">
        <v>1412</v>
      </c>
      <c r="S353" t="str">
        <f>IFERROR(HYPERLINK("#Main!A"&amp;MATCH(A353,Main!A:A,0),"Open"),HYPERLINK("#Main!A1","Open"))</f>
        <v>Open</v>
      </c>
      <c r="T353" t="str">
        <f>IFERROR(HYPERLINK("#Technical!A"&amp;MATCH(A353,Technical!A:A,0),"Open"),HYPERLINK("#Technical!A1","Open"))</f>
        <v>Open</v>
      </c>
    </row>
    <row r="354" spans="1:21" ht="45" customHeight="1" x14ac:dyDescent="0.25">
      <c r="A354" s="33" t="s">
        <v>543</v>
      </c>
      <c r="B354" s="28">
        <v>29496</v>
      </c>
      <c r="C354" s="55" t="s">
        <v>1059</v>
      </c>
      <c r="D354" s="28" t="s">
        <v>1407</v>
      </c>
      <c r="E354" s="32" t="s">
        <v>72</v>
      </c>
      <c r="F354" s="28" t="s">
        <v>1408</v>
      </c>
      <c r="G354" s="39">
        <v>67</v>
      </c>
      <c r="H354" s="28">
        <v>0</v>
      </c>
      <c r="I354" s="28" t="s">
        <v>1409</v>
      </c>
      <c r="J354" s="28" t="s">
        <v>1410</v>
      </c>
      <c r="K354" s="56" t="s">
        <v>22</v>
      </c>
      <c r="L354" s="28" t="s">
        <v>726</v>
      </c>
      <c r="M354" s="28" t="s">
        <v>323</v>
      </c>
      <c r="N354" s="28" t="s">
        <v>330</v>
      </c>
      <c r="O354" s="29" t="s">
        <v>2</v>
      </c>
      <c r="P354" s="28">
        <v>4</v>
      </c>
      <c r="Q354" s="28" t="s">
        <v>1448</v>
      </c>
      <c r="R354" s="28" t="s">
        <v>1412</v>
      </c>
      <c r="S354" s="34" t="str">
        <f>IFERROR(HYPERLINK("#Main!A"&amp;MATCH(A354,Main!A:A,0),"Open"),HYPERLINK("#Main!A1","Open"))</f>
        <v>Open</v>
      </c>
      <c r="T354" s="34" t="str">
        <f>IFERROR(HYPERLINK("#Technical!A"&amp;MATCH(A354,Technical!A:A,0),"Open"),HYPERLINK("#Technical!A1","Open"))</f>
        <v>Open</v>
      </c>
      <c r="U354" s="34"/>
    </row>
    <row r="355" spans="1:21" ht="45" customHeight="1" x14ac:dyDescent="0.25">
      <c r="A355" s="30" t="s">
        <v>546</v>
      </c>
      <c r="B355" s="37">
        <v>16104</v>
      </c>
      <c r="C355" s="55" t="s">
        <v>1061</v>
      </c>
      <c r="D355" s="37" t="s">
        <v>1407</v>
      </c>
      <c r="E355" s="32" t="s">
        <v>72</v>
      </c>
      <c r="F355" s="37" t="s">
        <v>1408</v>
      </c>
      <c r="G355" s="42">
        <v>67</v>
      </c>
      <c r="H355" s="37">
        <v>0</v>
      </c>
      <c r="I355" s="37" t="s">
        <v>1409</v>
      </c>
      <c r="J355" s="37" t="s">
        <v>1410</v>
      </c>
      <c r="K355" s="57" t="s">
        <v>22</v>
      </c>
      <c r="L355" s="37" t="s">
        <v>726</v>
      </c>
      <c r="M355" s="37" t="s">
        <v>323</v>
      </c>
      <c r="N355" s="37" t="s">
        <v>330</v>
      </c>
      <c r="O355" s="29" t="s">
        <v>2</v>
      </c>
      <c r="P355" s="37">
        <v>4</v>
      </c>
      <c r="Q355" s="37" t="s">
        <v>1449</v>
      </c>
      <c r="R355" s="37" t="s">
        <v>1412</v>
      </c>
      <c r="S355" t="str">
        <f>IFERROR(HYPERLINK("#Main!A"&amp;MATCH(A355,Main!A:A,0),"Open"),HYPERLINK("#Main!A1","Open"))</f>
        <v>Open</v>
      </c>
      <c r="T355" t="str">
        <f>IFERROR(HYPERLINK("#Technical!A"&amp;MATCH(A355,Technical!A:A,0),"Open"),HYPERLINK("#Technical!A1","Open"))</f>
        <v>Open</v>
      </c>
    </row>
    <row r="356" spans="1:21" ht="45" customHeight="1" x14ac:dyDescent="0.25">
      <c r="A356" s="33" t="s">
        <v>483</v>
      </c>
      <c r="B356" s="28"/>
      <c r="C356" s="28"/>
      <c r="D356" s="28" t="s">
        <v>1407</v>
      </c>
      <c r="E356" s="32" t="s">
        <v>72</v>
      </c>
      <c r="F356" s="28" t="s">
        <v>1408</v>
      </c>
      <c r="G356" s="39">
        <v>67</v>
      </c>
      <c r="H356" s="28">
        <v>0</v>
      </c>
      <c r="I356" s="28" t="s">
        <v>1409</v>
      </c>
      <c r="J356" s="28" t="s">
        <v>1410</v>
      </c>
      <c r="K356" s="56" t="s">
        <v>22</v>
      </c>
      <c r="L356" s="28" t="s">
        <v>726</v>
      </c>
      <c r="M356" s="28" t="s">
        <v>323</v>
      </c>
      <c r="N356" s="28" t="s">
        <v>330</v>
      </c>
      <c r="O356" s="29" t="s">
        <v>2</v>
      </c>
      <c r="P356" s="28">
        <v>4</v>
      </c>
      <c r="Q356" s="28" t="s">
        <v>1450</v>
      </c>
      <c r="R356" s="28" t="s">
        <v>1412</v>
      </c>
      <c r="S356" s="34" t="str">
        <f>IFERROR(HYPERLINK("#Main!A"&amp;MATCH(A356,Main!A:A,0),"Open"),HYPERLINK("#Main!A1","Open"))</f>
        <v>Open</v>
      </c>
      <c r="T356" s="34" t="str">
        <f>IFERROR(HYPERLINK("#Technical!A"&amp;MATCH(A356,Technical!A:A,0),"Open"),HYPERLINK("#Technical!A1","Open"))</f>
        <v>Open</v>
      </c>
      <c r="U356" s="34"/>
    </row>
    <row r="357" spans="1:21" ht="45" customHeight="1" x14ac:dyDescent="0.25">
      <c r="A357" s="30" t="s">
        <v>549</v>
      </c>
      <c r="B357" s="37">
        <v>23021</v>
      </c>
      <c r="C357" s="55" t="s">
        <v>1063</v>
      </c>
      <c r="D357" s="37" t="s">
        <v>1407</v>
      </c>
      <c r="E357" s="32" t="s">
        <v>72</v>
      </c>
      <c r="F357" s="37" t="s">
        <v>1408</v>
      </c>
      <c r="G357" s="42">
        <v>67</v>
      </c>
      <c r="H357" s="37">
        <v>0</v>
      </c>
      <c r="I357" s="37" t="s">
        <v>1409</v>
      </c>
      <c r="J357" s="37" t="s">
        <v>1410</v>
      </c>
      <c r="K357" s="57" t="s">
        <v>22</v>
      </c>
      <c r="L357" s="37" t="s">
        <v>726</v>
      </c>
      <c r="M357" s="37" t="s">
        <v>323</v>
      </c>
      <c r="N357" s="37" t="s">
        <v>330</v>
      </c>
      <c r="O357" s="29" t="s">
        <v>2</v>
      </c>
      <c r="P357" s="37">
        <v>4</v>
      </c>
      <c r="Q357" s="37" t="s">
        <v>1451</v>
      </c>
      <c r="R357" s="37" t="s">
        <v>1412</v>
      </c>
      <c r="S357" t="str">
        <f>IFERROR(HYPERLINK("#Main!A"&amp;MATCH(A357,Main!A:A,0),"Open"),HYPERLINK("#Main!A1","Open"))</f>
        <v>Open</v>
      </c>
      <c r="T357" t="str">
        <f>IFERROR(HYPERLINK("#Technical!A"&amp;MATCH(A357,Technical!A:A,0),"Open"),HYPERLINK("#Technical!A1","Open"))</f>
        <v>Open</v>
      </c>
    </row>
    <row r="358" spans="1:21" ht="45" customHeight="1" x14ac:dyDescent="0.25">
      <c r="A358" s="33" t="s">
        <v>552</v>
      </c>
      <c r="B358" s="28">
        <v>6553</v>
      </c>
      <c r="C358" s="55" t="s">
        <v>1065</v>
      </c>
      <c r="D358" s="28" t="s">
        <v>1407</v>
      </c>
      <c r="E358" s="32" t="s">
        <v>72</v>
      </c>
      <c r="F358" s="28" t="s">
        <v>1408</v>
      </c>
      <c r="G358" s="39">
        <v>67</v>
      </c>
      <c r="H358" s="28">
        <v>0</v>
      </c>
      <c r="I358" s="28" t="s">
        <v>1409</v>
      </c>
      <c r="J358" s="28" t="s">
        <v>1410</v>
      </c>
      <c r="K358" s="56" t="s">
        <v>22</v>
      </c>
      <c r="L358" s="28" t="s">
        <v>726</v>
      </c>
      <c r="M358" s="28" t="s">
        <v>323</v>
      </c>
      <c r="N358" s="28" t="s">
        <v>330</v>
      </c>
      <c r="O358" s="29" t="s">
        <v>2</v>
      </c>
      <c r="P358" s="28">
        <v>4</v>
      </c>
      <c r="Q358" s="28" t="s">
        <v>1452</v>
      </c>
      <c r="R358" s="28" t="s">
        <v>1412</v>
      </c>
      <c r="S358" s="34" t="str">
        <f>IFERROR(HYPERLINK("#Main!A"&amp;MATCH(A358,Main!A:A,0),"Open"),HYPERLINK("#Main!A1","Open"))</f>
        <v>Open</v>
      </c>
      <c r="T358" s="34" t="str">
        <f>IFERROR(HYPERLINK("#Technical!A"&amp;MATCH(A358,Technical!A:A,0),"Open"),HYPERLINK("#Technical!A1","Open"))</f>
        <v>Open</v>
      </c>
      <c r="U358" s="34"/>
    </row>
    <row r="359" spans="1:21" ht="45" customHeight="1" x14ac:dyDescent="0.25">
      <c r="A359" s="30" t="s">
        <v>555</v>
      </c>
      <c r="B359" s="37">
        <v>6816</v>
      </c>
      <c r="C359" s="55" t="s">
        <v>1067</v>
      </c>
      <c r="D359" s="37" t="s">
        <v>1407</v>
      </c>
      <c r="E359" s="32" t="s">
        <v>72</v>
      </c>
      <c r="F359" s="37" t="s">
        <v>1408</v>
      </c>
      <c r="G359" s="42">
        <v>67</v>
      </c>
      <c r="H359" s="37">
        <v>0</v>
      </c>
      <c r="I359" s="37" t="s">
        <v>1409</v>
      </c>
      <c r="J359" s="37" t="s">
        <v>1410</v>
      </c>
      <c r="K359" s="57" t="s">
        <v>22</v>
      </c>
      <c r="L359" s="37" t="s">
        <v>726</v>
      </c>
      <c r="M359" s="37" t="s">
        <v>323</v>
      </c>
      <c r="N359" s="37" t="s">
        <v>330</v>
      </c>
      <c r="O359" s="29" t="s">
        <v>2</v>
      </c>
      <c r="P359" s="37">
        <v>4</v>
      </c>
      <c r="Q359" s="37" t="s">
        <v>1453</v>
      </c>
      <c r="R359" s="37" t="s">
        <v>1412</v>
      </c>
      <c r="S359" t="str">
        <f>IFERROR(HYPERLINK("#Main!A"&amp;MATCH(A359,Main!A:A,0),"Open"),HYPERLINK("#Main!A1","Open"))</f>
        <v>Open</v>
      </c>
      <c r="T359" t="str">
        <f>IFERROR(HYPERLINK("#Technical!A"&amp;MATCH(A359,Technical!A:A,0),"Open"),HYPERLINK("#Technical!A1","Open"))</f>
        <v>Open</v>
      </c>
    </row>
    <row r="360" spans="1:21" ht="45" customHeight="1" x14ac:dyDescent="0.25">
      <c r="A360" s="33" t="s">
        <v>557</v>
      </c>
      <c r="B360" s="28">
        <v>6822</v>
      </c>
      <c r="C360" s="55" t="s">
        <v>1069</v>
      </c>
      <c r="D360" s="28" t="s">
        <v>1407</v>
      </c>
      <c r="E360" s="32" t="s">
        <v>72</v>
      </c>
      <c r="F360" s="28" t="s">
        <v>1408</v>
      </c>
      <c r="G360" s="39">
        <v>67</v>
      </c>
      <c r="H360" s="28">
        <v>0</v>
      </c>
      <c r="I360" s="28" t="s">
        <v>1409</v>
      </c>
      <c r="J360" s="28" t="s">
        <v>1410</v>
      </c>
      <c r="K360" s="56" t="s">
        <v>22</v>
      </c>
      <c r="L360" s="28" t="s">
        <v>726</v>
      </c>
      <c r="M360" s="28" t="s">
        <v>323</v>
      </c>
      <c r="N360" s="28" t="s">
        <v>330</v>
      </c>
      <c r="O360" s="29" t="s">
        <v>2</v>
      </c>
      <c r="P360" s="28">
        <v>4</v>
      </c>
      <c r="Q360" s="28" t="s">
        <v>1454</v>
      </c>
      <c r="R360" s="28" t="s">
        <v>1412</v>
      </c>
      <c r="S360" s="34" t="str">
        <f>IFERROR(HYPERLINK("#Main!A"&amp;MATCH(A360,Main!A:A,0),"Open"),HYPERLINK("#Main!A1","Open"))</f>
        <v>Open</v>
      </c>
      <c r="T360" s="34" t="str">
        <f>IFERROR(HYPERLINK("#Technical!A"&amp;MATCH(A360,Technical!A:A,0),"Open"),HYPERLINK("#Technical!A1","Open"))</f>
        <v>Open</v>
      </c>
      <c r="U360" s="34"/>
    </row>
    <row r="361" spans="1:21" ht="45" customHeight="1" x14ac:dyDescent="0.25">
      <c r="A361" s="30" t="s">
        <v>560</v>
      </c>
      <c r="B361" s="37">
        <v>4492</v>
      </c>
      <c r="C361" s="55" t="s">
        <v>1071</v>
      </c>
      <c r="D361" s="37" t="s">
        <v>1407</v>
      </c>
      <c r="E361" s="32" t="s">
        <v>72</v>
      </c>
      <c r="F361" s="37" t="s">
        <v>1408</v>
      </c>
      <c r="G361" s="42">
        <v>67</v>
      </c>
      <c r="H361" s="37">
        <v>0</v>
      </c>
      <c r="I361" s="37" t="s">
        <v>1409</v>
      </c>
      <c r="J361" s="37" t="s">
        <v>1410</v>
      </c>
      <c r="K361" s="57" t="s">
        <v>22</v>
      </c>
      <c r="L361" s="37" t="s">
        <v>726</v>
      </c>
      <c r="M361" s="37" t="s">
        <v>323</v>
      </c>
      <c r="N361" s="37" t="s">
        <v>330</v>
      </c>
      <c r="O361" s="29" t="s">
        <v>2</v>
      </c>
      <c r="P361" s="37">
        <v>4</v>
      </c>
      <c r="Q361" s="37" t="s">
        <v>1455</v>
      </c>
      <c r="R361" s="37" t="s">
        <v>1412</v>
      </c>
      <c r="S361" t="str">
        <f>IFERROR(HYPERLINK("#Main!A"&amp;MATCH(A361,Main!A:A,0),"Open"),HYPERLINK("#Main!A1","Open"))</f>
        <v>Open</v>
      </c>
      <c r="T361" t="str">
        <f>IFERROR(HYPERLINK("#Technical!A"&amp;MATCH(A361,Technical!A:A,0),"Open"),HYPERLINK("#Technical!A1","Open"))</f>
        <v>Open</v>
      </c>
    </row>
    <row r="362" spans="1:21" ht="45" customHeight="1" x14ac:dyDescent="0.25">
      <c r="A362" s="33" t="s">
        <v>563</v>
      </c>
      <c r="B362" s="28">
        <v>23001</v>
      </c>
      <c r="C362" s="55" t="s">
        <v>1073</v>
      </c>
      <c r="D362" s="28" t="s">
        <v>1407</v>
      </c>
      <c r="E362" s="32" t="s">
        <v>72</v>
      </c>
      <c r="F362" s="28" t="s">
        <v>1408</v>
      </c>
      <c r="G362" s="39">
        <v>67</v>
      </c>
      <c r="H362" s="28">
        <v>0</v>
      </c>
      <c r="I362" s="28" t="s">
        <v>1409</v>
      </c>
      <c r="J362" s="28" t="s">
        <v>1410</v>
      </c>
      <c r="K362" s="56" t="s">
        <v>22</v>
      </c>
      <c r="L362" s="28" t="s">
        <v>726</v>
      </c>
      <c r="M362" s="28" t="s">
        <v>323</v>
      </c>
      <c r="N362" s="28" t="s">
        <v>330</v>
      </c>
      <c r="O362" s="29" t="s">
        <v>2</v>
      </c>
      <c r="P362" s="28">
        <v>4</v>
      </c>
      <c r="Q362" s="28" t="s">
        <v>1456</v>
      </c>
      <c r="R362" s="28" t="s">
        <v>1412</v>
      </c>
      <c r="S362" s="34" t="str">
        <f>IFERROR(HYPERLINK("#Main!A"&amp;MATCH(A362,Main!A:A,0),"Open"),HYPERLINK("#Main!A1","Open"))</f>
        <v>Open</v>
      </c>
      <c r="T362" s="34" t="str">
        <f>IFERROR(HYPERLINK("#Technical!A"&amp;MATCH(A362,Technical!A:A,0),"Open"),HYPERLINK("#Technical!A1","Open"))</f>
        <v>Open</v>
      </c>
      <c r="U362" s="34"/>
    </row>
    <row r="363" spans="1:21" ht="45" customHeight="1" x14ac:dyDescent="0.25">
      <c r="A363" s="30" t="s">
        <v>566</v>
      </c>
      <c r="B363" s="37">
        <v>21952</v>
      </c>
      <c r="C363" s="55" t="s">
        <v>1075</v>
      </c>
      <c r="D363" s="37" t="s">
        <v>1407</v>
      </c>
      <c r="E363" s="32" t="s">
        <v>72</v>
      </c>
      <c r="F363" s="37" t="s">
        <v>1408</v>
      </c>
      <c r="G363" s="42">
        <v>67</v>
      </c>
      <c r="H363" s="37">
        <v>0</v>
      </c>
      <c r="I363" s="37" t="s">
        <v>1409</v>
      </c>
      <c r="J363" s="37" t="s">
        <v>1410</v>
      </c>
      <c r="K363" s="57" t="s">
        <v>22</v>
      </c>
      <c r="L363" s="37" t="s">
        <v>726</v>
      </c>
      <c r="M363" s="37" t="s">
        <v>323</v>
      </c>
      <c r="N363" s="37" t="s">
        <v>330</v>
      </c>
      <c r="O363" s="29" t="s">
        <v>2</v>
      </c>
      <c r="P363" s="37">
        <v>4</v>
      </c>
      <c r="Q363" s="37" t="s">
        <v>1457</v>
      </c>
      <c r="R363" s="37" t="s">
        <v>1412</v>
      </c>
      <c r="S363" t="str">
        <f>IFERROR(HYPERLINK("#Main!A"&amp;MATCH(A363,Main!A:A,0),"Open"),HYPERLINK("#Main!A1","Open"))</f>
        <v>Open</v>
      </c>
      <c r="T363" t="str">
        <f>IFERROR(HYPERLINK("#Technical!A"&amp;MATCH(A363,Technical!A:A,0),"Open"),HYPERLINK("#Technical!A1","Open"))</f>
        <v>Open</v>
      </c>
    </row>
    <row r="364" spans="1:21" ht="45" customHeight="1" x14ac:dyDescent="0.25">
      <c r="A364" s="33" t="s">
        <v>570</v>
      </c>
      <c r="B364" s="28">
        <v>22679</v>
      </c>
      <c r="C364" s="55" t="s">
        <v>1077</v>
      </c>
      <c r="D364" s="28" t="s">
        <v>1407</v>
      </c>
      <c r="E364" s="32" t="s">
        <v>72</v>
      </c>
      <c r="F364" s="28" t="s">
        <v>1408</v>
      </c>
      <c r="G364" s="39">
        <v>67</v>
      </c>
      <c r="H364" s="28">
        <v>0</v>
      </c>
      <c r="I364" s="28" t="s">
        <v>1409</v>
      </c>
      <c r="J364" s="28" t="s">
        <v>1410</v>
      </c>
      <c r="K364" s="56" t="s">
        <v>22</v>
      </c>
      <c r="L364" s="28" t="s">
        <v>726</v>
      </c>
      <c r="M364" s="28" t="s">
        <v>323</v>
      </c>
      <c r="N364" s="28" t="s">
        <v>330</v>
      </c>
      <c r="O364" s="29" t="s">
        <v>2</v>
      </c>
      <c r="P364" s="28">
        <v>4</v>
      </c>
      <c r="Q364" s="28" t="s">
        <v>1458</v>
      </c>
      <c r="R364" s="28" t="s">
        <v>1412</v>
      </c>
      <c r="S364" s="34" t="str">
        <f>IFERROR(HYPERLINK("#Main!A"&amp;MATCH(A364,Main!A:A,0),"Open"),HYPERLINK("#Main!A1","Open"))</f>
        <v>Open</v>
      </c>
      <c r="T364" s="34" t="str">
        <f>IFERROR(HYPERLINK("#Technical!A"&amp;MATCH(A364,Technical!A:A,0),"Open"),HYPERLINK("#Technical!A1","Open"))</f>
        <v>Open</v>
      </c>
      <c r="U364" s="34"/>
    </row>
    <row r="365" spans="1:21" ht="45" customHeight="1" x14ac:dyDescent="0.25">
      <c r="A365" s="30" t="s">
        <v>573</v>
      </c>
      <c r="B365" s="37">
        <v>34622</v>
      </c>
      <c r="C365" s="55" t="s">
        <v>1079</v>
      </c>
      <c r="D365" s="37" t="s">
        <v>1407</v>
      </c>
      <c r="E365" s="32" t="s">
        <v>72</v>
      </c>
      <c r="F365" s="37" t="s">
        <v>1408</v>
      </c>
      <c r="G365" s="42">
        <v>67</v>
      </c>
      <c r="H365" s="37">
        <v>0</v>
      </c>
      <c r="I365" s="37" t="s">
        <v>1409</v>
      </c>
      <c r="J365" s="37" t="s">
        <v>1410</v>
      </c>
      <c r="K365" s="57" t="s">
        <v>22</v>
      </c>
      <c r="L365" s="37" t="s">
        <v>726</v>
      </c>
      <c r="M365" s="37" t="s">
        <v>323</v>
      </c>
      <c r="N365" s="37" t="s">
        <v>330</v>
      </c>
      <c r="O365" s="29" t="s">
        <v>2</v>
      </c>
      <c r="P365" s="37">
        <v>4</v>
      </c>
      <c r="Q365" s="37" t="s">
        <v>1459</v>
      </c>
      <c r="R365" s="37" t="s">
        <v>1412</v>
      </c>
      <c r="S365" t="str">
        <f>IFERROR(HYPERLINK("#Main!A"&amp;MATCH(A365,Main!A:A,0),"Open"),HYPERLINK("#Main!A1","Open"))</f>
        <v>Open</v>
      </c>
      <c r="T365" t="str">
        <f>IFERROR(HYPERLINK("#Technical!A"&amp;MATCH(A365,Technical!A:A,0),"Open"),HYPERLINK("#Technical!A1","Open"))</f>
        <v>Open</v>
      </c>
    </row>
    <row r="366" spans="1:21" ht="45" customHeight="1" x14ac:dyDescent="0.25">
      <c r="A366" s="33" t="s">
        <v>577</v>
      </c>
      <c r="B366" s="28">
        <v>32554</v>
      </c>
      <c r="C366" s="55" t="s">
        <v>1081</v>
      </c>
      <c r="D366" s="28" t="s">
        <v>1407</v>
      </c>
      <c r="E366" s="32" t="s">
        <v>72</v>
      </c>
      <c r="F366" s="28" t="s">
        <v>1408</v>
      </c>
      <c r="G366" s="39">
        <v>67</v>
      </c>
      <c r="H366" s="28">
        <v>0</v>
      </c>
      <c r="I366" s="28" t="s">
        <v>1409</v>
      </c>
      <c r="J366" s="28" t="s">
        <v>1410</v>
      </c>
      <c r="K366" s="56" t="s">
        <v>22</v>
      </c>
      <c r="L366" s="28" t="s">
        <v>726</v>
      </c>
      <c r="M366" s="28" t="s">
        <v>323</v>
      </c>
      <c r="N366" s="28" t="s">
        <v>330</v>
      </c>
      <c r="O366" s="29" t="s">
        <v>2</v>
      </c>
      <c r="P366" s="28">
        <v>4</v>
      </c>
      <c r="Q366" s="28" t="s">
        <v>1460</v>
      </c>
      <c r="R366" s="28" t="s">
        <v>1412</v>
      </c>
      <c r="S366" s="34" t="str">
        <f>IFERROR(HYPERLINK("#Main!A"&amp;MATCH(A366,Main!A:A,0),"Open"),HYPERLINK("#Main!A1","Open"))</f>
        <v>Open</v>
      </c>
      <c r="T366" s="34" t="str">
        <f>IFERROR(HYPERLINK("#Technical!A"&amp;MATCH(A366,Technical!A:A,0),"Open"),HYPERLINK("#Technical!A1","Open"))</f>
        <v>Open</v>
      </c>
      <c r="U366" s="34"/>
    </row>
    <row r="367" spans="1:21" ht="45" customHeight="1" x14ac:dyDescent="0.25">
      <c r="A367" s="30" t="s">
        <v>579</v>
      </c>
      <c r="B367" s="37">
        <v>34552</v>
      </c>
      <c r="C367" s="55" t="s">
        <v>1083</v>
      </c>
      <c r="D367" s="37" t="s">
        <v>1407</v>
      </c>
      <c r="E367" s="32" t="s">
        <v>72</v>
      </c>
      <c r="F367" s="37" t="s">
        <v>1408</v>
      </c>
      <c r="G367" s="42">
        <v>67</v>
      </c>
      <c r="H367" s="37">
        <v>0</v>
      </c>
      <c r="I367" s="37" t="s">
        <v>1409</v>
      </c>
      <c r="J367" s="37" t="s">
        <v>1410</v>
      </c>
      <c r="K367" s="57" t="s">
        <v>22</v>
      </c>
      <c r="L367" s="37" t="s">
        <v>726</v>
      </c>
      <c r="M367" s="37" t="s">
        <v>323</v>
      </c>
      <c r="N367" s="37" t="s">
        <v>330</v>
      </c>
      <c r="O367" s="29" t="s">
        <v>2</v>
      </c>
      <c r="P367" s="37">
        <v>4</v>
      </c>
      <c r="Q367" s="37" t="s">
        <v>1461</v>
      </c>
      <c r="R367" s="37" t="s">
        <v>1412</v>
      </c>
      <c r="S367" t="str">
        <f>IFERROR(HYPERLINK("#Main!A"&amp;MATCH(A367,Main!A:A,0),"Open"),HYPERLINK("#Main!A1","Open"))</f>
        <v>Open</v>
      </c>
      <c r="T367" t="str">
        <f>IFERROR(HYPERLINK("#Technical!A"&amp;MATCH(A367,Technical!A:A,0),"Open"),HYPERLINK("#Technical!A1","Open"))</f>
        <v>Open</v>
      </c>
    </row>
    <row r="368" spans="1:21" ht="45" customHeight="1" x14ac:dyDescent="0.25">
      <c r="A368" s="33" t="s">
        <v>582</v>
      </c>
      <c r="B368" s="28">
        <v>28742</v>
      </c>
      <c r="C368" s="55" t="s">
        <v>1085</v>
      </c>
      <c r="D368" s="28" t="s">
        <v>1407</v>
      </c>
      <c r="E368" s="32" t="s">
        <v>72</v>
      </c>
      <c r="F368" s="28" t="s">
        <v>1408</v>
      </c>
      <c r="G368" s="39">
        <v>67</v>
      </c>
      <c r="H368" s="28">
        <v>0</v>
      </c>
      <c r="I368" s="28" t="s">
        <v>1409</v>
      </c>
      <c r="J368" s="28" t="s">
        <v>1410</v>
      </c>
      <c r="K368" s="56" t="s">
        <v>22</v>
      </c>
      <c r="L368" s="28" t="s">
        <v>726</v>
      </c>
      <c r="M368" s="28" t="s">
        <v>323</v>
      </c>
      <c r="N368" s="28" t="s">
        <v>330</v>
      </c>
      <c r="O368" s="29" t="s">
        <v>2</v>
      </c>
      <c r="P368" s="28">
        <v>4</v>
      </c>
      <c r="Q368" s="28" t="s">
        <v>1462</v>
      </c>
      <c r="R368" s="28" t="s">
        <v>1412</v>
      </c>
      <c r="S368" s="34" t="str">
        <f>IFERROR(HYPERLINK("#Main!A"&amp;MATCH(A368,Main!A:A,0),"Open"),HYPERLINK("#Main!A1","Open"))</f>
        <v>Open</v>
      </c>
      <c r="T368" s="34" t="str">
        <f>IFERROR(HYPERLINK("#Technical!A"&amp;MATCH(A368,Technical!A:A,0),"Open"),HYPERLINK("#Technical!A1","Open"))</f>
        <v>Open</v>
      </c>
      <c r="U368" s="34"/>
    </row>
    <row r="369" spans="1:21" ht="45" customHeight="1" x14ac:dyDescent="0.25">
      <c r="A369" s="30" t="s">
        <v>585</v>
      </c>
      <c r="B369" s="37">
        <v>9075</v>
      </c>
      <c r="C369" s="55" t="s">
        <v>1087</v>
      </c>
      <c r="D369" s="37" t="s">
        <v>1407</v>
      </c>
      <c r="E369" s="32" t="s">
        <v>72</v>
      </c>
      <c r="F369" s="37" t="s">
        <v>1408</v>
      </c>
      <c r="G369" s="42">
        <v>67</v>
      </c>
      <c r="H369" s="37">
        <v>0</v>
      </c>
      <c r="I369" s="37" t="s">
        <v>1409</v>
      </c>
      <c r="J369" s="37" t="s">
        <v>1410</v>
      </c>
      <c r="K369" s="57" t="s">
        <v>22</v>
      </c>
      <c r="L369" s="37" t="s">
        <v>726</v>
      </c>
      <c r="M369" s="37" t="s">
        <v>323</v>
      </c>
      <c r="N369" s="37" t="s">
        <v>330</v>
      </c>
      <c r="O369" s="29" t="s">
        <v>2</v>
      </c>
      <c r="P369" s="37">
        <v>4</v>
      </c>
      <c r="Q369" s="37" t="s">
        <v>1463</v>
      </c>
      <c r="R369" s="37" t="s">
        <v>1412</v>
      </c>
      <c r="S369" t="str">
        <f>IFERROR(HYPERLINK("#Main!A"&amp;MATCH(A369,Main!A:A,0),"Open"),HYPERLINK("#Main!A1","Open"))</f>
        <v>Open</v>
      </c>
      <c r="T369" t="str">
        <f>IFERROR(HYPERLINK("#Technical!A"&amp;MATCH(A369,Technical!A:A,0),"Open"),HYPERLINK("#Technical!A1","Open"))</f>
        <v>Open</v>
      </c>
    </row>
    <row r="370" spans="1:21" ht="45" customHeight="1" x14ac:dyDescent="0.25">
      <c r="A370" s="33" t="s">
        <v>588</v>
      </c>
      <c r="B370" s="28">
        <v>20001</v>
      </c>
      <c r="C370" s="55" t="s">
        <v>1089</v>
      </c>
      <c r="D370" s="28" t="s">
        <v>1407</v>
      </c>
      <c r="E370" s="32" t="s">
        <v>72</v>
      </c>
      <c r="F370" s="28" t="s">
        <v>1408</v>
      </c>
      <c r="G370" s="39">
        <v>67</v>
      </c>
      <c r="H370" s="28">
        <v>0</v>
      </c>
      <c r="I370" s="28" t="s">
        <v>1409</v>
      </c>
      <c r="J370" s="28" t="s">
        <v>1410</v>
      </c>
      <c r="K370" s="56" t="s">
        <v>22</v>
      </c>
      <c r="L370" s="28" t="s">
        <v>726</v>
      </c>
      <c r="M370" s="28" t="s">
        <v>323</v>
      </c>
      <c r="N370" s="28" t="s">
        <v>330</v>
      </c>
      <c r="O370" s="29" t="s">
        <v>2</v>
      </c>
      <c r="P370" s="28">
        <v>4</v>
      </c>
      <c r="Q370" s="28" t="s">
        <v>1464</v>
      </c>
      <c r="R370" s="28" t="s">
        <v>1412</v>
      </c>
      <c r="S370" s="34" t="str">
        <f>IFERROR(HYPERLINK("#Main!A"&amp;MATCH(A370,Main!A:A,0),"Open"),HYPERLINK("#Main!A1","Open"))</f>
        <v>Open</v>
      </c>
      <c r="T370" s="34" t="str">
        <f>IFERROR(HYPERLINK("#Technical!A"&amp;MATCH(A370,Technical!A:A,0),"Open"),HYPERLINK("#Technical!A1","Open"))</f>
        <v>Open</v>
      </c>
      <c r="U370" s="34"/>
    </row>
    <row r="371" spans="1:21" ht="45" customHeight="1" x14ac:dyDescent="0.25">
      <c r="A371" s="30" t="s">
        <v>591</v>
      </c>
      <c r="B371" s="37">
        <v>19980</v>
      </c>
      <c r="C371" s="55" t="s">
        <v>1091</v>
      </c>
      <c r="D371" s="37" t="s">
        <v>1407</v>
      </c>
      <c r="E371" s="32" t="s">
        <v>72</v>
      </c>
      <c r="F371" s="37" t="s">
        <v>1408</v>
      </c>
      <c r="G371" s="42">
        <v>67</v>
      </c>
      <c r="H371" s="37">
        <v>0</v>
      </c>
      <c r="I371" s="37" t="s">
        <v>1409</v>
      </c>
      <c r="J371" s="37" t="s">
        <v>1410</v>
      </c>
      <c r="K371" s="57" t="s">
        <v>22</v>
      </c>
      <c r="L371" s="37" t="s">
        <v>726</v>
      </c>
      <c r="M371" s="37" t="s">
        <v>323</v>
      </c>
      <c r="N371" s="37" t="s">
        <v>330</v>
      </c>
      <c r="O371" s="29" t="s">
        <v>2</v>
      </c>
      <c r="P371" s="37">
        <v>4</v>
      </c>
      <c r="Q371" s="37" t="s">
        <v>1465</v>
      </c>
      <c r="R371" s="37" t="s">
        <v>1412</v>
      </c>
      <c r="S371" t="str">
        <f>IFERROR(HYPERLINK("#Main!A"&amp;MATCH(A371,Main!A:A,0),"Open"),HYPERLINK("#Main!A1","Open"))</f>
        <v>Open</v>
      </c>
      <c r="T371" t="str">
        <f>IFERROR(HYPERLINK("#Technical!A"&amp;MATCH(A371,Technical!A:A,0),"Open"),HYPERLINK("#Technical!A1","Open"))</f>
        <v>Open</v>
      </c>
    </row>
    <row r="372" spans="1:21" ht="45" customHeight="1" x14ac:dyDescent="0.25">
      <c r="A372" s="33" t="s">
        <v>594</v>
      </c>
      <c r="B372" s="28">
        <v>10823</v>
      </c>
      <c r="C372" s="55" t="s">
        <v>1093</v>
      </c>
      <c r="D372" s="28" t="s">
        <v>1407</v>
      </c>
      <c r="E372" s="32" t="s">
        <v>72</v>
      </c>
      <c r="F372" s="28" t="s">
        <v>1408</v>
      </c>
      <c r="G372" s="39">
        <v>67</v>
      </c>
      <c r="H372" s="28">
        <v>0</v>
      </c>
      <c r="I372" s="28" t="s">
        <v>1409</v>
      </c>
      <c r="J372" s="28" t="s">
        <v>1410</v>
      </c>
      <c r="K372" s="56" t="s">
        <v>22</v>
      </c>
      <c r="L372" s="28" t="s">
        <v>726</v>
      </c>
      <c r="M372" s="28" t="s">
        <v>323</v>
      </c>
      <c r="N372" s="28" t="s">
        <v>330</v>
      </c>
      <c r="O372" s="29" t="s">
        <v>2</v>
      </c>
      <c r="P372" s="28">
        <v>4</v>
      </c>
      <c r="Q372" s="28" t="s">
        <v>1466</v>
      </c>
      <c r="R372" s="28" t="s">
        <v>1412</v>
      </c>
      <c r="S372" s="34" t="str">
        <f>IFERROR(HYPERLINK("#Main!A"&amp;MATCH(A372,Main!A:A,0),"Open"),HYPERLINK("#Main!A1","Open"))</f>
        <v>Open</v>
      </c>
      <c r="T372" s="34" t="str">
        <f>IFERROR(HYPERLINK("#Technical!A"&amp;MATCH(A372,Technical!A:A,0),"Open"),HYPERLINK("#Technical!A1","Open"))</f>
        <v>Open</v>
      </c>
      <c r="U372" s="34"/>
    </row>
    <row r="373" spans="1:21" ht="45" customHeight="1" x14ac:dyDescent="0.25">
      <c r="A373" s="30" t="s">
        <v>597</v>
      </c>
      <c r="B373" s="37">
        <v>17908</v>
      </c>
      <c r="C373" s="55" t="s">
        <v>975</v>
      </c>
      <c r="D373" s="37" t="s">
        <v>1407</v>
      </c>
      <c r="E373" s="32" t="s">
        <v>72</v>
      </c>
      <c r="F373" s="37" t="s">
        <v>1408</v>
      </c>
      <c r="G373" s="42">
        <v>67</v>
      </c>
      <c r="H373" s="37">
        <v>0</v>
      </c>
      <c r="I373" s="37" t="s">
        <v>1409</v>
      </c>
      <c r="J373" s="37" t="s">
        <v>1410</v>
      </c>
      <c r="K373" s="57" t="s">
        <v>22</v>
      </c>
      <c r="L373" s="37" t="s">
        <v>726</v>
      </c>
      <c r="M373" s="37" t="s">
        <v>323</v>
      </c>
      <c r="N373" s="37" t="s">
        <v>330</v>
      </c>
      <c r="O373" s="29" t="s">
        <v>2</v>
      </c>
      <c r="P373" s="37">
        <v>4</v>
      </c>
      <c r="Q373" s="37" t="s">
        <v>1467</v>
      </c>
      <c r="R373" s="37" t="s">
        <v>1412</v>
      </c>
      <c r="S373" t="str">
        <f>IFERROR(HYPERLINK("#Main!A"&amp;MATCH(A373,Main!A:A,0),"Open"),HYPERLINK("#Main!A1","Open"))</f>
        <v>Open</v>
      </c>
      <c r="T373" t="str">
        <f>IFERROR(HYPERLINK("#Technical!A"&amp;MATCH(A373,Technical!A:A,0),"Open"),HYPERLINK("#Technical!A1","Open"))</f>
        <v>Open</v>
      </c>
    </row>
    <row r="374" spans="1:21" ht="45" customHeight="1" x14ac:dyDescent="0.25">
      <c r="A374" s="33" t="s">
        <v>601</v>
      </c>
      <c r="B374" s="28">
        <v>24640</v>
      </c>
      <c r="C374" s="55" t="s">
        <v>1096</v>
      </c>
      <c r="D374" s="28" t="s">
        <v>1407</v>
      </c>
      <c r="E374" s="32" t="s">
        <v>72</v>
      </c>
      <c r="F374" s="28" t="s">
        <v>1408</v>
      </c>
      <c r="G374" s="39">
        <v>67</v>
      </c>
      <c r="H374" s="28">
        <v>0</v>
      </c>
      <c r="I374" s="28" t="s">
        <v>1409</v>
      </c>
      <c r="J374" s="28" t="s">
        <v>1410</v>
      </c>
      <c r="K374" s="56" t="s">
        <v>22</v>
      </c>
      <c r="L374" s="28" t="s">
        <v>726</v>
      </c>
      <c r="M374" s="28" t="s">
        <v>323</v>
      </c>
      <c r="N374" s="28" t="s">
        <v>330</v>
      </c>
      <c r="O374" s="29" t="s">
        <v>2</v>
      </c>
      <c r="P374" s="28">
        <v>4</v>
      </c>
      <c r="Q374" s="28" t="s">
        <v>1468</v>
      </c>
      <c r="R374" s="28" t="s">
        <v>1412</v>
      </c>
      <c r="S374" s="34" t="str">
        <f>IFERROR(HYPERLINK("#Main!A"&amp;MATCH(A374,Main!A:A,0),"Open"),HYPERLINK("#Main!A1","Open"))</f>
        <v>Open</v>
      </c>
      <c r="T374" s="34" t="str">
        <f>IFERROR(HYPERLINK("#Technical!A"&amp;MATCH(A374,Technical!A:A,0),"Open"),HYPERLINK("#Technical!A1","Open"))</f>
        <v>Open</v>
      </c>
      <c r="U374" s="34"/>
    </row>
    <row r="375" spans="1:21" ht="45" customHeight="1" x14ac:dyDescent="0.25">
      <c r="A375" s="30" t="s">
        <v>604</v>
      </c>
      <c r="B375" s="37">
        <v>16472</v>
      </c>
      <c r="C375" s="55" t="s">
        <v>1098</v>
      </c>
      <c r="D375" s="37" t="s">
        <v>1407</v>
      </c>
      <c r="E375" s="32" t="s">
        <v>72</v>
      </c>
      <c r="F375" s="37" t="s">
        <v>1408</v>
      </c>
      <c r="G375" s="42">
        <v>67</v>
      </c>
      <c r="H375" s="37">
        <v>0</v>
      </c>
      <c r="I375" s="37" t="s">
        <v>1409</v>
      </c>
      <c r="J375" s="37" t="s">
        <v>1410</v>
      </c>
      <c r="K375" s="57" t="s">
        <v>22</v>
      </c>
      <c r="L375" s="37" t="s">
        <v>726</v>
      </c>
      <c r="M375" s="37" t="s">
        <v>323</v>
      </c>
      <c r="N375" s="37" t="s">
        <v>330</v>
      </c>
      <c r="O375" s="29" t="s">
        <v>2</v>
      </c>
      <c r="P375" s="37">
        <v>4</v>
      </c>
      <c r="Q375" s="37" t="s">
        <v>1469</v>
      </c>
      <c r="R375" s="37" t="s">
        <v>1412</v>
      </c>
      <c r="S375" t="str">
        <f>IFERROR(HYPERLINK("#Main!A"&amp;MATCH(A375,Main!A:A,0),"Open"),HYPERLINK("#Main!A1","Open"))</f>
        <v>Open</v>
      </c>
      <c r="T375" t="str">
        <f>IFERROR(HYPERLINK("#Technical!A"&amp;MATCH(A375,Technical!A:A,0),"Open"),HYPERLINK("#Technical!A1","Open"))</f>
        <v>Open</v>
      </c>
    </row>
    <row r="376" spans="1:21" ht="45" customHeight="1" x14ac:dyDescent="0.25">
      <c r="A376" s="33" t="s">
        <v>608</v>
      </c>
      <c r="B376" s="28">
        <v>92</v>
      </c>
      <c r="C376" s="55" t="s">
        <v>1100</v>
      </c>
      <c r="D376" s="28" t="s">
        <v>1407</v>
      </c>
      <c r="E376" s="32" t="s">
        <v>72</v>
      </c>
      <c r="F376" s="28" t="s">
        <v>1408</v>
      </c>
      <c r="G376" s="39">
        <v>67</v>
      </c>
      <c r="H376" s="28">
        <v>0</v>
      </c>
      <c r="I376" s="28" t="s">
        <v>1409</v>
      </c>
      <c r="J376" s="28" t="s">
        <v>1410</v>
      </c>
      <c r="K376" s="56" t="s">
        <v>22</v>
      </c>
      <c r="L376" s="28" t="s">
        <v>726</v>
      </c>
      <c r="M376" s="28" t="s">
        <v>323</v>
      </c>
      <c r="N376" s="28" t="s">
        <v>330</v>
      </c>
      <c r="O376" s="29" t="s">
        <v>2</v>
      </c>
      <c r="P376" s="28">
        <v>4</v>
      </c>
      <c r="Q376" s="28" t="s">
        <v>1470</v>
      </c>
      <c r="R376" s="28" t="s">
        <v>1412</v>
      </c>
      <c r="S376" s="34" t="str">
        <f>IFERROR(HYPERLINK("#Main!A"&amp;MATCH(A376,Main!A:A,0),"Open"),HYPERLINK("#Main!A1","Open"))</f>
        <v>Open</v>
      </c>
      <c r="T376" s="34" t="str">
        <f>IFERROR(HYPERLINK("#Technical!A"&amp;MATCH(A376,Technical!A:A,0),"Open"),HYPERLINK("#Technical!A1","Open"))</f>
        <v>Open</v>
      </c>
      <c r="U376" s="34"/>
    </row>
    <row r="377" spans="1:21" ht="45" customHeight="1" x14ac:dyDescent="0.25">
      <c r="A377" s="30" t="s">
        <v>611</v>
      </c>
      <c r="B377" s="37">
        <v>18478</v>
      </c>
      <c r="C377" s="55" t="s">
        <v>1102</v>
      </c>
      <c r="D377" s="37" t="s">
        <v>1407</v>
      </c>
      <c r="E377" s="32" t="s">
        <v>72</v>
      </c>
      <c r="F377" s="37" t="s">
        <v>1408</v>
      </c>
      <c r="G377" s="42">
        <v>67</v>
      </c>
      <c r="H377" s="37">
        <v>0</v>
      </c>
      <c r="I377" s="37" t="s">
        <v>1409</v>
      </c>
      <c r="J377" s="37" t="s">
        <v>1410</v>
      </c>
      <c r="K377" s="57" t="s">
        <v>22</v>
      </c>
      <c r="L377" s="37" t="s">
        <v>726</v>
      </c>
      <c r="M377" s="37" t="s">
        <v>323</v>
      </c>
      <c r="N377" s="37" t="s">
        <v>330</v>
      </c>
      <c r="O377" s="29" t="s">
        <v>2</v>
      </c>
      <c r="P377" s="37">
        <v>4</v>
      </c>
      <c r="Q377" s="37" t="s">
        <v>1471</v>
      </c>
      <c r="R377" s="37" t="s">
        <v>1412</v>
      </c>
      <c r="S377" t="str">
        <f>IFERROR(HYPERLINK("#Main!A"&amp;MATCH(A377,Main!A:A,0),"Open"),HYPERLINK("#Main!A1","Open"))</f>
        <v>Open</v>
      </c>
      <c r="T377" t="str">
        <f>IFERROR(HYPERLINK("#Technical!A"&amp;MATCH(A377,Technical!A:A,0),"Open"),HYPERLINK("#Technical!A1","Open"))</f>
        <v>Open</v>
      </c>
    </row>
    <row r="378" spans="1:21" ht="45" customHeight="1" x14ac:dyDescent="0.25">
      <c r="A378" s="33" t="s">
        <v>615</v>
      </c>
      <c r="B378" s="28">
        <v>19172</v>
      </c>
      <c r="C378" s="55" t="s">
        <v>1104</v>
      </c>
      <c r="D378" s="28" t="s">
        <v>1407</v>
      </c>
      <c r="E378" s="32" t="s">
        <v>72</v>
      </c>
      <c r="F378" s="28" t="s">
        <v>1408</v>
      </c>
      <c r="G378" s="39">
        <v>67</v>
      </c>
      <c r="H378" s="28">
        <v>0</v>
      </c>
      <c r="I378" s="28" t="s">
        <v>1409</v>
      </c>
      <c r="J378" s="28" t="s">
        <v>1410</v>
      </c>
      <c r="K378" s="56" t="s">
        <v>22</v>
      </c>
      <c r="L378" s="28" t="s">
        <v>726</v>
      </c>
      <c r="M378" s="28" t="s">
        <v>323</v>
      </c>
      <c r="N378" s="28" t="s">
        <v>330</v>
      </c>
      <c r="O378" s="29" t="s">
        <v>2</v>
      </c>
      <c r="P378" s="28">
        <v>4</v>
      </c>
      <c r="Q378" s="28" t="s">
        <v>1472</v>
      </c>
      <c r="R378" s="28" t="s">
        <v>1412</v>
      </c>
      <c r="S378" s="34" t="str">
        <f>IFERROR(HYPERLINK("#Main!A"&amp;MATCH(A378,Main!A:A,0),"Open"),HYPERLINK("#Main!A1","Open"))</f>
        <v>Open</v>
      </c>
      <c r="T378" s="34" t="str">
        <f>IFERROR(HYPERLINK("#Technical!A"&amp;MATCH(A378,Technical!A:A,0),"Open"),HYPERLINK("#Technical!A1","Open"))</f>
        <v>Open</v>
      </c>
      <c r="U378" s="34"/>
    </row>
    <row r="379" spans="1:21" ht="45" customHeight="1" x14ac:dyDescent="0.25">
      <c r="A379" s="30" t="s">
        <v>618</v>
      </c>
      <c r="B379" s="37">
        <v>88</v>
      </c>
      <c r="C379" s="55" t="s">
        <v>1106</v>
      </c>
      <c r="D379" s="37" t="s">
        <v>1407</v>
      </c>
      <c r="E379" s="32" t="s">
        <v>72</v>
      </c>
      <c r="F379" s="37" t="s">
        <v>1408</v>
      </c>
      <c r="G379" s="42">
        <v>67</v>
      </c>
      <c r="H379" s="37">
        <v>0</v>
      </c>
      <c r="I379" s="37" t="s">
        <v>1409</v>
      </c>
      <c r="J379" s="37" t="s">
        <v>1410</v>
      </c>
      <c r="K379" s="57" t="s">
        <v>22</v>
      </c>
      <c r="L379" s="37" t="s">
        <v>726</v>
      </c>
      <c r="M379" s="37" t="s">
        <v>323</v>
      </c>
      <c r="N379" s="37" t="s">
        <v>330</v>
      </c>
      <c r="O379" s="29" t="s">
        <v>2</v>
      </c>
      <c r="P379" s="37">
        <v>4</v>
      </c>
      <c r="Q379" s="37" t="s">
        <v>1473</v>
      </c>
      <c r="R379" s="37" t="s">
        <v>1412</v>
      </c>
      <c r="S379" t="str">
        <f>IFERROR(HYPERLINK("#Main!A"&amp;MATCH(A379,Main!A:A,0),"Open"),HYPERLINK("#Main!A1","Open"))</f>
        <v>Open</v>
      </c>
      <c r="T379" t="str">
        <f>IFERROR(HYPERLINK("#Technical!A"&amp;MATCH(A379,Technical!A:A,0),"Open"),HYPERLINK("#Technical!A1","Open"))</f>
        <v>Open</v>
      </c>
    </row>
    <row r="380" spans="1:21" ht="45" customHeight="1" x14ac:dyDescent="0.25">
      <c r="A380" s="33" t="s">
        <v>621</v>
      </c>
      <c r="B380" s="28">
        <v>16548</v>
      </c>
      <c r="C380" s="55" t="s">
        <v>1108</v>
      </c>
      <c r="D380" s="28" t="s">
        <v>1407</v>
      </c>
      <c r="E380" s="32" t="s">
        <v>72</v>
      </c>
      <c r="F380" s="28" t="s">
        <v>1408</v>
      </c>
      <c r="G380" s="39">
        <v>67</v>
      </c>
      <c r="H380" s="28">
        <v>0</v>
      </c>
      <c r="I380" s="28" t="s">
        <v>1409</v>
      </c>
      <c r="J380" s="28" t="s">
        <v>1410</v>
      </c>
      <c r="K380" s="56" t="s">
        <v>22</v>
      </c>
      <c r="L380" s="28" t="s">
        <v>726</v>
      </c>
      <c r="M380" s="28" t="s">
        <v>323</v>
      </c>
      <c r="N380" s="28" t="s">
        <v>330</v>
      </c>
      <c r="O380" s="29" t="s">
        <v>2</v>
      </c>
      <c r="P380" s="28">
        <v>4</v>
      </c>
      <c r="Q380" s="28" t="s">
        <v>1474</v>
      </c>
      <c r="R380" s="28" t="s">
        <v>1412</v>
      </c>
      <c r="S380" s="34" t="str">
        <f>IFERROR(HYPERLINK("#Main!A"&amp;MATCH(A380,Main!A:A,0),"Open"),HYPERLINK("#Main!A1","Open"))</f>
        <v>Open</v>
      </c>
      <c r="T380" s="34" t="str">
        <f>IFERROR(HYPERLINK("#Technical!A"&amp;MATCH(A380,Technical!A:A,0),"Open"),HYPERLINK("#Technical!A1","Open"))</f>
        <v>Open</v>
      </c>
      <c r="U380" s="34"/>
    </row>
    <row r="381" spans="1:21" ht="45" customHeight="1" x14ac:dyDescent="0.25">
      <c r="A381" s="30" t="s">
        <v>624</v>
      </c>
      <c r="B381" s="37">
        <v>20341</v>
      </c>
      <c r="C381" s="55" t="s">
        <v>1110</v>
      </c>
      <c r="D381" s="37" t="s">
        <v>1407</v>
      </c>
      <c r="E381" s="32" t="s">
        <v>72</v>
      </c>
      <c r="F381" s="37" t="s">
        <v>1408</v>
      </c>
      <c r="G381" s="42">
        <v>67</v>
      </c>
      <c r="H381" s="37">
        <v>0</v>
      </c>
      <c r="I381" s="37" t="s">
        <v>1409</v>
      </c>
      <c r="J381" s="37" t="s">
        <v>1410</v>
      </c>
      <c r="K381" s="57" t="s">
        <v>22</v>
      </c>
      <c r="L381" s="37" t="s">
        <v>726</v>
      </c>
      <c r="M381" s="37" t="s">
        <v>323</v>
      </c>
      <c r="N381" s="37" t="s">
        <v>330</v>
      </c>
      <c r="O381" s="29" t="s">
        <v>2</v>
      </c>
      <c r="P381" s="37">
        <v>4</v>
      </c>
      <c r="Q381" s="37" t="s">
        <v>1475</v>
      </c>
      <c r="R381" s="37" t="s">
        <v>1412</v>
      </c>
      <c r="S381" t="str">
        <f>IFERROR(HYPERLINK("#Main!A"&amp;MATCH(A381,Main!A:A,0),"Open"),HYPERLINK("#Main!A1","Open"))</f>
        <v>Open</v>
      </c>
      <c r="T381" t="str">
        <f>IFERROR(HYPERLINK("#Technical!A"&amp;MATCH(A381,Technical!A:A,0),"Open"),HYPERLINK("#Technical!A1","Open"))</f>
        <v>Open</v>
      </c>
    </row>
    <row r="382" spans="1:21" ht="45" customHeight="1" x14ac:dyDescent="0.25">
      <c r="A382" s="33" t="s">
        <v>626</v>
      </c>
      <c r="B382" s="28">
        <v>31820</v>
      </c>
      <c r="C382" s="55" t="s">
        <v>1112</v>
      </c>
      <c r="D382" s="28" t="s">
        <v>1407</v>
      </c>
      <c r="E382" s="32" t="s">
        <v>72</v>
      </c>
      <c r="F382" s="28" t="s">
        <v>1408</v>
      </c>
      <c r="G382" s="39">
        <v>67</v>
      </c>
      <c r="H382" s="28">
        <v>0</v>
      </c>
      <c r="I382" s="28" t="s">
        <v>1409</v>
      </c>
      <c r="J382" s="28" t="s">
        <v>1410</v>
      </c>
      <c r="K382" s="56" t="s">
        <v>22</v>
      </c>
      <c r="L382" s="28" t="s">
        <v>726</v>
      </c>
      <c r="M382" s="28" t="s">
        <v>323</v>
      </c>
      <c r="N382" s="28" t="s">
        <v>330</v>
      </c>
      <c r="O382" s="29" t="s">
        <v>2</v>
      </c>
      <c r="P382" s="28">
        <v>4</v>
      </c>
      <c r="Q382" s="28" t="s">
        <v>1476</v>
      </c>
      <c r="R382" s="28" t="s">
        <v>1412</v>
      </c>
      <c r="S382" s="34" t="str">
        <f>IFERROR(HYPERLINK("#Main!A"&amp;MATCH(A382,Main!A:A,0),"Open"),HYPERLINK("#Main!A1","Open"))</f>
        <v>Open</v>
      </c>
      <c r="T382" s="34" t="str">
        <f>IFERROR(HYPERLINK("#Technical!A"&amp;MATCH(A382,Technical!A:A,0),"Open"),HYPERLINK("#Technical!A1","Open"))</f>
        <v>Open</v>
      </c>
      <c r="U382" s="34"/>
    </row>
    <row r="383" spans="1:21" ht="45" customHeight="1" x14ac:dyDescent="0.25">
      <c r="A383" s="30" t="s">
        <v>629</v>
      </c>
      <c r="B383" s="37">
        <v>5597</v>
      </c>
      <c r="C383" s="55" t="s">
        <v>1114</v>
      </c>
      <c r="D383" s="37" t="s">
        <v>1407</v>
      </c>
      <c r="E383" s="32" t="s">
        <v>72</v>
      </c>
      <c r="F383" s="37" t="s">
        <v>1408</v>
      </c>
      <c r="G383" s="42">
        <v>67</v>
      </c>
      <c r="H383" s="37">
        <v>0</v>
      </c>
      <c r="I383" s="37" t="s">
        <v>1409</v>
      </c>
      <c r="J383" s="37" t="s">
        <v>1410</v>
      </c>
      <c r="K383" s="57" t="s">
        <v>22</v>
      </c>
      <c r="L383" s="37" t="s">
        <v>726</v>
      </c>
      <c r="M383" s="37" t="s">
        <v>323</v>
      </c>
      <c r="N383" s="37" t="s">
        <v>330</v>
      </c>
      <c r="O383" s="29" t="s">
        <v>2</v>
      </c>
      <c r="P383" s="37">
        <v>4</v>
      </c>
      <c r="Q383" s="37" t="s">
        <v>1477</v>
      </c>
      <c r="R383" s="37" t="s">
        <v>1412</v>
      </c>
      <c r="S383" t="str">
        <f>IFERROR(HYPERLINK("#Main!A"&amp;MATCH(A383,Main!A:A,0),"Open"),HYPERLINK("#Main!A1","Open"))</f>
        <v>Open</v>
      </c>
      <c r="T383" t="str">
        <f>IFERROR(HYPERLINK("#Technical!A"&amp;MATCH(A383,Technical!A:A,0),"Open"),HYPERLINK("#Technical!A1","Open"))</f>
        <v>Open</v>
      </c>
    </row>
    <row r="384" spans="1:21" ht="45" customHeight="1" x14ac:dyDescent="0.25">
      <c r="A384" s="33" t="s">
        <v>632</v>
      </c>
      <c r="B384" s="28">
        <v>33050</v>
      </c>
      <c r="C384" s="55" t="s">
        <v>1116</v>
      </c>
      <c r="D384" s="28" t="s">
        <v>1407</v>
      </c>
      <c r="E384" s="32" t="s">
        <v>72</v>
      </c>
      <c r="F384" s="28" t="s">
        <v>1408</v>
      </c>
      <c r="G384" s="39">
        <v>67</v>
      </c>
      <c r="H384" s="28">
        <v>0</v>
      </c>
      <c r="I384" s="28" t="s">
        <v>1409</v>
      </c>
      <c r="J384" s="28" t="s">
        <v>1410</v>
      </c>
      <c r="K384" s="56" t="s">
        <v>22</v>
      </c>
      <c r="L384" s="28" t="s">
        <v>726</v>
      </c>
      <c r="M384" s="28" t="s">
        <v>323</v>
      </c>
      <c r="N384" s="28" t="s">
        <v>330</v>
      </c>
      <c r="O384" s="29" t="s">
        <v>2</v>
      </c>
      <c r="P384" s="28">
        <v>4</v>
      </c>
      <c r="Q384" s="28" t="s">
        <v>1478</v>
      </c>
      <c r="R384" s="28" t="s">
        <v>1412</v>
      </c>
      <c r="S384" s="34" t="str">
        <f>IFERROR(HYPERLINK("#Main!A"&amp;MATCH(A384,Main!A:A,0),"Open"),HYPERLINK("#Main!A1","Open"))</f>
        <v>Open</v>
      </c>
      <c r="T384" s="34" t="str">
        <f>IFERROR(HYPERLINK("#Technical!A"&amp;MATCH(A384,Technical!A:A,0),"Open"),HYPERLINK("#Technical!A1","Open"))</f>
        <v>Open</v>
      </c>
      <c r="U384" s="34"/>
    </row>
    <row r="385" spans="1:21" ht="45" customHeight="1" x14ac:dyDescent="0.25">
      <c r="A385" s="30" t="s">
        <v>635</v>
      </c>
      <c r="B385" s="37">
        <v>86</v>
      </c>
      <c r="C385" s="55" t="s">
        <v>1118</v>
      </c>
      <c r="D385" s="37" t="s">
        <v>1407</v>
      </c>
      <c r="E385" s="32" t="s">
        <v>72</v>
      </c>
      <c r="F385" s="37" t="s">
        <v>1408</v>
      </c>
      <c r="G385" s="42">
        <v>67</v>
      </c>
      <c r="H385" s="37">
        <v>0</v>
      </c>
      <c r="I385" s="37" t="s">
        <v>1409</v>
      </c>
      <c r="J385" s="37" t="s">
        <v>1410</v>
      </c>
      <c r="K385" s="57" t="s">
        <v>22</v>
      </c>
      <c r="L385" s="37" t="s">
        <v>726</v>
      </c>
      <c r="M385" s="37" t="s">
        <v>323</v>
      </c>
      <c r="N385" s="37" t="s">
        <v>330</v>
      </c>
      <c r="O385" s="29" t="s">
        <v>2</v>
      </c>
      <c r="P385" s="37">
        <v>4</v>
      </c>
      <c r="Q385" s="37" t="s">
        <v>1479</v>
      </c>
      <c r="R385" s="37" t="s">
        <v>1412</v>
      </c>
      <c r="S385" t="str">
        <f>IFERROR(HYPERLINK("#Main!A"&amp;MATCH(A385,Main!A:A,0),"Open"),HYPERLINK("#Main!A1","Open"))</f>
        <v>Open</v>
      </c>
      <c r="T385" t="str">
        <f>IFERROR(HYPERLINK("#Technical!A"&amp;MATCH(A385,Technical!A:A,0),"Open"),HYPERLINK("#Technical!A1","Open"))</f>
        <v>Open</v>
      </c>
    </row>
    <row r="386" spans="1:21" ht="45" customHeight="1" x14ac:dyDescent="0.25">
      <c r="A386" s="33" t="s">
        <v>638</v>
      </c>
      <c r="B386" s="28">
        <v>2196</v>
      </c>
      <c r="C386" s="55" t="s">
        <v>1120</v>
      </c>
      <c r="D386" s="28" t="s">
        <v>1407</v>
      </c>
      <c r="E386" s="32" t="s">
        <v>72</v>
      </c>
      <c r="F386" s="28" t="s">
        <v>1408</v>
      </c>
      <c r="G386" s="39">
        <v>67</v>
      </c>
      <c r="H386" s="28">
        <v>0</v>
      </c>
      <c r="I386" s="28" t="s">
        <v>1409</v>
      </c>
      <c r="J386" s="28" t="s">
        <v>1410</v>
      </c>
      <c r="K386" s="56" t="s">
        <v>22</v>
      </c>
      <c r="L386" s="28" t="s">
        <v>726</v>
      </c>
      <c r="M386" s="28" t="s">
        <v>323</v>
      </c>
      <c r="N386" s="28" t="s">
        <v>330</v>
      </c>
      <c r="O386" s="29" t="s">
        <v>2</v>
      </c>
      <c r="P386" s="28">
        <v>4</v>
      </c>
      <c r="Q386" s="28" t="s">
        <v>1480</v>
      </c>
      <c r="R386" s="28" t="s">
        <v>1412</v>
      </c>
      <c r="S386" s="34" t="str">
        <f>IFERROR(HYPERLINK("#Main!A"&amp;MATCH(A386,Main!A:A,0),"Open"),HYPERLINK("#Main!A1","Open"))</f>
        <v>Open</v>
      </c>
      <c r="T386" s="34" t="str">
        <f>IFERROR(HYPERLINK("#Technical!A"&amp;MATCH(A386,Technical!A:A,0),"Open"),HYPERLINK("#Technical!A1","Open"))</f>
        <v>Open</v>
      </c>
      <c r="U386" s="34"/>
    </row>
    <row r="387" spans="1:21" ht="45" customHeight="1" x14ac:dyDescent="0.25">
      <c r="A387" s="30" t="s">
        <v>641</v>
      </c>
      <c r="B387" s="37">
        <v>3</v>
      </c>
      <c r="C387" s="55" t="s">
        <v>1122</v>
      </c>
      <c r="D387" s="37" t="s">
        <v>1407</v>
      </c>
      <c r="E387" s="32" t="s">
        <v>72</v>
      </c>
      <c r="F387" s="37" t="s">
        <v>1408</v>
      </c>
      <c r="G387" s="42">
        <v>67</v>
      </c>
      <c r="H387" s="37">
        <v>0</v>
      </c>
      <c r="I387" s="37" t="s">
        <v>1409</v>
      </c>
      <c r="J387" s="37" t="s">
        <v>1410</v>
      </c>
      <c r="K387" s="57" t="s">
        <v>22</v>
      </c>
      <c r="L387" s="37" t="s">
        <v>726</v>
      </c>
      <c r="M387" s="37" t="s">
        <v>323</v>
      </c>
      <c r="N387" s="37" t="s">
        <v>330</v>
      </c>
      <c r="O387" s="29" t="s">
        <v>2</v>
      </c>
      <c r="P387" s="37">
        <v>4</v>
      </c>
      <c r="Q387" s="37" t="s">
        <v>1481</v>
      </c>
      <c r="R387" s="37" t="s">
        <v>1412</v>
      </c>
      <c r="S387" t="str">
        <f>IFERROR(HYPERLINK("#Main!A"&amp;MATCH(A387,Main!A:A,0),"Open"),HYPERLINK("#Main!A1","Open"))</f>
        <v>Open</v>
      </c>
      <c r="T387" t="str">
        <f>IFERROR(HYPERLINK("#Technical!A"&amp;MATCH(A387,Technical!A:A,0),"Open"),HYPERLINK("#Technical!A1","Open"))</f>
        <v>Open</v>
      </c>
    </row>
    <row r="388" spans="1:21" ht="45" customHeight="1" x14ac:dyDescent="0.25">
      <c r="A388" s="33" t="s">
        <v>644</v>
      </c>
      <c r="B388" s="28">
        <v>9047</v>
      </c>
      <c r="C388" s="55" t="s">
        <v>1124</v>
      </c>
      <c r="D388" s="28" t="s">
        <v>1407</v>
      </c>
      <c r="E388" s="32" t="s">
        <v>72</v>
      </c>
      <c r="F388" s="28" t="s">
        <v>1408</v>
      </c>
      <c r="G388" s="39">
        <v>67</v>
      </c>
      <c r="H388" s="28">
        <v>0</v>
      </c>
      <c r="I388" s="28" t="s">
        <v>1409</v>
      </c>
      <c r="J388" s="28" t="s">
        <v>1410</v>
      </c>
      <c r="K388" s="56" t="s">
        <v>22</v>
      </c>
      <c r="L388" s="28" t="s">
        <v>726</v>
      </c>
      <c r="M388" s="28" t="s">
        <v>323</v>
      </c>
      <c r="N388" s="28" t="s">
        <v>330</v>
      </c>
      <c r="O388" s="29" t="s">
        <v>2</v>
      </c>
      <c r="P388" s="28">
        <v>4</v>
      </c>
      <c r="Q388" s="28" t="s">
        <v>1482</v>
      </c>
      <c r="R388" s="28" t="s">
        <v>1412</v>
      </c>
      <c r="S388" s="34" t="str">
        <f>IFERROR(HYPERLINK("#Main!A"&amp;MATCH(A388,Main!A:A,0),"Open"),HYPERLINK("#Main!A1","Open"))</f>
        <v>Open</v>
      </c>
      <c r="T388" s="34" t="str">
        <f>IFERROR(HYPERLINK("#Technical!A"&amp;MATCH(A388,Technical!A:A,0),"Open"),HYPERLINK("#Technical!A1","Open"))</f>
        <v>Open</v>
      </c>
      <c r="U388" s="34"/>
    </row>
    <row r="389" spans="1:21" ht="45" customHeight="1" x14ac:dyDescent="0.25">
      <c r="A389" s="30" t="s">
        <v>647</v>
      </c>
      <c r="B389" s="37">
        <v>3686</v>
      </c>
      <c r="C389" s="55" t="s">
        <v>1126</v>
      </c>
      <c r="D389" s="37" t="s">
        <v>1407</v>
      </c>
      <c r="E389" s="32" t="s">
        <v>72</v>
      </c>
      <c r="F389" s="37" t="s">
        <v>1408</v>
      </c>
      <c r="G389" s="42">
        <v>67</v>
      </c>
      <c r="H389" s="37">
        <v>0</v>
      </c>
      <c r="I389" s="37" t="s">
        <v>1409</v>
      </c>
      <c r="J389" s="37" t="s">
        <v>1410</v>
      </c>
      <c r="K389" s="57" t="s">
        <v>22</v>
      </c>
      <c r="L389" s="37" t="s">
        <v>726</v>
      </c>
      <c r="M389" s="37" t="s">
        <v>323</v>
      </c>
      <c r="N389" s="37" t="s">
        <v>330</v>
      </c>
      <c r="O389" s="29" t="s">
        <v>2</v>
      </c>
      <c r="P389" s="37">
        <v>4</v>
      </c>
      <c r="Q389" s="37" t="s">
        <v>1483</v>
      </c>
      <c r="R389" s="37" t="s">
        <v>1412</v>
      </c>
      <c r="S389" t="str">
        <f>IFERROR(HYPERLINK("#Main!A"&amp;MATCH(A389,Main!A:A,0),"Open"),HYPERLINK("#Main!A1","Open"))</f>
        <v>Open</v>
      </c>
      <c r="T389" t="str">
        <f>IFERROR(HYPERLINK("#Technical!A"&amp;MATCH(A389,Technical!A:A,0),"Open"),HYPERLINK("#Technical!A1","Open"))</f>
        <v>Open</v>
      </c>
    </row>
    <row r="390" spans="1:21" ht="45" customHeight="1" x14ac:dyDescent="0.25">
      <c r="A390" s="33" t="s">
        <v>650</v>
      </c>
      <c r="B390" s="28">
        <v>3252</v>
      </c>
      <c r="C390" s="55" t="s">
        <v>1128</v>
      </c>
      <c r="D390" s="28" t="s">
        <v>1407</v>
      </c>
      <c r="E390" s="32" t="s">
        <v>72</v>
      </c>
      <c r="F390" s="28" t="s">
        <v>1408</v>
      </c>
      <c r="G390" s="39">
        <v>67</v>
      </c>
      <c r="H390" s="28">
        <v>0</v>
      </c>
      <c r="I390" s="28" t="s">
        <v>1409</v>
      </c>
      <c r="J390" s="28" t="s">
        <v>1410</v>
      </c>
      <c r="K390" s="56" t="s">
        <v>22</v>
      </c>
      <c r="L390" s="28" t="s">
        <v>726</v>
      </c>
      <c r="M390" s="28" t="s">
        <v>323</v>
      </c>
      <c r="N390" s="28" t="s">
        <v>330</v>
      </c>
      <c r="O390" s="29" t="s">
        <v>2</v>
      </c>
      <c r="P390" s="28">
        <v>4</v>
      </c>
      <c r="Q390" s="28" t="s">
        <v>1484</v>
      </c>
      <c r="R390" s="28" t="s">
        <v>1412</v>
      </c>
      <c r="S390" s="34" t="str">
        <f>IFERROR(HYPERLINK("#Main!A"&amp;MATCH(A390,Main!A:A,0),"Open"),HYPERLINK("#Main!A1","Open"))</f>
        <v>Open</v>
      </c>
      <c r="T390" s="34" t="str">
        <f>IFERROR(HYPERLINK("#Technical!A"&amp;MATCH(A390,Technical!A:A,0),"Open"),HYPERLINK("#Technical!A1","Open"))</f>
        <v>Open</v>
      </c>
      <c r="U390" s="34"/>
    </row>
    <row r="391" spans="1:21" ht="45" customHeight="1" x14ac:dyDescent="0.25">
      <c r="A391" s="30" t="s">
        <v>652</v>
      </c>
      <c r="B391" s="37">
        <v>21962</v>
      </c>
      <c r="C391" s="55" t="s">
        <v>1130</v>
      </c>
      <c r="D391" s="37" t="s">
        <v>1407</v>
      </c>
      <c r="E391" s="32" t="s">
        <v>72</v>
      </c>
      <c r="F391" s="37" t="s">
        <v>1408</v>
      </c>
      <c r="G391" s="42">
        <v>67</v>
      </c>
      <c r="H391" s="37">
        <v>0</v>
      </c>
      <c r="I391" s="37" t="s">
        <v>1409</v>
      </c>
      <c r="J391" s="37" t="s">
        <v>1410</v>
      </c>
      <c r="K391" s="57" t="s">
        <v>22</v>
      </c>
      <c r="L391" s="37" t="s">
        <v>726</v>
      </c>
      <c r="M391" s="37" t="s">
        <v>323</v>
      </c>
      <c r="N391" s="37" t="s">
        <v>330</v>
      </c>
      <c r="O391" s="29" t="s">
        <v>2</v>
      </c>
      <c r="P391" s="37">
        <v>4</v>
      </c>
      <c r="Q391" s="37" t="s">
        <v>1485</v>
      </c>
      <c r="R391" s="37" t="s">
        <v>1412</v>
      </c>
      <c r="S391" t="str">
        <f>IFERROR(HYPERLINK("#Main!A"&amp;MATCH(A391,Main!A:A,0),"Open"),HYPERLINK("#Main!A1","Open"))</f>
        <v>Open</v>
      </c>
      <c r="T391" t="str">
        <f>IFERROR(HYPERLINK("#Technical!A"&amp;MATCH(A391,Technical!A:A,0),"Open"),HYPERLINK("#Technical!A1","Open"))</f>
        <v>Open</v>
      </c>
    </row>
    <row r="392" spans="1:21" ht="45" customHeight="1" x14ac:dyDescent="0.25">
      <c r="A392" s="33" t="s">
        <v>655</v>
      </c>
      <c r="B392" s="28">
        <v>3634</v>
      </c>
      <c r="C392" s="55" t="s">
        <v>1132</v>
      </c>
      <c r="D392" s="28" t="s">
        <v>1407</v>
      </c>
      <c r="E392" s="32" t="s">
        <v>72</v>
      </c>
      <c r="F392" s="28" t="s">
        <v>1408</v>
      </c>
      <c r="G392" s="39">
        <v>67</v>
      </c>
      <c r="H392" s="28">
        <v>0</v>
      </c>
      <c r="I392" s="28" t="s">
        <v>1409</v>
      </c>
      <c r="J392" s="28" t="s">
        <v>1410</v>
      </c>
      <c r="K392" s="56" t="s">
        <v>22</v>
      </c>
      <c r="L392" s="28" t="s">
        <v>726</v>
      </c>
      <c r="M392" s="28" t="s">
        <v>323</v>
      </c>
      <c r="N392" s="28" t="s">
        <v>330</v>
      </c>
      <c r="O392" s="29" t="s">
        <v>2</v>
      </c>
      <c r="P392" s="28">
        <v>4</v>
      </c>
      <c r="Q392" s="28" t="s">
        <v>1486</v>
      </c>
      <c r="R392" s="28" t="s">
        <v>1412</v>
      </c>
      <c r="S392" s="34" t="str">
        <f>IFERROR(HYPERLINK("#Main!A"&amp;MATCH(A392,Main!A:A,0),"Open"),HYPERLINK("#Main!A1","Open"))</f>
        <v>Open</v>
      </c>
      <c r="T392" s="34" t="str">
        <f>IFERROR(HYPERLINK("#Technical!A"&amp;MATCH(A392,Technical!A:A,0),"Open"),HYPERLINK("#Technical!A1","Open"))</f>
        <v>Open</v>
      </c>
      <c r="U392" s="34"/>
    </row>
    <row r="393" spans="1:21" ht="45" customHeight="1" x14ac:dyDescent="0.25">
      <c r="A393" s="30" t="s">
        <v>658</v>
      </c>
      <c r="B393" s="37">
        <v>7781</v>
      </c>
      <c r="C393" s="55" t="s">
        <v>1134</v>
      </c>
      <c r="D393" s="37" t="s">
        <v>1407</v>
      </c>
      <c r="E393" s="32" t="s">
        <v>72</v>
      </c>
      <c r="F393" s="37" t="s">
        <v>1408</v>
      </c>
      <c r="G393" s="42">
        <v>67</v>
      </c>
      <c r="H393" s="37">
        <v>0</v>
      </c>
      <c r="I393" s="37" t="s">
        <v>1409</v>
      </c>
      <c r="J393" s="37" t="s">
        <v>1410</v>
      </c>
      <c r="K393" s="57" t="s">
        <v>22</v>
      </c>
      <c r="L393" s="37" t="s">
        <v>726</v>
      </c>
      <c r="M393" s="37" t="s">
        <v>323</v>
      </c>
      <c r="N393" s="37" t="s">
        <v>330</v>
      </c>
      <c r="O393" s="29" t="s">
        <v>2</v>
      </c>
      <c r="P393" s="37">
        <v>4</v>
      </c>
      <c r="Q393" s="37" t="s">
        <v>1487</v>
      </c>
      <c r="R393" s="37" t="s">
        <v>1412</v>
      </c>
      <c r="S393" t="str">
        <f>IFERROR(HYPERLINK("#Main!A"&amp;MATCH(A393,Main!A:A,0),"Open"),HYPERLINK("#Main!A1","Open"))</f>
        <v>Open</v>
      </c>
      <c r="T393" t="str">
        <f>IFERROR(HYPERLINK("#Technical!A"&amp;MATCH(A393,Technical!A:A,0),"Open"),HYPERLINK("#Technical!A1","Open"))</f>
        <v>Open</v>
      </c>
    </row>
    <row r="394" spans="1:21" ht="45" customHeight="1" x14ac:dyDescent="0.25">
      <c r="A394" s="33" t="s">
        <v>661</v>
      </c>
      <c r="B394" s="28">
        <v>5490</v>
      </c>
      <c r="C394" s="55" t="s">
        <v>1136</v>
      </c>
      <c r="D394" s="28" t="s">
        <v>1407</v>
      </c>
      <c r="E394" s="32" t="s">
        <v>72</v>
      </c>
      <c r="F394" s="28" t="s">
        <v>1408</v>
      </c>
      <c r="G394" s="39">
        <v>67</v>
      </c>
      <c r="H394" s="28">
        <v>0</v>
      </c>
      <c r="I394" s="28" t="s">
        <v>1409</v>
      </c>
      <c r="J394" s="28" t="s">
        <v>1410</v>
      </c>
      <c r="K394" s="56" t="s">
        <v>22</v>
      </c>
      <c r="L394" s="28" t="s">
        <v>726</v>
      </c>
      <c r="M394" s="28" t="s">
        <v>323</v>
      </c>
      <c r="N394" s="28" t="s">
        <v>330</v>
      </c>
      <c r="O394" s="29" t="s">
        <v>2</v>
      </c>
      <c r="P394" s="28">
        <v>4</v>
      </c>
      <c r="Q394" s="28" t="s">
        <v>1488</v>
      </c>
      <c r="R394" s="28" t="s">
        <v>1412</v>
      </c>
      <c r="S394" s="34" t="str">
        <f>IFERROR(HYPERLINK("#Main!A"&amp;MATCH(A394,Main!A:A,0),"Open"),HYPERLINK("#Main!A1","Open"))</f>
        <v>Open</v>
      </c>
      <c r="T394" s="34" t="str">
        <f>IFERROR(HYPERLINK("#Technical!A"&amp;MATCH(A394,Technical!A:A,0),"Open"),HYPERLINK("#Technical!A1","Open"))</f>
        <v>Open</v>
      </c>
      <c r="U394" s="34"/>
    </row>
    <row r="395" spans="1:21" ht="45" customHeight="1" x14ac:dyDescent="0.25">
      <c r="A395" s="30" t="s">
        <v>664</v>
      </c>
      <c r="B395" s="37">
        <v>27352</v>
      </c>
      <c r="C395" s="55" t="s">
        <v>1138</v>
      </c>
      <c r="D395" s="37" t="s">
        <v>1407</v>
      </c>
      <c r="E395" s="32" t="s">
        <v>72</v>
      </c>
      <c r="F395" s="37" t="s">
        <v>1408</v>
      </c>
      <c r="G395" s="42">
        <v>67</v>
      </c>
      <c r="H395" s="37">
        <v>0</v>
      </c>
      <c r="I395" s="37" t="s">
        <v>1409</v>
      </c>
      <c r="J395" s="37" t="s">
        <v>1410</v>
      </c>
      <c r="K395" s="57" t="s">
        <v>22</v>
      </c>
      <c r="L395" s="37" t="s">
        <v>726</v>
      </c>
      <c r="M395" s="37" t="s">
        <v>323</v>
      </c>
      <c r="N395" s="37" t="s">
        <v>330</v>
      </c>
      <c r="O395" s="29" t="s">
        <v>2</v>
      </c>
      <c r="P395" s="37">
        <v>4</v>
      </c>
      <c r="Q395" s="37" t="s">
        <v>1489</v>
      </c>
      <c r="R395" s="37" t="s">
        <v>1412</v>
      </c>
      <c r="S395" t="str">
        <f>IFERROR(HYPERLINK("#Main!A"&amp;MATCH(A395,Main!A:A,0),"Open"),HYPERLINK("#Main!A1","Open"))</f>
        <v>Open</v>
      </c>
      <c r="T395" t="str">
        <f>IFERROR(HYPERLINK("#Technical!A"&amp;MATCH(A395,Technical!A:A,0),"Open"),HYPERLINK("#Technical!A1","Open"))</f>
        <v>Open</v>
      </c>
    </row>
    <row r="396" spans="1:21" ht="45" customHeight="1" x14ac:dyDescent="0.25">
      <c r="A396" s="33" t="s">
        <v>667</v>
      </c>
      <c r="B396" s="28">
        <v>17195</v>
      </c>
      <c r="C396" s="55" t="s">
        <v>1140</v>
      </c>
      <c r="D396" s="28" t="s">
        <v>1407</v>
      </c>
      <c r="E396" s="32" t="s">
        <v>72</v>
      </c>
      <c r="F396" s="28" t="s">
        <v>1408</v>
      </c>
      <c r="G396" s="39">
        <v>67</v>
      </c>
      <c r="H396" s="28">
        <v>0</v>
      </c>
      <c r="I396" s="28" t="s">
        <v>1409</v>
      </c>
      <c r="J396" s="28" t="s">
        <v>1410</v>
      </c>
      <c r="K396" s="56" t="s">
        <v>22</v>
      </c>
      <c r="L396" s="28" t="s">
        <v>726</v>
      </c>
      <c r="M396" s="28" t="s">
        <v>323</v>
      </c>
      <c r="N396" s="28" t="s">
        <v>330</v>
      </c>
      <c r="O396" s="29" t="s">
        <v>2</v>
      </c>
      <c r="P396" s="28">
        <v>4</v>
      </c>
      <c r="Q396" s="28" t="s">
        <v>1490</v>
      </c>
      <c r="R396" s="28" t="s">
        <v>1412</v>
      </c>
      <c r="S396" s="34" t="str">
        <f>IFERROR(HYPERLINK("#Main!A"&amp;MATCH(A396,Main!A:A,0),"Open"),HYPERLINK("#Main!A1","Open"))</f>
        <v>Open</v>
      </c>
      <c r="T396" s="34" t="str">
        <f>IFERROR(HYPERLINK("#Technical!A"&amp;MATCH(A396,Technical!A:A,0),"Open"),HYPERLINK("#Technical!A1","Open"))</f>
        <v>Open</v>
      </c>
      <c r="U396" s="34"/>
    </row>
    <row r="397" spans="1:21" ht="45" customHeight="1" x14ac:dyDescent="0.25">
      <c r="A397" s="30" t="s">
        <v>670</v>
      </c>
      <c r="B397" s="37">
        <v>21591</v>
      </c>
      <c r="C397" s="55" t="s">
        <v>1142</v>
      </c>
      <c r="D397" s="37" t="s">
        <v>1407</v>
      </c>
      <c r="E397" s="32" t="s">
        <v>72</v>
      </c>
      <c r="F397" s="37" t="s">
        <v>1408</v>
      </c>
      <c r="G397" s="42">
        <v>67</v>
      </c>
      <c r="H397" s="37">
        <v>0</v>
      </c>
      <c r="I397" s="37" t="s">
        <v>1409</v>
      </c>
      <c r="J397" s="37" t="s">
        <v>1410</v>
      </c>
      <c r="K397" s="57" t="s">
        <v>22</v>
      </c>
      <c r="L397" s="37" t="s">
        <v>726</v>
      </c>
      <c r="M397" s="37" t="s">
        <v>323</v>
      </c>
      <c r="N397" s="37" t="s">
        <v>330</v>
      </c>
      <c r="O397" s="29" t="s">
        <v>2</v>
      </c>
      <c r="P397" s="37">
        <v>4</v>
      </c>
      <c r="Q397" s="37" t="s">
        <v>1491</v>
      </c>
      <c r="R397" s="37" t="s">
        <v>1412</v>
      </c>
      <c r="S397" t="str">
        <f>IFERROR(HYPERLINK("#Main!A"&amp;MATCH(A397,Main!A:A,0),"Open"),HYPERLINK("#Main!A1","Open"))</f>
        <v>Open</v>
      </c>
      <c r="T397" t="str">
        <f>IFERROR(HYPERLINK("#Technical!A"&amp;MATCH(A397,Technical!A:A,0),"Open"),HYPERLINK("#Technical!A1","Open"))</f>
        <v>Open</v>
      </c>
    </row>
    <row r="398" spans="1:21" ht="45" customHeight="1" x14ac:dyDescent="0.25">
      <c r="A398" s="33" t="s">
        <v>673</v>
      </c>
      <c r="B398" s="28">
        <v>7916</v>
      </c>
      <c r="C398" s="55" t="s">
        <v>1144</v>
      </c>
      <c r="D398" s="28" t="s">
        <v>1407</v>
      </c>
      <c r="E398" s="32" t="s">
        <v>72</v>
      </c>
      <c r="F398" s="28" t="s">
        <v>1408</v>
      </c>
      <c r="G398" s="39">
        <v>67</v>
      </c>
      <c r="H398" s="28">
        <v>0</v>
      </c>
      <c r="I398" s="28" t="s">
        <v>1409</v>
      </c>
      <c r="J398" s="28" t="s">
        <v>1410</v>
      </c>
      <c r="K398" s="56" t="s">
        <v>22</v>
      </c>
      <c r="L398" s="28" t="s">
        <v>726</v>
      </c>
      <c r="M398" s="28" t="s">
        <v>323</v>
      </c>
      <c r="N398" s="28" t="s">
        <v>330</v>
      </c>
      <c r="O398" s="29" t="s">
        <v>2</v>
      </c>
      <c r="P398" s="28">
        <v>4</v>
      </c>
      <c r="Q398" s="28" t="s">
        <v>1492</v>
      </c>
      <c r="R398" s="28" t="s">
        <v>1412</v>
      </c>
      <c r="S398" s="34" t="str">
        <f>IFERROR(HYPERLINK("#Main!A"&amp;MATCH(A398,Main!A:A,0),"Open"),HYPERLINK("#Main!A1","Open"))</f>
        <v>Open</v>
      </c>
      <c r="T398" s="34" t="str">
        <f>IFERROR(HYPERLINK("#Technical!A"&amp;MATCH(A398,Technical!A:A,0),"Open"),HYPERLINK("#Technical!A1","Open"))</f>
        <v>Open</v>
      </c>
      <c r="U398" s="34"/>
    </row>
    <row r="399" spans="1:21" ht="45" customHeight="1" x14ac:dyDescent="0.25">
      <c r="A399" s="30" t="s">
        <v>677</v>
      </c>
      <c r="B399" s="37">
        <v>17000</v>
      </c>
      <c r="C399" s="55" t="s">
        <v>1146</v>
      </c>
      <c r="D399" s="37" t="s">
        <v>1407</v>
      </c>
      <c r="E399" s="32" t="s">
        <v>72</v>
      </c>
      <c r="F399" s="37" t="s">
        <v>1408</v>
      </c>
      <c r="G399" s="42">
        <v>67</v>
      </c>
      <c r="H399" s="37">
        <v>0</v>
      </c>
      <c r="I399" s="37" t="s">
        <v>1409</v>
      </c>
      <c r="J399" s="37" t="s">
        <v>1410</v>
      </c>
      <c r="K399" s="57" t="s">
        <v>22</v>
      </c>
      <c r="L399" s="37" t="s">
        <v>726</v>
      </c>
      <c r="M399" s="37" t="s">
        <v>323</v>
      </c>
      <c r="N399" s="37" t="s">
        <v>330</v>
      </c>
      <c r="O399" s="29" t="s">
        <v>2</v>
      </c>
      <c r="P399" s="37">
        <v>4</v>
      </c>
      <c r="Q399" s="37" t="s">
        <v>1493</v>
      </c>
      <c r="R399" s="37" t="s">
        <v>1412</v>
      </c>
      <c r="S399" t="str">
        <f>IFERROR(HYPERLINK("#Main!A"&amp;MATCH(A399,Main!A:A,0),"Open"),HYPERLINK("#Main!A1","Open"))</f>
        <v>Open</v>
      </c>
      <c r="T399" t="str">
        <f>IFERROR(HYPERLINK("#Technical!A"&amp;MATCH(A399,Technical!A:A,0),"Open"),HYPERLINK("#Technical!A1","Open"))</f>
        <v>Open</v>
      </c>
    </row>
    <row r="400" spans="1:21" ht="45" customHeight="1" x14ac:dyDescent="0.25">
      <c r="A400" s="33" t="s">
        <v>680</v>
      </c>
      <c r="B400" s="28">
        <v>17196</v>
      </c>
      <c r="C400" s="55" t="s">
        <v>1148</v>
      </c>
      <c r="D400" s="28" t="s">
        <v>1407</v>
      </c>
      <c r="E400" s="32" t="s">
        <v>72</v>
      </c>
      <c r="F400" s="28" t="s">
        <v>1408</v>
      </c>
      <c r="G400" s="39">
        <v>67</v>
      </c>
      <c r="H400" s="28">
        <v>0</v>
      </c>
      <c r="I400" s="28" t="s">
        <v>1409</v>
      </c>
      <c r="J400" s="28" t="s">
        <v>1410</v>
      </c>
      <c r="K400" s="56" t="s">
        <v>22</v>
      </c>
      <c r="L400" s="28" t="s">
        <v>726</v>
      </c>
      <c r="M400" s="28" t="s">
        <v>323</v>
      </c>
      <c r="N400" s="28" t="s">
        <v>330</v>
      </c>
      <c r="O400" s="29" t="s">
        <v>2</v>
      </c>
      <c r="P400" s="28">
        <v>4</v>
      </c>
      <c r="Q400" s="28" t="s">
        <v>1494</v>
      </c>
      <c r="R400" s="28" t="s">
        <v>1412</v>
      </c>
      <c r="S400" s="34" t="str">
        <f>IFERROR(HYPERLINK("#Main!A"&amp;MATCH(A400,Main!A:A,0),"Open"),HYPERLINK("#Main!A1","Open"))</f>
        <v>Open</v>
      </c>
      <c r="T400" s="34" t="str">
        <f>IFERROR(HYPERLINK("#Technical!A"&amp;MATCH(A400,Technical!A:A,0),"Open"),HYPERLINK("#Technical!A1","Open"))</f>
        <v>Open</v>
      </c>
      <c r="U400" s="34"/>
    </row>
    <row r="401" spans="1:21" ht="45" customHeight="1" x14ac:dyDescent="0.25">
      <c r="A401" s="30" t="s">
        <v>683</v>
      </c>
      <c r="B401" s="37">
        <v>4909</v>
      </c>
      <c r="C401" s="55" t="s">
        <v>1150</v>
      </c>
      <c r="D401" s="37" t="s">
        <v>1407</v>
      </c>
      <c r="E401" s="32" t="s">
        <v>72</v>
      </c>
      <c r="F401" s="37" t="s">
        <v>1408</v>
      </c>
      <c r="G401" s="42">
        <v>67</v>
      </c>
      <c r="H401" s="37">
        <v>0</v>
      </c>
      <c r="I401" s="37" t="s">
        <v>1409</v>
      </c>
      <c r="J401" s="37" t="s">
        <v>1410</v>
      </c>
      <c r="K401" s="57" t="s">
        <v>22</v>
      </c>
      <c r="L401" s="37" t="s">
        <v>726</v>
      </c>
      <c r="M401" s="37" t="s">
        <v>323</v>
      </c>
      <c r="N401" s="37" t="s">
        <v>330</v>
      </c>
      <c r="O401" s="29" t="s">
        <v>2</v>
      </c>
      <c r="P401" s="37">
        <v>4</v>
      </c>
      <c r="Q401" s="37" t="s">
        <v>1495</v>
      </c>
      <c r="R401" s="37" t="s">
        <v>1412</v>
      </c>
      <c r="S401" t="str">
        <f>IFERROR(HYPERLINK("#Main!A"&amp;MATCH(A401,Main!A:A,0),"Open"),HYPERLINK("#Main!A1","Open"))</f>
        <v>Open</v>
      </c>
      <c r="T401" t="str">
        <f>IFERROR(HYPERLINK("#Technical!A"&amp;MATCH(A401,Technical!A:A,0),"Open"),HYPERLINK("#Technical!A1","Open"))</f>
        <v>Open</v>
      </c>
    </row>
    <row r="402" spans="1:21" ht="45" customHeight="1" x14ac:dyDescent="0.25">
      <c r="A402" s="33" t="s">
        <v>686</v>
      </c>
      <c r="B402" s="28">
        <v>5290</v>
      </c>
      <c r="C402" s="55" t="s">
        <v>1152</v>
      </c>
      <c r="D402" s="28" t="s">
        <v>1407</v>
      </c>
      <c r="E402" s="32" t="s">
        <v>72</v>
      </c>
      <c r="F402" s="28" t="s">
        <v>1408</v>
      </c>
      <c r="G402" s="39">
        <v>67</v>
      </c>
      <c r="H402" s="28">
        <v>0</v>
      </c>
      <c r="I402" s="28" t="s">
        <v>1409</v>
      </c>
      <c r="J402" s="28" t="s">
        <v>1410</v>
      </c>
      <c r="K402" s="56" t="s">
        <v>22</v>
      </c>
      <c r="L402" s="28" t="s">
        <v>726</v>
      </c>
      <c r="M402" s="28" t="s">
        <v>323</v>
      </c>
      <c r="N402" s="28" t="s">
        <v>330</v>
      </c>
      <c r="O402" s="29" t="s">
        <v>2</v>
      </c>
      <c r="P402" s="28">
        <v>4</v>
      </c>
      <c r="Q402" s="28" t="s">
        <v>1496</v>
      </c>
      <c r="R402" s="28" t="s">
        <v>1412</v>
      </c>
      <c r="S402" s="34" t="str">
        <f>IFERROR(HYPERLINK("#Main!A"&amp;MATCH(A402,Main!A:A,0),"Open"),HYPERLINK("#Main!A1","Open"))</f>
        <v>Open</v>
      </c>
      <c r="T402" s="34" t="str">
        <f>IFERROR(HYPERLINK("#Technical!A"&amp;MATCH(A402,Technical!A:A,0),"Open"),HYPERLINK("#Technical!A1","Open"))</f>
        <v>Open</v>
      </c>
      <c r="U402" s="34"/>
    </row>
    <row r="403" spans="1:21" ht="30" customHeight="1" x14ac:dyDescent="0.25">
      <c r="A403" s="30" t="s">
        <v>476</v>
      </c>
      <c r="B403" s="37"/>
      <c r="C403" s="37"/>
      <c r="D403" s="37" t="s">
        <v>433</v>
      </c>
      <c r="E403" s="32" t="s">
        <v>72</v>
      </c>
      <c r="F403" s="37" t="s">
        <v>1497</v>
      </c>
      <c r="G403" s="42">
        <v>67</v>
      </c>
      <c r="H403" s="37" t="s">
        <v>1155</v>
      </c>
      <c r="I403" s="37" t="s">
        <v>1498</v>
      </c>
      <c r="J403" s="37" t="s">
        <v>1499</v>
      </c>
      <c r="K403" s="57" t="s">
        <v>12</v>
      </c>
      <c r="L403" s="37" t="s">
        <v>433</v>
      </c>
      <c r="M403" s="37" t="s">
        <v>323</v>
      </c>
      <c r="N403" s="37" t="s">
        <v>330</v>
      </c>
      <c r="O403" s="29" t="s">
        <v>2</v>
      </c>
      <c r="P403" s="37">
        <v>4</v>
      </c>
      <c r="Q403" s="37" t="s">
        <v>1500</v>
      </c>
      <c r="R403" s="37" t="s">
        <v>1501</v>
      </c>
      <c r="S403" t="str">
        <f>IFERROR(HYPERLINK("#Main!A"&amp;MATCH(A403,Main!A:A,0),"Open"),HYPERLINK("#Main!A1","Open"))</f>
        <v>Open</v>
      </c>
      <c r="T403" t="str">
        <f>IFERROR(HYPERLINK("#Technical!A"&amp;MATCH(A403,Technical!A:A,0),"Open"),HYPERLINK("#Technical!A1","Open"))</f>
        <v>Open</v>
      </c>
    </row>
    <row r="404" spans="1:21" ht="30" customHeight="1" x14ac:dyDescent="0.25">
      <c r="A404" s="33" t="s">
        <v>483</v>
      </c>
      <c r="B404" s="28"/>
      <c r="C404" s="28"/>
      <c r="D404" s="28" t="s">
        <v>433</v>
      </c>
      <c r="E404" s="32" t="s">
        <v>72</v>
      </c>
      <c r="F404" s="28" t="s">
        <v>1497</v>
      </c>
      <c r="G404" s="39">
        <v>67</v>
      </c>
      <c r="H404" s="28" t="s">
        <v>1155</v>
      </c>
      <c r="I404" s="28" t="s">
        <v>1498</v>
      </c>
      <c r="J404" s="28" t="s">
        <v>1499</v>
      </c>
      <c r="K404" s="56" t="s">
        <v>12</v>
      </c>
      <c r="L404" s="28" t="s">
        <v>433</v>
      </c>
      <c r="M404" s="28" t="s">
        <v>323</v>
      </c>
      <c r="N404" s="28" t="s">
        <v>330</v>
      </c>
      <c r="O404" s="29" t="s">
        <v>2</v>
      </c>
      <c r="P404" s="28">
        <v>4</v>
      </c>
      <c r="Q404" s="28" t="s">
        <v>1502</v>
      </c>
      <c r="R404" s="28" t="s">
        <v>1501</v>
      </c>
      <c r="S404" s="34" t="str">
        <f>IFERROR(HYPERLINK("#Main!A"&amp;MATCH(A404,Main!A:A,0),"Open"),HYPERLINK("#Main!A1","Open"))</f>
        <v>Open</v>
      </c>
      <c r="T404" s="34" t="str">
        <f>IFERROR(HYPERLINK("#Technical!A"&amp;MATCH(A404,Technical!A:A,0),"Open"),HYPERLINK("#Technical!A1","Open"))</f>
        <v>Open</v>
      </c>
      <c r="U404" s="34"/>
    </row>
    <row r="405" spans="1:21" ht="30" customHeight="1" x14ac:dyDescent="0.25">
      <c r="A405" s="30" t="s">
        <v>135</v>
      </c>
      <c r="B405" s="37">
        <v>84</v>
      </c>
      <c r="C405" s="55" t="s">
        <v>992</v>
      </c>
      <c r="D405" s="37" t="s">
        <v>981</v>
      </c>
      <c r="E405" s="47" t="s">
        <v>388</v>
      </c>
      <c r="F405" s="37" t="s">
        <v>1503</v>
      </c>
      <c r="G405" s="42">
        <v>37</v>
      </c>
      <c r="H405" s="37">
        <v>405</v>
      </c>
      <c r="I405" s="37" t="s">
        <v>1156</v>
      </c>
      <c r="J405" s="37" t="s">
        <v>1504</v>
      </c>
      <c r="K405" s="57" t="s">
        <v>12</v>
      </c>
      <c r="L405" s="37" t="s">
        <v>256</v>
      </c>
      <c r="M405" s="37" t="s">
        <v>392</v>
      </c>
      <c r="N405" s="37" t="s">
        <v>330</v>
      </c>
      <c r="O405" s="29" t="s">
        <v>2</v>
      </c>
      <c r="P405" s="37">
        <v>4</v>
      </c>
      <c r="Q405" s="37" t="s">
        <v>1505</v>
      </c>
      <c r="R405" s="37" t="s">
        <v>1506</v>
      </c>
      <c r="S405" t="str">
        <f>IFERROR(HYPERLINK("#Main!A"&amp;MATCH(A405,Main!A:A,0),"Open"),HYPERLINK("#Main!A1","Open"))</f>
        <v>Open</v>
      </c>
      <c r="T405" t="str">
        <f>IFERROR(HYPERLINK("#Technical!A"&amp;MATCH(A405,Technical!A:A,0),"Open"),HYPERLINK("#Technical!A1","Open"))</f>
        <v>Open</v>
      </c>
    </row>
    <row r="406" spans="1:21" ht="30" customHeight="1" x14ac:dyDescent="0.25">
      <c r="A406" s="33" t="s">
        <v>144</v>
      </c>
      <c r="B406" s="28">
        <v>28165</v>
      </c>
      <c r="C406" s="55" t="s">
        <v>994</v>
      </c>
      <c r="D406" s="28" t="s">
        <v>981</v>
      </c>
      <c r="E406" s="47" t="s">
        <v>388</v>
      </c>
      <c r="F406" s="28" t="s">
        <v>1503</v>
      </c>
      <c r="G406" s="39">
        <v>37</v>
      </c>
      <c r="H406" s="28">
        <v>423</v>
      </c>
      <c r="I406" s="28" t="s">
        <v>1156</v>
      </c>
      <c r="J406" s="28" t="s">
        <v>1504</v>
      </c>
      <c r="K406" s="56" t="s">
        <v>12</v>
      </c>
      <c r="L406" s="28" t="s">
        <v>256</v>
      </c>
      <c r="M406" s="28" t="s">
        <v>392</v>
      </c>
      <c r="N406" s="28" t="s">
        <v>330</v>
      </c>
      <c r="O406" s="29" t="s">
        <v>2</v>
      </c>
      <c r="P406" s="28">
        <v>4</v>
      </c>
      <c r="Q406" s="28" t="s">
        <v>1507</v>
      </c>
      <c r="R406" s="28" t="s">
        <v>1506</v>
      </c>
      <c r="S406" s="34" t="str">
        <f>IFERROR(HYPERLINK("#Main!A"&amp;MATCH(A406,Main!A:A,0),"Open"),HYPERLINK("#Main!A1","Open"))</f>
        <v>Open</v>
      </c>
      <c r="T406" s="34" t="str">
        <f>IFERROR(HYPERLINK("#Technical!A"&amp;MATCH(A406,Technical!A:A,0),"Open"),HYPERLINK("#Technical!A1","Open"))</f>
        <v>Open</v>
      </c>
      <c r="U406" s="34"/>
    </row>
    <row r="407" spans="1:21" ht="30" customHeight="1" x14ac:dyDescent="0.25">
      <c r="A407" s="30" t="s">
        <v>152</v>
      </c>
      <c r="B407" s="37">
        <v>16125</v>
      </c>
      <c r="C407" s="55" t="s">
        <v>996</v>
      </c>
      <c r="D407" s="37" t="s">
        <v>981</v>
      </c>
      <c r="E407" s="47" t="s">
        <v>388</v>
      </c>
      <c r="F407" s="37" t="s">
        <v>1503</v>
      </c>
      <c r="G407" s="42">
        <v>37</v>
      </c>
      <c r="H407" s="37">
        <v>406</v>
      </c>
      <c r="I407" s="37" t="s">
        <v>1156</v>
      </c>
      <c r="J407" s="37" t="s">
        <v>1504</v>
      </c>
      <c r="K407" s="57" t="s">
        <v>12</v>
      </c>
      <c r="L407" s="37" t="s">
        <v>256</v>
      </c>
      <c r="M407" s="37" t="s">
        <v>392</v>
      </c>
      <c r="N407" s="37" t="s">
        <v>330</v>
      </c>
      <c r="O407" s="29" t="s">
        <v>2</v>
      </c>
      <c r="P407" s="37">
        <v>4</v>
      </c>
      <c r="Q407" s="37" t="s">
        <v>1508</v>
      </c>
      <c r="R407" s="37" t="s">
        <v>1506</v>
      </c>
      <c r="S407" t="str">
        <f>IFERROR(HYPERLINK("#Main!A"&amp;MATCH(A407,Main!A:A,0),"Open"),HYPERLINK("#Main!A1","Open"))</f>
        <v>Open</v>
      </c>
      <c r="T407" t="str">
        <f>IFERROR(HYPERLINK("#Technical!A"&amp;MATCH(A407,Technical!A:A,0),"Open"),HYPERLINK("#Technical!A1","Open"))</f>
        <v>Open</v>
      </c>
    </row>
    <row r="408" spans="1:21" ht="30" customHeight="1" x14ac:dyDescent="0.25">
      <c r="A408" s="33" t="s">
        <v>161</v>
      </c>
      <c r="B408" s="28">
        <v>4494</v>
      </c>
      <c r="C408" s="55" t="s">
        <v>998</v>
      </c>
      <c r="D408" s="28" t="s">
        <v>981</v>
      </c>
      <c r="E408" s="47" t="s">
        <v>388</v>
      </c>
      <c r="F408" s="28" t="s">
        <v>1503</v>
      </c>
      <c r="G408" s="39">
        <v>37</v>
      </c>
      <c r="H408" s="28">
        <v>387</v>
      </c>
      <c r="I408" s="28" t="s">
        <v>1156</v>
      </c>
      <c r="J408" s="28" t="s">
        <v>1504</v>
      </c>
      <c r="K408" s="56" t="s">
        <v>12</v>
      </c>
      <c r="L408" s="28" t="s">
        <v>256</v>
      </c>
      <c r="M408" s="28" t="s">
        <v>392</v>
      </c>
      <c r="N408" s="28" t="s">
        <v>330</v>
      </c>
      <c r="O408" s="29" t="s">
        <v>2</v>
      </c>
      <c r="P408" s="28">
        <v>4</v>
      </c>
      <c r="Q408" s="28" t="s">
        <v>1509</v>
      </c>
      <c r="R408" s="28" t="s">
        <v>1506</v>
      </c>
      <c r="S408" s="34" t="str">
        <f>IFERROR(HYPERLINK("#Main!A"&amp;MATCH(A408,Main!A:A,0),"Open"),HYPERLINK("#Main!A1","Open"))</f>
        <v>Open</v>
      </c>
      <c r="T408" s="34" t="str">
        <f>IFERROR(HYPERLINK("#Technical!A"&amp;MATCH(A408,Technical!A:A,0),"Open"),HYPERLINK("#Technical!A1","Open"))</f>
        <v>Open</v>
      </c>
      <c r="U408" s="34"/>
    </row>
    <row r="409" spans="1:21" ht="30" customHeight="1" x14ac:dyDescent="0.25">
      <c r="A409" s="30" t="s">
        <v>169</v>
      </c>
      <c r="B409" s="37">
        <v>5619</v>
      </c>
      <c r="C409" s="55" t="s">
        <v>1000</v>
      </c>
      <c r="D409" s="37" t="s">
        <v>981</v>
      </c>
      <c r="E409" s="47" t="s">
        <v>388</v>
      </c>
      <c r="F409" s="37" t="s">
        <v>1503</v>
      </c>
      <c r="G409" s="42">
        <v>37</v>
      </c>
      <c r="H409" s="37">
        <v>335</v>
      </c>
      <c r="I409" s="37" t="s">
        <v>1156</v>
      </c>
      <c r="J409" s="37" t="s">
        <v>1504</v>
      </c>
      <c r="K409" s="57" t="s">
        <v>12</v>
      </c>
      <c r="L409" s="37" t="s">
        <v>256</v>
      </c>
      <c r="M409" s="37" t="s">
        <v>392</v>
      </c>
      <c r="N409" s="37" t="s">
        <v>330</v>
      </c>
      <c r="O409" s="29" t="s">
        <v>2</v>
      </c>
      <c r="P409" s="37">
        <v>4</v>
      </c>
      <c r="Q409" s="37" t="s">
        <v>1510</v>
      </c>
      <c r="R409" s="37" t="s">
        <v>1506</v>
      </c>
      <c r="S409" t="str">
        <f>IFERROR(HYPERLINK("#Main!A"&amp;MATCH(A409,Main!A:A,0),"Open"),HYPERLINK("#Main!A1","Open"))</f>
        <v>Open</v>
      </c>
      <c r="T409" t="str">
        <f>IFERROR(HYPERLINK("#Technical!A"&amp;MATCH(A409,Technical!A:A,0),"Open"),HYPERLINK("#Technical!A1","Open"))</f>
        <v>Open</v>
      </c>
    </row>
    <row r="410" spans="1:21" ht="30" customHeight="1" x14ac:dyDescent="0.25">
      <c r="A410" s="33" t="s">
        <v>177</v>
      </c>
      <c r="B410" s="28">
        <v>4941</v>
      </c>
      <c r="C410" s="55" t="s">
        <v>1002</v>
      </c>
      <c r="D410" s="28" t="s">
        <v>981</v>
      </c>
      <c r="E410" s="47" t="s">
        <v>388</v>
      </c>
      <c r="F410" s="28" t="s">
        <v>1503</v>
      </c>
      <c r="G410" s="39">
        <v>37</v>
      </c>
      <c r="H410" s="28">
        <v>337</v>
      </c>
      <c r="I410" s="28" t="s">
        <v>1156</v>
      </c>
      <c r="J410" s="28" t="s">
        <v>1504</v>
      </c>
      <c r="K410" s="56" t="s">
        <v>12</v>
      </c>
      <c r="L410" s="28" t="s">
        <v>256</v>
      </c>
      <c r="M410" s="28" t="s">
        <v>392</v>
      </c>
      <c r="N410" s="28" t="s">
        <v>330</v>
      </c>
      <c r="O410" s="29" t="s">
        <v>2</v>
      </c>
      <c r="P410" s="28">
        <v>4</v>
      </c>
      <c r="Q410" s="28" t="s">
        <v>1511</v>
      </c>
      <c r="R410" s="28" t="s">
        <v>1506</v>
      </c>
      <c r="S410" s="34" t="str">
        <f>IFERROR(HYPERLINK("#Main!A"&amp;MATCH(A410,Main!A:A,0),"Open"),HYPERLINK("#Main!A1","Open"))</f>
        <v>Open</v>
      </c>
      <c r="T410" s="34" t="str">
        <f>IFERROR(HYPERLINK("#Technical!A"&amp;MATCH(A410,Technical!A:A,0),"Open"),HYPERLINK("#Technical!A1","Open"))</f>
        <v>Open</v>
      </c>
      <c r="U410" s="34"/>
    </row>
    <row r="411" spans="1:21" ht="30" customHeight="1" x14ac:dyDescent="0.25">
      <c r="A411" s="30" t="s">
        <v>185</v>
      </c>
      <c r="B411" s="37">
        <v>12371</v>
      </c>
      <c r="C411" s="55" t="s">
        <v>1004</v>
      </c>
      <c r="D411" s="37" t="s">
        <v>981</v>
      </c>
      <c r="E411" s="47" t="s">
        <v>388</v>
      </c>
      <c r="F411" s="37" t="s">
        <v>1503</v>
      </c>
      <c r="G411" s="42">
        <v>37</v>
      </c>
      <c r="H411" s="37">
        <v>398</v>
      </c>
      <c r="I411" s="37" t="s">
        <v>1156</v>
      </c>
      <c r="J411" s="37" t="s">
        <v>1504</v>
      </c>
      <c r="K411" s="57" t="s">
        <v>12</v>
      </c>
      <c r="L411" s="37" t="s">
        <v>256</v>
      </c>
      <c r="M411" s="37" t="s">
        <v>392</v>
      </c>
      <c r="N411" s="37" t="s">
        <v>330</v>
      </c>
      <c r="O411" s="29" t="s">
        <v>2</v>
      </c>
      <c r="P411" s="37">
        <v>4</v>
      </c>
      <c r="Q411" s="37" t="s">
        <v>1512</v>
      </c>
      <c r="R411" s="37" t="s">
        <v>1506</v>
      </c>
      <c r="S411" t="str">
        <f>IFERROR(HYPERLINK("#Main!A"&amp;MATCH(A411,Main!A:A,0),"Open"),HYPERLINK("#Main!A1","Open"))</f>
        <v>Open</v>
      </c>
      <c r="T411" t="str">
        <f>IFERROR(HYPERLINK("#Technical!A"&amp;MATCH(A411,Technical!A:A,0),"Open"),HYPERLINK("#Technical!A1","Open"))</f>
        <v>Open</v>
      </c>
    </row>
    <row r="412" spans="1:21" ht="30" customHeight="1" x14ac:dyDescent="0.25">
      <c r="A412" s="33" t="s">
        <v>193</v>
      </c>
      <c r="B412" s="28">
        <v>12954</v>
      </c>
      <c r="C412" s="55" t="s">
        <v>1006</v>
      </c>
      <c r="D412" s="28" t="s">
        <v>981</v>
      </c>
      <c r="E412" s="47" t="s">
        <v>388</v>
      </c>
      <c r="F412" s="28" t="s">
        <v>1503</v>
      </c>
      <c r="G412" s="39">
        <v>37</v>
      </c>
      <c r="H412" s="28">
        <v>432</v>
      </c>
      <c r="I412" s="28" t="s">
        <v>1156</v>
      </c>
      <c r="J412" s="28" t="s">
        <v>1504</v>
      </c>
      <c r="K412" s="56" t="s">
        <v>12</v>
      </c>
      <c r="L412" s="28" t="s">
        <v>256</v>
      </c>
      <c r="M412" s="28" t="s">
        <v>392</v>
      </c>
      <c r="N412" s="28" t="s">
        <v>330</v>
      </c>
      <c r="O412" s="29" t="s">
        <v>2</v>
      </c>
      <c r="P412" s="28">
        <v>4</v>
      </c>
      <c r="Q412" s="28" t="s">
        <v>1513</v>
      </c>
      <c r="R412" s="28" t="s">
        <v>1506</v>
      </c>
      <c r="S412" s="34" t="str">
        <f>IFERROR(HYPERLINK("#Main!A"&amp;MATCH(A412,Main!A:A,0),"Open"),HYPERLINK("#Main!A1","Open"))</f>
        <v>Open</v>
      </c>
      <c r="T412" s="34" t="str">
        <f>IFERROR(HYPERLINK("#Technical!A"&amp;MATCH(A412,Technical!A:A,0),"Open"),HYPERLINK("#Technical!A1","Open"))</f>
        <v>Open</v>
      </c>
      <c r="U412" s="34"/>
    </row>
    <row r="413" spans="1:21" ht="30" customHeight="1" x14ac:dyDescent="0.25">
      <c r="A413" s="30" t="s">
        <v>208</v>
      </c>
      <c r="B413" s="37">
        <v>12407</v>
      </c>
      <c r="C413" s="55" t="s">
        <v>1010</v>
      </c>
      <c r="D413" s="37" t="s">
        <v>981</v>
      </c>
      <c r="E413" s="47" t="s">
        <v>388</v>
      </c>
      <c r="F413" s="37" t="s">
        <v>1503</v>
      </c>
      <c r="G413" s="42">
        <v>37</v>
      </c>
      <c r="H413" s="37">
        <v>316</v>
      </c>
      <c r="I413" s="37" t="s">
        <v>1156</v>
      </c>
      <c r="J413" s="37" t="s">
        <v>1504</v>
      </c>
      <c r="K413" s="57" t="s">
        <v>12</v>
      </c>
      <c r="L413" s="37" t="s">
        <v>256</v>
      </c>
      <c r="M413" s="37" t="s">
        <v>392</v>
      </c>
      <c r="N413" s="37" t="s">
        <v>330</v>
      </c>
      <c r="O413" s="29" t="s">
        <v>2</v>
      </c>
      <c r="P413" s="37">
        <v>4</v>
      </c>
      <c r="Q413" s="37" t="s">
        <v>1514</v>
      </c>
      <c r="R413" s="37" t="s">
        <v>1506</v>
      </c>
      <c r="S413" t="str">
        <f>IFERROR(HYPERLINK("#Main!A"&amp;MATCH(A413,Main!A:A,0),"Open"),HYPERLINK("#Main!A1","Open"))</f>
        <v>Open</v>
      </c>
      <c r="T413" t="str">
        <f>IFERROR(HYPERLINK("#Technical!A"&amp;MATCH(A413,Technical!A:A,0),"Open"),HYPERLINK("#Technical!A1","Open"))</f>
        <v>Open</v>
      </c>
    </row>
    <row r="414" spans="1:21" ht="30" customHeight="1" x14ac:dyDescent="0.25">
      <c r="A414" s="33" t="s">
        <v>216</v>
      </c>
      <c r="B414" s="28">
        <v>12497</v>
      </c>
      <c r="C414" s="55" t="s">
        <v>1012</v>
      </c>
      <c r="D414" s="28" t="s">
        <v>981</v>
      </c>
      <c r="E414" s="47" t="s">
        <v>388</v>
      </c>
      <c r="F414" s="28" t="s">
        <v>1503</v>
      </c>
      <c r="G414" s="39">
        <v>37</v>
      </c>
      <c r="H414" s="28">
        <v>379</v>
      </c>
      <c r="I414" s="28" t="s">
        <v>1156</v>
      </c>
      <c r="J414" s="28" t="s">
        <v>1504</v>
      </c>
      <c r="K414" s="56" t="s">
        <v>12</v>
      </c>
      <c r="L414" s="28" t="s">
        <v>256</v>
      </c>
      <c r="M414" s="28" t="s">
        <v>392</v>
      </c>
      <c r="N414" s="28" t="s">
        <v>330</v>
      </c>
      <c r="O414" s="29" t="s">
        <v>2</v>
      </c>
      <c r="P414" s="28">
        <v>4</v>
      </c>
      <c r="Q414" s="28" t="s">
        <v>1515</v>
      </c>
      <c r="R414" s="28" t="s">
        <v>1506</v>
      </c>
      <c r="S414" s="34" t="str">
        <f>IFERROR(HYPERLINK("#Main!A"&amp;MATCH(A414,Main!A:A,0),"Open"),HYPERLINK("#Main!A1","Open"))</f>
        <v>Open</v>
      </c>
      <c r="T414" s="34" t="str">
        <f>IFERROR(HYPERLINK("#Technical!A"&amp;MATCH(A414,Technical!A:A,0),"Open"),HYPERLINK("#Technical!A1","Open"))</f>
        <v>Open</v>
      </c>
      <c r="U414" s="34"/>
    </row>
    <row r="415" spans="1:21" ht="30" customHeight="1" x14ac:dyDescent="0.25">
      <c r="A415" s="30" t="s">
        <v>224</v>
      </c>
      <c r="B415" s="37">
        <v>13098</v>
      </c>
      <c r="C415" s="55" t="s">
        <v>1014</v>
      </c>
      <c r="D415" s="37" t="s">
        <v>981</v>
      </c>
      <c r="E415" s="47" t="s">
        <v>388</v>
      </c>
      <c r="F415" s="37" t="s">
        <v>1503</v>
      </c>
      <c r="G415" s="42">
        <v>37</v>
      </c>
      <c r="H415" s="37">
        <v>340</v>
      </c>
      <c r="I415" s="37" t="s">
        <v>1156</v>
      </c>
      <c r="J415" s="37" t="s">
        <v>1504</v>
      </c>
      <c r="K415" s="57" t="s">
        <v>12</v>
      </c>
      <c r="L415" s="37" t="s">
        <v>256</v>
      </c>
      <c r="M415" s="37" t="s">
        <v>392</v>
      </c>
      <c r="N415" s="37" t="s">
        <v>330</v>
      </c>
      <c r="O415" s="29" t="s">
        <v>2</v>
      </c>
      <c r="P415" s="37">
        <v>4</v>
      </c>
      <c r="Q415" s="37" t="s">
        <v>1516</v>
      </c>
      <c r="R415" s="37" t="s">
        <v>1506</v>
      </c>
      <c r="S415" t="str">
        <f>IFERROR(HYPERLINK("#Main!A"&amp;MATCH(A415,Main!A:A,0),"Open"),HYPERLINK("#Main!A1","Open"))</f>
        <v>Open</v>
      </c>
      <c r="T415" t="str">
        <f>IFERROR(HYPERLINK("#Technical!A"&amp;MATCH(A415,Technical!A:A,0),"Open"),HYPERLINK("#Technical!A1","Open"))</f>
        <v>Open</v>
      </c>
    </row>
    <row r="416" spans="1:21" ht="30" customHeight="1" x14ac:dyDescent="0.25">
      <c r="A416" s="33" t="s">
        <v>233</v>
      </c>
      <c r="B416" s="28">
        <v>13549</v>
      </c>
      <c r="C416" s="55" t="s">
        <v>1016</v>
      </c>
      <c r="D416" s="28" t="s">
        <v>981</v>
      </c>
      <c r="E416" s="47" t="s">
        <v>388</v>
      </c>
      <c r="F416" s="28" t="s">
        <v>1517</v>
      </c>
      <c r="G416" s="39">
        <v>37</v>
      </c>
      <c r="H416" s="28">
        <v>88</v>
      </c>
      <c r="I416" s="28" t="s">
        <v>1156</v>
      </c>
      <c r="J416" s="28" t="s">
        <v>1518</v>
      </c>
      <c r="K416" s="56" t="s">
        <v>12</v>
      </c>
      <c r="L416" s="28" t="s">
        <v>256</v>
      </c>
      <c r="M416" s="28" t="s">
        <v>392</v>
      </c>
      <c r="N416" s="28" t="s">
        <v>330</v>
      </c>
      <c r="O416" s="29" t="s">
        <v>2</v>
      </c>
      <c r="P416" s="28">
        <v>4</v>
      </c>
      <c r="Q416" s="28" t="s">
        <v>1519</v>
      </c>
      <c r="R416" s="28" t="s">
        <v>1520</v>
      </c>
      <c r="S416" s="34" t="str">
        <f>IFERROR(HYPERLINK("#Main!A"&amp;MATCH(A416,Main!A:A,0),"Open"),HYPERLINK("#Main!A1","Open"))</f>
        <v>Open</v>
      </c>
      <c r="T416" s="34" t="str">
        <f>IFERROR(HYPERLINK("#Technical!A"&amp;MATCH(A416,Technical!A:A,0),"Open"),HYPERLINK("#Technical!A1","Open"))</f>
        <v>Open</v>
      </c>
      <c r="U416" s="34"/>
    </row>
    <row r="417" spans="1:21" ht="30" customHeight="1" x14ac:dyDescent="0.25">
      <c r="A417" s="30" t="s">
        <v>241</v>
      </c>
      <c r="B417" s="37">
        <v>13282</v>
      </c>
      <c r="C417" s="55" t="s">
        <v>1018</v>
      </c>
      <c r="D417" s="37" t="s">
        <v>981</v>
      </c>
      <c r="E417" s="47" t="s">
        <v>388</v>
      </c>
      <c r="F417" s="37" t="s">
        <v>1517</v>
      </c>
      <c r="G417" s="42">
        <v>37</v>
      </c>
      <c r="H417" s="37">
        <v>37</v>
      </c>
      <c r="I417" s="37" t="s">
        <v>1156</v>
      </c>
      <c r="J417" s="37" t="s">
        <v>1518</v>
      </c>
      <c r="K417" s="57" t="s">
        <v>12</v>
      </c>
      <c r="L417" s="37" t="s">
        <v>256</v>
      </c>
      <c r="M417" s="37" t="s">
        <v>392</v>
      </c>
      <c r="N417" s="37" t="s">
        <v>330</v>
      </c>
      <c r="O417" s="29" t="s">
        <v>2</v>
      </c>
      <c r="P417" s="37">
        <v>4</v>
      </c>
      <c r="Q417" s="37" t="s">
        <v>1521</v>
      </c>
      <c r="R417" s="37" t="s">
        <v>1520</v>
      </c>
      <c r="S417" t="str">
        <f>IFERROR(HYPERLINK("#Main!A"&amp;MATCH(A417,Main!A:A,0),"Open"),HYPERLINK("#Main!A1","Open"))</f>
        <v>Open</v>
      </c>
      <c r="T417" t="str">
        <f>IFERROR(HYPERLINK("#Technical!A"&amp;MATCH(A417,Technical!A:A,0),"Open"),HYPERLINK("#Technical!A1","Open"))</f>
        <v>Open</v>
      </c>
    </row>
    <row r="418" spans="1:21" ht="30" customHeight="1" x14ac:dyDescent="0.25">
      <c r="A418" s="33" t="s">
        <v>485</v>
      </c>
      <c r="B418" s="28">
        <v>12945</v>
      </c>
      <c r="C418" s="55" t="s">
        <v>1020</v>
      </c>
      <c r="D418" s="28" t="s">
        <v>981</v>
      </c>
      <c r="E418" s="47" t="s">
        <v>388</v>
      </c>
      <c r="F418" s="28" t="s">
        <v>1503</v>
      </c>
      <c r="G418" s="39">
        <v>37</v>
      </c>
      <c r="H418" s="28">
        <v>362</v>
      </c>
      <c r="I418" s="28" t="s">
        <v>1156</v>
      </c>
      <c r="J418" s="28" t="s">
        <v>1504</v>
      </c>
      <c r="K418" s="56" t="s">
        <v>12</v>
      </c>
      <c r="L418" s="28" t="s">
        <v>256</v>
      </c>
      <c r="M418" s="28" t="s">
        <v>392</v>
      </c>
      <c r="N418" s="28" t="s">
        <v>330</v>
      </c>
      <c r="O418" s="29" t="s">
        <v>2</v>
      </c>
      <c r="P418" s="28">
        <v>4</v>
      </c>
      <c r="Q418" s="28" t="s">
        <v>1522</v>
      </c>
      <c r="R418" s="28" t="s">
        <v>1506</v>
      </c>
      <c r="S418" s="34" t="str">
        <f>IFERROR(HYPERLINK("#Main!A"&amp;MATCH(A418,Main!A:A,0),"Open"),HYPERLINK("#Main!A1","Open"))</f>
        <v>Open</v>
      </c>
      <c r="T418" s="34" t="str">
        <f>IFERROR(HYPERLINK("#Technical!A"&amp;MATCH(A418,Technical!A:A,0),"Open"),HYPERLINK("#Technical!A1","Open"))</f>
        <v>Open</v>
      </c>
      <c r="U418" s="34"/>
    </row>
    <row r="419" spans="1:21" ht="30" customHeight="1" x14ac:dyDescent="0.25">
      <c r="A419" s="30" t="s">
        <v>488</v>
      </c>
      <c r="B419" s="37">
        <v>13179</v>
      </c>
      <c r="C419" s="55" t="s">
        <v>1022</v>
      </c>
      <c r="D419" s="37" t="s">
        <v>981</v>
      </c>
      <c r="E419" s="47" t="s">
        <v>388</v>
      </c>
      <c r="F419" s="37" t="s">
        <v>1503</v>
      </c>
      <c r="G419" s="42">
        <v>37</v>
      </c>
      <c r="H419" s="37">
        <v>354</v>
      </c>
      <c r="I419" s="37" t="s">
        <v>1156</v>
      </c>
      <c r="J419" s="37" t="s">
        <v>1504</v>
      </c>
      <c r="K419" s="57" t="s">
        <v>12</v>
      </c>
      <c r="L419" s="37" t="s">
        <v>256</v>
      </c>
      <c r="M419" s="37" t="s">
        <v>392</v>
      </c>
      <c r="N419" s="37" t="s">
        <v>330</v>
      </c>
      <c r="O419" s="29" t="s">
        <v>2</v>
      </c>
      <c r="P419" s="37">
        <v>4</v>
      </c>
      <c r="Q419" s="37" t="s">
        <v>1523</v>
      </c>
      <c r="R419" s="37" t="s">
        <v>1506</v>
      </c>
      <c r="S419" t="str">
        <f>IFERROR(HYPERLINK("#Main!A"&amp;MATCH(A419,Main!A:A,0),"Open"),HYPERLINK("#Main!A1","Open"))</f>
        <v>Open</v>
      </c>
      <c r="T419" t="str">
        <f>IFERROR(HYPERLINK("#Technical!A"&amp;MATCH(A419,Technical!A:A,0),"Open"),HYPERLINK("#Technical!A1","Open"))</f>
        <v>Open</v>
      </c>
    </row>
    <row r="420" spans="1:21" ht="30" customHeight="1" x14ac:dyDescent="0.25">
      <c r="A420" s="33" t="s">
        <v>491</v>
      </c>
      <c r="B420" s="28">
        <v>22401</v>
      </c>
      <c r="C420" s="55" t="s">
        <v>1024</v>
      </c>
      <c r="D420" s="28" t="s">
        <v>981</v>
      </c>
      <c r="E420" s="47" t="s">
        <v>388</v>
      </c>
      <c r="F420" s="28" t="s">
        <v>1503</v>
      </c>
      <c r="G420" s="39">
        <v>37</v>
      </c>
      <c r="H420" s="28">
        <v>377</v>
      </c>
      <c r="I420" s="28" t="s">
        <v>1156</v>
      </c>
      <c r="J420" s="28" t="s">
        <v>1504</v>
      </c>
      <c r="K420" s="56" t="s">
        <v>12</v>
      </c>
      <c r="L420" s="28" t="s">
        <v>256</v>
      </c>
      <c r="M420" s="28" t="s">
        <v>392</v>
      </c>
      <c r="N420" s="28" t="s">
        <v>330</v>
      </c>
      <c r="O420" s="29" t="s">
        <v>2</v>
      </c>
      <c r="P420" s="28">
        <v>4</v>
      </c>
      <c r="Q420" s="28" t="s">
        <v>1524</v>
      </c>
      <c r="R420" s="28" t="s">
        <v>1506</v>
      </c>
      <c r="S420" s="34" t="str">
        <f>IFERROR(HYPERLINK("#Main!A"&amp;MATCH(A420,Main!A:A,0),"Open"),HYPERLINK("#Main!A1","Open"))</f>
        <v>Open</v>
      </c>
      <c r="T420" s="34" t="str">
        <f>IFERROR(HYPERLINK("#Technical!A"&amp;MATCH(A420,Technical!A:A,0),"Open"),HYPERLINK("#Technical!A1","Open"))</f>
        <v>Open</v>
      </c>
      <c r="U420" s="34"/>
    </row>
    <row r="421" spans="1:21" ht="30" customHeight="1" x14ac:dyDescent="0.25">
      <c r="A421" s="30" t="s">
        <v>494</v>
      </c>
      <c r="B421" s="37">
        <v>18318</v>
      </c>
      <c r="C421" s="55" t="s">
        <v>1026</v>
      </c>
      <c r="D421" s="37" t="s">
        <v>981</v>
      </c>
      <c r="E421" s="47" t="s">
        <v>388</v>
      </c>
      <c r="F421" s="37" t="s">
        <v>1503</v>
      </c>
      <c r="G421" s="42">
        <v>37</v>
      </c>
      <c r="H421" s="37">
        <v>339</v>
      </c>
      <c r="I421" s="37" t="s">
        <v>1156</v>
      </c>
      <c r="J421" s="37" t="s">
        <v>1504</v>
      </c>
      <c r="K421" s="57" t="s">
        <v>12</v>
      </c>
      <c r="L421" s="37" t="s">
        <v>256</v>
      </c>
      <c r="M421" s="37" t="s">
        <v>392</v>
      </c>
      <c r="N421" s="37" t="s">
        <v>330</v>
      </c>
      <c r="O421" s="29" t="s">
        <v>2</v>
      </c>
      <c r="P421" s="37">
        <v>4</v>
      </c>
      <c r="Q421" s="37" t="s">
        <v>1525</v>
      </c>
      <c r="R421" s="37" t="s">
        <v>1506</v>
      </c>
      <c r="S421" t="str">
        <f>IFERROR(HYPERLINK("#Main!A"&amp;MATCH(A421,Main!A:A,0),"Open"),HYPERLINK("#Main!A1","Open"))</f>
        <v>Open</v>
      </c>
      <c r="T421" t="str">
        <f>IFERROR(HYPERLINK("#Technical!A"&amp;MATCH(A421,Technical!A:A,0),"Open"),HYPERLINK("#Technical!A1","Open"))</f>
        <v>Open</v>
      </c>
    </row>
    <row r="422" spans="1:21" ht="30" customHeight="1" x14ac:dyDescent="0.25">
      <c r="A422" s="33" t="s">
        <v>500</v>
      </c>
      <c r="B422" s="28">
        <v>30257</v>
      </c>
      <c r="C422" s="55" t="s">
        <v>1030</v>
      </c>
      <c r="D422" s="28" t="s">
        <v>981</v>
      </c>
      <c r="E422" s="47" t="s">
        <v>388</v>
      </c>
      <c r="F422" s="28" t="s">
        <v>1503</v>
      </c>
      <c r="G422" s="39">
        <v>37</v>
      </c>
      <c r="H422" s="28">
        <v>437</v>
      </c>
      <c r="I422" s="28" t="s">
        <v>1156</v>
      </c>
      <c r="J422" s="28" t="s">
        <v>1504</v>
      </c>
      <c r="K422" s="56" t="s">
        <v>12</v>
      </c>
      <c r="L422" s="28" t="s">
        <v>256</v>
      </c>
      <c r="M422" s="28" t="s">
        <v>392</v>
      </c>
      <c r="N422" s="28" t="s">
        <v>330</v>
      </c>
      <c r="O422" s="29" t="s">
        <v>2</v>
      </c>
      <c r="P422" s="28">
        <v>4</v>
      </c>
      <c r="Q422" s="28" t="s">
        <v>1526</v>
      </c>
      <c r="R422" s="28" t="s">
        <v>1506</v>
      </c>
      <c r="S422" s="34" t="str">
        <f>IFERROR(HYPERLINK("#Main!A"&amp;MATCH(A422,Main!A:A,0),"Open"),HYPERLINK("#Main!A1","Open"))</f>
        <v>Open</v>
      </c>
      <c r="T422" s="34" t="str">
        <f>IFERROR(HYPERLINK("#Technical!A"&amp;MATCH(A422,Technical!A:A,0),"Open"),HYPERLINK("#Technical!A1","Open"))</f>
        <v>Open</v>
      </c>
      <c r="U422" s="34"/>
    </row>
    <row r="423" spans="1:21" ht="30" customHeight="1" x14ac:dyDescent="0.25">
      <c r="A423" s="30" t="s">
        <v>503</v>
      </c>
      <c r="B423" s="37">
        <v>31478</v>
      </c>
      <c r="C423" s="55" t="s">
        <v>1032</v>
      </c>
      <c r="D423" s="37" t="s">
        <v>981</v>
      </c>
      <c r="E423" s="47" t="s">
        <v>388</v>
      </c>
      <c r="F423" s="37" t="s">
        <v>1503</v>
      </c>
      <c r="G423" s="42">
        <v>37</v>
      </c>
      <c r="H423" s="37">
        <v>357</v>
      </c>
      <c r="I423" s="37" t="s">
        <v>1156</v>
      </c>
      <c r="J423" s="37" t="s">
        <v>1504</v>
      </c>
      <c r="K423" s="57" t="s">
        <v>12</v>
      </c>
      <c r="L423" s="37" t="s">
        <v>256</v>
      </c>
      <c r="M423" s="37" t="s">
        <v>392</v>
      </c>
      <c r="N423" s="37" t="s">
        <v>330</v>
      </c>
      <c r="O423" s="29" t="s">
        <v>2</v>
      </c>
      <c r="P423" s="37">
        <v>4</v>
      </c>
      <c r="Q423" s="37" t="s">
        <v>1527</v>
      </c>
      <c r="R423" s="37" t="s">
        <v>1506</v>
      </c>
      <c r="S423" t="str">
        <f>IFERROR(HYPERLINK("#Main!A"&amp;MATCH(A423,Main!A:A,0),"Open"),HYPERLINK("#Main!A1","Open"))</f>
        <v>Open</v>
      </c>
      <c r="T423" t="str">
        <f>IFERROR(HYPERLINK("#Technical!A"&amp;MATCH(A423,Technical!A:A,0),"Open"),HYPERLINK("#Technical!A1","Open"))</f>
        <v>Open</v>
      </c>
    </row>
    <row r="424" spans="1:21" ht="30" customHeight="1" x14ac:dyDescent="0.25">
      <c r="A424" s="33" t="s">
        <v>506</v>
      </c>
      <c r="B424" s="28">
        <v>33280</v>
      </c>
      <c r="C424" s="55" t="s">
        <v>1034</v>
      </c>
      <c r="D424" s="28" t="s">
        <v>981</v>
      </c>
      <c r="E424" s="47" t="s">
        <v>388</v>
      </c>
      <c r="F424" s="28" t="s">
        <v>1503</v>
      </c>
      <c r="G424" s="39">
        <v>37</v>
      </c>
      <c r="H424" s="28">
        <v>353</v>
      </c>
      <c r="I424" s="28" t="s">
        <v>1156</v>
      </c>
      <c r="J424" s="28" t="s">
        <v>1504</v>
      </c>
      <c r="K424" s="56" t="s">
        <v>12</v>
      </c>
      <c r="L424" s="28" t="s">
        <v>256</v>
      </c>
      <c r="M424" s="28" t="s">
        <v>392</v>
      </c>
      <c r="N424" s="28" t="s">
        <v>330</v>
      </c>
      <c r="O424" s="29" t="s">
        <v>2</v>
      </c>
      <c r="P424" s="28">
        <v>4</v>
      </c>
      <c r="Q424" s="28" t="s">
        <v>1528</v>
      </c>
      <c r="R424" s="28" t="s">
        <v>1506</v>
      </c>
      <c r="S424" s="34" t="str">
        <f>IFERROR(HYPERLINK("#Main!A"&amp;MATCH(A424,Main!A:A,0),"Open"),HYPERLINK("#Main!A1","Open"))</f>
        <v>Open</v>
      </c>
      <c r="T424" s="34" t="str">
        <f>IFERROR(HYPERLINK("#Technical!A"&amp;MATCH(A424,Technical!A:A,0),"Open"),HYPERLINK("#Technical!A1","Open"))</f>
        <v>Open</v>
      </c>
      <c r="U424" s="34"/>
    </row>
    <row r="425" spans="1:21" ht="30" customHeight="1" x14ac:dyDescent="0.25">
      <c r="A425" s="30" t="s">
        <v>509</v>
      </c>
      <c r="B425" s="37">
        <v>22778</v>
      </c>
      <c r="C425" s="55" t="s">
        <v>1036</v>
      </c>
      <c r="D425" s="37" t="s">
        <v>981</v>
      </c>
      <c r="E425" s="47" t="s">
        <v>388</v>
      </c>
      <c r="F425" s="37" t="s">
        <v>1503</v>
      </c>
      <c r="G425" s="42">
        <v>37</v>
      </c>
      <c r="H425" s="37">
        <v>411</v>
      </c>
      <c r="I425" s="37" t="s">
        <v>1156</v>
      </c>
      <c r="J425" s="37" t="s">
        <v>1504</v>
      </c>
      <c r="K425" s="57" t="s">
        <v>12</v>
      </c>
      <c r="L425" s="37" t="s">
        <v>256</v>
      </c>
      <c r="M425" s="37" t="s">
        <v>392</v>
      </c>
      <c r="N425" s="37" t="s">
        <v>330</v>
      </c>
      <c r="O425" s="29" t="s">
        <v>2</v>
      </c>
      <c r="P425" s="37">
        <v>4</v>
      </c>
      <c r="Q425" s="37" t="s">
        <v>1529</v>
      </c>
      <c r="R425" s="37" t="s">
        <v>1506</v>
      </c>
      <c r="S425" t="str">
        <f>IFERROR(HYPERLINK("#Main!A"&amp;MATCH(A425,Main!A:A,0),"Open"),HYPERLINK("#Main!A1","Open"))</f>
        <v>Open</v>
      </c>
      <c r="T425" t="str">
        <f>IFERROR(HYPERLINK("#Technical!A"&amp;MATCH(A425,Technical!A:A,0),"Open"),HYPERLINK("#Technical!A1","Open"))</f>
        <v>Open</v>
      </c>
    </row>
    <row r="426" spans="1:21" ht="30" customHeight="1" x14ac:dyDescent="0.25">
      <c r="A426" s="33" t="s">
        <v>512</v>
      </c>
      <c r="B426" s="28">
        <v>5057</v>
      </c>
      <c r="C426" s="55" t="s">
        <v>1038</v>
      </c>
      <c r="D426" s="28" t="s">
        <v>981</v>
      </c>
      <c r="E426" s="47" t="s">
        <v>388</v>
      </c>
      <c r="F426" s="28" t="s">
        <v>1503</v>
      </c>
      <c r="G426" s="39">
        <v>37</v>
      </c>
      <c r="H426" s="28">
        <v>347</v>
      </c>
      <c r="I426" s="28" t="s">
        <v>1156</v>
      </c>
      <c r="J426" s="28" t="s">
        <v>1504</v>
      </c>
      <c r="K426" s="56" t="s">
        <v>12</v>
      </c>
      <c r="L426" s="28" t="s">
        <v>256</v>
      </c>
      <c r="M426" s="28" t="s">
        <v>392</v>
      </c>
      <c r="N426" s="28" t="s">
        <v>330</v>
      </c>
      <c r="O426" s="29" t="s">
        <v>2</v>
      </c>
      <c r="P426" s="28">
        <v>4</v>
      </c>
      <c r="Q426" s="28" t="s">
        <v>1530</v>
      </c>
      <c r="R426" s="28" t="s">
        <v>1506</v>
      </c>
      <c r="S426" s="34" t="str">
        <f>IFERROR(HYPERLINK("#Main!A"&amp;MATCH(A426,Main!A:A,0),"Open"),HYPERLINK("#Main!A1","Open"))</f>
        <v>Open</v>
      </c>
      <c r="T426" s="34" t="str">
        <f>IFERROR(HYPERLINK("#Technical!A"&amp;MATCH(A426,Technical!A:A,0),"Open"),HYPERLINK("#Technical!A1","Open"))</f>
        <v>Open</v>
      </c>
      <c r="U426" s="34"/>
    </row>
    <row r="427" spans="1:21" ht="30" customHeight="1" x14ac:dyDescent="0.25">
      <c r="A427" s="30" t="s">
        <v>476</v>
      </c>
      <c r="B427" s="37"/>
      <c r="C427" s="37"/>
      <c r="D427" s="37" t="s">
        <v>981</v>
      </c>
      <c r="E427" s="47" t="s">
        <v>388</v>
      </c>
      <c r="F427" s="37" t="s">
        <v>1531</v>
      </c>
      <c r="G427" s="42">
        <v>37</v>
      </c>
      <c r="H427" s="37">
        <v>0</v>
      </c>
      <c r="I427" s="37" t="s">
        <v>1532</v>
      </c>
      <c r="J427" s="37" t="s">
        <v>1533</v>
      </c>
      <c r="K427" s="57" t="s">
        <v>24</v>
      </c>
      <c r="L427" s="37" t="s">
        <v>728</v>
      </c>
      <c r="M427" s="37" t="s">
        <v>392</v>
      </c>
      <c r="N427" s="37" t="s">
        <v>330</v>
      </c>
      <c r="O427" s="29" t="s">
        <v>2</v>
      </c>
      <c r="P427" s="37">
        <v>4</v>
      </c>
      <c r="Q427" s="37" t="s">
        <v>1534</v>
      </c>
      <c r="R427" s="37" t="s">
        <v>1535</v>
      </c>
      <c r="S427" t="str">
        <f>IFERROR(HYPERLINK("#Main!A"&amp;MATCH(A427,Main!A:A,0),"Open"),HYPERLINK("#Main!A1","Open"))</f>
        <v>Open</v>
      </c>
      <c r="T427" t="str">
        <f>IFERROR(HYPERLINK("#Technical!A"&amp;MATCH(A427,Technical!A:A,0),"Open"),HYPERLINK("#Technical!A1","Open"))</f>
        <v>Open</v>
      </c>
    </row>
    <row r="428" spans="1:21" ht="30" customHeight="1" x14ac:dyDescent="0.25">
      <c r="A428" s="33" t="s">
        <v>515</v>
      </c>
      <c r="B428" s="28">
        <v>12477</v>
      </c>
      <c r="C428" s="55" t="s">
        <v>1040</v>
      </c>
      <c r="D428" s="28" t="s">
        <v>981</v>
      </c>
      <c r="E428" s="47" t="s">
        <v>388</v>
      </c>
      <c r="F428" s="28" t="s">
        <v>1503</v>
      </c>
      <c r="G428" s="39">
        <v>37</v>
      </c>
      <c r="H428" s="28">
        <v>379</v>
      </c>
      <c r="I428" s="28" t="s">
        <v>1156</v>
      </c>
      <c r="J428" s="28" t="s">
        <v>1504</v>
      </c>
      <c r="K428" s="56" t="s">
        <v>12</v>
      </c>
      <c r="L428" s="28" t="s">
        <v>256</v>
      </c>
      <c r="M428" s="28" t="s">
        <v>392</v>
      </c>
      <c r="N428" s="28" t="s">
        <v>330</v>
      </c>
      <c r="O428" s="29" t="s">
        <v>2</v>
      </c>
      <c r="P428" s="28">
        <v>4</v>
      </c>
      <c r="Q428" s="28" t="s">
        <v>1536</v>
      </c>
      <c r="R428" s="28" t="s">
        <v>1506</v>
      </c>
      <c r="S428" s="34" t="str">
        <f>IFERROR(HYPERLINK("#Main!A"&amp;MATCH(A428,Main!A:A,0),"Open"),HYPERLINK("#Main!A1","Open"))</f>
        <v>Open</v>
      </c>
      <c r="T428" s="34" t="str">
        <f>IFERROR(HYPERLINK("#Technical!A"&amp;MATCH(A428,Technical!A:A,0),"Open"),HYPERLINK("#Technical!A1","Open"))</f>
        <v>Open</v>
      </c>
      <c r="U428" s="34"/>
    </row>
    <row r="429" spans="1:21" ht="30" customHeight="1" x14ac:dyDescent="0.25">
      <c r="A429" s="30" t="s">
        <v>518</v>
      </c>
      <c r="B429" s="37">
        <v>21958</v>
      </c>
      <c r="C429" s="55" t="s">
        <v>1042</v>
      </c>
      <c r="D429" s="37" t="s">
        <v>981</v>
      </c>
      <c r="E429" s="47" t="s">
        <v>388</v>
      </c>
      <c r="F429" s="37" t="s">
        <v>1503</v>
      </c>
      <c r="G429" s="42">
        <v>37</v>
      </c>
      <c r="H429" s="37">
        <v>380</v>
      </c>
      <c r="I429" s="37" t="s">
        <v>1156</v>
      </c>
      <c r="J429" s="37" t="s">
        <v>1504</v>
      </c>
      <c r="K429" s="57" t="s">
        <v>12</v>
      </c>
      <c r="L429" s="37" t="s">
        <v>256</v>
      </c>
      <c r="M429" s="37" t="s">
        <v>392</v>
      </c>
      <c r="N429" s="37" t="s">
        <v>330</v>
      </c>
      <c r="O429" s="29" t="s">
        <v>2</v>
      </c>
      <c r="P429" s="37">
        <v>4</v>
      </c>
      <c r="Q429" s="37" t="s">
        <v>1537</v>
      </c>
      <c r="R429" s="37" t="s">
        <v>1506</v>
      </c>
      <c r="S429" t="str">
        <f>IFERROR(HYPERLINK("#Main!A"&amp;MATCH(A429,Main!A:A,0),"Open"),HYPERLINK("#Main!A1","Open"))</f>
        <v>Open</v>
      </c>
      <c r="T429" t="str">
        <f>IFERROR(HYPERLINK("#Technical!A"&amp;MATCH(A429,Technical!A:A,0),"Open"),HYPERLINK("#Technical!A1","Open"))</f>
        <v>Open</v>
      </c>
    </row>
    <row r="430" spans="1:21" ht="30" customHeight="1" x14ac:dyDescent="0.25">
      <c r="A430" s="33" t="s">
        <v>521</v>
      </c>
      <c r="B430" s="28">
        <v>21984</v>
      </c>
      <c r="C430" s="55" t="s">
        <v>1044</v>
      </c>
      <c r="D430" s="28" t="s">
        <v>981</v>
      </c>
      <c r="E430" s="47" t="s">
        <v>388</v>
      </c>
      <c r="F430" s="28" t="s">
        <v>1503</v>
      </c>
      <c r="G430" s="39">
        <v>37</v>
      </c>
      <c r="H430" s="28">
        <v>274</v>
      </c>
      <c r="I430" s="28" t="s">
        <v>1156</v>
      </c>
      <c r="J430" s="28" t="s">
        <v>1504</v>
      </c>
      <c r="K430" s="56" t="s">
        <v>12</v>
      </c>
      <c r="L430" s="28" t="s">
        <v>256</v>
      </c>
      <c r="M430" s="28" t="s">
        <v>392</v>
      </c>
      <c r="N430" s="28" t="s">
        <v>330</v>
      </c>
      <c r="O430" s="29" t="s">
        <v>2</v>
      </c>
      <c r="P430" s="28">
        <v>4</v>
      </c>
      <c r="Q430" s="28" t="s">
        <v>1538</v>
      </c>
      <c r="R430" s="28" t="s">
        <v>1506</v>
      </c>
      <c r="S430" s="34" t="str">
        <f>IFERROR(HYPERLINK("#Main!A"&amp;MATCH(A430,Main!A:A,0),"Open"),HYPERLINK("#Main!A1","Open"))</f>
        <v>Open</v>
      </c>
      <c r="T430" s="34" t="str">
        <f>IFERROR(HYPERLINK("#Technical!A"&amp;MATCH(A430,Technical!A:A,0),"Open"),HYPERLINK("#Technical!A1","Open"))</f>
        <v>Open</v>
      </c>
      <c r="U430" s="34"/>
    </row>
    <row r="431" spans="1:21" ht="30" customHeight="1" x14ac:dyDescent="0.25">
      <c r="A431" s="30" t="s">
        <v>524</v>
      </c>
      <c r="B431" s="37">
        <v>33131</v>
      </c>
      <c r="C431" s="55" t="s">
        <v>1046</v>
      </c>
      <c r="D431" s="37" t="s">
        <v>981</v>
      </c>
      <c r="E431" s="47" t="s">
        <v>388</v>
      </c>
      <c r="F431" s="37" t="s">
        <v>1503</v>
      </c>
      <c r="G431" s="42">
        <v>37</v>
      </c>
      <c r="H431" s="37">
        <v>347</v>
      </c>
      <c r="I431" s="37" t="s">
        <v>1156</v>
      </c>
      <c r="J431" s="37" t="s">
        <v>1504</v>
      </c>
      <c r="K431" s="57" t="s">
        <v>12</v>
      </c>
      <c r="L431" s="37" t="s">
        <v>256</v>
      </c>
      <c r="M431" s="37" t="s">
        <v>392</v>
      </c>
      <c r="N431" s="37" t="s">
        <v>330</v>
      </c>
      <c r="O431" s="29" t="s">
        <v>2</v>
      </c>
      <c r="P431" s="37">
        <v>4</v>
      </c>
      <c r="Q431" s="37" t="s">
        <v>1539</v>
      </c>
      <c r="R431" s="37" t="s">
        <v>1506</v>
      </c>
      <c r="S431" t="str">
        <f>IFERROR(HYPERLINK("#Main!A"&amp;MATCH(A431,Main!A:A,0),"Open"),HYPERLINK("#Main!A1","Open"))</f>
        <v>Open</v>
      </c>
      <c r="T431" t="str">
        <f>IFERROR(HYPERLINK("#Technical!A"&amp;MATCH(A431,Technical!A:A,0),"Open"),HYPERLINK("#Technical!A1","Open"))</f>
        <v>Open</v>
      </c>
    </row>
    <row r="432" spans="1:21" ht="30" customHeight="1" x14ac:dyDescent="0.25">
      <c r="A432" s="33" t="s">
        <v>527</v>
      </c>
      <c r="B432" s="28">
        <v>21958</v>
      </c>
      <c r="C432" s="55" t="s">
        <v>1042</v>
      </c>
      <c r="D432" s="28" t="s">
        <v>981</v>
      </c>
      <c r="E432" s="47" t="s">
        <v>388</v>
      </c>
      <c r="F432" s="28" t="s">
        <v>1503</v>
      </c>
      <c r="G432" s="39">
        <v>37</v>
      </c>
      <c r="H432" s="28">
        <v>380</v>
      </c>
      <c r="I432" s="28" t="s">
        <v>1156</v>
      </c>
      <c r="J432" s="28" t="s">
        <v>1504</v>
      </c>
      <c r="K432" s="56" t="s">
        <v>12</v>
      </c>
      <c r="L432" s="28" t="s">
        <v>256</v>
      </c>
      <c r="M432" s="28" t="s">
        <v>392</v>
      </c>
      <c r="N432" s="28" t="s">
        <v>330</v>
      </c>
      <c r="O432" s="29" t="s">
        <v>2</v>
      </c>
      <c r="P432" s="28">
        <v>4</v>
      </c>
      <c r="Q432" s="28" t="s">
        <v>1540</v>
      </c>
      <c r="R432" s="28" t="s">
        <v>1506</v>
      </c>
      <c r="S432" s="34" t="str">
        <f>IFERROR(HYPERLINK("#Main!A"&amp;MATCH(A432,Main!A:A,0),"Open"),HYPERLINK("#Main!A1","Open"))</f>
        <v>Open</v>
      </c>
      <c r="T432" s="34" t="str">
        <f>IFERROR(HYPERLINK("#Technical!A"&amp;MATCH(A432,Technical!A:A,0),"Open"),HYPERLINK("#Technical!A1","Open"))</f>
        <v>Open</v>
      </c>
      <c r="U432" s="34"/>
    </row>
    <row r="433" spans="1:21" ht="45" customHeight="1" x14ac:dyDescent="0.25">
      <c r="A433" s="30" t="s">
        <v>528</v>
      </c>
      <c r="B433" s="37">
        <v>25857</v>
      </c>
      <c r="C433" s="55" t="s">
        <v>1049</v>
      </c>
      <c r="D433" s="37" t="s">
        <v>981</v>
      </c>
      <c r="E433" s="47" t="s">
        <v>388</v>
      </c>
      <c r="F433" s="37" t="s">
        <v>1503</v>
      </c>
      <c r="G433" s="42">
        <v>37</v>
      </c>
      <c r="H433" s="37">
        <v>346</v>
      </c>
      <c r="I433" s="37" t="s">
        <v>1156</v>
      </c>
      <c r="J433" s="37" t="s">
        <v>1504</v>
      </c>
      <c r="K433" s="57" t="s">
        <v>12</v>
      </c>
      <c r="L433" s="37" t="s">
        <v>256</v>
      </c>
      <c r="M433" s="37" t="s">
        <v>392</v>
      </c>
      <c r="N433" s="37" t="s">
        <v>330</v>
      </c>
      <c r="O433" s="29" t="s">
        <v>2</v>
      </c>
      <c r="P433" s="37">
        <v>4</v>
      </c>
      <c r="Q433" s="37" t="s">
        <v>1541</v>
      </c>
      <c r="R433" s="37" t="s">
        <v>1506</v>
      </c>
      <c r="S433" t="str">
        <f>IFERROR(HYPERLINK("#Main!A"&amp;MATCH(A433,Main!A:A,0),"Open"),HYPERLINK("#Main!A1","Open"))</f>
        <v>Open</v>
      </c>
      <c r="T433" t="str">
        <f>IFERROR(HYPERLINK("#Technical!A"&amp;MATCH(A433,Technical!A:A,0),"Open"),HYPERLINK("#Technical!A1","Open"))</f>
        <v>Open</v>
      </c>
    </row>
    <row r="434" spans="1:21" ht="30" customHeight="1" x14ac:dyDescent="0.25">
      <c r="A434" s="33" t="s">
        <v>531</v>
      </c>
      <c r="B434" s="28">
        <v>25788</v>
      </c>
      <c r="C434" s="55" t="s">
        <v>1051</v>
      </c>
      <c r="D434" s="28" t="s">
        <v>981</v>
      </c>
      <c r="E434" s="47" t="s">
        <v>388</v>
      </c>
      <c r="F434" s="28" t="s">
        <v>1503</v>
      </c>
      <c r="G434" s="39">
        <v>37</v>
      </c>
      <c r="H434" s="28">
        <v>702</v>
      </c>
      <c r="I434" s="28" t="s">
        <v>1156</v>
      </c>
      <c r="J434" s="28" t="s">
        <v>1504</v>
      </c>
      <c r="K434" s="56" t="s">
        <v>12</v>
      </c>
      <c r="L434" s="28" t="s">
        <v>256</v>
      </c>
      <c r="M434" s="28" t="s">
        <v>392</v>
      </c>
      <c r="N434" s="28" t="s">
        <v>330</v>
      </c>
      <c r="O434" s="29" t="s">
        <v>2</v>
      </c>
      <c r="P434" s="28">
        <v>4</v>
      </c>
      <c r="Q434" s="28" t="s">
        <v>1542</v>
      </c>
      <c r="R434" s="28" t="s">
        <v>1506</v>
      </c>
      <c r="S434" s="34" t="str">
        <f>IFERROR(HYPERLINK("#Main!A"&amp;MATCH(A434,Main!A:A,0),"Open"),HYPERLINK("#Main!A1","Open"))</f>
        <v>Open</v>
      </c>
      <c r="T434" s="34" t="str">
        <f>IFERROR(HYPERLINK("#Technical!A"&amp;MATCH(A434,Technical!A:A,0),"Open"),HYPERLINK("#Technical!A1","Open"))</f>
        <v>Open</v>
      </c>
      <c r="U434" s="34"/>
    </row>
    <row r="435" spans="1:21" ht="30" customHeight="1" x14ac:dyDescent="0.25">
      <c r="A435" s="30" t="s">
        <v>534</v>
      </c>
      <c r="B435" s="37">
        <v>26290</v>
      </c>
      <c r="C435" s="55" t="s">
        <v>1053</v>
      </c>
      <c r="D435" s="37" t="s">
        <v>981</v>
      </c>
      <c r="E435" s="47" t="s">
        <v>388</v>
      </c>
      <c r="F435" s="37" t="s">
        <v>1503</v>
      </c>
      <c r="G435" s="42">
        <v>37</v>
      </c>
      <c r="H435" s="37">
        <v>576</v>
      </c>
      <c r="I435" s="37" t="s">
        <v>1156</v>
      </c>
      <c r="J435" s="37" t="s">
        <v>1504</v>
      </c>
      <c r="K435" s="57" t="s">
        <v>12</v>
      </c>
      <c r="L435" s="37" t="s">
        <v>256</v>
      </c>
      <c r="M435" s="37" t="s">
        <v>392</v>
      </c>
      <c r="N435" s="37" t="s">
        <v>330</v>
      </c>
      <c r="O435" s="29" t="s">
        <v>2</v>
      </c>
      <c r="P435" s="37">
        <v>4</v>
      </c>
      <c r="Q435" s="37" t="s">
        <v>1543</v>
      </c>
      <c r="R435" s="37" t="s">
        <v>1506</v>
      </c>
      <c r="S435" t="str">
        <f>IFERROR(HYPERLINK("#Main!A"&amp;MATCH(A435,Main!A:A,0),"Open"),HYPERLINK("#Main!A1","Open"))</f>
        <v>Open</v>
      </c>
      <c r="T435" t="str">
        <f>IFERROR(HYPERLINK("#Technical!A"&amp;MATCH(A435,Technical!A:A,0),"Open"),HYPERLINK("#Technical!A1","Open"))</f>
        <v>Open</v>
      </c>
    </row>
    <row r="436" spans="1:21" ht="45" customHeight="1" x14ac:dyDescent="0.25">
      <c r="A436" s="33" t="s">
        <v>540</v>
      </c>
      <c r="B436" s="28">
        <v>22595</v>
      </c>
      <c r="C436" s="55" t="s">
        <v>1057</v>
      </c>
      <c r="D436" s="28" t="s">
        <v>981</v>
      </c>
      <c r="E436" s="47" t="s">
        <v>388</v>
      </c>
      <c r="F436" s="28" t="s">
        <v>1503</v>
      </c>
      <c r="G436" s="39">
        <v>37</v>
      </c>
      <c r="H436" s="28">
        <v>278</v>
      </c>
      <c r="I436" s="28" t="s">
        <v>1156</v>
      </c>
      <c r="J436" s="28" t="s">
        <v>1504</v>
      </c>
      <c r="K436" s="56" t="s">
        <v>12</v>
      </c>
      <c r="L436" s="28" t="s">
        <v>256</v>
      </c>
      <c r="M436" s="28" t="s">
        <v>392</v>
      </c>
      <c r="N436" s="28" t="s">
        <v>330</v>
      </c>
      <c r="O436" s="29" t="s">
        <v>2</v>
      </c>
      <c r="P436" s="28">
        <v>4</v>
      </c>
      <c r="Q436" s="28" t="s">
        <v>1544</v>
      </c>
      <c r="R436" s="28" t="s">
        <v>1506</v>
      </c>
      <c r="S436" s="34" t="str">
        <f>IFERROR(HYPERLINK("#Main!A"&amp;MATCH(A436,Main!A:A,0),"Open"),HYPERLINK("#Main!A1","Open"))</f>
        <v>Open</v>
      </c>
      <c r="T436" s="34" t="str">
        <f>IFERROR(HYPERLINK("#Technical!A"&amp;MATCH(A436,Technical!A:A,0),"Open"),HYPERLINK("#Technical!A1","Open"))</f>
        <v>Open</v>
      </c>
      <c r="U436" s="34"/>
    </row>
    <row r="437" spans="1:21" ht="30" customHeight="1" x14ac:dyDescent="0.25">
      <c r="A437" s="30" t="s">
        <v>543</v>
      </c>
      <c r="B437" s="37">
        <v>29496</v>
      </c>
      <c r="C437" s="55" t="s">
        <v>1059</v>
      </c>
      <c r="D437" s="37" t="s">
        <v>981</v>
      </c>
      <c r="E437" s="47" t="s">
        <v>388</v>
      </c>
      <c r="F437" s="37" t="s">
        <v>1503</v>
      </c>
      <c r="G437" s="42">
        <v>37</v>
      </c>
      <c r="H437" s="37">
        <v>372</v>
      </c>
      <c r="I437" s="37" t="s">
        <v>1156</v>
      </c>
      <c r="J437" s="37" t="s">
        <v>1504</v>
      </c>
      <c r="K437" s="57" t="s">
        <v>12</v>
      </c>
      <c r="L437" s="37" t="s">
        <v>256</v>
      </c>
      <c r="M437" s="37" t="s">
        <v>392</v>
      </c>
      <c r="N437" s="37" t="s">
        <v>330</v>
      </c>
      <c r="O437" s="29" t="s">
        <v>2</v>
      </c>
      <c r="P437" s="37">
        <v>4</v>
      </c>
      <c r="Q437" s="37" t="s">
        <v>1545</v>
      </c>
      <c r="R437" s="37" t="s">
        <v>1506</v>
      </c>
      <c r="S437" t="str">
        <f>IFERROR(HYPERLINK("#Main!A"&amp;MATCH(A437,Main!A:A,0),"Open"),HYPERLINK("#Main!A1","Open"))</f>
        <v>Open</v>
      </c>
      <c r="T437" t="str">
        <f>IFERROR(HYPERLINK("#Technical!A"&amp;MATCH(A437,Technical!A:A,0),"Open"),HYPERLINK("#Technical!A1","Open"))</f>
        <v>Open</v>
      </c>
    </row>
    <row r="438" spans="1:21" ht="30" customHeight="1" x14ac:dyDescent="0.25">
      <c r="A438" s="33" t="s">
        <v>546</v>
      </c>
      <c r="B438" s="28">
        <v>16104</v>
      </c>
      <c r="C438" s="55" t="s">
        <v>1061</v>
      </c>
      <c r="D438" s="28" t="s">
        <v>981</v>
      </c>
      <c r="E438" s="47" t="s">
        <v>388</v>
      </c>
      <c r="F438" s="28" t="s">
        <v>1503</v>
      </c>
      <c r="G438" s="39">
        <v>37</v>
      </c>
      <c r="H438" s="28">
        <v>384</v>
      </c>
      <c r="I438" s="28" t="s">
        <v>1156</v>
      </c>
      <c r="J438" s="28" t="s">
        <v>1504</v>
      </c>
      <c r="K438" s="56" t="s">
        <v>12</v>
      </c>
      <c r="L438" s="28" t="s">
        <v>256</v>
      </c>
      <c r="M438" s="28" t="s">
        <v>392</v>
      </c>
      <c r="N438" s="28" t="s">
        <v>330</v>
      </c>
      <c r="O438" s="29" t="s">
        <v>2</v>
      </c>
      <c r="P438" s="28">
        <v>4</v>
      </c>
      <c r="Q438" s="28" t="s">
        <v>1546</v>
      </c>
      <c r="R438" s="28" t="s">
        <v>1506</v>
      </c>
      <c r="S438" s="34" t="str">
        <f>IFERROR(HYPERLINK("#Main!A"&amp;MATCH(A438,Main!A:A,0),"Open"),HYPERLINK("#Main!A1","Open"))</f>
        <v>Open</v>
      </c>
      <c r="T438" s="34" t="str">
        <f>IFERROR(HYPERLINK("#Technical!A"&amp;MATCH(A438,Technical!A:A,0),"Open"),HYPERLINK("#Technical!A1","Open"))</f>
        <v>Open</v>
      </c>
      <c r="U438" s="34"/>
    </row>
    <row r="439" spans="1:21" ht="30" customHeight="1" x14ac:dyDescent="0.25">
      <c r="A439" s="30" t="s">
        <v>483</v>
      </c>
      <c r="B439" s="37"/>
      <c r="C439" s="37"/>
      <c r="D439" s="37" t="s">
        <v>981</v>
      </c>
      <c r="E439" s="47" t="s">
        <v>388</v>
      </c>
      <c r="F439" s="37" t="s">
        <v>1531</v>
      </c>
      <c r="G439" s="42">
        <v>37</v>
      </c>
      <c r="H439" s="37">
        <v>0</v>
      </c>
      <c r="I439" s="37" t="s">
        <v>1532</v>
      </c>
      <c r="J439" s="37" t="s">
        <v>1533</v>
      </c>
      <c r="K439" s="57" t="s">
        <v>24</v>
      </c>
      <c r="L439" s="37" t="s">
        <v>728</v>
      </c>
      <c r="M439" s="37" t="s">
        <v>392</v>
      </c>
      <c r="N439" s="37" t="s">
        <v>330</v>
      </c>
      <c r="O439" s="29" t="s">
        <v>2</v>
      </c>
      <c r="P439" s="37">
        <v>4</v>
      </c>
      <c r="Q439" s="37" t="s">
        <v>1547</v>
      </c>
      <c r="R439" s="37" t="s">
        <v>1535</v>
      </c>
      <c r="S439" t="str">
        <f>IFERROR(HYPERLINK("#Main!A"&amp;MATCH(A439,Main!A:A,0),"Open"),HYPERLINK("#Main!A1","Open"))</f>
        <v>Open</v>
      </c>
      <c r="T439" t="str">
        <f>IFERROR(HYPERLINK("#Technical!A"&amp;MATCH(A439,Technical!A:A,0),"Open"),HYPERLINK("#Technical!A1","Open"))</f>
        <v>Open</v>
      </c>
    </row>
    <row r="440" spans="1:21" ht="30" customHeight="1" x14ac:dyDescent="0.25">
      <c r="A440" s="33" t="s">
        <v>549</v>
      </c>
      <c r="B440" s="28">
        <v>23021</v>
      </c>
      <c r="C440" s="55" t="s">
        <v>1063</v>
      </c>
      <c r="D440" s="28" t="s">
        <v>981</v>
      </c>
      <c r="E440" s="47" t="s">
        <v>388</v>
      </c>
      <c r="F440" s="28" t="s">
        <v>1503</v>
      </c>
      <c r="G440" s="39">
        <v>37</v>
      </c>
      <c r="H440" s="28">
        <v>225</v>
      </c>
      <c r="I440" s="28" t="s">
        <v>1156</v>
      </c>
      <c r="J440" s="28" t="s">
        <v>1504</v>
      </c>
      <c r="K440" s="56" t="s">
        <v>12</v>
      </c>
      <c r="L440" s="28" t="s">
        <v>256</v>
      </c>
      <c r="M440" s="28" t="s">
        <v>392</v>
      </c>
      <c r="N440" s="28" t="s">
        <v>330</v>
      </c>
      <c r="O440" s="29" t="s">
        <v>2</v>
      </c>
      <c r="P440" s="28">
        <v>4</v>
      </c>
      <c r="Q440" s="28" t="s">
        <v>1548</v>
      </c>
      <c r="R440" s="28" t="s">
        <v>1506</v>
      </c>
      <c r="S440" s="34" t="str">
        <f>IFERROR(HYPERLINK("#Main!A"&amp;MATCH(A440,Main!A:A,0),"Open"),HYPERLINK("#Main!A1","Open"))</f>
        <v>Open</v>
      </c>
      <c r="T440" s="34" t="str">
        <f>IFERROR(HYPERLINK("#Technical!A"&amp;MATCH(A440,Technical!A:A,0),"Open"),HYPERLINK("#Technical!A1","Open"))</f>
        <v>Open</v>
      </c>
      <c r="U440" s="34"/>
    </row>
    <row r="441" spans="1:21" ht="30" customHeight="1" x14ac:dyDescent="0.25">
      <c r="A441" s="30" t="s">
        <v>552</v>
      </c>
      <c r="B441" s="37">
        <v>6553</v>
      </c>
      <c r="C441" s="55" t="s">
        <v>1065</v>
      </c>
      <c r="D441" s="37" t="s">
        <v>981</v>
      </c>
      <c r="E441" s="47" t="s">
        <v>388</v>
      </c>
      <c r="F441" s="37" t="s">
        <v>1503</v>
      </c>
      <c r="G441" s="42">
        <v>37</v>
      </c>
      <c r="H441" s="37">
        <v>357</v>
      </c>
      <c r="I441" s="37" t="s">
        <v>1156</v>
      </c>
      <c r="J441" s="37" t="s">
        <v>1504</v>
      </c>
      <c r="K441" s="57" t="s">
        <v>12</v>
      </c>
      <c r="L441" s="37" t="s">
        <v>256</v>
      </c>
      <c r="M441" s="37" t="s">
        <v>392</v>
      </c>
      <c r="N441" s="37" t="s">
        <v>330</v>
      </c>
      <c r="O441" s="29" t="s">
        <v>2</v>
      </c>
      <c r="P441" s="37">
        <v>4</v>
      </c>
      <c r="Q441" s="37" t="s">
        <v>1549</v>
      </c>
      <c r="R441" s="37" t="s">
        <v>1506</v>
      </c>
      <c r="S441" t="str">
        <f>IFERROR(HYPERLINK("#Main!A"&amp;MATCH(A441,Main!A:A,0),"Open"),HYPERLINK("#Main!A1","Open"))</f>
        <v>Open</v>
      </c>
      <c r="T441" t="str">
        <f>IFERROR(HYPERLINK("#Technical!A"&amp;MATCH(A441,Technical!A:A,0),"Open"),HYPERLINK("#Technical!A1","Open"))</f>
        <v>Open</v>
      </c>
    </row>
    <row r="442" spans="1:21" ht="30" customHeight="1" x14ac:dyDescent="0.25">
      <c r="A442" s="33" t="s">
        <v>557</v>
      </c>
      <c r="B442" s="28">
        <v>6822</v>
      </c>
      <c r="C442" s="55" t="s">
        <v>1069</v>
      </c>
      <c r="D442" s="28" t="s">
        <v>981</v>
      </c>
      <c r="E442" s="47" t="s">
        <v>388</v>
      </c>
      <c r="F442" s="28" t="s">
        <v>1517</v>
      </c>
      <c r="G442" s="39">
        <v>37</v>
      </c>
      <c r="H442" s="28">
        <v>117</v>
      </c>
      <c r="I442" s="28" t="s">
        <v>1156</v>
      </c>
      <c r="J442" s="28" t="s">
        <v>1518</v>
      </c>
      <c r="K442" s="56" t="s">
        <v>12</v>
      </c>
      <c r="L442" s="28" t="s">
        <v>256</v>
      </c>
      <c r="M442" s="28" t="s">
        <v>392</v>
      </c>
      <c r="N442" s="28" t="s">
        <v>330</v>
      </c>
      <c r="O442" s="29" t="s">
        <v>2</v>
      </c>
      <c r="P442" s="28">
        <v>4</v>
      </c>
      <c r="Q442" s="28" t="s">
        <v>1550</v>
      </c>
      <c r="R442" s="28" t="s">
        <v>1520</v>
      </c>
      <c r="S442" s="34" t="str">
        <f>IFERROR(HYPERLINK("#Main!A"&amp;MATCH(A442,Main!A:A,0),"Open"),HYPERLINK("#Main!A1","Open"))</f>
        <v>Open</v>
      </c>
      <c r="T442" s="34" t="str">
        <f>IFERROR(HYPERLINK("#Technical!A"&amp;MATCH(A442,Technical!A:A,0),"Open"),HYPERLINK("#Technical!A1","Open"))</f>
        <v>Open</v>
      </c>
      <c r="U442" s="34"/>
    </row>
    <row r="443" spans="1:21" ht="30" customHeight="1" x14ac:dyDescent="0.25">
      <c r="A443" s="30" t="s">
        <v>560</v>
      </c>
      <c r="B443" s="37">
        <v>4492</v>
      </c>
      <c r="C443" s="55" t="s">
        <v>1071</v>
      </c>
      <c r="D443" s="37" t="s">
        <v>981</v>
      </c>
      <c r="E443" s="47" t="s">
        <v>388</v>
      </c>
      <c r="F443" s="37" t="s">
        <v>1503</v>
      </c>
      <c r="G443" s="42">
        <v>37</v>
      </c>
      <c r="H443" s="37">
        <v>356</v>
      </c>
      <c r="I443" s="37" t="s">
        <v>1156</v>
      </c>
      <c r="J443" s="37" t="s">
        <v>1504</v>
      </c>
      <c r="K443" s="57" t="s">
        <v>12</v>
      </c>
      <c r="L443" s="37" t="s">
        <v>256</v>
      </c>
      <c r="M443" s="37" t="s">
        <v>392</v>
      </c>
      <c r="N443" s="37" t="s">
        <v>330</v>
      </c>
      <c r="O443" s="29" t="s">
        <v>2</v>
      </c>
      <c r="P443" s="37">
        <v>4</v>
      </c>
      <c r="Q443" s="37" t="s">
        <v>1551</v>
      </c>
      <c r="R443" s="37" t="s">
        <v>1506</v>
      </c>
      <c r="S443" t="str">
        <f>IFERROR(HYPERLINK("#Main!A"&amp;MATCH(A443,Main!A:A,0),"Open"),HYPERLINK("#Main!A1","Open"))</f>
        <v>Open</v>
      </c>
      <c r="T443" t="str">
        <f>IFERROR(HYPERLINK("#Technical!A"&amp;MATCH(A443,Technical!A:A,0),"Open"),HYPERLINK("#Technical!A1","Open"))</f>
        <v>Open</v>
      </c>
    </row>
    <row r="444" spans="1:21" ht="30" customHeight="1" x14ac:dyDescent="0.25">
      <c r="A444" s="33" t="s">
        <v>563</v>
      </c>
      <c r="B444" s="28">
        <v>23001</v>
      </c>
      <c r="C444" s="55" t="s">
        <v>1073</v>
      </c>
      <c r="D444" s="28" t="s">
        <v>981</v>
      </c>
      <c r="E444" s="47" t="s">
        <v>388</v>
      </c>
      <c r="F444" s="28" t="s">
        <v>1503</v>
      </c>
      <c r="G444" s="39">
        <v>37</v>
      </c>
      <c r="H444" s="28">
        <v>1077</v>
      </c>
      <c r="I444" s="28" t="s">
        <v>1156</v>
      </c>
      <c r="J444" s="28" t="s">
        <v>1504</v>
      </c>
      <c r="K444" s="56" t="s">
        <v>12</v>
      </c>
      <c r="L444" s="28" t="s">
        <v>256</v>
      </c>
      <c r="M444" s="28" t="s">
        <v>392</v>
      </c>
      <c r="N444" s="28" t="s">
        <v>330</v>
      </c>
      <c r="O444" s="29" t="s">
        <v>2</v>
      </c>
      <c r="P444" s="28">
        <v>4</v>
      </c>
      <c r="Q444" s="28" t="s">
        <v>1552</v>
      </c>
      <c r="R444" s="28" t="s">
        <v>1506</v>
      </c>
      <c r="S444" s="34" t="str">
        <f>IFERROR(HYPERLINK("#Main!A"&amp;MATCH(A444,Main!A:A,0),"Open"),HYPERLINK("#Main!A1","Open"))</f>
        <v>Open</v>
      </c>
      <c r="T444" s="34" t="str">
        <f>IFERROR(HYPERLINK("#Technical!A"&amp;MATCH(A444,Technical!A:A,0),"Open"),HYPERLINK("#Technical!A1","Open"))</f>
        <v>Open</v>
      </c>
      <c r="U444" s="34"/>
    </row>
    <row r="445" spans="1:21" ht="30" customHeight="1" x14ac:dyDescent="0.25">
      <c r="A445" s="30" t="s">
        <v>566</v>
      </c>
      <c r="B445" s="37">
        <v>21952</v>
      </c>
      <c r="C445" s="55" t="s">
        <v>1075</v>
      </c>
      <c r="D445" s="37" t="s">
        <v>981</v>
      </c>
      <c r="E445" s="47" t="s">
        <v>388</v>
      </c>
      <c r="F445" s="37" t="s">
        <v>1503</v>
      </c>
      <c r="G445" s="42">
        <v>37</v>
      </c>
      <c r="H445" s="37">
        <v>161</v>
      </c>
      <c r="I445" s="37" t="s">
        <v>1156</v>
      </c>
      <c r="J445" s="37" t="s">
        <v>1504</v>
      </c>
      <c r="K445" s="57" t="s">
        <v>12</v>
      </c>
      <c r="L445" s="37" t="s">
        <v>256</v>
      </c>
      <c r="M445" s="37" t="s">
        <v>392</v>
      </c>
      <c r="N445" s="37" t="s">
        <v>330</v>
      </c>
      <c r="O445" s="29" t="s">
        <v>2</v>
      </c>
      <c r="P445" s="37">
        <v>4</v>
      </c>
      <c r="Q445" s="37" t="s">
        <v>1553</v>
      </c>
      <c r="R445" s="37" t="s">
        <v>1506</v>
      </c>
      <c r="S445" t="str">
        <f>IFERROR(HYPERLINK("#Main!A"&amp;MATCH(A445,Main!A:A,0),"Open"),HYPERLINK("#Main!A1","Open"))</f>
        <v>Open</v>
      </c>
      <c r="T445" t="str">
        <f>IFERROR(HYPERLINK("#Technical!A"&amp;MATCH(A445,Technical!A:A,0),"Open"),HYPERLINK("#Technical!A1","Open"))</f>
        <v>Open</v>
      </c>
    </row>
    <row r="446" spans="1:21" ht="30" customHeight="1" x14ac:dyDescent="0.25">
      <c r="A446" s="33" t="s">
        <v>570</v>
      </c>
      <c r="B446" s="28">
        <v>22679</v>
      </c>
      <c r="C446" s="55" t="s">
        <v>1077</v>
      </c>
      <c r="D446" s="28" t="s">
        <v>981</v>
      </c>
      <c r="E446" s="47" t="s">
        <v>388</v>
      </c>
      <c r="F446" s="28" t="s">
        <v>1503</v>
      </c>
      <c r="G446" s="39">
        <v>37</v>
      </c>
      <c r="H446" s="28">
        <v>376</v>
      </c>
      <c r="I446" s="28" t="s">
        <v>1156</v>
      </c>
      <c r="J446" s="28" t="s">
        <v>1504</v>
      </c>
      <c r="K446" s="56" t="s">
        <v>12</v>
      </c>
      <c r="L446" s="28" t="s">
        <v>256</v>
      </c>
      <c r="M446" s="28" t="s">
        <v>392</v>
      </c>
      <c r="N446" s="28" t="s">
        <v>330</v>
      </c>
      <c r="O446" s="29" t="s">
        <v>2</v>
      </c>
      <c r="P446" s="28">
        <v>4</v>
      </c>
      <c r="Q446" s="28" t="s">
        <v>1554</v>
      </c>
      <c r="R446" s="28" t="s">
        <v>1506</v>
      </c>
      <c r="S446" s="34" t="str">
        <f>IFERROR(HYPERLINK("#Main!A"&amp;MATCH(A446,Main!A:A,0),"Open"),HYPERLINK("#Main!A1","Open"))</f>
        <v>Open</v>
      </c>
      <c r="T446" s="34" t="str">
        <f>IFERROR(HYPERLINK("#Technical!A"&amp;MATCH(A446,Technical!A:A,0),"Open"),HYPERLINK("#Technical!A1","Open"))</f>
        <v>Open</v>
      </c>
      <c r="U446" s="34"/>
    </row>
    <row r="447" spans="1:21" ht="30" customHeight="1" x14ac:dyDescent="0.25">
      <c r="A447" s="30" t="s">
        <v>579</v>
      </c>
      <c r="B447" s="37">
        <v>34552</v>
      </c>
      <c r="C447" s="55" t="s">
        <v>1083</v>
      </c>
      <c r="D447" s="37" t="s">
        <v>981</v>
      </c>
      <c r="E447" s="47" t="s">
        <v>388</v>
      </c>
      <c r="F447" s="37" t="s">
        <v>1503</v>
      </c>
      <c r="G447" s="42">
        <v>37</v>
      </c>
      <c r="H447" s="37">
        <v>526</v>
      </c>
      <c r="I447" s="37" t="s">
        <v>1156</v>
      </c>
      <c r="J447" s="37" t="s">
        <v>1504</v>
      </c>
      <c r="K447" s="57" t="s">
        <v>12</v>
      </c>
      <c r="L447" s="37" t="s">
        <v>256</v>
      </c>
      <c r="M447" s="37" t="s">
        <v>392</v>
      </c>
      <c r="N447" s="37" t="s">
        <v>330</v>
      </c>
      <c r="O447" s="29" t="s">
        <v>2</v>
      </c>
      <c r="P447" s="37">
        <v>4</v>
      </c>
      <c r="Q447" s="37" t="s">
        <v>1555</v>
      </c>
      <c r="R447" s="37" t="s">
        <v>1506</v>
      </c>
      <c r="S447" t="str">
        <f>IFERROR(HYPERLINK("#Main!A"&amp;MATCH(A447,Main!A:A,0),"Open"),HYPERLINK("#Main!A1","Open"))</f>
        <v>Open</v>
      </c>
      <c r="T447" t="str">
        <f>IFERROR(HYPERLINK("#Technical!A"&amp;MATCH(A447,Technical!A:A,0),"Open"),HYPERLINK("#Technical!A1","Open"))</f>
        <v>Open</v>
      </c>
    </row>
    <row r="448" spans="1:21" ht="30" customHeight="1" x14ac:dyDescent="0.25">
      <c r="A448" s="33" t="s">
        <v>582</v>
      </c>
      <c r="B448" s="28">
        <v>28742</v>
      </c>
      <c r="C448" s="55" t="s">
        <v>1085</v>
      </c>
      <c r="D448" s="28" t="s">
        <v>981</v>
      </c>
      <c r="E448" s="47" t="s">
        <v>388</v>
      </c>
      <c r="F448" s="28" t="s">
        <v>1503</v>
      </c>
      <c r="G448" s="39">
        <v>37</v>
      </c>
      <c r="H448" s="28">
        <v>400</v>
      </c>
      <c r="I448" s="28" t="s">
        <v>1156</v>
      </c>
      <c r="J448" s="28" t="s">
        <v>1504</v>
      </c>
      <c r="K448" s="56" t="s">
        <v>12</v>
      </c>
      <c r="L448" s="28" t="s">
        <v>256</v>
      </c>
      <c r="M448" s="28" t="s">
        <v>392</v>
      </c>
      <c r="N448" s="28" t="s">
        <v>330</v>
      </c>
      <c r="O448" s="29" t="s">
        <v>2</v>
      </c>
      <c r="P448" s="28">
        <v>4</v>
      </c>
      <c r="Q448" s="28" t="s">
        <v>1556</v>
      </c>
      <c r="R448" s="28" t="s">
        <v>1506</v>
      </c>
      <c r="S448" s="34" t="str">
        <f>IFERROR(HYPERLINK("#Main!A"&amp;MATCH(A448,Main!A:A,0),"Open"),HYPERLINK("#Main!A1","Open"))</f>
        <v>Open</v>
      </c>
      <c r="T448" s="34" t="str">
        <f>IFERROR(HYPERLINK("#Technical!A"&amp;MATCH(A448,Technical!A:A,0),"Open"),HYPERLINK("#Technical!A1","Open"))</f>
        <v>Open</v>
      </c>
      <c r="U448" s="34"/>
    </row>
    <row r="449" spans="1:21" ht="30" customHeight="1" x14ac:dyDescent="0.25">
      <c r="A449" s="30" t="s">
        <v>588</v>
      </c>
      <c r="B449" s="37">
        <v>20001</v>
      </c>
      <c r="C449" s="55" t="s">
        <v>1089</v>
      </c>
      <c r="D449" s="37" t="s">
        <v>981</v>
      </c>
      <c r="E449" s="47" t="s">
        <v>388</v>
      </c>
      <c r="F449" s="37" t="s">
        <v>1503</v>
      </c>
      <c r="G449" s="42">
        <v>37</v>
      </c>
      <c r="H449" s="37">
        <v>210</v>
      </c>
      <c r="I449" s="37" t="s">
        <v>1156</v>
      </c>
      <c r="J449" s="37" t="s">
        <v>1504</v>
      </c>
      <c r="K449" s="57" t="s">
        <v>12</v>
      </c>
      <c r="L449" s="37" t="s">
        <v>256</v>
      </c>
      <c r="M449" s="37" t="s">
        <v>392</v>
      </c>
      <c r="N449" s="37" t="s">
        <v>330</v>
      </c>
      <c r="O449" s="29" t="s">
        <v>2</v>
      </c>
      <c r="P449" s="37">
        <v>4</v>
      </c>
      <c r="Q449" s="37" t="s">
        <v>1557</v>
      </c>
      <c r="R449" s="37" t="s">
        <v>1506</v>
      </c>
      <c r="S449" t="str">
        <f>IFERROR(HYPERLINK("#Main!A"&amp;MATCH(A449,Main!A:A,0),"Open"),HYPERLINK("#Main!A1","Open"))</f>
        <v>Open</v>
      </c>
      <c r="T449" t="str">
        <f>IFERROR(HYPERLINK("#Technical!A"&amp;MATCH(A449,Technical!A:A,0),"Open"),HYPERLINK("#Technical!A1","Open"))</f>
        <v>Open</v>
      </c>
    </row>
    <row r="450" spans="1:21" ht="30" customHeight="1" x14ac:dyDescent="0.25">
      <c r="A450" s="33" t="s">
        <v>591</v>
      </c>
      <c r="B450" s="28">
        <v>19980</v>
      </c>
      <c r="C450" s="55" t="s">
        <v>1091</v>
      </c>
      <c r="D450" s="28" t="s">
        <v>981</v>
      </c>
      <c r="E450" s="47" t="s">
        <v>388</v>
      </c>
      <c r="F450" s="28" t="s">
        <v>1503</v>
      </c>
      <c r="G450" s="39">
        <v>37</v>
      </c>
      <c r="H450" s="28">
        <v>193</v>
      </c>
      <c r="I450" s="28" t="s">
        <v>1156</v>
      </c>
      <c r="J450" s="28" t="s">
        <v>1504</v>
      </c>
      <c r="K450" s="56" t="s">
        <v>12</v>
      </c>
      <c r="L450" s="28" t="s">
        <v>256</v>
      </c>
      <c r="M450" s="28" t="s">
        <v>392</v>
      </c>
      <c r="N450" s="28" t="s">
        <v>330</v>
      </c>
      <c r="O450" s="29" t="s">
        <v>2</v>
      </c>
      <c r="P450" s="28">
        <v>4</v>
      </c>
      <c r="Q450" s="28" t="s">
        <v>1558</v>
      </c>
      <c r="R450" s="28" t="s">
        <v>1506</v>
      </c>
      <c r="S450" s="34" t="str">
        <f>IFERROR(HYPERLINK("#Main!A"&amp;MATCH(A450,Main!A:A,0),"Open"),HYPERLINK("#Main!A1","Open"))</f>
        <v>Open</v>
      </c>
      <c r="T450" s="34" t="str">
        <f>IFERROR(HYPERLINK("#Technical!A"&amp;MATCH(A450,Technical!A:A,0),"Open"),HYPERLINK("#Technical!A1","Open"))</f>
        <v>Open</v>
      </c>
      <c r="U450" s="34"/>
    </row>
    <row r="451" spans="1:21" ht="30" customHeight="1" x14ac:dyDescent="0.25">
      <c r="A451" s="30" t="s">
        <v>594</v>
      </c>
      <c r="B451" s="37">
        <v>10823</v>
      </c>
      <c r="C451" s="55" t="s">
        <v>1093</v>
      </c>
      <c r="D451" s="37" t="s">
        <v>981</v>
      </c>
      <c r="E451" s="47" t="s">
        <v>388</v>
      </c>
      <c r="F451" s="37" t="s">
        <v>1517</v>
      </c>
      <c r="G451" s="42">
        <v>37</v>
      </c>
      <c r="H451" s="37">
        <v>92</v>
      </c>
      <c r="I451" s="37" t="s">
        <v>1156</v>
      </c>
      <c r="J451" s="37" t="s">
        <v>1518</v>
      </c>
      <c r="K451" s="57" t="s">
        <v>12</v>
      </c>
      <c r="L451" s="37" t="s">
        <v>256</v>
      </c>
      <c r="M451" s="37" t="s">
        <v>392</v>
      </c>
      <c r="N451" s="37" t="s">
        <v>330</v>
      </c>
      <c r="O451" s="29" t="s">
        <v>2</v>
      </c>
      <c r="P451" s="37">
        <v>4</v>
      </c>
      <c r="Q451" s="37" t="s">
        <v>1559</v>
      </c>
      <c r="R451" s="37" t="s">
        <v>1520</v>
      </c>
      <c r="S451" t="str">
        <f>IFERROR(HYPERLINK("#Main!A"&amp;MATCH(A451,Main!A:A,0),"Open"),HYPERLINK("#Main!A1","Open"))</f>
        <v>Open</v>
      </c>
      <c r="T451" t="str">
        <f>IFERROR(HYPERLINK("#Technical!A"&amp;MATCH(A451,Technical!A:A,0),"Open"),HYPERLINK("#Technical!A1","Open"))</f>
        <v>Open</v>
      </c>
    </row>
    <row r="452" spans="1:21" ht="30" customHeight="1" x14ac:dyDescent="0.25">
      <c r="A452" s="33" t="s">
        <v>597</v>
      </c>
      <c r="B452" s="28">
        <v>17908</v>
      </c>
      <c r="C452" s="55" t="s">
        <v>975</v>
      </c>
      <c r="D452" s="28" t="s">
        <v>981</v>
      </c>
      <c r="E452" s="47" t="s">
        <v>388</v>
      </c>
      <c r="F452" s="28" t="s">
        <v>1517</v>
      </c>
      <c r="G452" s="39">
        <v>37</v>
      </c>
      <c r="H452" s="28">
        <v>44</v>
      </c>
      <c r="I452" s="28" t="s">
        <v>1156</v>
      </c>
      <c r="J452" s="28" t="s">
        <v>1518</v>
      </c>
      <c r="K452" s="56" t="s">
        <v>12</v>
      </c>
      <c r="L452" s="28" t="s">
        <v>256</v>
      </c>
      <c r="M452" s="28" t="s">
        <v>392</v>
      </c>
      <c r="N452" s="28" t="s">
        <v>330</v>
      </c>
      <c r="O452" s="29" t="s">
        <v>2</v>
      </c>
      <c r="P452" s="28">
        <v>4</v>
      </c>
      <c r="Q452" s="28" t="s">
        <v>1560</v>
      </c>
      <c r="R452" s="28" t="s">
        <v>1520</v>
      </c>
      <c r="S452" s="34" t="str">
        <f>IFERROR(HYPERLINK("#Main!A"&amp;MATCH(A452,Main!A:A,0),"Open"),HYPERLINK("#Main!A1","Open"))</f>
        <v>Open</v>
      </c>
      <c r="T452" s="34" t="str">
        <f>IFERROR(HYPERLINK("#Technical!A"&amp;MATCH(A452,Technical!A:A,0),"Open"),HYPERLINK("#Technical!A1","Open"))</f>
        <v>Open</v>
      </c>
      <c r="U452" s="34"/>
    </row>
    <row r="453" spans="1:21" ht="30" customHeight="1" x14ac:dyDescent="0.25">
      <c r="A453" s="30" t="s">
        <v>604</v>
      </c>
      <c r="B453" s="37">
        <v>16472</v>
      </c>
      <c r="C453" s="55" t="s">
        <v>1098</v>
      </c>
      <c r="D453" s="37" t="s">
        <v>981</v>
      </c>
      <c r="E453" s="47" t="s">
        <v>388</v>
      </c>
      <c r="F453" s="37" t="s">
        <v>1503</v>
      </c>
      <c r="G453" s="42">
        <v>37</v>
      </c>
      <c r="H453" s="37">
        <v>800</v>
      </c>
      <c r="I453" s="37" t="s">
        <v>1156</v>
      </c>
      <c r="J453" s="37" t="s">
        <v>1504</v>
      </c>
      <c r="K453" s="57" t="s">
        <v>12</v>
      </c>
      <c r="L453" s="37" t="s">
        <v>256</v>
      </c>
      <c r="M453" s="37" t="s">
        <v>392</v>
      </c>
      <c r="N453" s="37" t="s">
        <v>330</v>
      </c>
      <c r="O453" s="29" t="s">
        <v>2</v>
      </c>
      <c r="P453" s="37">
        <v>4</v>
      </c>
      <c r="Q453" s="37" t="s">
        <v>1561</v>
      </c>
      <c r="R453" s="37" t="s">
        <v>1506</v>
      </c>
      <c r="S453" t="str">
        <f>IFERROR(HYPERLINK("#Main!A"&amp;MATCH(A453,Main!A:A,0),"Open"),HYPERLINK("#Main!A1","Open"))</f>
        <v>Open</v>
      </c>
      <c r="T453" t="str">
        <f>IFERROR(HYPERLINK("#Technical!A"&amp;MATCH(A453,Technical!A:A,0),"Open"),HYPERLINK("#Technical!A1","Open"))</f>
        <v>Open</v>
      </c>
    </row>
    <row r="454" spans="1:21" ht="30" customHeight="1" x14ac:dyDescent="0.25">
      <c r="A454" s="33" t="s">
        <v>608</v>
      </c>
      <c r="B454" s="28">
        <v>92</v>
      </c>
      <c r="C454" s="55" t="s">
        <v>1100</v>
      </c>
      <c r="D454" s="28" t="s">
        <v>981</v>
      </c>
      <c r="E454" s="47" t="s">
        <v>388</v>
      </c>
      <c r="F454" s="28" t="s">
        <v>1517</v>
      </c>
      <c r="G454" s="39">
        <v>37</v>
      </c>
      <c r="H454" s="28">
        <v>79</v>
      </c>
      <c r="I454" s="28" t="s">
        <v>1156</v>
      </c>
      <c r="J454" s="28" t="s">
        <v>1518</v>
      </c>
      <c r="K454" s="56" t="s">
        <v>12</v>
      </c>
      <c r="L454" s="28" t="s">
        <v>256</v>
      </c>
      <c r="M454" s="28" t="s">
        <v>392</v>
      </c>
      <c r="N454" s="28" t="s">
        <v>330</v>
      </c>
      <c r="O454" s="29" t="s">
        <v>2</v>
      </c>
      <c r="P454" s="28">
        <v>4</v>
      </c>
      <c r="Q454" s="28" t="s">
        <v>1562</v>
      </c>
      <c r="R454" s="28" t="s">
        <v>1520</v>
      </c>
      <c r="S454" s="34" t="str">
        <f>IFERROR(HYPERLINK("#Main!A"&amp;MATCH(A454,Main!A:A,0),"Open"),HYPERLINK("#Main!A1","Open"))</f>
        <v>Open</v>
      </c>
      <c r="T454" s="34" t="str">
        <f>IFERROR(HYPERLINK("#Technical!A"&amp;MATCH(A454,Technical!A:A,0),"Open"),HYPERLINK("#Technical!A1","Open"))</f>
        <v>Open</v>
      </c>
      <c r="U454" s="34"/>
    </row>
    <row r="455" spans="1:21" ht="30" customHeight="1" x14ac:dyDescent="0.25">
      <c r="A455" s="30" t="s">
        <v>611</v>
      </c>
      <c r="B455" s="37">
        <v>18478</v>
      </c>
      <c r="C455" s="55" t="s">
        <v>1102</v>
      </c>
      <c r="D455" s="37" t="s">
        <v>981</v>
      </c>
      <c r="E455" s="47" t="s">
        <v>388</v>
      </c>
      <c r="F455" s="37" t="s">
        <v>1517</v>
      </c>
      <c r="G455" s="42">
        <v>37</v>
      </c>
      <c r="H455" s="37">
        <v>100</v>
      </c>
      <c r="I455" s="37" t="s">
        <v>1156</v>
      </c>
      <c r="J455" s="37" t="s">
        <v>1518</v>
      </c>
      <c r="K455" s="57" t="s">
        <v>12</v>
      </c>
      <c r="L455" s="37" t="s">
        <v>256</v>
      </c>
      <c r="M455" s="37" t="s">
        <v>392</v>
      </c>
      <c r="N455" s="37" t="s">
        <v>330</v>
      </c>
      <c r="O455" s="29" t="s">
        <v>2</v>
      </c>
      <c r="P455" s="37">
        <v>4</v>
      </c>
      <c r="Q455" s="37" t="s">
        <v>1563</v>
      </c>
      <c r="R455" s="37" t="s">
        <v>1520</v>
      </c>
      <c r="S455" t="str">
        <f>IFERROR(HYPERLINK("#Main!A"&amp;MATCH(A455,Main!A:A,0),"Open"),HYPERLINK("#Main!A1","Open"))</f>
        <v>Open</v>
      </c>
      <c r="T455" t="str">
        <f>IFERROR(HYPERLINK("#Technical!A"&amp;MATCH(A455,Technical!A:A,0),"Open"),HYPERLINK("#Technical!A1","Open"))</f>
        <v>Open</v>
      </c>
    </row>
    <row r="456" spans="1:21" ht="30" customHeight="1" x14ac:dyDescent="0.25">
      <c r="A456" s="33" t="s">
        <v>615</v>
      </c>
      <c r="B456" s="28">
        <v>19172</v>
      </c>
      <c r="C456" s="55" t="s">
        <v>1104</v>
      </c>
      <c r="D456" s="28" t="s">
        <v>981</v>
      </c>
      <c r="E456" s="47" t="s">
        <v>388</v>
      </c>
      <c r="F456" s="28" t="s">
        <v>1517</v>
      </c>
      <c r="G456" s="39">
        <v>37</v>
      </c>
      <c r="H456" s="28">
        <v>68</v>
      </c>
      <c r="I456" s="28" t="s">
        <v>1156</v>
      </c>
      <c r="J456" s="28" t="s">
        <v>1518</v>
      </c>
      <c r="K456" s="56" t="s">
        <v>12</v>
      </c>
      <c r="L456" s="28" t="s">
        <v>256</v>
      </c>
      <c r="M456" s="28" t="s">
        <v>392</v>
      </c>
      <c r="N456" s="28" t="s">
        <v>330</v>
      </c>
      <c r="O456" s="29" t="s">
        <v>2</v>
      </c>
      <c r="P456" s="28">
        <v>4</v>
      </c>
      <c r="Q456" s="28" t="s">
        <v>1564</v>
      </c>
      <c r="R456" s="28" t="s">
        <v>1520</v>
      </c>
      <c r="S456" s="34" t="str">
        <f>IFERROR(HYPERLINK("#Main!A"&amp;MATCH(A456,Main!A:A,0),"Open"),HYPERLINK("#Main!A1","Open"))</f>
        <v>Open</v>
      </c>
      <c r="T456" s="34" t="str">
        <f>IFERROR(HYPERLINK("#Technical!A"&amp;MATCH(A456,Technical!A:A,0),"Open"),HYPERLINK("#Technical!A1","Open"))</f>
        <v>Open</v>
      </c>
      <c r="U456" s="34"/>
    </row>
    <row r="457" spans="1:21" ht="30" customHeight="1" x14ac:dyDescent="0.25">
      <c r="A457" s="30" t="s">
        <v>618</v>
      </c>
      <c r="B457" s="37">
        <v>88</v>
      </c>
      <c r="C457" s="55" t="s">
        <v>1106</v>
      </c>
      <c r="D457" s="37" t="s">
        <v>981</v>
      </c>
      <c r="E457" s="47" t="s">
        <v>388</v>
      </c>
      <c r="F457" s="37" t="s">
        <v>1503</v>
      </c>
      <c r="G457" s="42">
        <v>37</v>
      </c>
      <c r="H457" s="37">
        <v>344</v>
      </c>
      <c r="I457" s="37" t="s">
        <v>1156</v>
      </c>
      <c r="J457" s="37" t="s">
        <v>1504</v>
      </c>
      <c r="K457" s="57" t="s">
        <v>12</v>
      </c>
      <c r="L457" s="37" t="s">
        <v>256</v>
      </c>
      <c r="M457" s="37" t="s">
        <v>392</v>
      </c>
      <c r="N457" s="37" t="s">
        <v>330</v>
      </c>
      <c r="O457" s="29" t="s">
        <v>2</v>
      </c>
      <c r="P457" s="37">
        <v>4</v>
      </c>
      <c r="Q457" s="37" t="s">
        <v>1565</v>
      </c>
      <c r="R457" s="37" t="s">
        <v>1506</v>
      </c>
      <c r="S457" t="str">
        <f>IFERROR(HYPERLINK("#Main!A"&amp;MATCH(A457,Main!A:A,0),"Open"),HYPERLINK("#Main!A1","Open"))</f>
        <v>Open</v>
      </c>
      <c r="T457" t="str">
        <f>IFERROR(HYPERLINK("#Technical!A"&amp;MATCH(A457,Technical!A:A,0),"Open"),HYPERLINK("#Technical!A1","Open"))</f>
        <v>Open</v>
      </c>
    </row>
    <row r="458" spans="1:21" ht="30" customHeight="1" x14ac:dyDescent="0.25">
      <c r="A458" s="33" t="s">
        <v>621</v>
      </c>
      <c r="B458" s="28">
        <v>16548</v>
      </c>
      <c r="C458" s="55" t="s">
        <v>1108</v>
      </c>
      <c r="D458" s="28" t="s">
        <v>981</v>
      </c>
      <c r="E458" s="47" t="s">
        <v>388</v>
      </c>
      <c r="F458" s="28" t="s">
        <v>1503</v>
      </c>
      <c r="G458" s="39">
        <v>37</v>
      </c>
      <c r="H458" s="28">
        <v>216</v>
      </c>
      <c r="I458" s="28" t="s">
        <v>1156</v>
      </c>
      <c r="J458" s="28" t="s">
        <v>1504</v>
      </c>
      <c r="K458" s="56" t="s">
        <v>12</v>
      </c>
      <c r="L458" s="28" t="s">
        <v>256</v>
      </c>
      <c r="M458" s="28" t="s">
        <v>392</v>
      </c>
      <c r="N458" s="28" t="s">
        <v>330</v>
      </c>
      <c r="O458" s="29" t="s">
        <v>2</v>
      </c>
      <c r="P458" s="28">
        <v>4</v>
      </c>
      <c r="Q458" s="28" t="s">
        <v>1566</v>
      </c>
      <c r="R458" s="28" t="s">
        <v>1506</v>
      </c>
      <c r="S458" s="34" t="str">
        <f>IFERROR(HYPERLINK("#Main!A"&amp;MATCH(A458,Main!A:A,0),"Open"),HYPERLINK("#Main!A1","Open"))</f>
        <v>Open</v>
      </c>
      <c r="T458" s="34" t="str">
        <f>IFERROR(HYPERLINK("#Technical!A"&amp;MATCH(A458,Technical!A:A,0),"Open"),HYPERLINK("#Technical!A1","Open"))</f>
        <v>Open</v>
      </c>
      <c r="U458" s="34"/>
    </row>
    <row r="459" spans="1:21" ht="30" customHeight="1" x14ac:dyDescent="0.25">
      <c r="A459" s="30" t="s">
        <v>626</v>
      </c>
      <c r="B459" s="37">
        <v>31820</v>
      </c>
      <c r="C459" s="55" t="s">
        <v>1112</v>
      </c>
      <c r="D459" s="37" t="s">
        <v>981</v>
      </c>
      <c r="E459" s="47" t="s">
        <v>388</v>
      </c>
      <c r="F459" s="37" t="s">
        <v>1503</v>
      </c>
      <c r="G459" s="42">
        <v>37</v>
      </c>
      <c r="H459" s="37">
        <v>368</v>
      </c>
      <c r="I459" s="37" t="s">
        <v>1156</v>
      </c>
      <c r="J459" s="37" t="s">
        <v>1504</v>
      </c>
      <c r="K459" s="57" t="s">
        <v>12</v>
      </c>
      <c r="L459" s="37" t="s">
        <v>256</v>
      </c>
      <c r="M459" s="37" t="s">
        <v>392</v>
      </c>
      <c r="N459" s="37" t="s">
        <v>330</v>
      </c>
      <c r="O459" s="29" t="s">
        <v>2</v>
      </c>
      <c r="P459" s="37">
        <v>4</v>
      </c>
      <c r="Q459" s="37" t="s">
        <v>1567</v>
      </c>
      <c r="R459" s="37" t="s">
        <v>1506</v>
      </c>
      <c r="S459" t="str">
        <f>IFERROR(HYPERLINK("#Main!A"&amp;MATCH(A459,Main!A:A,0),"Open"),HYPERLINK("#Main!A1","Open"))</f>
        <v>Open</v>
      </c>
      <c r="T459" t="str">
        <f>IFERROR(HYPERLINK("#Technical!A"&amp;MATCH(A459,Technical!A:A,0),"Open"),HYPERLINK("#Technical!A1","Open"))</f>
        <v>Open</v>
      </c>
    </row>
    <row r="460" spans="1:21" ht="30" customHeight="1" x14ac:dyDescent="0.25">
      <c r="A460" s="33" t="s">
        <v>632</v>
      </c>
      <c r="B460" s="28">
        <v>33050</v>
      </c>
      <c r="C460" s="55" t="s">
        <v>1116</v>
      </c>
      <c r="D460" s="28" t="s">
        <v>981</v>
      </c>
      <c r="E460" s="47" t="s">
        <v>388</v>
      </c>
      <c r="F460" s="28" t="s">
        <v>1503</v>
      </c>
      <c r="G460" s="39">
        <v>37</v>
      </c>
      <c r="H460" s="28">
        <v>306</v>
      </c>
      <c r="I460" s="28" t="s">
        <v>1156</v>
      </c>
      <c r="J460" s="28" t="s">
        <v>1504</v>
      </c>
      <c r="K460" s="56" t="s">
        <v>12</v>
      </c>
      <c r="L460" s="28" t="s">
        <v>256</v>
      </c>
      <c r="M460" s="28" t="s">
        <v>392</v>
      </c>
      <c r="N460" s="28" t="s">
        <v>330</v>
      </c>
      <c r="O460" s="29" t="s">
        <v>2</v>
      </c>
      <c r="P460" s="28">
        <v>4</v>
      </c>
      <c r="Q460" s="28" t="s">
        <v>1568</v>
      </c>
      <c r="R460" s="28" t="s">
        <v>1506</v>
      </c>
      <c r="S460" s="34" t="str">
        <f>IFERROR(HYPERLINK("#Main!A"&amp;MATCH(A460,Main!A:A,0),"Open"),HYPERLINK("#Main!A1","Open"))</f>
        <v>Open</v>
      </c>
      <c r="T460" s="34" t="str">
        <f>IFERROR(HYPERLINK("#Technical!A"&amp;MATCH(A460,Technical!A:A,0),"Open"),HYPERLINK("#Technical!A1","Open"))</f>
        <v>Open</v>
      </c>
      <c r="U460" s="34"/>
    </row>
    <row r="461" spans="1:21" ht="30" customHeight="1" x14ac:dyDescent="0.25">
      <c r="A461" s="30" t="s">
        <v>635</v>
      </c>
      <c r="B461" s="37">
        <v>86</v>
      </c>
      <c r="C461" s="55" t="s">
        <v>1118</v>
      </c>
      <c r="D461" s="37" t="s">
        <v>981</v>
      </c>
      <c r="E461" s="47" t="s">
        <v>388</v>
      </c>
      <c r="F461" s="37" t="s">
        <v>1503</v>
      </c>
      <c r="G461" s="42">
        <v>37</v>
      </c>
      <c r="H461" s="37">
        <v>370</v>
      </c>
      <c r="I461" s="37" t="s">
        <v>1156</v>
      </c>
      <c r="J461" s="37" t="s">
        <v>1504</v>
      </c>
      <c r="K461" s="57" t="s">
        <v>12</v>
      </c>
      <c r="L461" s="37" t="s">
        <v>256</v>
      </c>
      <c r="M461" s="37" t="s">
        <v>392</v>
      </c>
      <c r="N461" s="37" t="s">
        <v>330</v>
      </c>
      <c r="O461" s="29" t="s">
        <v>2</v>
      </c>
      <c r="P461" s="37">
        <v>4</v>
      </c>
      <c r="Q461" s="37" t="s">
        <v>1569</v>
      </c>
      <c r="R461" s="37" t="s">
        <v>1506</v>
      </c>
      <c r="S461" t="str">
        <f>IFERROR(HYPERLINK("#Main!A"&amp;MATCH(A461,Main!A:A,0),"Open"),HYPERLINK("#Main!A1","Open"))</f>
        <v>Open</v>
      </c>
      <c r="T461" t="str">
        <f>IFERROR(HYPERLINK("#Technical!A"&amp;MATCH(A461,Technical!A:A,0),"Open"),HYPERLINK("#Technical!A1","Open"))</f>
        <v>Open</v>
      </c>
    </row>
    <row r="462" spans="1:21" ht="30" customHeight="1" x14ac:dyDescent="0.25">
      <c r="A462" s="33" t="s">
        <v>641</v>
      </c>
      <c r="B462" s="28">
        <v>3</v>
      </c>
      <c r="C462" s="55" t="s">
        <v>1122</v>
      </c>
      <c r="D462" s="28" t="s">
        <v>981</v>
      </c>
      <c r="E462" s="47" t="s">
        <v>388</v>
      </c>
      <c r="F462" s="28" t="s">
        <v>1503</v>
      </c>
      <c r="G462" s="39">
        <v>37</v>
      </c>
      <c r="H462" s="28">
        <v>379</v>
      </c>
      <c r="I462" s="28" t="s">
        <v>1156</v>
      </c>
      <c r="J462" s="28" t="s">
        <v>1504</v>
      </c>
      <c r="K462" s="56" t="s">
        <v>12</v>
      </c>
      <c r="L462" s="28" t="s">
        <v>256</v>
      </c>
      <c r="M462" s="28" t="s">
        <v>392</v>
      </c>
      <c r="N462" s="28" t="s">
        <v>330</v>
      </c>
      <c r="O462" s="29" t="s">
        <v>2</v>
      </c>
      <c r="P462" s="28">
        <v>4</v>
      </c>
      <c r="Q462" s="28" t="s">
        <v>1570</v>
      </c>
      <c r="R462" s="28" t="s">
        <v>1506</v>
      </c>
      <c r="S462" s="34" t="str">
        <f>IFERROR(HYPERLINK("#Main!A"&amp;MATCH(A462,Main!A:A,0),"Open"),HYPERLINK("#Main!A1","Open"))</f>
        <v>Open</v>
      </c>
      <c r="T462" s="34" t="str">
        <f>IFERROR(HYPERLINK("#Technical!A"&amp;MATCH(A462,Technical!A:A,0),"Open"),HYPERLINK("#Technical!A1","Open"))</f>
        <v>Open</v>
      </c>
      <c r="U462" s="34"/>
    </row>
    <row r="463" spans="1:21" ht="30" customHeight="1" x14ac:dyDescent="0.25">
      <c r="A463" s="30" t="s">
        <v>644</v>
      </c>
      <c r="B463" s="37">
        <v>9047</v>
      </c>
      <c r="C463" s="55" t="s">
        <v>1124</v>
      </c>
      <c r="D463" s="37" t="s">
        <v>981</v>
      </c>
      <c r="E463" s="47" t="s">
        <v>388</v>
      </c>
      <c r="F463" s="37" t="s">
        <v>1503</v>
      </c>
      <c r="G463" s="42">
        <v>37</v>
      </c>
      <c r="H463" s="37">
        <v>263</v>
      </c>
      <c r="I463" s="37" t="s">
        <v>1156</v>
      </c>
      <c r="J463" s="37" t="s">
        <v>1504</v>
      </c>
      <c r="K463" s="57" t="s">
        <v>12</v>
      </c>
      <c r="L463" s="37" t="s">
        <v>256</v>
      </c>
      <c r="M463" s="37" t="s">
        <v>392</v>
      </c>
      <c r="N463" s="37" t="s">
        <v>330</v>
      </c>
      <c r="O463" s="29" t="s">
        <v>2</v>
      </c>
      <c r="P463" s="37">
        <v>4</v>
      </c>
      <c r="Q463" s="37" t="s">
        <v>1571</v>
      </c>
      <c r="R463" s="37" t="s">
        <v>1506</v>
      </c>
      <c r="S463" t="str">
        <f>IFERROR(HYPERLINK("#Main!A"&amp;MATCH(A463,Main!A:A,0),"Open"),HYPERLINK("#Main!A1","Open"))</f>
        <v>Open</v>
      </c>
      <c r="T463" t="str">
        <f>IFERROR(HYPERLINK("#Technical!A"&amp;MATCH(A463,Technical!A:A,0),"Open"),HYPERLINK("#Technical!A1","Open"))</f>
        <v>Open</v>
      </c>
    </row>
    <row r="464" spans="1:21" ht="30" customHeight="1" x14ac:dyDescent="0.25">
      <c r="A464" s="33" t="s">
        <v>650</v>
      </c>
      <c r="B464" s="28">
        <v>3252</v>
      </c>
      <c r="C464" s="55" t="s">
        <v>1128</v>
      </c>
      <c r="D464" s="28" t="s">
        <v>981</v>
      </c>
      <c r="E464" s="47" t="s">
        <v>388</v>
      </c>
      <c r="F464" s="28" t="s">
        <v>1503</v>
      </c>
      <c r="G464" s="39">
        <v>37</v>
      </c>
      <c r="H464" s="28">
        <v>417</v>
      </c>
      <c r="I464" s="28" t="s">
        <v>1156</v>
      </c>
      <c r="J464" s="28" t="s">
        <v>1504</v>
      </c>
      <c r="K464" s="56" t="s">
        <v>12</v>
      </c>
      <c r="L464" s="28" t="s">
        <v>256</v>
      </c>
      <c r="M464" s="28" t="s">
        <v>392</v>
      </c>
      <c r="N464" s="28" t="s">
        <v>330</v>
      </c>
      <c r="O464" s="29" t="s">
        <v>2</v>
      </c>
      <c r="P464" s="28">
        <v>4</v>
      </c>
      <c r="Q464" s="28" t="s">
        <v>1572</v>
      </c>
      <c r="R464" s="28" t="s">
        <v>1506</v>
      </c>
      <c r="S464" s="34" t="str">
        <f>IFERROR(HYPERLINK("#Main!A"&amp;MATCH(A464,Main!A:A,0),"Open"),HYPERLINK("#Main!A1","Open"))</f>
        <v>Open</v>
      </c>
      <c r="T464" s="34" t="str">
        <f>IFERROR(HYPERLINK("#Technical!A"&amp;MATCH(A464,Technical!A:A,0),"Open"),HYPERLINK("#Technical!A1","Open"))</f>
        <v>Open</v>
      </c>
      <c r="U464" s="34"/>
    </row>
    <row r="465" spans="1:21" ht="30" customHeight="1" x14ac:dyDescent="0.25">
      <c r="A465" s="30" t="s">
        <v>655</v>
      </c>
      <c r="B465" s="37">
        <v>3634</v>
      </c>
      <c r="C465" s="55" t="s">
        <v>1132</v>
      </c>
      <c r="D465" s="37" t="s">
        <v>981</v>
      </c>
      <c r="E465" s="47" t="s">
        <v>388</v>
      </c>
      <c r="F465" s="37" t="s">
        <v>1503</v>
      </c>
      <c r="G465" s="42">
        <v>37</v>
      </c>
      <c r="H465" s="37">
        <v>392</v>
      </c>
      <c r="I465" s="37" t="s">
        <v>1156</v>
      </c>
      <c r="J465" s="37" t="s">
        <v>1504</v>
      </c>
      <c r="K465" s="57" t="s">
        <v>12</v>
      </c>
      <c r="L465" s="37" t="s">
        <v>256</v>
      </c>
      <c r="M465" s="37" t="s">
        <v>392</v>
      </c>
      <c r="N465" s="37" t="s">
        <v>330</v>
      </c>
      <c r="O465" s="29" t="s">
        <v>2</v>
      </c>
      <c r="P465" s="37">
        <v>4</v>
      </c>
      <c r="Q465" s="37" t="s">
        <v>1573</v>
      </c>
      <c r="R465" s="37" t="s">
        <v>1506</v>
      </c>
      <c r="S465" t="str">
        <f>IFERROR(HYPERLINK("#Main!A"&amp;MATCH(A465,Main!A:A,0),"Open"),HYPERLINK("#Main!A1","Open"))</f>
        <v>Open</v>
      </c>
      <c r="T465" t="str">
        <f>IFERROR(HYPERLINK("#Technical!A"&amp;MATCH(A465,Technical!A:A,0),"Open"),HYPERLINK("#Technical!A1","Open"))</f>
        <v>Open</v>
      </c>
    </row>
    <row r="466" spans="1:21" ht="30" customHeight="1" x14ac:dyDescent="0.25">
      <c r="A466" s="33" t="s">
        <v>658</v>
      </c>
      <c r="B466" s="28">
        <v>7781</v>
      </c>
      <c r="C466" s="55" t="s">
        <v>1134</v>
      </c>
      <c r="D466" s="28" t="s">
        <v>981</v>
      </c>
      <c r="E466" s="47" t="s">
        <v>388</v>
      </c>
      <c r="F466" s="28" t="s">
        <v>1503</v>
      </c>
      <c r="G466" s="39">
        <v>37</v>
      </c>
      <c r="H466" s="28">
        <v>1176</v>
      </c>
      <c r="I466" s="28" t="s">
        <v>1156</v>
      </c>
      <c r="J466" s="28" t="s">
        <v>1504</v>
      </c>
      <c r="K466" s="56" t="s">
        <v>12</v>
      </c>
      <c r="L466" s="28" t="s">
        <v>256</v>
      </c>
      <c r="M466" s="28" t="s">
        <v>392</v>
      </c>
      <c r="N466" s="28" t="s">
        <v>330</v>
      </c>
      <c r="O466" s="29" t="s">
        <v>2</v>
      </c>
      <c r="P466" s="28">
        <v>4</v>
      </c>
      <c r="Q466" s="28" t="s">
        <v>1574</v>
      </c>
      <c r="R466" s="28" t="s">
        <v>1506</v>
      </c>
      <c r="S466" s="34" t="str">
        <f>IFERROR(HYPERLINK("#Main!A"&amp;MATCH(A466,Main!A:A,0),"Open"),HYPERLINK("#Main!A1","Open"))</f>
        <v>Open</v>
      </c>
      <c r="T466" s="34" t="str">
        <f>IFERROR(HYPERLINK("#Technical!A"&amp;MATCH(A466,Technical!A:A,0),"Open"),HYPERLINK("#Technical!A1","Open"))</f>
        <v>Open</v>
      </c>
      <c r="U466" s="34"/>
    </row>
    <row r="467" spans="1:21" ht="30" customHeight="1" x14ac:dyDescent="0.25">
      <c r="A467" s="30" t="s">
        <v>661</v>
      </c>
      <c r="B467" s="37">
        <v>5490</v>
      </c>
      <c r="C467" s="55" t="s">
        <v>1136</v>
      </c>
      <c r="D467" s="37" t="s">
        <v>981</v>
      </c>
      <c r="E467" s="47" t="s">
        <v>388</v>
      </c>
      <c r="F467" s="37" t="s">
        <v>1503</v>
      </c>
      <c r="G467" s="42">
        <v>37</v>
      </c>
      <c r="H467" s="37">
        <v>371</v>
      </c>
      <c r="I467" s="37" t="s">
        <v>1156</v>
      </c>
      <c r="J467" s="37" t="s">
        <v>1504</v>
      </c>
      <c r="K467" s="57" t="s">
        <v>12</v>
      </c>
      <c r="L467" s="37" t="s">
        <v>256</v>
      </c>
      <c r="M467" s="37" t="s">
        <v>392</v>
      </c>
      <c r="N467" s="37" t="s">
        <v>330</v>
      </c>
      <c r="O467" s="29" t="s">
        <v>2</v>
      </c>
      <c r="P467" s="37">
        <v>4</v>
      </c>
      <c r="Q467" s="37" t="s">
        <v>1575</v>
      </c>
      <c r="R467" s="37" t="s">
        <v>1506</v>
      </c>
      <c r="S467" t="str">
        <f>IFERROR(HYPERLINK("#Main!A"&amp;MATCH(A467,Main!A:A,0),"Open"),HYPERLINK("#Main!A1","Open"))</f>
        <v>Open</v>
      </c>
      <c r="T467" t="str">
        <f>IFERROR(HYPERLINK("#Technical!A"&amp;MATCH(A467,Technical!A:A,0),"Open"),HYPERLINK("#Technical!A1","Open"))</f>
        <v>Open</v>
      </c>
    </row>
    <row r="468" spans="1:21" ht="30" customHeight="1" x14ac:dyDescent="0.25">
      <c r="A468" s="33" t="s">
        <v>664</v>
      </c>
      <c r="B468" s="28">
        <v>27352</v>
      </c>
      <c r="C468" s="55" t="s">
        <v>1138</v>
      </c>
      <c r="D468" s="28" t="s">
        <v>981</v>
      </c>
      <c r="E468" s="47" t="s">
        <v>388</v>
      </c>
      <c r="F468" s="28" t="s">
        <v>1503</v>
      </c>
      <c r="G468" s="39">
        <v>37</v>
      </c>
      <c r="H468" s="28">
        <v>306</v>
      </c>
      <c r="I468" s="28" t="s">
        <v>1156</v>
      </c>
      <c r="J468" s="28" t="s">
        <v>1504</v>
      </c>
      <c r="K468" s="56" t="s">
        <v>12</v>
      </c>
      <c r="L468" s="28" t="s">
        <v>256</v>
      </c>
      <c r="M468" s="28" t="s">
        <v>392</v>
      </c>
      <c r="N468" s="28" t="s">
        <v>330</v>
      </c>
      <c r="O468" s="29" t="s">
        <v>2</v>
      </c>
      <c r="P468" s="28">
        <v>4</v>
      </c>
      <c r="Q468" s="28" t="s">
        <v>1576</v>
      </c>
      <c r="R468" s="28" t="s">
        <v>1506</v>
      </c>
      <c r="S468" s="34" t="str">
        <f>IFERROR(HYPERLINK("#Main!A"&amp;MATCH(A468,Main!A:A,0),"Open"),HYPERLINK("#Main!A1","Open"))</f>
        <v>Open</v>
      </c>
      <c r="T468" s="34" t="str">
        <f>IFERROR(HYPERLINK("#Technical!A"&amp;MATCH(A468,Technical!A:A,0),"Open"),HYPERLINK("#Technical!A1","Open"))</f>
        <v>Open</v>
      </c>
      <c r="U468" s="34"/>
    </row>
    <row r="469" spans="1:21" ht="30" customHeight="1" x14ac:dyDescent="0.25">
      <c r="A469" s="30" t="s">
        <v>667</v>
      </c>
      <c r="B469" s="37">
        <v>17195</v>
      </c>
      <c r="C469" s="55" t="s">
        <v>1140</v>
      </c>
      <c r="D469" s="37" t="s">
        <v>981</v>
      </c>
      <c r="E469" s="47" t="s">
        <v>388</v>
      </c>
      <c r="F469" s="37" t="s">
        <v>1503</v>
      </c>
      <c r="G469" s="42">
        <v>37</v>
      </c>
      <c r="H469" s="37">
        <v>192</v>
      </c>
      <c r="I469" s="37" t="s">
        <v>1156</v>
      </c>
      <c r="J469" s="37" t="s">
        <v>1504</v>
      </c>
      <c r="K469" s="57" t="s">
        <v>12</v>
      </c>
      <c r="L469" s="37" t="s">
        <v>256</v>
      </c>
      <c r="M469" s="37" t="s">
        <v>392</v>
      </c>
      <c r="N469" s="37" t="s">
        <v>330</v>
      </c>
      <c r="O469" s="29" t="s">
        <v>2</v>
      </c>
      <c r="P469" s="37">
        <v>4</v>
      </c>
      <c r="Q469" s="37" t="s">
        <v>1577</v>
      </c>
      <c r="R469" s="37" t="s">
        <v>1506</v>
      </c>
      <c r="S469" t="str">
        <f>IFERROR(HYPERLINK("#Main!A"&amp;MATCH(A469,Main!A:A,0),"Open"),HYPERLINK("#Main!A1","Open"))</f>
        <v>Open</v>
      </c>
      <c r="T469" t="str">
        <f>IFERROR(HYPERLINK("#Technical!A"&amp;MATCH(A469,Technical!A:A,0),"Open"),HYPERLINK("#Technical!A1","Open"))</f>
        <v>Open</v>
      </c>
    </row>
    <row r="470" spans="1:21" ht="30" customHeight="1" x14ac:dyDescent="0.25">
      <c r="A470" s="33" t="s">
        <v>670</v>
      </c>
      <c r="B470" s="28">
        <v>21591</v>
      </c>
      <c r="C470" s="55" t="s">
        <v>1142</v>
      </c>
      <c r="D470" s="28" t="s">
        <v>981</v>
      </c>
      <c r="E470" s="47" t="s">
        <v>388</v>
      </c>
      <c r="F470" s="28" t="s">
        <v>1517</v>
      </c>
      <c r="G470" s="39">
        <v>37</v>
      </c>
      <c r="H470" s="28">
        <v>106</v>
      </c>
      <c r="I470" s="28" t="s">
        <v>1156</v>
      </c>
      <c r="J470" s="28" t="s">
        <v>1518</v>
      </c>
      <c r="K470" s="56" t="s">
        <v>12</v>
      </c>
      <c r="L470" s="28" t="s">
        <v>256</v>
      </c>
      <c r="M470" s="28" t="s">
        <v>392</v>
      </c>
      <c r="N470" s="28" t="s">
        <v>330</v>
      </c>
      <c r="O470" s="29" t="s">
        <v>2</v>
      </c>
      <c r="P470" s="28">
        <v>4</v>
      </c>
      <c r="Q470" s="28" t="s">
        <v>1578</v>
      </c>
      <c r="R470" s="28" t="s">
        <v>1520</v>
      </c>
      <c r="S470" s="34" t="str">
        <f>IFERROR(HYPERLINK("#Main!A"&amp;MATCH(A470,Main!A:A,0),"Open"),HYPERLINK("#Main!A1","Open"))</f>
        <v>Open</v>
      </c>
      <c r="T470" s="34" t="str">
        <f>IFERROR(HYPERLINK("#Technical!A"&amp;MATCH(A470,Technical!A:A,0),"Open"),HYPERLINK("#Technical!A1","Open"))</f>
        <v>Open</v>
      </c>
      <c r="U470" s="34"/>
    </row>
    <row r="471" spans="1:21" ht="30" customHeight="1" x14ac:dyDescent="0.25">
      <c r="A471" s="30" t="s">
        <v>673</v>
      </c>
      <c r="B471" s="37">
        <v>7916</v>
      </c>
      <c r="C471" s="55" t="s">
        <v>1144</v>
      </c>
      <c r="D471" s="37" t="s">
        <v>981</v>
      </c>
      <c r="E471" s="47" t="s">
        <v>388</v>
      </c>
      <c r="F471" s="37" t="s">
        <v>1503</v>
      </c>
      <c r="G471" s="42">
        <v>37</v>
      </c>
      <c r="H471" s="37">
        <v>345</v>
      </c>
      <c r="I471" s="37" t="s">
        <v>1156</v>
      </c>
      <c r="J471" s="37" t="s">
        <v>1504</v>
      </c>
      <c r="K471" s="57" t="s">
        <v>12</v>
      </c>
      <c r="L471" s="37" t="s">
        <v>256</v>
      </c>
      <c r="M471" s="37" t="s">
        <v>392</v>
      </c>
      <c r="N471" s="37" t="s">
        <v>330</v>
      </c>
      <c r="O471" s="29" t="s">
        <v>2</v>
      </c>
      <c r="P471" s="37">
        <v>4</v>
      </c>
      <c r="Q471" s="37" t="s">
        <v>1579</v>
      </c>
      <c r="R471" s="37" t="s">
        <v>1506</v>
      </c>
      <c r="S471" t="str">
        <f>IFERROR(HYPERLINK("#Main!A"&amp;MATCH(A471,Main!A:A,0),"Open"),HYPERLINK("#Main!A1","Open"))</f>
        <v>Open</v>
      </c>
      <c r="T471" t="str">
        <f>IFERROR(HYPERLINK("#Technical!A"&amp;MATCH(A471,Technical!A:A,0),"Open"),HYPERLINK("#Technical!A1","Open"))</f>
        <v>Open</v>
      </c>
    </row>
    <row r="472" spans="1:21" ht="30" customHeight="1" x14ac:dyDescent="0.25">
      <c r="A472" s="33" t="s">
        <v>677</v>
      </c>
      <c r="B472" s="28">
        <v>17000</v>
      </c>
      <c r="C472" s="55" t="s">
        <v>1146</v>
      </c>
      <c r="D472" s="28" t="s">
        <v>981</v>
      </c>
      <c r="E472" s="47" t="s">
        <v>388</v>
      </c>
      <c r="F472" s="28" t="s">
        <v>1517</v>
      </c>
      <c r="G472" s="39">
        <v>37</v>
      </c>
      <c r="H472" s="28">
        <v>56</v>
      </c>
      <c r="I472" s="28" t="s">
        <v>1156</v>
      </c>
      <c r="J472" s="28" t="s">
        <v>1518</v>
      </c>
      <c r="K472" s="56" t="s">
        <v>12</v>
      </c>
      <c r="L472" s="28" t="s">
        <v>256</v>
      </c>
      <c r="M472" s="28" t="s">
        <v>392</v>
      </c>
      <c r="N472" s="28" t="s">
        <v>330</v>
      </c>
      <c r="O472" s="29" t="s">
        <v>2</v>
      </c>
      <c r="P472" s="28">
        <v>4</v>
      </c>
      <c r="Q472" s="28" t="s">
        <v>1580</v>
      </c>
      <c r="R472" s="28" t="s">
        <v>1520</v>
      </c>
      <c r="S472" s="34" t="str">
        <f>IFERROR(HYPERLINK("#Main!A"&amp;MATCH(A472,Main!A:A,0),"Open"),HYPERLINK("#Main!A1","Open"))</f>
        <v>Open</v>
      </c>
      <c r="T472" s="34" t="str">
        <f>IFERROR(HYPERLINK("#Technical!A"&amp;MATCH(A472,Technical!A:A,0),"Open"),HYPERLINK("#Technical!A1","Open"))</f>
        <v>Open</v>
      </c>
      <c r="U472" s="34"/>
    </row>
    <row r="473" spans="1:21" ht="30" customHeight="1" x14ac:dyDescent="0.25">
      <c r="A473" s="30" t="s">
        <v>680</v>
      </c>
      <c r="B473" s="37">
        <v>17196</v>
      </c>
      <c r="C473" s="55" t="s">
        <v>1148</v>
      </c>
      <c r="D473" s="37" t="s">
        <v>981</v>
      </c>
      <c r="E473" s="47" t="s">
        <v>388</v>
      </c>
      <c r="F473" s="37" t="s">
        <v>1517</v>
      </c>
      <c r="G473" s="42">
        <v>37</v>
      </c>
      <c r="H473" s="37">
        <v>56</v>
      </c>
      <c r="I473" s="37" t="s">
        <v>1156</v>
      </c>
      <c r="J473" s="37" t="s">
        <v>1518</v>
      </c>
      <c r="K473" s="57" t="s">
        <v>12</v>
      </c>
      <c r="L473" s="37" t="s">
        <v>256</v>
      </c>
      <c r="M473" s="37" t="s">
        <v>392</v>
      </c>
      <c r="N473" s="37" t="s">
        <v>330</v>
      </c>
      <c r="O473" s="29" t="s">
        <v>2</v>
      </c>
      <c r="P473" s="37">
        <v>4</v>
      </c>
      <c r="Q473" s="37" t="s">
        <v>1581</v>
      </c>
      <c r="R473" s="37" t="s">
        <v>1520</v>
      </c>
      <c r="S473" t="str">
        <f>IFERROR(HYPERLINK("#Main!A"&amp;MATCH(A473,Main!A:A,0),"Open"),HYPERLINK("#Main!A1","Open"))</f>
        <v>Open</v>
      </c>
      <c r="T473" t="str">
        <f>IFERROR(HYPERLINK("#Technical!A"&amp;MATCH(A473,Technical!A:A,0),"Open"),HYPERLINK("#Technical!A1","Open"))</f>
        <v>Open</v>
      </c>
    </row>
    <row r="474" spans="1:21" ht="30" customHeight="1" x14ac:dyDescent="0.25">
      <c r="A474" s="33" t="s">
        <v>683</v>
      </c>
      <c r="B474" s="28">
        <v>4909</v>
      </c>
      <c r="C474" s="55" t="s">
        <v>1150</v>
      </c>
      <c r="D474" s="28" t="s">
        <v>981</v>
      </c>
      <c r="E474" s="47" t="s">
        <v>388</v>
      </c>
      <c r="F474" s="28" t="s">
        <v>1503</v>
      </c>
      <c r="G474" s="39">
        <v>37</v>
      </c>
      <c r="H474" s="28">
        <v>352</v>
      </c>
      <c r="I474" s="28" t="s">
        <v>1156</v>
      </c>
      <c r="J474" s="28" t="s">
        <v>1504</v>
      </c>
      <c r="K474" s="56" t="s">
        <v>12</v>
      </c>
      <c r="L474" s="28" t="s">
        <v>256</v>
      </c>
      <c r="M474" s="28" t="s">
        <v>392</v>
      </c>
      <c r="N474" s="28" t="s">
        <v>330</v>
      </c>
      <c r="O474" s="29" t="s">
        <v>2</v>
      </c>
      <c r="P474" s="28">
        <v>4</v>
      </c>
      <c r="Q474" s="28" t="s">
        <v>1582</v>
      </c>
      <c r="R474" s="28" t="s">
        <v>1506</v>
      </c>
      <c r="S474" s="34" t="str">
        <f>IFERROR(HYPERLINK("#Main!A"&amp;MATCH(A474,Main!A:A,0),"Open"),HYPERLINK("#Main!A1","Open"))</f>
        <v>Open</v>
      </c>
      <c r="T474" s="34" t="str">
        <f>IFERROR(HYPERLINK("#Technical!A"&amp;MATCH(A474,Technical!A:A,0),"Open"),HYPERLINK("#Technical!A1","Open"))</f>
        <v>Open</v>
      </c>
      <c r="U474" s="34"/>
    </row>
    <row r="475" spans="1:21" ht="30" customHeight="1" x14ac:dyDescent="0.25">
      <c r="A475" s="30" t="s">
        <v>686</v>
      </c>
      <c r="B475" s="37">
        <v>5290</v>
      </c>
      <c r="C475" s="55" t="s">
        <v>1152</v>
      </c>
      <c r="D475" s="37" t="s">
        <v>981</v>
      </c>
      <c r="E475" s="47" t="s">
        <v>388</v>
      </c>
      <c r="F475" s="37" t="s">
        <v>1503</v>
      </c>
      <c r="G475" s="42">
        <v>37</v>
      </c>
      <c r="H475" s="37">
        <v>347</v>
      </c>
      <c r="I475" s="37" t="s">
        <v>1156</v>
      </c>
      <c r="J475" s="37" t="s">
        <v>1504</v>
      </c>
      <c r="K475" s="57" t="s">
        <v>12</v>
      </c>
      <c r="L475" s="37" t="s">
        <v>256</v>
      </c>
      <c r="M475" s="37" t="s">
        <v>392</v>
      </c>
      <c r="N475" s="37" t="s">
        <v>330</v>
      </c>
      <c r="O475" s="29" t="s">
        <v>2</v>
      </c>
      <c r="P475" s="37">
        <v>4</v>
      </c>
      <c r="Q475" s="37" t="s">
        <v>1583</v>
      </c>
      <c r="R475" s="37" t="s">
        <v>1506</v>
      </c>
      <c r="S475" t="str">
        <f>IFERROR(HYPERLINK("#Main!A"&amp;MATCH(A475,Main!A:A,0),"Open"),HYPERLINK("#Main!A1","Open"))</f>
        <v>Open</v>
      </c>
      <c r="T475" t="str">
        <f>IFERROR(HYPERLINK("#Technical!A"&amp;MATCH(A475,Technical!A:A,0),"Open"),HYPERLINK("#Technical!A1","Open"))</f>
        <v>Open</v>
      </c>
    </row>
    <row r="476" spans="1:21" ht="30" customHeight="1" x14ac:dyDescent="0.25">
      <c r="A476" s="33" t="s">
        <v>127</v>
      </c>
      <c r="B476" s="28">
        <v>8</v>
      </c>
      <c r="C476" s="55" t="s">
        <v>988</v>
      </c>
      <c r="D476" s="28" t="s">
        <v>18</v>
      </c>
      <c r="E476" s="47" t="s">
        <v>388</v>
      </c>
      <c r="F476" s="28" t="s">
        <v>1584</v>
      </c>
      <c r="G476" s="39">
        <v>37</v>
      </c>
      <c r="H476" s="28">
        <v>0</v>
      </c>
      <c r="I476" s="28" t="s">
        <v>1585</v>
      </c>
      <c r="J476" s="28" t="s">
        <v>1586</v>
      </c>
      <c r="K476" s="56" t="s">
        <v>20</v>
      </c>
      <c r="L476" s="28" t="s">
        <v>889</v>
      </c>
      <c r="M476" s="28" t="s">
        <v>392</v>
      </c>
      <c r="N476" s="28" t="s">
        <v>330</v>
      </c>
      <c r="O476" s="29" t="s">
        <v>2</v>
      </c>
      <c r="P476" s="28">
        <v>4</v>
      </c>
      <c r="Q476" s="28" t="s">
        <v>1587</v>
      </c>
      <c r="R476" s="28" t="s">
        <v>1588</v>
      </c>
      <c r="S476" s="34" t="str">
        <f>IFERROR(HYPERLINK("#Main!A"&amp;MATCH(A476,Main!A:A,0),"Open"),HYPERLINK("#Main!A1","Open"))</f>
        <v>Open</v>
      </c>
      <c r="T476" s="34" t="str">
        <f>IFERROR(HYPERLINK("#Technical!A"&amp;MATCH(A476,Technical!A:A,0),"Open"),HYPERLINK("#Technical!A1","Open"))</f>
        <v>Open</v>
      </c>
      <c r="U476" s="34"/>
    </row>
    <row r="477" spans="1:21" ht="30" customHeight="1" x14ac:dyDescent="0.25">
      <c r="A477" s="30" t="s">
        <v>135</v>
      </c>
      <c r="B477" s="37">
        <v>84</v>
      </c>
      <c r="C477" s="55" t="s">
        <v>992</v>
      </c>
      <c r="D477" s="37" t="s">
        <v>18</v>
      </c>
      <c r="E477" s="47" t="s">
        <v>388</v>
      </c>
      <c r="F477" s="37" t="s">
        <v>1584</v>
      </c>
      <c r="G477" s="42">
        <v>37</v>
      </c>
      <c r="H477" s="37">
        <v>0</v>
      </c>
      <c r="I477" s="37" t="s">
        <v>1585</v>
      </c>
      <c r="J477" s="37" t="s">
        <v>1586</v>
      </c>
      <c r="K477" s="57" t="s">
        <v>20</v>
      </c>
      <c r="L477" s="37" t="s">
        <v>889</v>
      </c>
      <c r="M477" s="37" t="s">
        <v>392</v>
      </c>
      <c r="N477" s="37" t="s">
        <v>330</v>
      </c>
      <c r="O477" s="29" t="s">
        <v>2</v>
      </c>
      <c r="P477" s="37">
        <v>4</v>
      </c>
      <c r="Q477" s="37" t="s">
        <v>1589</v>
      </c>
      <c r="R477" s="37" t="s">
        <v>1588</v>
      </c>
      <c r="S477" t="str">
        <f>IFERROR(HYPERLINK("#Main!A"&amp;MATCH(A477,Main!A:A,0),"Open"),HYPERLINK("#Main!A1","Open"))</f>
        <v>Open</v>
      </c>
      <c r="T477" t="str">
        <f>IFERROR(HYPERLINK("#Technical!A"&amp;MATCH(A477,Technical!A:A,0),"Open"),HYPERLINK("#Technical!A1","Open"))</f>
        <v>Open</v>
      </c>
    </row>
    <row r="478" spans="1:21" ht="30" customHeight="1" x14ac:dyDescent="0.25">
      <c r="A478" s="33" t="s">
        <v>144</v>
      </c>
      <c r="B478" s="28">
        <v>28165</v>
      </c>
      <c r="C478" s="55" t="s">
        <v>994</v>
      </c>
      <c r="D478" s="28" t="s">
        <v>18</v>
      </c>
      <c r="E478" s="47" t="s">
        <v>388</v>
      </c>
      <c r="F478" s="28" t="s">
        <v>1584</v>
      </c>
      <c r="G478" s="39">
        <v>37</v>
      </c>
      <c r="H478" s="28">
        <v>0</v>
      </c>
      <c r="I478" s="28" t="s">
        <v>1585</v>
      </c>
      <c r="J478" s="28" t="s">
        <v>1586</v>
      </c>
      <c r="K478" s="56" t="s">
        <v>20</v>
      </c>
      <c r="L478" s="28" t="s">
        <v>889</v>
      </c>
      <c r="M478" s="28" t="s">
        <v>392</v>
      </c>
      <c r="N478" s="28" t="s">
        <v>330</v>
      </c>
      <c r="O478" s="29" t="s">
        <v>2</v>
      </c>
      <c r="P478" s="28">
        <v>4</v>
      </c>
      <c r="Q478" s="28" t="s">
        <v>1590</v>
      </c>
      <c r="R478" s="28" t="s">
        <v>1588</v>
      </c>
      <c r="S478" s="34" t="str">
        <f>IFERROR(HYPERLINK("#Main!A"&amp;MATCH(A478,Main!A:A,0),"Open"),HYPERLINK("#Main!A1","Open"))</f>
        <v>Open</v>
      </c>
      <c r="T478" s="34" t="str">
        <f>IFERROR(HYPERLINK("#Technical!A"&amp;MATCH(A478,Technical!A:A,0),"Open"),HYPERLINK("#Technical!A1","Open"))</f>
        <v>Open</v>
      </c>
      <c r="U478" s="34"/>
    </row>
    <row r="479" spans="1:21" ht="30" customHeight="1" x14ac:dyDescent="0.25">
      <c r="A479" s="30" t="s">
        <v>152</v>
      </c>
      <c r="B479" s="37">
        <v>16125</v>
      </c>
      <c r="C479" s="55" t="s">
        <v>996</v>
      </c>
      <c r="D479" s="37" t="s">
        <v>18</v>
      </c>
      <c r="E479" s="47" t="s">
        <v>388</v>
      </c>
      <c r="F479" s="37" t="s">
        <v>1584</v>
      </c>
      <c r="G479" s="42">
        <v>37</v>
      </c>
      <c r="H479" s="37">
        <v>0</v>
      </c>
      <c r="I479" s="37" t="s">
        <v>1585</v>
      </c>
      <c r="J479" s="37" t="s">
        <v>1586</v>
      </c>
      <c r="K479" s="57" t="s">
        <v>20</v>
      </c>
      <c r="L479" s="37" t="s">
        <v>889</v>
      </c>
      <c r="M479" s="37" t="s">
        <v>392</v>
      </c>
      <c r="N479" s="37" t="s">
        <v>330</v>
      </c>
      <c r="O479" s="29" t="s">
        <v>2</v>
      </c>
      <c r="P479" s="37">
        <v>4</v>
      </c>
      <c r="Q479" s="37" t="s">
        <v>1591</v>
      </c>
      <c r="R479" s="37" t="s">
        <v>1588</v>
      </c>
      <c r="S479" t="str">
        <f>IFERROR(HYPERLINK("#Main!A"&amp;MATCH(A479,Main!A:A,0),"Open"),HYPERLINK("#Main!A1","Open"))</f>
        <v>Open</v>
      </c>
      <c r="T479" t="str">
        <f>IFERROR(HYPERLINK("#Technical!A"&amp;MATCH(A479,Technical!A:A,0),"Open"),HYPERLINK("#Technical!A1","Open"))</f>
        <v>Open</v>
      </c>
    </row>
    <row r="480" spans="1:21" ht="30" customHeight="1" x14ac:dyDescent="0.25">
      <c r="A480" s="33" t="s">
        <v>161</v>
      </c>
      <c r="B480" s="28">
        <v>4494</v>
      </c>
      <c r="C480" s="55" t="s">
        <v>998</v>
      </c>
      <c r="D480" s="28" t="s">
        <v>18</v>
      </c>
      <c r="E480" s="47" t="s">
        <v>388</v>
      </c>
      <c r="F480" s="28" t="s">
        <v>1584</v>
      </c>
      <c r="G480" s="39">
        <v>37</v>
      </c>
      <c r="H480" s="28">
        <v>0</v>
      </c>
      <c r="I480" s="28" t="s">
        <v>1585</v>
      </c>
      <c r="J480" s="28" t="s">
        <v>1586</v>
      </c>
      <c r="K480" s="56" t="s">
        <v>20</v>
      </c>
      <c r="L480" s="28" t="s">
        <v>889</v>
      </c>
      <c r="M480" s="28" t="s">
        <v>392</v>
      </c>
      <c r="N480" s="28" t="s">
        <v>330</v>
      </c>
      <c r="O480" s="29" t="s">
        <v>2</v>
      </c>
      <c r="P480" s="28">
        <v>4</v>
      </c>
      <c r="Q480" s="28" t="s">
        <v>1592</v>
      </c>
      <c r="R480" s="28" t="s">
        <v>1588</v>
      </c>
      <c r="S480" s="34" t="str">
        <f>IFERROR(HYPERLINK("#Main!A"&amp;MATCH(A480,Main!A:A,0),"Open"),HYPERLINK("#Main!A1","Open"))</f>
        <v>Open</v>
      </c>
      <c r="T480" s="34" t="str">
        <f>IFERROR(HYPERLINK("#Technical!A"&amp;MATCH(A480,Technical!A:A,0),"Open"),HYPERLINK("#Technical!A1","Open"))</f>
        <v>Open</v>
      </c>
      <c r="U480" s="34"/>
    </row>
    <row r="481" spans="1:21" ht="30" customHeight="1" x14ac:dyDescent="0.25">
      <c r="A481" s="30" t="s">
        <v>169</v>
      </c>
      <c r="B481" s="37">
        <v>5619</v>
      </c>
      <c r="C481" s="55" t="s">
        <v>1000</v>
      </c>
      <c r="D481" s="37" t="s">
        <v>18</v>
      </c>
      <c r="E481" s="47" t="s">
        <v>388</v>
      </c>
      <c r="F481" s="37" t="s">
        <v>1584</v>
      </c>
      <c r="G481" s="42">
        <v>37</v>
      </c>
      <c r="H481" s="37">
        <v>0</v>
      </c>
      <c r="I481" s="37" t="s">
        <v>1585</v>
      </c>
      <c r="J481" s="37" t="s">
        <v>1586</v>
      </c>
      <c r="K481" s="57" t="s">
        <v>20</v>
      </c>
      <c r="L481" s="37" t="s">
        <v>889</v>
      </c>
      <c r="M481" s="37" t="s">
        <v>392</v>
      </c>
      <c r="N481" s="37" t="s">
        <v>330</v>
      </c>
      <c r="O481" s="29" t="s">
        <v>2</v>
      </c>
      <c r="P481" s="37">
        <v>4</v>
      </c>
      <c r="Q481" s="37" t="s">
        <v>1593</v>
      </c>
      <c r="R481" s="37" t="s">
        <v>1588</v>
      </c>
      <c r="S481" t="str">
        <f>IFERROR(HYPERLINK("#Main!A"&amp;MATCH(A481,Main!A:A,0),"Open"),HYPERLINK("#Main!A1","Open"))</f>
        <v>Open</v>
      </c>
      <c r="T481" t="str">
        <f>IFERROR(HYPERLINK("#Technical!A"&amp;MATCH(A481,Technical!A:A,0),"Open"),HYPERLINK("#Technical!A1","Open"))</f>
        <v>Open</v>
      </c>
    </row>
    <row r="482" spans="1:21" ht="30" customHeight="1" x14ac:dyDescent="0.25">
      <c r="A482" s="33" t="s">
        <v>177</v>
      </c>
      <c r="B482" s="28">
        <v>4941</v>
      </c>
      <c r="C482" s="55" t="s">
        <v>1002</v>
      </c>
      <c r="D482" s="28" t="s">
        <v>18</v>
      </c>
      <c r="E482" s="47" t="s">
        <v>388</v>
      </c>
      <c r="F482" s="28" t="s">
        <v>1584</v>
      </c>
      <c r="G482" s="39">
        <v>37</v>
      </c>
      <c r="H482" s="28">
        <v>0</v>
      </c>
      <c r="I482" s="28" t="s">
        <v>1585</v>
      </c>
      <c r="J482" s="28" t="s">
        <v>1586</v>
      </c>
      <c r="K482" s="56" t="s">
        <v>20</v>
      </c>
      <c r="L482" s="28" t="s">
        <v>889</v>
      </c>
      <c r="M482" s="28" t="s">
        <v>392</v>
      </c>
      <c r="N482" s="28" t="s">
        <v>330</v>
      </c>
      <c r="O482" s="29" t="s">
        <v>2</v>
      </c>
      <c r="P482" s="28">
        <v>4</v>
      </c>
      <c r="Q482" s="28" t="s">
        <v>1594</v>
      </c>
      <c r="R482" s="28" t="s">
        <v>1588</v>
      </c>
      <c r="S482" s="34" t="str">
        <f>IFERROR(HYPERLINK("#Main!A"&amp;MATCH(A482,Main!A:A,0),"Open"),HYPERLINK("#Main!A1","Open"))</f>
        <v>Open</v>
      </c>
      <c r="T482" s="34" t="str">
        <f>IFERROR(HYPERLINK("#Technical!A"&amp;MATCH(A482,Technical!A:A,0),"Open"),HYPERLINK("#Technical!A1","Open"))</f>
        <v>Open</v>
      </c>
      <c r="U482" s="34"/>
    </row>
    <row r="483" spans="1:21" ht="30" customHeight="1" x14ac:dyDescent="0.25">
      <c r="A483" s="30" t="s">
        <v>185</v>
      </c>
      <c r="B483" s="37">
        <v>12371</v>
      </c>
      <c r="C483" s="55" t="s">
        <v>1004</v>
      </c>
      <c r="D483" s="37" t="s">
        <v>18</v>
      </c>
      <c r="E483" s="47" t="s">
        <v>388</v>
      </c>
      <c r="F483" s="37" t="s">
        <v>1584</v>
      </c>
      <c r="G483" s="42">
        <v>37</v>
      </c>
      <c r="H483" s="37">
        <v>0</v>
      </c>
      <c r="I483" s="37" t="s">
        <v>1585</v>
      </c>
      <c r="J483" s="37" t="s">
        <v>1586</v>
      </c>
      <c r="K483" s="57" t="s">
        <v>20</v>
      </c>
      <c r="L483" s="37" t="s">
        <v>889</v>
      </c>
      <c r="M483" s="37" t="s">
        <v>392</v>
      </c>
      <c r="N483" s="37" t="s">
        <v>330</v>
      </c>
      <c r="O483" s="29" t="s">
        <v>2</v>
      </c>
      <c r="P483" s="37">
        <v>4</v>
      </c>
      <c r="Q483" s="37" t="s">
        <v>1595</v>
      </c>
      <c r="R483" s="37" t="s">
        <v>1588</v>
      </c>
      <c r="S483" t="str">
        <f>IFERROR(HYPERLINK("#Main!A"&amp;MATCH(A483,Main!A:A,0),"Open"),HYPERLINK("#Main!A1","Open"))</f>
        <v>Open</v>
      </c>
      <c r="T483" t="str">
        <f>IFERROR(HYPERLINK("#Technical!A"&amp;MATCH(A483,Technical!A:A,0),"Open"),HYPERLINK("#Technical!A1","Open"))</f>
        <v>Open</v>
      </c>
    </row>
    <row r="484" spans="1:21" ht="30" customHeight="1" x14ac:dyDescent="0.25">
      <c r="A484" s="33" t="s">
        <v>193</v>
      </c>
      <c r="B484" s="28">
        <v>12954</v>
      </c>
      <c r="C484" s="55" t="s">
        <v>1006</v>
      </c>
      <c r="D484" s="28" t="s">
        <v>18</v>
      </c>
      <c r="E484" s="47" t="s">
        <v>388</v>
      </c>
      <c r="F484" s="28" t="s">
        <v>1584</v>
      </c>
      <c r="G484" s="39">
        <v>37</v>
      </c>
      <c r="H484" s="28">
        <v>0</v>
      </c>
      <c r="I484" s="28" t="s">
        <v>1585</v>
      </c>
      <c r="J484" s="28" t="s">
        <v>1586</v>
      </c>
      <c r="K484" s="56" t="s">
        <v>20</v>
      </c>
      <c r="L484" s="28" t="s">
        <v>889</v>
      </c>
      <c r="M484" s="28" t="s">
        <v>392</v>
      </c>
      <c r="N484" s="28" t="s">
        <v>330</v>
      </c>
      <c r="O484" s="29" t="s">
        <v>2</v>
      </c>
      <c r="P484" s="28">
        <v>4</v>
      </c>
      <c r="Q484" s="28" t="s">
        <v>1596</v>
      </c>
      <c r="R484" s="28" t="s">
        <v>1588</v>
      </c>
      <c r="S484" s="34" t="str">
        <f>IFERROR(HYPERLINK("#Main!A"&amp;MATCH(A484,Main!A:A,0),"Open"),HYPERLINK("#Main!A1","Open"))</f>
        <v>Open</v>
      </c>
      <c r="T484" s="34" t="str">
        <f>IFERROR(HYPERLINK("#Technical!A"&amp;MATCH(A484,Technical!A:A,0),"Open"),HYPERLINK("#Technical!A1","Open"))</f>
        <v>Open</v>
      </c>
      <c r="U484" s="34"/>
    </row>
    <row r="485" spans="1:21" ht="30" customHeight="1" x14ac:dyDescent="0.25">
      <c r="A485" s="30" t="s">
        <v>201</v>
      </c>
      <c r="B485" s="37">
        <v>13164</v>
      </c>
      <c r="C485" s="55" t="s">
        <v>1008</v>
      </c>
      <c r="D485" s="37" t="s">
        <v>18</v>
      </c>
      <c r="E485" s="47" t="s">
        <v>388</v>
      </c>
      <c r="F485" s="37" t="s">
        <v>1584</v>
      </c>
      <c r="G485" s="42">
        <v>37</v>
      </c>
      <c r="H485" s="37">
        <v>0</v>
      </c>
      <c r="I485" s="37" t="s">
        <v>1585</v>
      </c>
      <c r="J485" s="37" t="s">
        <v>1586</v>
      </c>
      <c r="K485" s="57" t="s">
        <v>20</v>
      </c>
      <c r="L485" s="37" t="s">
        <v>889</v>
      </c>
      <c r="M485" s="37" t="s">
        <v>392</v>
      </c>
      <c r="N485" s="37" t="s">
        <v>330</v>
      </c>
      <c r="O485" s="29" t="s">
        <v>2</v>
      </c>
      <c r="P485" s="37">
        <v>4</v>
      </c>
      <c r="Q485" s="37" t="s">
        <v>1597</v>
      </c>
      <c r="R485" s="37" t="s">
        <v>1588</v>
      </c>
      <c r="S485" t="str">
        <f>IFERROR(HYPERLINK("#Main!A"&amp;MATCH(A485,Main!A:A,0),"Open"),HYPERLINK("#Main!A1","Open"))</f>
        <v>Open</v>
      </c>
      <c r="T485" t="str">
        <f>IFERROR(HYPERLINK("#Technical!A"&amp;MATCH(A485,Technical!A:A,0),"Open"),HYPERLINK("#Technical!A1","Open"))</f>
        <v>Open</v>
      </c>
    </row>
    <row r="486" spans="1:21" ht="30" customHeight="1" x14ac:dyDescent="0.25">
      <c r="A486" s="33" t="s">
        <v>208</v>
      </c>
      <c r="B486" s="28">
        <v>12407</v>
      </c>
      <c r="C486" s="55" t="s">
        <v>1010</v>
      </c>
      <c r="D486" s="28" t="s">
        <v>18</v>
      </c>
      <c r="E486" s="47" t="s">
        <v>388</v>
      </c>
      <c r="F486" s="28" t="s">
        <v>1584</v>
      </c>
      <c r="G486" s="39">
        <v>37</v>
      </c>
      <c r="H486" s="28">
        <v>0</v>
      </c>
      <c r="I486" s="28" t="s">
        <v>1585</v>
      </c>
      <c r="J486" s="28" t="s">
        <v>1586</v>
      </c>
      <c r="K486" s="56" t="s">
        <v>20</v>
      </c>
      <c r="L486" s="28" t="s">
        <v>889</v>
      </c>
      <c r="M486" s="28" t="s">
        <v>392</v>
      </c>
      <c r="N486" s="28" t="s">
        <v>330</v>
      </c>
      <c r="O486" s="29" t="s">
        <v>2</v>
      </c>
      <c r="P486" s="28">
        <v>4</v>
      </c>
      <c r="Q486" s="28" t="s">
        <v>1598</v>
      </c>
      <c r="R486" s="28" t="s">
        <v>1588</v>
      </c>
      <c r="S486" s="34" t="str">
        <f>IFERROR(HYPERLINK("#Main!A"&amp;MATCH(A486,Main!A:A,0),"Open"),HYPERLINK("#Main!A1","Open"))</f>
        <v>Open</v>
      </c>
      <c r="T486" s="34" t="str">
        <f>IFERROR(HYPERLINK("#Technical!A"&amp;MATCH(A486,Technical!A:A,0),"Open"),HYPERLINK("#Technical!A1","Open"))</f>
        <v>Open</v>
      </c>
      <c r="U486" s="34"/>
    </row>
    <row r="487" spans="1:21" ht="30" customHeight="1" x14ac:dyDescent="0.25">
      <c r="A487" s="30" t="s">
        <v>216</v>
      </c>
      <c r="B487" s="37">
        <v>12497</v>
      </c>
      <c r="C487" s="55" t="s">
        <v>1012</v>
      </c>
      <c r="D487" s="37" t="s">
        <v>18</v>
      </c>
      <c r="E487" s="47" t="s">
        <v>388</v>
      </c>
      <c r="F487" s="37" t="s">
        <v>1584</v>
      </c>
      <c r="G487" s="42">
        <v>37</v>
      </c>
      <c r="H487" s="37">
        <v>0</v>
      </c>
      <c r="I487" s="37" t="s">
        <v>1585</v>
      </c>
      <c r="J487" s="37" t="s">
        <v>1586</v>
      </c>
      <c r="K487" s="57" t="s">
        <v>20</v>
      </c>
      <c r="L487" s="37" t="s">
        <v>889</v>
      </c>
      <c r="M487" s="37" t="s">
        <v>392</v>
      </c>
      <c r="N487" s="37" t="s">
        <v>330</v>
      </c>
      <c r="O487" s="29" t="s">
        <v>2</v>
      </c>
      <c r="P487" s="37">
        <v>4</v>
      </c>
      <c r="Q487" s="37" t="s">
        <v>1599</v>
      </c>
      <c r="R487" s="37" t="s">
        <v>1588</v>
      </c>
      <c r="S487" t="str">
        <f>IFERROR(HYPERLINK("#Main!A"&amp;MATCH(A487,Main!A:A,0),"Open"),HYPERLINK("#Main!A1","Open"))</f>
        <v>Open</v>
      </c>
      <c r="T487" t="str">
        <f>IFERROR(HYPERLINK("#Technical!A"&amp;MATCH(A487,Technical!A:A,0),"Open"),HYPERLINK("#Technical!A1","Open"))</f>
        <v>Open</v>
      </c>
    </row>
    <row r="488" spans="1:21" ht="30" customHeight="1" x14ac:dyDescent="0.25">
      <c r="A488" s="33" t="s">
        <v>224</v>
      </c>
      <c r="B488" s="28">
        <v>13098</v>
      </c>
      <c r="C488" s="55" t="s">
        <v>1014</v>
      </c>
      <c r="D488" s="28" t="s">
        <v>18</v>
      </c>
      <c r="E488" s="47" t="s">
        <v>388</v>
      </c>
      <c r="F488" s="28" t="s">
        <v>1584</v>
      </c>
      <c r="G488" s="39">
        <v>37</v>
      </c>
      <c r="H488" s="28">
        <v>0</v>
      </c>
      <c r="I488" s="28" t="s">
        <v>1585</v>
      </c>
      <c r="J488" s="28" t="s">
        <v>1586</v>
      </c>
      <c r="K488" s="56" t="s">
        <v>20</v>
      </c>
      <c r="L488" s="28" t="s">
        <v>889</v>
      </c>
      <c r="M488" s="28" t="s">
        <v>392</v>
      </c>
      <c r="N488" s="28" t="s">
        <v>330</v>
      </c>
      <c r="O488" s="29" t="s">
        <v>2</v>
      </c>
      <c r="P488" s="28">
        <v>4</v>
      </c>
      <c r="Q488" s="28" t="s">
        <v>1600</v>
      </c>
      <c r="R488" s="28" t="s">
        <v>1588</v>
      </c>
      <c r="S488" s="34" t="str">
        <f>IFERROR(HYPERLINK("#Main!A"&amp;MATCH(A488,Main!A:A,0),"Open"),HYPERLINK("#Main!A1","Open"))</f>
        <v>Open</v>
      </c>
      <c r="T488" s="34" t="str">
        <f>IFERROR(HYPERLINK("#Technical!A"&amp;MATCH(A488,Technical!A:A,0),"Open"),HYPERLINK("#Technical!A1","Open"))</f>
        <v>Open</v>
      </c>
      <c r="U488" s="34"/>
    </row>
    <row r="489" spans="1:21" ht="30" customHeight="1" x14ac:dyDescent="0.25">
      <c r="A489" s="30" t="s">
        <v>233</v>
      </c>
      <c r="B489" s="37">
        <v>13549</v>
      </c>
      <c r="C489" s="55" t="s">
        <v>1016</v>
      </c>
      <c r="D489" s="37" t="s">
        <v>18</v>
      </c>
      <c r="E489" s="47" t="s">
        <v>388</v>
      </c>
      <c r="F489" s="37" t="s">
        <v>1584</v>
      </c>
      <c r="G489" s="42">
        <v>37</v>
      </c>
      <c r="H489" s="37">
        <v>0</v>
      </c>
      <c r="I489" s="37" t="s">
        <v>1585</v>
      </c>
      <c r="J489" s="37" t="s">
        <v>1586</v>
      </c>
      <c r="K489" s="57" t="s">
        <v>20</v>
      </c>
      <c r="L489" s="37" t="s">
        <v>889</v>
      </c>
      <c r="M489" s="37" t="s">
        <v>392</v>
      </c>
      <c r="N489" s="37" t="s">
        <v>330</v>
      </c>
      <c r="O489" s="29" t="s">
        <v>2</v>
      </c>
      <c r="P489" s="37">
        <v>4</v>
      </c>
      <c r="Q489" s="37" t="s">
        <v>1601</v>
      </c>
      <c r="R489" s="37" t="s">
        <v>1588</v>
      </c>
      <c r="S489" t="str">
        <f>IFERROR(HYPERLINK("#Main!A"&amp;MATCH(A489,Main!A:A,0),"Open"),HYPERLINK("#Main!A1","Open"))</f>
        <v>Open</v>
      </c>
      <c r="T489" t="str">
        <f>IFERROR(HYPERLINK("#Technical!A"&amp;MATCH(A489,Technical!A:A,0),"Open"),HYPERLINK("#Technical!A1","Open"))</f>
        <v>Open</v>
      </c>
    </row>
    <row r="490" spans="1:21" ht="30" customHeight="1" x14ac:dyDescent="0.25">
      <c r="A490" s="33" t="s">
        <v>241</v>
      </c>
      <c r="B490" s="28">
        <v>13282</v>
      </c>
      <c r="C490" s="55" t="s">
        <v>1018</v>
      </c>
      <c r="D490" s="28" t="s">
        <v>18</v>
      </c>
      <c r="E490" s="47" t="s">
        <v>388</v>
      </c>
      <c r="F490" s="28" t="s">
        <v>1584</v>
      </c>
      <c r="G490" s="39">
        <v>37</v>
      </c>
      <c r="H490" s="28">
        <v>0</v>
      </c>
      <c r="I490" s="28" t="s">
        <v>1585</v>
      </c>
      <c r="J490" s="28" t="s">
        <v>1586</v>
      </c>
      <c r="K490" s="56" t="s">
        <v>20</v>
      </c>
      <c r="L490" s="28" t="s">
        <v>889</v>
      </c>
      <c r="M490" s="28" t="s">
        <v>392</v>
      </c>
      <c r="N490" s="28" t="s">
        <v>330</v>
      </c>
      <c r="O490" s="29" t="s">
        <v>2</v>
      </c>
      <c r="P490" s="28">
        <v>4</v>
      </c>
      <c r="Q490" s="28" t="s">
        <v>1602</v>
      </c>
      <c r="R490" s="28" t="s">
        <v>1588</v>
      </c>
      <c r="S490" s="34" t="str">
        <f>IFERROR(HYPERLINK("#Main!A"&amp;MATCH(A490,Main!A:A,0),"Open"),HYPERLINK("#Main!A1","Open"))</f>
        <v>Open</v>
      </c>
      <c r="T490" s="34" t="str">
        <f>IFERROR(HYPERLINK("#Technical!A"&amp;MATCH(A490,Technical!A:A,0),"Open"),HYPERLINK("#Technical!A1","Open"))</f>
        <v>Open</v>
      </c>
      <c r="U490" s="34"/>
    </row>
    <row r="491" spans="1:21" ht="30" customHeight="1" x14ac:dyDescent="0.25">
      <c r="A491" s="30" t="s">
        <v>485</v>
      </c>
      <c r="B491" s="37">
        <v>12945</v>
      </c>
      <c r="C491" s="55" t="s">
        <v>1020</v>
      </c>
      <c r="D491" s="37" t="s">
        <v>18</v>
      </c>
      <c r="E491" s="47" t="s">
        <v>388</v>
      </c>
      <c r="F491" s="37" t="s">
        <v>1584</v>
      </c>
      <c r="G491" s="42">
        <v>37</v>
      </c>
      <c r="H491" s="37">
        <v>0</v>
      </c>
      <c r="I491" s="37" t="s">
        <v>1585</v>
      </c>
      <c r="J491" s="37" t="s">
        <v>1586</v>
      </c>
      <c r="K491" s="57" t="s">
        <v>20</v>
      </c>
      <c r="L491" s="37" t="s">
        <v>889</v>
      </c>
      <c r="M491" s="37" t="s">
        <v>392</v>
      </c>
      <c r="N491" s="37" t="s">
        <v>330</v>
      </c>
      <c r="O491" s="29" t="s">
        <v>2</v>
      </c>
      <c r="P491" s="37">
        <v>4</v>
      </c>
      <c r="Q491" s="37" t="s">
        <v>1603</v>
      </c>
      <c r="R491" s="37" t="s">
        <v>1588</v>
      </c>
      <c r="S491" t="str">
        <f>IFERROR(HYPERLINK("#Main!A"&amp;MATCH(A491,Main!A:A,0),"Open"),HYPERLINK("#Main!A1","Open"))</f>
        <v>Open</v>
      </c>
      <c r="T491" t="str">
        <f>IFERROR(HYPERLINK("#Technical!A"&amp;MATCH(A491,Technical!A:A,0),"Open"),HYPERLINK("#Technical!A1","Open"))</f>
        <v>Open</v>
      </c>
    </row>
    <row r="492" spans="1:21" ht="30" customHeight="1" x14ac:dyDescent="0.25">
      <c r="A492" s="33" t="s">
        <v>488</v>
      </c>
      <c r="B492" s="28">
        <v>13179</v>
      </c>
      <c r="C492" s="55" t="s">
        <v>1022</v>
      </c>
      <c r="D492" s="28" t="s">
        <v>18</v>
      </c>
      <c r="E492" s="47" t="s">
        <v>388</v>
      </c>
      <c r="F492" s="28" t="s">
        <v>1584</v>
      </c>
      <c r="G492" s="39">
        <v>37</v>
      </c>
      <c r="H492" s="28">
        <v>0</v>
      </c>
      <c r="I492" s="28" t="s">
        <v>1585</v>
      </c>
      <c r="J492" s="28" t="s">
        <v>1586</v>
      </c>
      <c r="K492" s="56" t="s">
        <v>20</v>
      </c>
      <c r="L492" s="28" t="s">
        <v>889</v>
      </c>
      <c r="M492" s="28" t="s">
        <v>392</v>
      </c>
      <c r="N492" s="28" t="s">
        <v>330</v>
      </c>
      <c r="O492" s="29" t="s">
        <v>2</v>
      </c>
      <c r="P492" s="28">
        <v>4</v>
      </c>
      <c r="Q492" s="28" t="s">
        <v>1604</v>
      </c>
      <c r="R492" s="28" t="s">
        <v>1588</v>
      </c>
      <c r="S492" s="34" t="str">
        <f>IFERROR(HYPERLINK("#Main!A"&amp;MATCH(A492,Main!A:A,0),"Open"),HYPERLINK("#Main!A1","Open"))</f>
        <v>Open</v>
      </c>
      <c r="T492" s="34" t="str">
        <f>IFERROR(HYPERLINK("#Technical!A"&amp;MATCH(A492,Technical!A:A,0),"Open"),HYPERLINK("#Technical!A1","Open"))</f>
        <v>Open</v>
      </c>
      <c r="U492" s="34"/>
    </row>
    <row r="493" spans="1:21" ht="30" customHeight="1" x14ac:dyDescent="0.25">
      <c r="A493" s="30" t="s">
        <v>491</v>
      </c>
      <c r="B493" s="37">
        <v>22401</v>
      </c>
      <c r="C493" s="55" t="s">
        <v>1024</v>
      </c>
      <c r="D493" s="37" t="s">
        <v>18</v>
      </c>
      <c r="E493" s="47" t="s">
        <v>388</v>
      </c>
      <c r="F493" s="37" t="s">
        <v>1584</v>
      </c>
      <c r="G493" s="42">
        <v>37</v>
      </c>
      <c r="H493" s="37">
        <v>0</v>
      </c>
      <c r="I493" s="37" t="s">
        <v>1585</v>
      </c>
      <c r="J493" s="37" t="s">
        <v>1586</v>
      </c>
      <c r="K493" s="57" t="s">
        <v>20</v>
      </c>
      <c r="L493" s="37" t="s">
        <v>889</v>
      </c>
      <c r="M493" s="37" t="s">
        <v>392</v>
      </c>
      <c r="N493" s="37" t="s">
        <v>330</v>
      </c>
      <c r="O493" s="29" t="s">
        <v>2</v>
      </c>
      <c r="P493" s="37">
        <v>4</v>
      </c>
      <c r="Q493" s="37" t="s">
        <v>1605</v>
      </c>
      <c r="R493" s="37" t="s">
        <v>1588</v>
      </c>
      <c r="S493" t="str">
        <f>IFERROR(HYPERLINK("#Main!A"&amp;MATCH(A493,Main!A:A,0),"Open"),HYPERLINK("#Main!A1","Open"))</f>
        <v>Open</v>
      </c>
      <c r="T493" t="str">
        <f>IFERROR(HYPERLINK("#Technical!A"&amp;MATCH(A493,Technical!A:A,0),"Open"),HYPERLINK("#Technical!A1","Open"))</f>
        <v>Open</v>
      </c>
    </row>
    <row r="494" spans="1:21" ht="30" customHeight="1" x14ac:dyDescent="0.25">
      <c r="A494" s="33" t="s">
        <v>494</v>
      </c>
      <c r="B494" s="28">
        <v>18318</v>
      </c>
      <c r="C494" s="55" t="s">
        <v>1026</v>
      </c>
      <c r="D494" s="28" t="s">
        <v>18</v>
      </c>
      <c r="E494" s="47" t="s">
        <v>388</v>
      </c>
      <c r="F494" s="28" t="s">
        <v>1584</v>
      </c>
      <c r="G494" s="39">
        <v>37</v>
      </c>
      <c r="H494" s="28">
        <v>0</v>
      </c>
      <c r="I494" s="28" t="s">
        <v>1585</v>
      </c>
      <c r="J494" s="28" t="s">
        <v>1586</v>
      </c>
      <c r="K494" s="56" t="s">
        <v>20</v>
      </c>
      <c r="L494" s="28" t="s">
        <v>889</v>
      </c>
      <c r="M494" s="28" t="s">
        <v>392</v>
      </c>
      <c r="N494" s="28" t="s">
        <v>330</v>
      </c>
      <c r="O494" s="29" t="s">
        <v>2</v>
      </c>
      <c r="P494" s="28">
        <v>4</v>
      </c>
      <c r="Q494" s="28" t="s">
        <v>1606</v>
      </c>
      <c r="R494" s="28" t="s">
        <v>1588</v>
      </c>
      <c r="S494" s="34" t="str">
        <f>IFERROR(HYPERLINK("#Main!A"&amp;MATCH(A494,Main!A:A,0),"Open"),HYPERLINK("#Main!A1","Open"))</f>
        <v>Open</v>
      </c>
      <c r="T494" s="34" t="str">
        <f>IFERROR(HYPERLINK("#Technical!A"&amp;MATCH(A494,Technical!A:A,0),"Open"),HYPERLINK("#Technical!A1","Open"))</f>
        <v>Open</v>
      </c>
      <c r="U494" s="34"/>
    </row>
    <row r="495" spans="1:21" ht="30" customHeight="1" x14ac:dyDescent="0.25">
      <c r="A495" s="30" t="s">
        <v>497</v>
      </c>
      <c r="B495" s="37">
        <v>23710</v>
      </c>
      <c r="C495" s="55" t="s">
        <v>1028</v>
      </c>
      <c r="D495" s="37" t="s">
        <v>18</v>
      </c>
      <c r="E495" s="47" t="s">
        <v>388</v>
      </c>
      <c r="F495" s="37" t="s">
        <v>1584</v>
      </c>
      <c r="G495" s="42">
        <v>37</v>
      </c>
      <c r="H495" s="37">
        <v>0</v>
      </c>
      <c r="I495" s="37" t="s">
        <v>1585</v>
      </c>
      <c r="J495" s="37" t="s">
        <v>1586</v>
      </c>
      <c r="K495" s="57" t="s">
        <v>20</v>
      </c>
      <c r="L495" s="37" t="s">
        <v>889</v>
      </c>
      <c r="M495" s="37" t="s">
        <v>392</v>
      </c>
      <c r="N495" s="37" t="s">
        <v>330</v>
      </c>
      <c r="O495" s="29" t="s">
        <v>2</v>
      </c>
      <c r="P495" s="37">
        <v>4</v>
      </c>
      <c r="Q495" s="37" t="s">
        <v>1607</v>
      </c>
      <c r="R495" s="37" t="s">
        <v>1588</v>
      </c>
      <c r="S495" t="str">
        <f>IFERROR(HYPERLINK("#Main!A"&amp;MATCH(A495,Main!A:A,0),"Open"),HYPERLINK("#Main!A1","Open"))</f>
        <v>Open</v>
      </c>
      <c r="T495" t="str">
        <f>IFERROR(HYPERLINK("#Technical!A"&amp;MATCH(A495,Technical!A:A,0),"Open"),HYPERLINK("#Technical!A1","Open"))</f>
        <v>Open</v>
      </c>
    </row>
    <row r="496" spans="1:21" ht="30" customHeight="1" x14ac:dyDescent="0.25">
      <c r="A496" s="33" t="s">
        <v>500</v>
      </c>
      <c r="B496" s="28">
        <v>30257</v>
      </c>
      <c r="C496" s="55" t="s">
        <v>1030</v>
      </c>
      <c r="D496" s="28" t="s">
        <v>18</v>
      </c>
      <c r="E496" s="47" t="s">
        <v>388</v>
      </c>
      <c r="F496" s="28" t="s">
        <v>1584</v>
      </c>
      <c r="G496" s="39">
        <v>37</v>
      </c>
      <c r="H496" s="28">
        <v>0</v>
      </c>
      <c r="I496" s="28" t="s">
        <v>1585</v>
      </c>
      <c r="J496" s="28" t="s">
        <v>1586</v>
      </c>
      <c r="K496" s="56" t="s">
        <v>20</v>
      </c>
      <c r="L496" s="28" t="s">
        <v>889</v>
      </c>
      <c r="M496" s="28" t="s">
        <v>392</v>
      </c>
      <c r="N496" s="28" t="s">
        <v>330</v>
      </c>
      <c r="O496" s="29" t="s">
        <v>2</v>
      </c>
      <c r="P496" s="28">
        <v>4</v>
      </c>
      <c r="Q496" s="28" t="s">
        <v>1608</v>
      </c>
      <c r="R496" s="28" t="s">
        <v>1588</v>
      </c>
      <c r="S496" s="34" t="str">
        <f>IFERROR(HYPERLINK("#Main!A"&amp;MATCH(A496,Main!A:A,0),"Open"),HYPERLINK("#Main!A1","Open"))</f>
        <v>Open</v>
      </c>
      <c r="T496" s="34" t="str">
        <f>IFERROR(HYPERLINK("#Technical!A"&amp;MATCH(A496,Technical!A:A,0),"Open"),HYPERLINK("#Technical!A1","Open"))</f>
        <v>Open</v>
      </c>
      <c r="U496" s="34"/>
    </row>
    <row r="497" spans="1:21" ht="30" customHeight="1" x14ac:dyDescent="0.25">
      <c r="A497" s="30" t="s">
        <v>503</v>
      </c>
      <c r="B497" s="37">
        <v>31478</v>
      </c>
      <c r="C497" s="55" t="s">
        <v>1032</v>
      </c>
      <c r="D497" s="37" t="s">
        <v>18</v>
      </c>
      <c r="E497" s="47" t="s">
        <v>388</v>
      </c>
      <c r="F497" s="37" t="s">
        <v>1584</v>
      </c>
      <c r="G497" s="42">
        <v>37</v>
      </c>
      <c r="H497" s="37">
        <v>0</v>
      </c>
      <c r="I497" s="37" t="s">
        <v>1585</v>
      </c>
      <c r="J497" s="37" t="s">
        <v>1586</v>
      </c>
      <c r="K497" s="57" t="s">
        <v>20</v>
      </c>
      <c r="L497" s="37" t="s">
        <v>889</v>
      </c>
      <c r="M497" s="37" t="s">
        <v>392</v>
      </c>
      <c r="N497" s="37" t="s">
        <v>330</v>
      </c>
      <c r="O497" s="29" t="s">
        <v>2</v>
      </c>
      <c r="P497" s="37">
        <v>4</v>
      </c>
      <c r="Q497" s="37" t="s">
        <v>1609</v>
      </c>
      <c r="R497" s="37" t="s">
        <v>1588</v>
      </c>
      <c r="S497" t="str">
        <f>IFERROR(HYPERLINK("#Main!A"&amp;MATCH(A497,Main!A:A,0),"Open"),HYPERLINK("#Main!A1","Open"))</f>
        <v>Open</v>
      </c>
      <c r="T497" t="str">
        <f>IFERROR(HYPERLINK("#Technical!A"&amp;MATCH(A497,Technical!A:A,0),"Open"),HYPERLINK("#Technical!A1","Open"))</f>
        <v>Open</v>
      </c>
    </row>
    <row r="498" spans="1:21" ht="30" customHeight="1" x14ac:dyDescent="0.25">
      <c r="A498" s="33" t="s">
        <v>506</v>
      </c>
      <c r="B498" s="28">
        <v>33280</v>
      </c>
      <c r="C498" s="55" t="s">
        <v>1034</v>
      </c>
      <c r="D498" s="28" t="s">
        <v>18</v>
      </c>
      <c r="E498" s="47" t="s">
        <v>388</v>
      </c>
      <c r="F498" s="28" t="s">
        <v>1584</v>
      </c>
      <c r="G498" s="39">
        <v>37</v>
      </c>
      <c r="H498" s="28">
        <v>0</v>
      </c>
      <c r="I498" s="28" t="s">
        <v>1585</v>
      </c>
      <c r="J498" s="28" t="s">
        <v>1586</v>
      </c>
      <c r="K498" s="56" t="s">
        <v>20</v>
      </c>
      <c r="L498" s="28" t="s">
        <v>889</v>
      </c>
      <c r="M498" s="28" t="s">
        <v>392</v>
      </c>
      <c r="N498" s="28" t="s">
        <v>330</v>
      </c>
      <c r="O498" s="29" t="s">
        <v>2</v>
      </c>
      <c r="P498" s="28">
        <v>4</v>
      </c>
      <c r="Q498" s="28" t="s">
        <v>1610</v>
      </c>
      <c r="R498" s="28" t="s">
        <v>1588</v>
      </c>
      <c r="S498" s="34" t="str">
        <f>IFERROR(HYPERLINK("#Main!A"&amp;MATCH(A498,Main!A:A,0),"Open"),HYPERLINK("#Main!A1","Open"))</f>
        <v>Open</v>
      </c>
      <c r="T498" s="34" t="str">
        <f>IFERROR(HYPERLINK("#Technical!A"&amp;MATCH(A498,Technical!A:A,0),"Open"),HYPERLINK("#Technical!A1","Open"))</f>
        <v>Open</v>
      </c>
      <c r="U498" s="34"/>
    </row>
    <row r="499" spans="1:21" ht="30" customHeight="1" x14ac:dyDescent="0.25">
      <c r="A499" s="30" t="s">
        <v>509</v>
      </c>
      <c r="B499" s="37">
        <v>22778</v>
      </c>
      <c r="C499" s="55" t="s">
        <v>1036</v>
      </c>
      <c r="D499" s="37" t="s">
        <v>18</v>
      </c>
      <c r="E499" s="47" t="s">
        <v>388</v>
      </c>
      <c r="F499" s="37" t="s">
        <v>1584</v>
      </c>
      <c r="G499" s="42">
        <v>37</v>
      </c>
      <c r="H499" s="37">
        <v>0</v>
      </c>
      <c r="I499" s="37" t="s">
        <v>1585</v>
      </c>
      <c r="J499" s="37" t="s">
        <v>1586</v>
      </c>
      <c r="K499" s="57" t="s">
        <v>20</v>
      </c>
      <c r="L499" s="37" t="s">
        <v>889</v>
      </c>
      <c r="M499" s="37" t="s">
        <v>392</v>
      </c>
      <c r="N499" s="37" t="s">
        <v>330</v>
      </c>
      <c r="O499" s="29" t="s">
        <v>2</v>
      </c>
      <c r="P499" s="37">
        <v>4</v>
      </c>
      <c r="Q499" s="37" t="s">
        <v>1611</v>
      </c>
      <c r="R499" s="37" t="s">
        <v>1588</v>
      </c>
      <c r="S499" t="str">
        <f>IFERROR(HYPERLINK("#Main!A"&amp;MATCH(A499,Main!A:A,0),"Open"),HYPERLINK("#Main!A1","Open"))</f>
        <v>Open</v>
      </c>
      <c r="T499" t="str">
        <f>IFERROR(HYPERLINK("#Technical!A"&amp;MATCH(A499,Technical!A:A,0),"Open"),HYPERLINK("#Technical!A1","Open"))</f>
        <v>Open</v>
      </c>
    </row>
    <row r="500" spans="1:21" ht="30" customHeight="1" x14ac:dyDescent="0.25">
      <c r="A500" s="33" t="s">
        <v>512</v>
      </c>
      <c r="B500" s="28">
        <v>5057</v>
      </c>
      <c r="C500" s="55" t="s">
        <v>1038</v>
      </c>
      <c r="D500" s="28" t="s">
        <v>18</v>
      </c>
      <c r="E500" s="47" t="s">
        <v>388</v>
      </c>
      <c r="F500" s="28" t="s">
        <v>1584</v>
      </c>
      <c r="G500" s="39">
        <v>37</v>
      </c>
      <c r="H500" s="28">
        <v>0</v>
      </c>
      <c r="I500" s="28" t="s">
        <v>1585</v>
      </c>
      <c r="J500" s="28" t="s">
        <v>1586</v>
      </c>
      <c r="K500" s="56" t="s">
        <v>20</v>
      </c>
      <c r="L500" s="28" t="s">
        <v>889</v>
      </c>
      <c r="M500" s="28" t="s">
        <v>392</v>
      </c>
      <c r="N500" s="28" t="s">
        <v>330</v>
      </c>
      <c r="O500" s="29" t="s">
        <v>2</v>
      </c>
      <c r="P500" s="28">
        <v>4</v>
      </c>
      <c r="Q500" s="28" t="s">
        <v>1612</v>
      </c>
      <c r="R500" s="28" t="s">
        <v>1588</v>
      </c>
      <c r="S500" s="34" t="str">
        <f>IFERROR(HYPERLINK("#Main!A"&amp;MATCH(A500,Main!A:A,0),"Open"),HYPERLINK("#Main!A1","Open"))</f>
        <v>Open</v>
      </c>
      <c r="T500" s="34" t="str">
        <f>IFERROR(HYPERLINK("#Technical!A"&amp;MATCH(A500,Technical!A:A,0),"Open"),HYPERLINK("#Technical!A1","Open"))</f>
        <v>Open</v>
      </c>
      <c r="U500" s="34"/>
    </row>
    <row r="501" spans="1:21" ht="30" customHeight="1" x14ac:dyDescent="0.25">
      <c r="A501" s="30" t="s">
        <v>476</v>
      </c>
      <c r="B501" s="37"/>
      <c r="C501" s="37"/>
      <c r="D501" s="37" t="s">
        <v>18</v>
      </c>
      <c r="E501" s="47" t="s">
        <v>388</v>
      </c>
      <c r="F501" s="37" t="s">
        <v>1584</v>
      </c>
      <c r="G501" s="42">
        <v>37</v>
      </c>
      <c r="H501" s="37">
        <v>0</v>
      </c>
      <c r="I501" s="37" t="s">
        <v>1585</v>
      </c>
      <c r="J501" s="37" t="s">
        <v>1586</v>
      </c>
      <c r="K501" s="57" t="s">
        <v>20</v>
      </c>
      <c r="L501" s="37" t="s">
        <v>889</v>
      </c>
      <c r="M501" s="37" t="s">
        <v>392</v>
      </c>
      <c r="N501" s="37" t="s">
        <v>330</v>
      </c>
      <c r="O501" s="29" t="s">
        <v>2</v>
      </c>
      <c r="P501" s="37">
        <v>4</v>
      </c>
      <c r="Q501" s="37" t="s">
        <v>1613</v>
      </c>
      <c r="R501" s="37" t="s">
        <v>1588</v>
      </c>
      <c r="S501" t="str">
        <f>IFERROR(HYPERLINK("#Main!A"&amp;MATCH(A501,Main!A:A,0),"Open"),HYPERLINK("#Main!A1","Open"))</f>
        <v>Open</v>
      </c>
      <c r="T501" t="str">
        <f>IFERROR(HYPERLINK("#Technical!A"&amp;MATCH(A501,Technical!A:A,0),"Open"),HYPERLINK("#Technical!A1","Open"))</f>
        <v>Open</v>
      </c>
    </row>
    <row r="502" spans="1:21" ht="30" customHeight="1" x14ac:dyDescent="0.25">
      <c r="A502" s="33" t="s">
        <v>515</v>
      </c>
      <c r="B502" s="28">
        <v>12477</v>
      </c>
      <c r="C502" s="55" t="s">
        <v>1040</v>
      </c>
      <c r="D502" s="28" t="s">
        <v>18</v>
      </c>
      <c r="E502" s="47" t="s">
        <v>388</v>
      </c>
      <c r="F502" s="28" t="s">
        <v>1584</v>
      </c>
      <c r="G502" s="39">
        <v>37</v>
      </c>
      <c r="H502" s="28">
        <v>0</v>
      </c>
      <c r="I502" s="28" t="s">
        <v>1585</v>
      </c>
      <c r="J502" s="28" t="s">
        <v>1586</v>
      </c>
      <c r="K502" s="56" t="s">
        <v>20</v>
      </c>
      <c r="L502" s="28" t="s">
        <v>889</v>
      </c>
      <c r="M502" s="28" t="s">
        <v>392</v>
      </c>
      <c r="N502" s="28" t="s">
        <v>330</v>
      </c>
      <c r="O502" s="29" t="s">
        <v>2</v>
      </c>
      <c r="P502" s="28">
        <v>4</v>
      </c>
      <c r="Q502" s="28" t="s">
        <v>1614</v>
      </c>
      <c r="R502" s="28" t="s">
        <v>1588</v>
      </c>
      <c r="S502" s="34" t="str">
        <f>IFERROR(HYPERLINK("#Main!A"&amp;MATCH(A502,Main!A:A,0),"Open"),HYPERLINK("#Main!A1","Open"))</f>
        <v>Open</v>
      </c>
      <c r="T502" s="34" t="str">
        <f>IFERROR(HYPERLINK("#Technical!A"&amp;MATCH(A502,Technical!A:A,0),"Open"),HYPERLINK("#Technical!A1","Open"))</f>
        <v>Open</v>
      </c>
      <c r="U502" s="34"/>
    </row>
    <row r="503" spans="1:21" ht="30" customHeight="1" x14ac:dyDescent="0.25">
      <c r="A503" s="30" t="s">
        <v>518</v>
      </c>
      <c r="B503" s="37">
        <v>21958</v>
      </c>
      <c r="C503" s="55" t="s">
        <v>1042</v>
      </c>
      <c r="D503" s="37" t="s">
        <v>18</v>
      </c>
      <c r="E503" s="47" t="s">
        <v>388</v>
      </c>
      <c r="F503" s="37" t="s">
        <v>1584</v>
      </c>
      <c r="G503" s="42">
        <v>37</v>
      </c>
      <c r="H503" s="37">
        <v>0</v>
      </c>
      <c r="I503" s="37" t="s">
        <v>1585</v>
      </c>
      <c r="J503" s="37" t="s">
        <v>1586</v>
      </c>
      <c r="K503" s="57" t="s">
        <v>20</v>
      </c>
      <c r="L503" s="37" t="s">
        <v>889</v>
      </c>
      <c r="M503" s="37" t="s">
        <v>392</v>
      </c>
      <c r="N503" s="37" t="s">
        <v>330</v>
      </c>
      <c r="O503" s="29" t="s">
        <v>2</v>
      </c>
      <c r="P503" s="37">
        <v>4</v>
      </c>
      <c r="Q503" s="37" t="s">
        <v>1615</v>
      </c>
      <c r="R503" s="37" t="s">
        <v>1588</v>
      </c>
      <c r="S503" t="str">
        <f>IFERROR(HYPERLINK("#Main!A"&amp;MATCH(A503,Main!A:A,0),"Open"),HYPERLINK("#Main!A1","Open"))</f>
        <v>Open</v>
      </c>
      <c r="T503" t="str">
        <f>IFERROR(HYPERLINK("#Technical!A"&amp;MATCH(A503,Technical!A:A,0),"Open"),HYPERLINK("#Technical!A1","Open"))</f>
        <v>Open</v>
      </c>
    </row>
    <row r="504" spans="1:21" ht="30" customHeight="1" x14ac:dyDescent="0.25">
      <c r="A504" s="33" t="s">
        <v>521</v>
      </c>
      <c r="B504" s="28">
        <v>21984</v>
      </c>
      <c r="C504" s="55" t="s">
        <v>1044</v>
      </c>
      <c r="D504" s="28" t="s">
        <v>18</v>
      </c>
      <c r="E504" s="47" t="s">
        <v>388</v>
      </c>
      <c r="F504" s="28" t="s">
        <v>1584</v>
      </c>
      <c r="G504" s="39">
        <v>37</v>
      </c>
      <c r="H504" s="28">
        <v>0</v>
      </c>
      <c r="I504" s="28" t="s">
        <v>1585</v>
      </c>
      <c r="J504" s="28" t="s">
        <v>1586</v>
      </c>
      <c r="K504" s="56" t="s">
        <v>20</v>
      </c>
      <c r="L504" s="28" t="s">
        <v>889</v>
      </c>
      <c r="M504" s="28" t="s">
        <v>392</v>
      </c>
      <c r="N504" s="28" t="s">
        <v>330</v>
      </c>
      <c r="O504" s="29" t="s">
        <v>2</v>
      </c>
      <c r="P504" s="28">
        <v>4</v>
      </c>
      <c r="Q504" s="28" t="s">
        <v>1616</v>
      </c>
      <c r="R504" s="28" t="s">
        <v>1588</v>
      </c>
      <c r="S504" s="34" t="str">
        <f>IFERROR(HYPERLINK("#Main!A"&amp;MATCH(A504,Main!A:A,0),"Open"),HYPERLINK("#Main!A1","Open"))</f>
        <v>Open</v>
      </c>
      <c r="T504" s="34" t="str">
        <f>IFERROR(HYPERLINK("#Technical!A"&amp;MATCH(A504,Technical!A:A,0),"Open"),HYPERLINK("#Technical!A1","Open"))</f>
        <v>Open</v>
      </c>
      <c r="U504" s="34"/>
    </row>
    <row r="505" spans="1:21" ht="30" customHeight="1" x14ac:dyDescent="0.25">
      <c r="A505" s="30" t="s">
        <v>524</v>
      </c>
      <c r="B505" s="37">
        <v>33131</v>
      </c>
      <c r="C505" s="55" t="s">
        <v>1046</v>
      </c>
      <c r="D505" s="37" t="s">
        <v>18</v>
      </c>
      <c r="E505" s="47" t="s">
        <v>388</v>
      </c>
      <c r="F505" s="37" t="s">
        <v>1584</v>
      </c>
      <c r="G505" s="42">
        <v>37</v>
      </c>
      <c r="H505" s="37">
        <v>0</v>
      </c>
      <c r="I505" s="37" t="s">
        <v>1585</v>
      </c>
      <c r="J505" s="37" t="s">
        <v>1586</v>
      </c>
      <c r="K505" s="57" t="s">
        <v>20</v>
      </c>
      <c r="L505" s="37" t="s">
        <v>889</v>
      </c>
      <c r="M505" s="37" t="s">
        <v>392</v>
      </c>
      <c r="N505" s="37" t="s">
        <v>330</v>
      </c>
      <c r="O505" s="29" t="s">
        <v>2</v>
      </c>
      <c r="P505" s="37">
        <v>4</v>
      </c>
      <c r="Q505" s="37" t="s">
        <v>1617</v>
      </c>
      <c r="R505" s="37" t="s">
        <v>1588</v>
      </c>
      <c r="S505" t="str">
        <f>IFERROR(HYPERLINK("#Main!A"&amp;MATCH(A505,Main!A:A,0),"Open"),HYPERLINK("#Main!A1","Open"))</f>
        <v>Open</v>
      </c>
      <c r="T505" t="str">
        <f>IFERROR(HYPERLINK("#Technical!A"&amp;MATCH(A505,Technical!A:A,0),"Open"),HYPERLINK("#Technical!A1","Open"))</f>
        <v>Open</v>
      </c>
    </row>
    <row r="506" spans="1:21" ht="30" customHeight="1" x14ac:dyDescent="0.25">
      <c r="A506" s="33" t="s">
        <v>527</v>
      </c>
      <c r="B506" s="28">
        <v>21958</v>
      </c>
      <c r="C506" s="55" t="s">
        <v>1042</v>
      </c>
      <c r="D506" s="28" t="s">
        <v>18</v>
      </c>
      <c r="E506" s="47" t="s">
        <v>388</v>
      </c>
      <c r="F506" s="28" t="s">
        <v>1584</v>
      </c>
      <c r="G506" s="39">
        <v>37</v>
      </c>
      <c r="H506" s="28">
        <v>0</v>
      </c>
      <c r="I506" s="28" t="s">
        <v>1585</v>
      </c>
      <c r="J506" s="28" t="s">
        <v>1586</v>
      </c>
      <c r="K506" s="56" t="s">
        <v>20</v>
      </c>
      <c r="L506" s="28" t="s">
        <v>889</v>
      </c>
      <c r="M506" s="28" t="s">
        <v>392</v>
      </c>
      <c r="N506" s="28" t="s">
        <v>330</v>
      </c>
      <c r="O506" s="29" t="s">
        <v>2</v>
      </c>
      <c r="P506" s="28">
        <v>4</v>
      </c>
      <c r="Q506" s="28" t="s">
        <v>1618</v>
      </c>
      <c r="R506" s="28" t="s">
        <v>1588</v>
      </c>
      <c r="S506" s="34" t="str">
        <f>IFERROR(HYPERLINK("#Main!A"&amp;MATCH(A506,Main!A:A,0),"Open"),HYPERLINK("#Main!A1","Open"))</f>
        <v>Open</v>
      </c>
      <c r="T506" s="34" t="str">
        <f>IFERROR(HYPERLINK("#Technical!A"&amp;MATCH(A506,Technical!A:A,0),"Open"),HYPERLINK("#Technical!A1","Open"))</f>
        <v>Open</v>
      </c>
      <c r="U506" s="34"/>
    </row>
    <row r="507" spans="1:21" ht="45" customHeight="1" x14ac:dyDescent="0.25">
      <c r="A507" s="30" t="s">
        <v>528</v>
      </c>
      <c r="B507" s="37">
        <v>25857</v>
      </c>
      <c r="C507" s="55" t="s">
        <v>1049</v>
      </c>
      <c r="D507" s="37" t="s">
        <v>18</v>
      </c>
      <c r="E507" s="47" t="s">
        <v>388</v>
      </c>
      <c r="F507" s="37" t="s">
        <v>1584</v>
      </c>
      <c r="G507" s="42">
        <v>37</v>
      </c>
      <c r="H507" s="37">
        <v>0</v>
      </c>
      <c r="I507" s="37" t="s">
        <v>1585</v>
      </c>
      <c r="J507" s="37" t="s">
        <v>1586</v>
      </c>
      <c r="K507" s="57" t="s">
        <v>20</v>
      </c>
      <c r="L507" s="37" t="s">
        <v>889</v>
      </c>
      <c r="M507" s="37" t="s">
        <v>392</v>
      </c>
      <c r="N507" s="37" t="s">
        <v>330</v>
      </c>
      <c r="O507" s="29" t="s">
        <v>2</v>
      </c>
      <c r="P507" s="37">
        <v>4</v>
      </c>
      <c r="Q507" s="37" t="s">
        <v>1619</v>
      </c>
      <c r="R507" s="37" t="s">
        <v>1588</v>
      </c>
      <c r="S507" t="str">
        <f>IFERROR(HYPERLINK("#Main!A"&amp;MATCH(A507,Main!A:A,0),"Open"),HYPERLINK("#Main!A1","Open"))</f>
        <v>Open</v>
      </c>
      <c r="T507" t="str">
        <f>IFERROR(HYPERLINK("#Technical!A"&amp;MATCH(A507,Technical!A:A,0),"Open"),HYPERLINK("#Technical!A1","Open"))</f>
        <v>Open</v>
      </c>
    </row>
    <row r="508" spans="1:21" ht="30" customHeight="1" x14ac:dyDescent="0.25">
      <c r="A508" s="33" t="s">
        <v>531</v>
      </c>
      <c r="B508" s="28">
        <v>25788</v>
      </c>
      <c r="C508" s="55" t="s">
        <v>1051</v>
      </c>
      <c r="D508" s="28" t="s">
        <v>18</v>
      </c>
      <c r="E508" s="47" t="s">
        <v>388</v>
      </c>
      <c r="F508" s="28" t="s">
        <v>1584</v>
      </c>
      <c r="G508" s="39">
        <v>37</v>
      </c>
      <c r="H508" s="28">
        <v>0</v>
      </c>
      <c r="I508" s="28" t="s">
        <v>1585</v>
      </c>
      <c r="J508" s="28" t="s">
        <v>1586</v>
      </c>
      <c r="K508" s="56" t="s">
        <v>20</v>
      </c>
      <c r="L508" s="28" t="s">
        <v>889</v>
      </c>
      <c r="M508" s="28" t="s">
        <v>392</v>
      </c>
      <c r="N508" s="28" t="s">
        <v>330</v>
      </c>
      <c r="O508" s="29" t="s">
        <v>2</v>
      </c>
      <c r="P508" s="28">
        <v>4</v>
      </c>
      <c r="Q508" s="28" t="s">
        <v>1620</v>
      </c>
      <c r="R508" s="28" t="s">
        <v>1588</v>
      </c>
      <c r="S508" s="34" t="str">
        <f>IFERROR(HYPERLINK("#Main!A"&amp;MATCH(A508,Main!A:A,0),"Open"),HYPERLINK("#Main!A1","Open"))</f>
        <v>Open</v>
      </c>
      <c r="T508" s="34" t="str">
        <f>IFERROR(HYPERLINK("#Technical!A"&amp;MATCH(A508,Technical!A:A,0),"Open"),HYPERLINK("#Technical!A1","Open"))</f>
        <v>Open</v>
      </c>
      <c r="U508" s="34"/>
    </row>
    <row r="509" spans="1:21" ht="30" customHeight="1" x14ac:dyDescent="0.25">
      <c r="A509" s="30" t="s">
        <v>534</v>
      </c>
      <c r="B509" s="37">
        <v>26290</v>
      </c>
      <c r="C509" s="55" t="s">
        <v>1053</v>
      </c>
      <c r="D509" s="37" t="s">
        <v>18</v>
      </c>
      <c r="E509" s="47" t="s">
        <v>388</v>
      </c>
      <c r="F509" s="37" t="s">
        <v>1584</v>
      </c>
      <c r="G509" s="42">
        <v>37</v>
      </c>
      <c r="H509" s="37">
        <v>0</v>
      </c>
      <c r="I509" s="37" t="s">
        <v>1585</v>
      </c>
      <c r="J509" s="37" t="s">
        <v>1586</v>
      </c>
      <c r="K509" s="57" t="s">
        <v>20</v>
      </c>
      <c r="L509" s="37" t="s">
        <v>889</v>
      </c>
      <c r="M509" s="37" t="s">
        <v>392</v>
      </c>
      <c r="N509" s="37" t="s">
        <v>330</v>
      </c>
      <c r="O509" s="29" t="s">
        <v>2</v>
      </c>
      <c r="P509" s="37">
        <v>4</v>
      </c>
      <c r="Q509" s="37" t="s">
        <v>1621</v>
      </c>
      <c r="R509" s="37" t="s">
        <v>1588</v>
      </c>
      <c r="S509" t="str">
        <f>IFERROR(HYPERLINK("#Main!A"&amp;MATCH(A509,Main!A:A,0),"Open"),HYPERLINK("#Main!A1","Open"))</f>
        <v>Open</v>
      </c>
      <c r="T509" t="str">
        <f>IFERROR(HYPERLINK("#Technical!A"&amp;MATCH(A509,Technical!A:A,0),"Open"),HYPERLINK("#Technical!A1","Open"))</f>
        <v>Open</v>
      </c>
    </row>
    <row r="510" spans="1:21" ht="30" customHeight="1" x14ac:dyDescent="0.25">
      <c r="A510" s="33" t="s">
        <v>537</v>
      </c>
      <c r="B510" s="28">
        <v>24882</v>
      </c>
      <c r="C510" s="55" t="s">
        <v>1055</v>
      </c>
      <c r="D510" s="28" t="s">
        <v>18</v>
      </c>
      <c r="E510" s="47" t="s">
        <v>388</v>
      </c>
      <c r="F510" s="28" t="s">
        <v>1584</v>
      </c>
      <c r="G510" s="39">
        <v>37</v>
      </c>
      <c r="H510" s="28">
        <v>0</v>
      </c>
      <c r="I510" s="28" t="s">
        <v>1585</v>
      </c>
      <c r="J510" s="28" t="s">
        <v>1586</v>
      </c>
      <c r="K510" s="56" t="s">
        <v>20</v>
      </c>
      <c r="L510" s="28" t="s">
        <v>889</v>
      </c>
      <c r="M510" s="28" t="s">
        <v>392</v>
      </c>
      <c r="N510" s="28" t="s">
        <v>330</v>
      </c>
      <c r="O510" s="29" t="s">
        <v>2</v>
      </c>
      <c r="P510" s="28">
        <v>4</v>
      </c>
      <c r="Q510" s="28" t="s">
        <v>1622</v>
      </c>
      <c r="R510" s="28" t="s">
        <v>1588</v>
      </c>
      <c r="S510" s="34" t="str">
        <f>IFERROR(HYPERLINK("#Main!A"&amp;MATCH(A510,Main!A:A,0),"Open"),HYPERLINK("#Main!A1","Open"))</f>
        <v>Open</v>
      </c>
      <c r="T510" s="34" t="str">
        <f>IFERROR(HYPERLINK("#Technical!A"&amp;MATCH(A510,Technical!A:A,0),"Open"),HYPERLINK("#Technical!A1","Open"))</f>
        <v>Open</v>
      </c>
      <c r="U510" s="34"/>
    </row>
    <row r="511" spans="1:21" ht="45" customHeight="1" x14ac:dyDescent="0.25">
      <c r="A511" s="30" t="s">
        <v>540</v>
      </c>
      <c r="B511" s="37">
        <v>22595</v>
      </c>
      <c r="C511" s="55" t="s">
        <v>1057</v>
      </c>
      <c r="D511" s="37" t="s">
        <v>18</v>
      </c>
      <c r="E511" s="47" t="s">
        <v>388</v>
      </c>
      <c r="F511" s="37" t="s">
        <v>1584</v>
      </c>
      <c r="G511" s="42">
        <v>37</v>
      </c>
      <c r="H511" s="37">
        <v>0</v>
      </c>
      <c r="I511" s="37" t="s">
        <v>1585</v>
      </c>
      <c r="J511" s="37" t="s">
        <v>1586</v>
      </c>
      <c r="K511" s="57" t="s">
        <v>20</v>
      </c>
      <c r="L511" s="37" t="s">
        <v>889</v>
      </c>
      <c r="M511" s="37" t="s">
        <v>392</v>
      </c>
      <c r="N511" s="37" t="s">
        <v>330</v>
      </c>
      <c r="O511" s="29" t="s">
        <v>2</v>
      </c>
      <c r="P511" s="37">
        <v>4</v>
      </c>
      <c r="Q511" s="37" t="s">
        <v>1623</v>
      </c>
      <c r="R511" s="37" t="s">
        <v>1588</v>
      </c>
      <c r="S511" t="str">
        <f>IFERROR(HYPERLINK("#Main!A"&amp;MATCH(A511,Main!A:A,0),"Open"),HYPERLINK("#Main!A1","Open"))</f>
        <v>Open</v>
      </c>
      <c r="T511" t="str">
        <f>IFERROR(HYPERLINK("#Technical!A"&amp;MATCH(A511,Technical!A:A,0),"Open"),HYPERLINK("#Technical!A1","Open"))</f>
        <v>Open</v>
      </c>
    </row>
    <row r="512" spans="1:21" ht="30" customHeight="1" x14ac:dyDescent="0.25">
      <c r="A512" s="33" t="s">
        <v>543</v>
      </c>
      <c r="B512" s="28">
        <v>29496</v>
      </c>
      <c r="C512" s="55" t="s">
        <v>1059</v>
      </c>
      <c r="D512" s="28" t="s">
        <v>18</v>
      </c>
      <c r="E512" s="47" t="s">
        <v>388</v>
      </c>
      <c r="F512" s="28" t="s">
        <v>1584</v>
      </c>
      <c r="G512" s="39">
        <v>37</v>
      </c>
      <c r="H512" s="28">
        <v>0</v>
      </c>
      <c r="I512" s="28" t="s">
        <v>1585</v>
      </c>
      <c r="J512" s="28" t="s">
        <v>1586</v>
      </c>
      <c r="K512" s="56" t="s">
        <v>20</v>
      </c>
      <c r="L512" s="28" t="s">
        <v>889</v>
      </c>
      <c r="M512" s="28" t="s">
        <v>392</v>
      </c>
      <c r="N512" s="28" t="s">
        <v>330</v>
      </c>
      <c r="O512" s="29" t="s">
        <v>2</v>
      </c>
      <c r="P512" s="28">
        <v>4</v>
      </c>
      <c r="Q512" s="28" t="s">
        <v>1624</v>
      </c>
      <c r="R512" s="28" t="s">
        <v>1588</v>
      </c>
      <c r="S512" s="34" t="str">
        <f>IFERROR(HYPERLINK("#Main!A"&amp;MATCH(A512,Main!A:A,0),"Open"),HYPERLINK("#Main!A1","Open"))</f>
        <v>Open</v>
      </c>
      <c r="T512" s="34" t="str">
        <f>IFERROR(HYPERLINK("#Technical!A"&amp;MATCH(A512,Technical!A:A,0),"Open"),HYPERLINK("#Technical!A1","Open"))</f>
        <v>Open</v>
      </c>
      <c r="U512" s="34"/>
    </row>
    <row r="513" spans="1:21" ht="30" customHeight="1" x14ac:dyDescent="0.25">
      <c r="A513" s="30" t="s">
        <v>546</v>
      </c>
      <c r="B513" s="37">
        <v>16104</v>
      </c>
      <c r="C513" s="55" t="s">
        <v>1061</v>
      </c>
      <c r="D513" s="37" t="s">
        <v>18</v>
      </c>
      <c r="E513" s="47" t="s">
        <v>388</v>
      </c>
      <c r="F513" s="37" t="s">
        <v>1584</v>
      </c>
      <c r="G513" s="42">
        <v>37</v>
      </c>
      <c r="H513" s="37">
        <v>0</v>
      </c>
      <c r="I513" s="37" t="s">
        <v>1585</v>
      </c>
      <c r="J513" s="37" t="s">
        <v>1586</v>
      </c>
      <c r="K513" s="57" t="s">
        <v>20</v>
      </c>
      <c r="L513" s="37" t="s">
        <v>889</v>
      </c>
      <c r="M513" s="37" t="s">
        <v>392</v>
      </c>
      <c r="N513" s="37" t="s">
        <v>330</v>
      </c>
      <c r="O513" s="29" t="s">
        <v>2</v>
      </c>
      <c r="P513" s="37">
        <v>4</v>
      </c>
      <c r="Q513" s="37" t="s">
        <v>1625</v>
      </c>
      <c r="R513" s="37" t="s">
        <v>1588</v>
      </c>
      <c r="S513" t="str">
        <f>IFERROR(HYPERLINK("#Main!A"&amp;MATCH(A513,Main!A:A,0),"Open"),HYPERLINK("#Main!A1","Open"))</f>
        <v>Open</v>
      </c>
      <c r="T513" t="str">
        <f>IFERROR(HYPERLINK("#Technical!A"&amp;MATCH(A513,Technical!A:A,0),"Open"),HYPERLINK("#Technical!A1","Open"))</f>
        <v>Open</v>
      </c>
    </row>
    <row r="514" spans="1:21" ht="30" customHeight="1" x14ac:dyDescent="0.25">
      <c r="A514" s="33" t="s">
        <v>483</v>
      </c>
      <c r="B514" s="28"/>
      <c r="C514" s="28"/>
      <c r="D514" s="28" t="s">
        <v>18</v>
      </c>
      <c r="E514" s="47" t="s">
        <v>388</v>
      </c>
      <c r="F514" s="28" t="s">
        <v>1584</v>
      </c>
      <c r="G514" s="39">
        <v>37</v>
      </c>
      <c r="H514" s="28">
        <v>0</v>
      </c>
      <c r="I514" s="28" t="s">
        <v>1585</v>
      </c>
      <c r="J514" s="28" t="s">
        <v>1586</v>
      </c>
      <c r="K514" s="56" t="s">
        <v>20</v>
      </c>
      <c r="L514" s="28" t="s">
        <v>889</v>
      </c>
      <c r="M514" s="28" t="s">
        <v>392</v>
      </c>
      <c r="N514" s="28" t="s">
        <v>330</v>
      </c>
      <c r="O514" s="29" t="s">
        <v>2</v>
      </c>
      <c r="P514" s="28">
        <v>4</v>
      </c>
      <c r="Q514" s="28" t="s">
        <v>1626</v>
      </c>
      <c r="R514" s="28" t="s">
        <v>1588</v>
      </c>
      <c r="S514" s="34" t="str">
        <f>IFERROR(HYPERLINK("#Main!A"&amp;MATCH(A514,Main!A:A,0),"Open"),HYPERLINK("#Main!A1","Open"))</f>
        <v>Open</v>
      </c>
      <c r="T514" s="34" t="str">
        <f>IFERROR(HYPERLINK("#Technical!A"&amp;MATCH(A514,Technical!A:A,0),"Open"),HYPERLINK("#Technical!A1","Open"))</f>
        <v>Open</v>
      </c>
      <c r="U514" s="34"/>
    </row>
    <row r="515" spans="1:21" ht="30" customHeight="1" x14ac:dyDescent="0.25">
      <c r="A515" s="30" t="s">
        <v>549</v>
      </c>
      <c r="B515" s="37">
        <v>23021</v>
      </c>
      <c r="C515" s="55" t="s">
        <v>1063</v>
      </c>
      <c r="D515" s="37" t="s">
        <v>18</v>
      </c>
      <c r="E515" s="47" t="s">
        <v>388</v>
      </c>
      <c r="F515" s="37" t="s">
        <v>1584</v>
      </c>
      <c r="G515" s="42">
        <v>37</v>
      </c>
      <c r="H515" s="37">
        <v>0</v>
      </c>
      <c r="I515" s="37" t="s">
        <v>1585</v>
      </c>
      <c r="J515" s="37" t="s">
        <v>1586</v>
      </c>
      <c r="K515" s="57" t="s">
        <v>20</v>
      </c>
      <c r="L515" s="37" t="s">
        <v>889</v>
      </c>
      <c r="M515" s="37" t="s">
        <v>392</v>
      </c>
      <c r="N515" s="37" t="s">
        <v>330</v>
      </c>
      <c r="O515" s="29" t="s">
        <v>2</v>
      </c>
      <c r="P515" s="37">
        <v>4</v>
      </c>
      <c r="Q515" s="37" t="s">
        <v>1627</v>
      </c>
      <c r="R515" s="37" t="s">
        <v>1588</v>
      </c>
      <c r="S515" t="str">
        <f>IFERROR(HYPERLINK("#Main!A"&amp;MATCH(A515,Main!A:A,0),"Open"),HYPERLINK("#Main!A1","Open"))</f>
        <v>Open</v>
      </c>
      <c r="T515" t="str">
        <f>IFERROR(HYPERLINK("#Technical!A"&amp;MATCH(A515,Technical!A:A,0),"Open"),HYPERLINK("#Technical!A1","Open"))</f>
        <v>Open</v>
      </c>
    </row>
    <row r="516" spans="1:21" ht="30" customHeight="1" x14ac:dyDescent="0.25">
      <c r="A516" s="33" t="s">
        <v>552</v>
      </c>
      <c r="B516" s="28">
        <v>6553</v>
      </c>
      <c r="C516" s="55" t="s">
        <v>1065</v>
      </c>
      <c r="D516" s="28" t="s">
        <v>18</v>
      </c>
      <c r="E516" s="47" t="s">
        <v>388</v>
      </c>
      <c r="F516" s="28" t="s">
        <v>1584</v>
      </c>
      <c r="G516" s="39">
        <v>37</v>
      </c>
      <c r="H516" s="28">
        <v>0</v>
      </c>
      <c r="I516" s="28" t="s">
        <v>1585</v>
      </c>
      <c r="J516" s="28" t="s">
        <v>1586</v>
      </c>
      <c r="K516" s="56" t="s">
        <v>20</v>
      </c>
      <c r="L516" s="28" t="s">
        <v>889</v>
      </c>
      <c r="M516" s="28" t="s">
        <v>392</v>
      </c>
      <c r="N516" s="28" t="s">
        <v>330</v>
      </c>
      <c r="O516" s="29" t="s">
        <v>2</v>
      </c>
      <c r="P516" s="28">
        <v>4</v>
      </c>
      <c r="Q516" s="28" t="s">
        <v>1628</v>
      </c>
      <c r="R516" s="28" t="s">
        <v>1588</v>
      </c>
      <c r="S516" s="34" t="str">
        <f>IFERROR(HYPERLINK("#Main!A"&amp;MATCH(A516,Main!A:A,0),"Open"),HYPERLINK("#Main!A1","Open"))</f>
        <v>Open</v>
      </c>
      <c r="T516" s="34" t="str">
        <f>IFERROR(HYPERLINK("#Technical!A"&amp;MATCH(A516,Technical!A:A,0),"Open"),HYPERLINK("#Technical!A1","Open"))</f>
        <v>Open</v>
      </c>
      <c r="U516" s="34"/>
    </row>
    <row r="517" spans="1:21" ht="30" customHeight="1" x14ac:dyDescent="0.25">
      <c r="A517" s="30" t="s">
        <v>555</v>
      </c>
      <c r="B517" s="37">
        <v>6816</v>
      </c>
      <c r="C517" s="55" t="s">
        <v>1067</v>
      </c>
      <c r="D517" s="37" t="s">
        <v>18</v>
      </c>
      <c r="E517" s="47" t="s">
        <v>388</v>
      </c>
      <c r="F517" s="37" t="s">
        <v>1584</v>
      </c>
      <c r="G517" s="42">
        <v>37</v>
      </c>
      <c r="H517" s="37">
        <v>0</v>
      </c>
      <c r="I517" s="37" t="s">
        <v>1585</v>
      </c>
      <c r="J517" s="37" t="s">
        <v>1586</v>
      </c>
      <c r="K517" s="57" t="s">
        <v>20</v>
      </c>
      <c r="L517" s="37" t="s">
        <v>889</v>
      </c>
      <c r="M517" s="37" t="s">
        <v>392</v>
      </c>
      <c r="N517" s="37" t="s">
        <v>330</v>
      </c>
      <c r="O517" s="29" t="s">
        <v>2</v>
      </c>
      <c r="P517" s="37">
        <v>4</v>
      </c>
      <c r="Q517" s="37" t="s">
        <v>1629</v>
      </c>
      <c r="R517" s="37" t="s">
        <v>1588</v>
      </c>
      <c r="S517" t="str">
        <f>IFERROR(HYPERLINK("#Main!A"&amp;MATCH(A517,Main!A:A,0),"Open"),HYPERLINK("#Main!A1","Open"))</f>
        <v>Open</v>
      </c>
      <c r="T517" t="str">
        <f>IFERROR(HYPERLINK("#Technical!A"&amp;MATCH(A517,Technical!A:A,0),"Open"),HYPERLINK("#Technical!A1","Open"))</f>
        <v>Open</v>
      </c>
    </row>
    <row r="518" spans="1:21" ht="30" customHeight="1" x14ac:dyDescent="0.25">
      <c r="A518" s="33" t="s">
        <v>557</v>
      </c>
      <c r="B518" s="28">
        <v>6822</v>
      </c>
      <c r="C518" s="55" t="s">
        <v>1069</v>
      </c>
      <c r="D518" s="28" t="s">
        <v>18</v>
      </c>
      <c r="E518" s="47" t="s">
        <v>388</v>
      </c>
      <c r="F518" s="28" t="s">
        <v>1584</v>
      </c>
      <c r="G518" s="39">
        <v>37</v>
      </c>
      <c r="H518" s="28">
        <v>0</v>
      </c>
      <c r="I518" s="28" t="s">
        <v>1585</v>
      </c>
      <c r="J518" s="28" t="s">
        <v>1586</v>
      </c>
      <c r="K518" s="56" t="s">
        <v>20</v>
      </c>
      <c r="L518" s="28" t="s">
        <v>889</v>
      </c>
      <c r="M518" s="28" t="s">
        <v>392</v>
      </c>
      <c r="N518" s="28" t="s">
        <v>330</v>
      </c>
      <c r="O518" s="29" t="s">
        <v>2</v>
      </c>
      <c r="P518" s="28">
        <v>4</v>
      </c>
      <c r="Q518" s="28" t="s">
        <v>1630</v>
      </c>
      <c r="R518" s="28" t="s">
        <v>1588</v>
      </c>
      <c r="S518" s="34" t="str">
        <f>IFERROR(HYPERLINK("#Main!A"&amp;MATCH(A518,Main!A:A,0),"Open"),HYPERLINK("#Main!A1","Open"))</f>
        <v>Open</v>
      </c>
      <c r="T518" s="34" t="str">
        <f>IFERROR(HYPERLINK("#Technical!A"&amp;MATCH(A518,Technical!A:A,0),"Open"),HYPERLINK("#Technical!A1","Open"))</f>
        <v>Open</v>
      </c>
      <c r="U518" s="34"/>
    </row>
    <row r="519" spans="1:21" ht="30" customHeight="1" x14ac:dyDescent="0.25">
      <c r="A519" s="30" t="s">
        <v>560</v>
      </c>
      <c r="B519" s="37">
        <v>4492</v>
      </c>
      <c r="C519" s="55" t="s">
        <v>1071</v>
      </c>
      <c r="D519" s="37" t="s">
        <v>18</v>
      </c>
      <c r="E519" s="47" t="s">
        <v>388</v>
      </c>
      <c r="F519" s="37" t="s">
        <v>1584</v>
      </c>
      <c r="G519" s="42">
        <v>37</v>
      </c>
      <c r="H519" s="37">
        <v>0</v>
      </c>
      <c r="I519" s="37" t="s">
        <v>1585</v>
      </c>
      <c r="J519" s="37" t="s">
        <v>1586</v>
      </c>
      <c r="K519" s="57" t="s">
        <v>20</v>
      </c>
      <c r="L519" s="37" t="s">
        <v>889</v>
      </c>
      <c r="M519" s="37" t="s">
        <v>392</v>
      </c>
      <c r="N519" s="37" t="s">
        <v>330</v>
      </c>
      <c r="O519" s="29" t="s">
        <v>2</v>
      </c>
      <c r="P519" s="37">
        <v>4</v>
      </c>
      <c r="Q519" s="37" t="s">
        <v>1631</v>
      </c>
      <c r="R519" s="37" t="s">
        <v>1588</v>
      </c>
      <c r="S519" t="str">
        <f>IFERROR(HYPERLINK("#Main!A"&amp;MATCH(A519,Main!A:A,0),"Open"),HYPERLINK("#Main!A1","Open"))</f>
        <v>Open</v>
      </c>
      <c r="T519" t="str">
        <f>IFERROR(HYPERLINK("#Technical!A"&amp;MATCH(A519,Technical!A:A,0),"Open"),HYPERLINK("#Technical!A1","Open"))</f>
        <v>Open</v>
      </c>
    </row>
    <row r="520" spans="1:21" ht="30" customHeight="1" x14ac:dyDescent="0.25">
      <c r="A520" s="33" t="s">
        <v>563</v>
      </c>
      <c r="B520" s="28">
        <v>23001</v>
      </c>
      <c r="C520" s="55" t="s">
        <v>1073</v>
      </c>
      <c r="D520" s="28" t="s">
        <v>18</v>
      </c>
      <c r="E520" s="47" t="s">
        <v>388</v>
      </c>
      <c r="F520" s="28" t="s">
        <v>1584</v>
      </c>
      <c r="G520" s="39">
        <v>37</v>
      </c>
      <c r="H520" s="28">
        <v>0</v>
      </c>
      <c r="I520" s="28" t="s">
        <v>1585</v>
      </c>
      <c r="J520" s="28" t="s">
        <v>1586</v>
      </c>
      <c r="K520" s="56" t="s">
        <v>20</v>
      </c>
      <c r="L520" s="28" t="s">
        <v>889</v>
      </c>
      <c r="M520" s="28" t="s">
        <v>392</v>
      </c>
      <c r="N520" s="28" t="s">
        <v>330</v>
      </c>
      <c r="O520" s="29" t="s">
        <v>2</v>
      </c>
      <c r="P520" s="28">
        <v>4</v>
      </c>
      <c r="Q520" s="28" t="s">
        <v>1632</v>
      </c>
      <c r="R520" s="28" t="s">
        <v>1588</v>
      </c>
      <c r="S520" s="34" t="str">
        <f>IFERROR(HYPERLINK("#Main!A"&amp;MATCH(A520,Main!A:A,0),"Open"),HYPERLINK("#Main!A1","Open"))</f>
        <v>Open</v>
      </c>
      <c r="T520" s="34" t="str">
        <f>IFERROR(HYPERLINK("#Technical!A"&amp;MATCH(A520,Technical!A:A,0),"Open"),HYPERLINK("#Technical!A1","Open"))</f>
        <v>Open</v>
      </c>
      <c r="U520" s="34"/>
    </row>
    <row r="521" spans="1:21" ht="30" customHeight="1" x14ac:dyDescent="0.25">
      <c r="A521" s="30" t="s">
        <v>566</v>
      </c>
      <c r="B521" s="37">
        <v>21952</v>
      </c>
      <c r="C521" s="55" t="s">
        <v>1075</v>
      </c>
      <c r="D521" s="37" t="s">
        <v>18</v>
      </c>
      <c r="E521" s="47" t="s">
        <v>388</v>
      </c>
      <c r="F521" s="37" t="s">
        <v>1584</v>
      </c>
      <c r="G521" s="42">
        <v>37</v>
      </c>
      <c r="H521" s="37">
        <v>0</v>
      </c>
      <c r="I521" s="37" t="s">
        <v>1585</v>
      </c>
      <c r="J521" s="37" t="s">
        <v>1586</v>
      </c>
      <c r="K521" s="57" t="s">
        <v>20</v>
      </c>
      <c r="L521" s="37" t="s">
        <v>889</v>
      </c>
      <c r="M521" s="37" t="s">
        <v>392</v>
      </c>
      <c r="N521" s="37" t="s">
        <v>330</v>
      </c>
      <c r="O521" s="29" t="s">
        <v>2</v>
      </c>
      <c r="P521" s="37">
        <v>4</v>
      </c>
      <c r="Q521" s="37" t="s">
        <v>1633</v>
      </c>
      <c r="R521" s="37" t="s">
        <v>1588</v>
      </c>
      <c r="S521" t="str">
        <f>IFERROR(HYPERLINK("#Main!A"&amp;MATCH(A521,Main!A:A,0),"Open"),HYPERLINK("#Main!A1","Open"))</f>
        <v>Open</v>
      </c>
      <c r="T521" t="str">
        <f>IFERROR(HYPERLINK("#Technical!A"&amp;MATCH(A521,Technical!A:A,0),"Open"),HYPERLINK("#Technical!A1","Open"))</f>
        <v>Open</v>
      </c>
    </row>
    <row r="522" spans="1:21" ht="30" customHeight="1" x14ac:dyDescent="0.25">
      <c r="A522" s="33" t="s">
        <v>570</v>
      </c>
      <c r="B522" s="28">
        <v>22679</v>
      </c>
      <c r="C522" s="55" t="s">
        <v>1077</v>
      </c>
      <c r="D522" s="28" t="s">
        <v>18</v>
      </c>
      <c r="E522" s="47" t="s">
        <v>388</v>
      </c>
      <c r="F522" s="28" t="s">
        <v>1584</v>
      </c>
      <c r="G522" s="39">
        <v>37</v>
      </c>
      <c r="H522" s="28">
        <v>0</v>
      </c>
      <c r="I522" s="28" t="s">
        <v>1585</v>
      </c>
      <c r="J522" s="28" t="s">
        <v>1586</v>
      </c>
      <c r="K522" s="56" t="s">
        <v>20</v>
      </c>
      <c r="L522" s="28" t="s">
        <v>889</v>
      </c>
      <c r="M522" s="28" t="s">
        <v>392</v>
      </c>
      <c r="N522" s="28" t="s">
        <v>330</v>
      </c>
      <c r="O522" s="29" t="s">
        <v>2</v>
      </c>
      <c r="P522" s="28">
        <v>4</v>
      </c>
      <c r="Q522" s="28" t="s">
        <v>1634</v>
      </c>
      <c r="R522" s="28" t="s">
        <v>1588</v>
      </c>
      <c r="S522" s="34" t="str">
        <f>IFERROR(HYPERLINK("#Main!A"&amp;MATCH(A522,Main!A:A,0),"Open"),HYPERLINK("#Main!A1","Open"))</f>
        <v>Open</v>
      </c>
      <c r="T522" s="34" t="str">
        <f>IFERROR(HYPERLINK("#Technical!A"&amp;MATCH(A522,Technical!A:A,0),"Open"),HYPERLINK("#Technical!A1","Open"))</f>
        <v>Open</v>
      </c>
      <c r="U522" s="34"/>
    </row>
    <row r="523" spans="1:21" ht="30" customHeight="1" x14ac:dyDescent="0.25">
      <c r="A523" s="30" t="s">
        <v>573</v>
      </c>
      <c r="B523" s="37">
        <v>34622</v>
      </c>
      <c r="C523" s="55" t="s">
        <v>1079</v>
      </c>
      <c r="D523" s="37" t="s">
        <v>18</v>
      </c>
      <c r="E523" s="47" t="s">
        <v>388</v>
      </c>
      <c r="F523" s="37" t="s">
        <v>1584</v>
      </c>
      <c r="G523" s="42">
        <v>37</v>
      </c>
      <c r="H523" s="37">
        <v>0</v>
      </c>
      <c r="I523" s="37" t="s">
        <v>1585</v>
      </c>
      <c r="J523" s="37" t="s">
        <v>1586</v>
      </c>
      <c r="K523" s="57" t="s">
        <v>20</v>
      </c>
      <c r="L523" s="37" t="s">
        <v>889</v>
      </c>
      <c r="M523" s="37" t="s">
        <v>392</v>
      </c>
      <c r="N523" s="37" t="s">
        <v>330</v>
      </c>
      <c r="O523" s="29" t="s">
        <v>2</v>
      </c>
      <c r="P523" s="37">
        <v>4</v>
      </c>
      <c r="Q523" s="37" t="s">
        <v>1635</v>
      </c>
      <c r="R523" s="37" t="s">
        <v>1588</v>
      </c>
      <c r="S523" t="str">
        <f>IFERROR(HYPERLINK("#Main!A"&amp;MATCH(A523,Main!A:A,0),"Open"),HYPERLINK("#Main!A1","Open"))</f>
        <v>Open</v>
      </c>
      <c r="T523" t="str">
        <f>IFERROR(HYPERLINK("#Technical!A"&amp;MATCH(A523,Technical!A:A,0),"Open"),HYPERLINK("#Technical!A1","Open"))</f>
        <v>Open</v>
      </c>
    </row>
    <row r="524" spans="1:21" ht="30" customHeight="1" x14ac:dyDescent="0.25">
      <c r="A524" s="33" t="s">
        <v>577</v>
      </c>
      <c r="B524" s="28">
        <v>32554</v>
      </c>
      <c r="C524" s="55" t="s">
        <v>1081</v>
      </c>
      <c r="D524" s="28" t="s">
        <v>18</v>
      </c>
      <c r="E524" s="47" t="s">
        <v>388</v>
      </c>
      <c r="F524" s="28" t="s">
        <v>1584</v>
      </c>
      <c r="G524" s="39">
        <v>37</v>
      </c>
      <c r="H524" s="28">
        <v>0</v>
      </c>
      <c r="I524" s="28" t="s">
        <v>1585</v>
      </c>
      <c r="J524" s="28" t="s">
        <v>1586</v>
      </c>
      <c r="K524" s="56" t="s">
        <v>20</v>
      </c>
      <c r="L524" s="28" t="s">
        <v>889</v>
      </c>
      <c r="M524" s="28" t="s">
        <v>392</v>
      </c>
      <c r="N524" s="28" t="s">
        <v>330</v>
      </c>
      <c r="O524" s="29" t="s">
        <v>2</v>
      </c>
      <c r="P524" s="28">
        <v>4</v>
      </c>
      <c r="Q524" s="28" t="s">
        <v>1636</v>
      </c>
      <c r="R524" s="28" t="s">
        <v>1588</v>
      </c>
      <c r="S524" s="34" t="str">
        <f>IFERROR(HYPERLINK("#Main!A"&amp;MATCH(A524,Main!A:A,0),"Open"),HYPERLINK("#Main!A1","Open"))</f>
        <v>Open</v>
      </c>
      <c r="T524" s="34" t="str">
        <f>IFERROR(HYPERLINK("#Technical!A"&amp;MATCH(A524,Technical!A:A,0),"Open"),HYPERLINK("#Technical!A1","Open"))</f>
        <v>Open</v>
      </c>
      <c r="U524" s="34"/>
    </row>
    <row r="525" spans="1:21" ht="30" customHeight="1" x14ac:dyDescent="0.25">
      <c r="A525" s="30" t="s">
        <v>579</v>
      </c>
      <c r="B525" s="37">
        <v>34552</v>
      </c>
      <c r="C525" s="55" t="s">
        <v>1083</v>
      </c>
      <c r="D525" s="37" t="s">
        <v>18</v>
      </c>
      <c r="E525" s="47" t="s">
        <v>388</v>
      </c>
      <c r="F525" s="37" t="s">
        <v>1584</v>
      </c>
      <c r="G525" s="42">
        <v>37</v>
      </c>
      <c r="H525" s="37">
        <v>0</v>
      </c>
      <c r="I525" s="37" t="s">
        <v>1585</v>
      </c>
      <c r="J525" s="37" t="s">
        <v>1586</v>
      </c>
      <c r="K525" s="57" t="s">
        <v>20</v>
      </c>
      <c r="L525" s="37" t="s">
        <v>889</v>
      </c>
      <c r="M525" s="37" t="s">
        <v>392</v>
      </c>
      <c r="N525" s="37" t="s">
        <v>330</v>
      </c>
      <c r="O525" s="29" t="s">
        <v>2</v>
      </c>
      <c r="P525" s="37">
        <v>4</v>
      </c>
      <c r="Q525" s="37" t="s">
        <v>1637</v>
      </c>
      <c r="R525" s="37" t="s">
        <v>1588</v>
      </c>
      <c r="S525" t="str">
        <f>IFERROR(HYPERLINK("#Main!A"&amp;MATCH(A525,Main!A:A,0),"Open"),HYPERLINK("#Main!A1","Open"))</f>
        <v>Open</v>
      </c>
      <c r="T525" t="str">
        <f>IFERROR(HYPERLINK("#Technical!A"&amp;MATCH(A525,Technical!A:A,0),"Open"),HYPERLINK("#Technical!A1","Open"))</f>
        <v>Open</v>
      </c>
    </row>
    <row r="526" spans="1:21" ht="30" customHeight="1" x14ac:dyDescent="0.25">
      <c r="A526" s="33" t="s">
        <v>582</v>
      </c>
      <c r="B526" s="28">
        <v>28742</v>
      </c>
      <c r="C526" s="55" t="s">
        <v>1085</v>
      </c>
      <c r="D526" s="28" t="s">
        <v>18</v>
      </c>
      <c r="E526" s="47" t="s">
        <v>388</v>
      </c>
      <c r="F526" s="28" t="s">
        <v>1584</v>
      </c>
      <c r="G526" s="39">
        <v>37</v>
      </c>
      <c r="H526" s="28">
        <v>0</v>
      </c>
      <c r="I526" s="28" t="s">
        <v>1585</v>
      </c>
      <c r="J526" s="28" t="s">
        <v>1586</v>
      </c>
      <c r="K526" s="56" t="s">
        <v>20</v>
      </c>
      <c r="L526" s="28" t="s">
        <v>889</v>
      </c>
      <c r="M526" s="28" t="s">
        <v>392</v>
      </c>
      <c r="N526" s="28" t="s">
        <v>330</v>
      </c>
      <c r="O526" s="29" t="s">
        <v>2</v>
      </c>
      <c r="P526" s="28">
        <v>4</v>
      </c>
      <c r="Q526" s="28" t="s">
        <v>1638</v>
      </c>
      <c r="R526" s="28" t="s">
        <v>1588</v>
      </c>
      <c r="S526" s="34" t="str">
        <f>IFERROR(HYPERLINK("#Main!A"&amp;MATCH(A526,Main!A:A,0),"Open"),HYPERLINK("#Main!A1","Open"))</f>
        <v>Open</v>
      </c>
      <c r="T526" s="34" t="str">
        <f>IFERROR(HYPERLINK("#Technical!A"&amp;MATCH(A526,Technical!A:A,0),"Open"),HYPERLINK("#Technical!A1","Open"))</f>
        <v>Open</v>
      </c>
      <c r="U526" s="34"/>
    </row>
    <row r="527" spans="1:21" ht="30" customHeight="1" x14ac:dyDescent="0.25">
      <c r="A527" s="30" t="s">
        <v>585</v>
      </c>
      <c r="B527" s="37">
        <v>9075</v>
      </c>
      <c r="C527" s="55" t="s">
        <v>1087</v>
      </c>
      <c r="D527" s="37" t="s">
        <v>18</v>
      </c>
      <c r="E527" s="47" t="s">
        <v>388</v>
      </c>
      <c r="F527" s="37" t="s">
        <v>1584</v>
      </c>
      <c r="G527" s="42">
        <v>37</v>
      </c>
      <c r="H527" s="37">
        <v>0</v>
      </c>
      <c r="I527" s="37" t="s">
        <v>1585</v>
      </c>
      <c r="J527" s="37" t="s">
        <v>1586</v>
      </c>
      <c r="K527" s="57" t="s">
        <v>20</v>
      </c>
      <c r="L527" s="37" t="s">
        <v>889</v>
      </c>
      <c r="M527" s="37" t="s">
        <v>392</v>
      </c>
      <c r="N527" s="37" t="s">
        <v>330</v>
      </c>
      <c r="O527" s="29" t="s">
        <v>2</v>
      </c>
      <c r="P527" s="37">
        <v>4</v>
      </c>
      <c r="Q527" s="37" t="s">
        <v>1639</v>
      </c>
      <c r="R527" s="37" t="s">
        <v>1588</v>
      </c>
      <c r="S527" t="str">
        <f>IFERROR(HYPERLINK("#Main!A"&amp;MATCH(A527,Main!A:A,0),"Open"),HYPERLINK("#Main!A1","Open"))</f>
        <v>Open</v>
      </c>
      <c r="T527" t="str">
        <f>IFERROR(HYPERLINK("#Technical!A"&amp;MATCH(A527,Technical!A:A,0),"Open"),HYPERLINK("#Technical!A1","Open"))</f>
        <v>Open</v>
      </c>
    </row>
    <row r="528" spans="1:21" ht="30" customHeight="1" x14ac:dyDescent="0.25">
      <c r="A528" s="33" t="s">
        <v>588</v>
      </c>
      <c r="B528" s="28">
        <v>20001</v>
      </c>
      <c r="C528" s="55" t="s">
        <v>1089</v>
      </c>
      <c r="D528" s="28" t="s">
        <v>18</v>
      </c>
      <c r="E528" s="47" t="s">
        <v>388</v>
      </c>
      <c r="F528" s="28" t="s">
        <v>1584</v>
      </c>
      <c r="G528" s="39">
        <v>37</v>
      </c>
      <c r="H528" s="28">
        <v>0</v>
      </c>
      <c r="I528" s="28" t="s">
        <v>1585</v>
      </c>
      <c r="J528" s="28" t="s">
        <v>1586</v>
      </c>
      <c r="K528" s="56" t="s">
        <v>20</v>
      </c>
      <c r="L528" s="28" t="s">
        <v>889</v>
      </c>
      <c r="M528" s="28" t="s">
        <v>392</v>
      </c>
      <c r="N528" s="28" t="s">
        <v>330</v>
      </c>
      <c r="O528" s="29" t="s">
        <v>2</v>
      </c>
      <c r="P528" s="28">
        <v>4</v>
      </c>
      <c r="Q528" s="28" t="s">
        <v>1640</v>
      </c>
      <c r="R528" s="28" t="s">
        <v>1588</v>
      </c>
      <c r="S528" s="34" t="str">
        <f>IFERROR(HYPERLINK("#Main!A"&amp;MATCH(A528,Main!A:A,0),"Open"),HYPERLINK("#Main!A1","Open"))</f>
        <v>Open</v>
      </c>
      <c r="T528" s="34" t="str">
        <f>IFERROR(HYPERLINK("#Technical!A"&amp;MATCH(A528,Technical!A:A,0),"Open"),HYPERLINK("#Technical!A1","Open"))</f>
        <v>Open</v>
      </c>
      <c r="U528" s="34"/>
    </row>
    <row r="529" spans="1:21" ht="30" customHeight="1" x14ac:dyDescent="0.25">
      <c r="A529" s="30" t="s">
        <v>591</v>
      </c>
      <c r="B529" s="37">
        <v>19980</v>
      </c>
      <c r="C529" s="55" t="s">
        <v>1091</v>
      </c>
      <c r="D529" s="37" t="s">
        <v>18</v>
      </c>
      <c r="E529" s="47" t="s">
        <v>388</v>
      </c>
      <c r="F529" s="37" t="s">
        <v>1584</v>
      </c>
      <c r="G529" s="42">
        <v>37</v>
      </c>
      <c r="H529" s="37">
        <v>0</v>
      </c>
      <c r="I529" s="37" t="s">
        <v>1585</v>
      </c>
      <c r="J529" s="37" t="s">
        <v>1586</v>
      </c>
      <c r="K529" s="57" t="s">
        <v>20</v>
      </c>
      <c r="L529" s="37" t="s">
        <v>889</v>
      </c>
      <c r="M529" s="37" t="s">
        <v>392</v>
      </c>
      <c r="N529" s="37" t="s">
        <v>330</v>
      </c>
      <c r="O529" s="29" t="s">
        <v>2</v>
      </c>
      <c r="P529" s="37">
        <v>4</v>
      </c>
      <c r="Q529" s="37" t="s">
        <v>1641</v>
      </c>
      <c r="R529" s="37" t="s">
        <v>1588</v>
      </c>
      <c r="S529" t="str">
        <f>IFERROR(HYPERLINK("#Main!A"&amp;MATCH(A529,Main!A:A,0),"Open"),HYPERLINK("#Main!A1","Open"))</f>
        <v>Open</v>
      </c>
      <c r="T529" t="str">
        <f>IFERROR(HYPERLINK("#Technical!A"&amp;MATCH(A529,Technical!A:A,0),"Open"),HYPERLINK("#Technical!A1","Open"))</f>
        <v>Open</v>
      </c>
    </row>
    <row r="530" spans="1:21" ht="30" customHeight="1" x14ac:dyDescent="0.25">
      <c r="A530" s="33" t="s">
        <v>594</v>
      </c>
      <c r="B530" s="28">
        <v>10823</v>
      </c>
      <c r="C530" s="55" t="s">
        <v>1093</v>
      </c>
      <c r="D530" s="28" t="s">
        <v>18</v>
      </c>
      <c r="E530" s="47" t="s">
        <v>388</v>
      </c>
      <c r="F530" s="28" t="s">
        <v>1584</v>
      </c>
      <c r="G530" s="39">
        <v>37</v>
      </c>
      <c r="H530" s="28">
        <v>0</v>
      </c>
      <c r="I530" s="28" t="s">
        <v>1585</v>
      </c>
      <c r="J530" s="28" t="s">
        <v>1586</v>
      </c>
      <c r="K530" s="56" t="s">
        <v>20</v>
      </c>
      <c r="L530" s="28" t="s">
        <v>889</v>
      </c>
      <c r="M530" s="28" t="s">
        <v>392</v>
      </c>
      <c r="N530" s="28" t="s">
        <v>330</v>
      </c>
      <c r="O530" s="29" t="s">
        <v>2</v>
      </c>
      <c r="P530" s="28">
        <v>4</v>
      </c>
      <c r="Q530" s="28" t="s">
        <v>1642</v>
      </c>
      <c r="R530" s="28" t="s">
        <v>1588</v>
      </c>
      <c r="S530" s="34" t="str">
        <f>IFERROR(HYPERLINK("#Main!A"&amp;MATCH(A530,Main!A:A,0),"Open"),HYPERLINK("#Main!A1","Open"))</f>
        <v>Open</v>
      </c>
      <c r="T530" s="34" t="str">
        <f>IFERROR(HYPERLINK("#Technical!A"&amp;MATCH(A530,Technical!A:A,0),"Open"),HYPERLINK("#Technical!A1","Open"))</f>
        <v>Open</v>
      </c>
      <c r="U530" s="34"/>
    </row>
    <row r="531" spans="1:21" ht="30" customHeight="1" x14ac:dyDescent="0.25">
      <c r="A531" s="30" t="s">
        <v>597</v>
      </c>
      <c r="B531" s="37">
        <v>17908</v>
      </c>
      <c r="C531" s="55" t="s">
        <v>975</v>
      </c>
      <c r="D531" s="37" t="s">
        <v>18</v>
      </c>
      <c r="E531" s="47" t="s">
        <v>388</v>
      </c>
      <c r="F531" s="37" t="s">
        <v>1584</v>
      </c>
      <c r="G531" s="42">
        <v>37</v>
      </c>
      <c r="H531" s="37">
        <v>0</v>
      </c>
      <c r="I531" s="37" t="s">
        <v>1585</v>
      </c>
      <c r="J531" s="37" t="s">
        <v>1586</v>
      </c>
      <c r="K531" s="57" t="s">
        <v>20</v>
      </c>
      <c r="L531" s="37" t="s">
        <v>889</v>
      </c>
      <c r="M531" s="37" t="s">
        <v>392</v>
      </c>
      <c r="N531" s="37" t="s">
        <v>330</v>
      </c>
      <c r="O531" s="29" t="s">
        <v>2</v>
      </c>
      <c r="P531" s="37">
        <v>4</v>
      </c>
      <c r="Q531" s="37" t="s">
        <v>1643</v>
      </c>
      <c r="R531" s="37" t="s">
        <v>1588</v>
      </c>
      <c r="S531" t="str">
        <f>IFERROR(HYPERLINK("#Main!A"&amp;MATCH(A531,Main!A:A,0),"Open"),HYPERLINK("#Main!A1","Open"))</f>
        <v>Open</v>
      </c>
      <c r="T531" t="str">
        <f>IFERROR(HYPERLINK("#Technical!A"&amp;MATCH(A531,Technical!A:A,0),"Open"),HYPERLINK("#Technical!A1","Open"))</f>
        <v>Open</v>
      </c>
    </row>
    <row r="532" spans="1:21" ht="30" customHeight="1" x14ac:dyDescent="0.25">
      <c r="A532" s="33" t="s">
        <v>601</v>
      </c>
      <c r="B532" s="28">
        <v>24640</v>
      </c>
      <c r="C532" s="55" t="s">
        <v>1096</v>
      </c>
      <c r="D532" s="28" t="s">
        <v>18</v>
      </c>
      <c r="E532" s="47" t="s">
        <v>388</v>
      </c>
      <c r="F532" s="28" t="s">
        <v>1584</v>
      </c>
      <c r="G532" s="39">
        <v>37</v>
      </c>
      <c r="H532" s="28">
        <v>0</v>
      </c>
      <c r="I532" s="28" t="s">
        <v>1585</v>
      </c>
      <c r="J532" s="28" t="s">
        <v>1586</v>
      </c>
      <c r="K532" s="56" t="s">
        <v>20</v>
      </c>
      <c r="L532" s="28" t="s">
        <v>889</v>
      </c>
      <c r="M532" s="28" t="s">
        <v>392</v>
      </c>
      <c r="N532" s="28" t="s">
        <v>330</v>
      </c>
      <c r="O532" s="29" t="s">
        <v>2</v>
      </c>
      <c r="P532" s="28">
        <v>4</v>
      </c>
      <c r="Q532" s="28" t="s">
        <v>1644</v>
      </c>
      <c r="R532" s="28" t="s">
        <v>1588</v>
      </c>
      <c r="S532" s="34" t="str">
        <f>IFERROR(HYPERLINK("#Main!A"&amp;MATCH(A532,Main!A:A,0),"Open"),HYPERLINK("#Main!A1","Open"))</f>
        <v>Open</v>
      </c>
      <c r="T532" s="34" t="str">
        <f>IFERROR(HYPERLINK("#Technical!A"&amp;MATCH(A532,Technical!A:A,0),"Open"),HYPERLINK("#Technical!A1","Open"))</f>
        <v>Open</v>
      </c>
      <c r="U532" s="34"/>
    </row>
    <row r="533" spans="1:21" ht="30" customHeight="1" x14ac:dyDescent="0.25">
      <c r="A533" s="30" t="s">
        <v>604</v>
      </c>
      <c r="B533" s="37">
        <v>16472</v>
      </c>
      <c r="C533" s="55" t="s">
        <v>1098</v>
      </c>
      <c r="D533" s="37" t="s">
        <v>18</v>
      </c>
      <c r="E533" s="47" t="s">
        <v>388</v>
      </c>
      <c r="F533" s="37" t="s">
        <v>1584</v>
      </c>
      <c r="G533" s="42">
        <v>37</v>
      </c>
      <c r="H533" s="37">
        <v>0</v>
      </c>
      <c r="I533" s="37" t="s">
        <v>1585</v>
      </c>
      <c r="J533" s="37" t="s">
        <v>1586</v>
      </c>
      <c r="K533" s="57" t="s">
        <v>20</v>
      </c>
      <c r="L533" s="37" t="s">
        <v>889</v>
      </c>
      <c r="M533" s="37" t="s">
        <v>392</v>
      </c>
      <c r="N533" s="37" t="s">
        <v>330</v>
      </c>
      <c r="O533" s="29" t="s">
        <v>2</v>
      </c>
      <c r="P533" s="37">
        <v>4</v>
      </c>
      <c r="Q533" s="37" t="s">
        <v>1645</v>
      </c>
      <c r="R533" s="37" t="s">
        <v>1588</v>
      </c>
      <c r="S533" t="str">
        <f>IFERROR(HYPERLINK("#Main!A"&amp;MATCH(A533,Main!A:A,0),"Open"),HYPERLINK("#Main!A1","Open"))</f>
        <v>Open</v>
      </c>
      <c r="T533" t="str">
        <f>IFERROR(HYPERLINK("#Technical!A"&amp;MATCH(A533,Technical!A:A,0),"Open"),HYPERLINK("#Technical!A1","Open"))</f>
        <v>Open</v>
      </c>
    </row>
    <row r="534" spans="1:21" ht="30" customHeight="1" x14ac:dyDescent="0.25">
      <c r="A534" s="33" t="s">
        <v>608</v>
      </c>
      <c r="B534" s="28">
        <v>92</v>
      </c>
      <c r="C534" s="55" t="s">
        <v>1100</v>
      </c>
      <c r="D534" s="28" t="s">
        <v>18</v>
      </c>
      <c r="E534" s="47" t="s">
        <v>388</v>
      </c>
      <c r="F534" s="28" t="s">
        <v>1584</v>
      </c>
      <c r="G534" s="39">
        <v>37</v>
      </c>
      <c r="H534" s="28">
        <v>0</v>
      </c>
      <c r="I534" s="28" t="s">
        <v>1585</v>
      </c>
      <c r="J534" s="28" t="s">
        <v>1586</v>
      </c>
      <c r="K534" s="56" t="s">
        <v>20</v>
      </c>
      <c r="L534" s="28" t="s">
        <v>889</v>
      </c>
      <c r="M534" s="28" t="s">
        <v>392</v>
      </c>
      <c r="N534" s="28" t="s">
        <v>330</v>
      </c>
      <c r="O534" s="29" t="s">
        <v>2</v>
      </c>
      <c r="P534" s="28">
        <v>4</v>
      </c>
      <c r="Q534" s="28" t="s">
        <v>1646</v>
      </c>
      <c r="R534" s="28" t="s">
        <v>1588</v>
      </c>
      <c r="S534" s="34" t="str">
        <f>IFERROR(HYPERLINK("#Main!A"&amp;MATCH(A534,Main!A:A,0),"Open"),HYPERLINK("#Main!A1","Open"))</f>
        <v>Open</v>
      </c>
      <c r="T534" s="34" t="str">
        <f>IFERROR(HYPERLINK("#Technical!A"&amp;MATCH(A534,Technical!A:A,0),"Open"),HYPERLINK("#Technical!A1","Open"))</f>
        <v>Open</v>
      </c>
      <c r="U534" s="34"/>
    </row>
    <row r="535" spans="1:21" ht="30" customHeight="1" x14ac:dyDescent="0.25">
      <c r="A535" s="30" t="s">
        <v>611</v>
      </c>
      <c r="B535" s="37">
        <v>18478</v>
      </c>
      <c r="C535" s="55" t="s">
        <v>1102</v>
      </c>
      <c r="D535" s="37" t="s">
        <v>18</v>
      </c>
      <c r="E535" s="47" t="s">
        <v>388</v>
      </c>
      <c r="F535" s="37" t="s">
        <v>1584</v>
      </c>
      <c r="G535" s="42">
        <v>37</v>
      </c>
      <c r="H535" s="37">
        <v>0</v>
      </c>
      <c r="I535" s="37" t="s">
        <v>1585</v>
      </c>
      <c r="J535" s="37" t="s">
        <v>1586</v>
      </c>
      <c r="K535" s="57" t="s">
        <v>20</v>
      </c>
      <c r="L535" s="37" t="s">
        <v>889</v>
      </c>
      <c r="M535" s="37" t="s">
        <v>392</v>
      </c>
      <c r="N535" s="37" t="s">
        <v>330</v>
      </c>
      <c r="O535" s="29" t="s">
        <v>2</v>
      </c>
      <c r="P535" s="37">
        <v>4</v>
      </c>
      <c r="Q535" s="37" t="s">
        <v>1647</v>
      </c>
      <c r="R535" s="37" t="s">
        <v>1588</v>
      </c>
      <c r="S535" t="str">
        <f>IFERROR(HYPERLINK("#Main!A"&amp;MATCH(A535,Main!A:A,0),"Open"),HYPERLINK("#Main!A1","Open"))</f>
        <v>Open</v>
      </c>
      <c r="T535" t="str">
        <f>IFERROR(HYPERLINK("#Technical!A"&amp;MATCH(A535,Technical!A:A,0),"Open"),HYPERLINK("#Technical!A1","Open"))</f>
        <v>Open</v>
      </c>
    </row>
    <row r="536" spans="1:21" ht="30" customHeight="1" x14ac:dyDescent="0.25">
      <c r="A536" s="33" t="s">
        <v>615</v>
      </c>
      <c r="B536" s="28">
        <v>19172</v>
      </c>
      <c r="C536" s="55" t="s">
        <v>1104</v>
      </c>
      <c r="D536" s="28" t="s">
        <v>18</v>
      </c>
      <c r="E536" s="47" t="s">
        <v>388</v>
      </c>
      <c r="F536" s="28" t="s">
        <v>1584</v>
      </c>
      <c r="G536" s="39">
        <v>37</v>
      </c>
      <c r="H536" s="28">
        <v>0</v>
      </c>
      <c r="I536" s="28" t="s">
        <v>1585</v>
      </c>
      <c r="J536" s="28" t="s">
        <v>1586</v>
      </c>
      <c r="K536" s="56" t="s">
        <v>20</v>
      </c>
      <c r="L536" s="28" t="s">
        <v>889</v>
      </c>
      <c r="M536" s="28" t="s">
        <v>392</v>
      </c>
      <c r="N536" s="28" t="s">
        <v>330</v>
      </c>
      <c r="O536" s="29" t="s">
        <v>2</v>
      </c>
      <c r="P536" s="28">
        <v>4</v>
      </c>
      <c r="Q536" s="28" t="s">
        <v>1648</v>
      </c>
      <c r="R536" s="28" t="s">
        <v>1588</v>
      </c>
      <c r="S536" s="34" t="str">
        <f>IFERROR(HYPERLINK("#Main!A"&amp;MATCH(A536,Main!A:A,0),"Open"),HYPERLINK("#Main!A1","Open"))</f>
        <v>Open</v>
      </c>
      <c r="T536" s="34" t="str">
        <f>IFERROR(HYPERLINK("#Technical!A"&amp;MATCH(A536,Technical!A:A,0),"Open"),HYPERLINK("#Technical!A1","Open"))</f>
        <v>Open</v>
      </c>
      <c r="U536" s="34"/>
    </row>
    <row r="537" spans="1:21" ht="30" customHeight="1" x14ac:dyDescent="0.25">
      <c r="A537" s="30" t="s">
        <v>618</v>
      </c>
      <c r="B537" s="37">
        <v>88</v>
      </c>
      <c r="C537" s="55" t="s">
        <v>1106</v>
      </c>
      <c r="D537" s="37" t="s">
        <v>18</v>
      </c>
      <c r="E537" s="47" t="s">
        <v>388</v>
      </c>
      <c r="F537" s="37" t="s">
        <v>1584</v>
      </c>
      <c r="G537" s="42">
        <v>37</v>
      </c>
      <c r="H537" s="37">
        <v>0</v>
      </c>
      <c r="I537" s="37" t="s">
        <v>1585</v>
      </c>
      <c r="J537" s="37" t="s">
        <v>1586</v>
      </c>
      <c r="K537" s="57" t="s">
        <v>20</v>
      </c>
      <c r="L537" s="37" t="s">
        <v>889</v>
      </c>
      <c r="M537" s="37" t="s">
        <v>392</v>
      </c>
      <c r="N537" s="37" t="s">
        <v>330</v>
      </c>
      <c r="O537" s="29" t="s">
        <v>2</v>
      </c>
      <c r="P537" s="37">
        <v>4</v>
      </c>
      <c r="Q537" s="37" t="s">
        <v>1649</v>
      </c>
      <c r="R537" s="37" t="s">
        <v>1588</v>
      </c>
      <c r="S537" t="str">
        <f>IFERROR(HYPERLINK("#Main!A"&amp;MATCH(A537,Main!A:A,0),"Open"),HYPERLINK("#Main!A1","Open"))</f>
        <v>Open</v>
      </c>
      <c r="T537" t="str">
        <f>IFERROR(HYPERLINK("#Technical!A"&amp;MATCH(A537,Technical!A:A,0),"Open"),HYPERLINK("#Technical!A1","Open"))</f>
        <v>Open</v>
      </c>
    </row>
    <row r="538" spans="1:21" ht="30" customHeight="1" x14ac:dyDescent="0.25">
      <c r="A538" s="33" t="s">
        <v>621</v>
      </c>
      <c r="B538" s="28">
        <v>16548</v>
      </c>
      <c r="C538" s="55" t="s">
        <v>1108</v>
      </c>
      <c r="D538" s="28" t="s">
        <v>18</v>
      </c>
      <c r="E538" s="47" t="s">
        <v>388</v>
      </c>
      <c r="F538" s="28" t="s">
        <v>1584</v>
      </c>
      <c r="G538" s="39">
        <v>37</v>
      </c>
      <c r="H538" s="28">
        <v>0</v>
      </c>
      <c r="I538" s="28" t="s">
        <v>1585</v>
      </c>
      <c r="J538" s="28" t="s">
        <v>1586</v>
      </c>
      <c r="K538" s="56" t="s">
        <v>20</v>
      </c>
      <c r="L538" s="28" t="s">
        <v>889</v>
      </c>
      <c r="M538" s="28" t="s">
        <v>392</v>
      </c>
      <c r="N538" s="28" t="s">
        <v>330</v>
      </c>
      <c r="O538" s="29" t="s">
        <v>2</v>
      </c>
      <c r="P538" s="28">
        <v>4</v>
      </c>
      <c r="Q538" s="28" t="s">
        <v>1650</v>
      </c>
      <c r="R538" s="28" t="s">
        <v>1588</v>
      </c>
      <c r="S538" s="34" t="str">
        <f>IFERROR(HYPERLINK("#Main!A"&amp;MATCH(A538,Main!A:A,0),"Open"),HYPERLINK("#Main!A1","Open"))</f>
        <v>Open</v>
      </c>
      <c r="T538" s="34" t="str">
        <f>IFERROR(HYPERLINK("#Technical!A"&amp;MATCH(A538,Technical!A:A,0),"Open"),HYPERLINK("#Technical!A1","Open"))</f>
        <v>Open</v>
      </c>
      <c r="U538" s="34"/>
    </row>
    <row r="539" spans="1:21" ht="30" customHeight="1" x14ac:dyDescent="0.25">
      <c r="A539" s="30" t="s">
        <v>624</v>
      </c>
      <c r="B539" s="37">
        <v>20341</v>
      </c>
      <c r="C539" s="55" t="s">
        <v>1110</v>
      </c>
      <c r="D539" s="37" t="s">
        <v>18</v>
      </c>
      <c r="E539" s="47" t="s">
        <v>388</v>
      </c>
      <c r="F539" s="37" t="s">
        <v>1584</v>
      </c>
      <c r="G539" s="42">
        <v>37</v>
      </c>
      <c r="H539" s="37">
        <v>0</v>
      </c>
      <c r="I539" s="37" t="s">
        <v>1585</v>
      </c>
      <c r="J539" s="37" t="s">
        <v>1586</v>
      </c>
      <c r="K539" s="57" t="s">
        <v>20</v>
      </c>
      <c r="L539" s="37" t="s">
        <v>889</v>
      </c>
      <c r="M539" s="37" t="s">
        <v>392</v>
      </c>
      <c r="N539" s="37" t="s">
        <v>330</v>
      </c>
      <c r="O539" s="29" t="s">
        <v>2</v>
      </c>
      <c r="P539" s="37">
        <v>4</v>
      </c>
      <c r="Q539" s="37" t="s">
        <v>1651</v>
      </c>
      <c r="R539" s="37" t="s">
        <v>1588</v>
      </c>
      <c r="S539" t="str">
        <f>IFERROR(HYPERLINK("#Main!A"&amp;MATCH(A539,Main!A:A,0),"Open"),HYPERLINK("#Main!A1","Open"))</f>
        <v>Open</v>
      </c>
      <c r="T539" t="str">
        <f>IFERROR(HYPERLINK("#Technical!A"&amp;MATCH(A539,Technical!A:A,0),"Open"),HYPERLINK("#Technical!A1","Open"))</f>
        <v>Open</v>
      </c>
    </row>
    <row r="540" spans="1:21" ht="30" customHeight="1" x14ac:dyDescent="0.25">
      <c r="A540" s="33" t="s">
        <v>626</v>
      </c>
      <c r="B540" s="28">
        <v>31820</v>
      </c>
      <c r="C540" s="55" t="s">
        <v>1112</v>
      </c>
      <c r="D540" s="28" t="s">
        <v>18</v>
      </c>
      <c r="E540" s="47" t="s">
        <v>388</v>
      </c>
      <c r="F540" s="28" t="s">
        <v>1584</v>
      </c>
      <c r="G540" s="39">
        <v>37</v>
      </c>
      <c r="H540" s="28">
        <v>0</v>
      </c>
      <c r="I540" s="28" t="s">
        <v>1585</v>
      </c>
      <c r="J540" s="28" t="s">
        <v>1586</v>
      </c>
      <c r="K540" s="56" t="s">
        <v>20</v>
      </c>
      <c r="L540" s="28" t="s">
        <v>889</v>
      </c>
      <c r="M540" s="28" t="s">
        <v>392</v>
      </c>
      <c r="N540" s="28" t="s">
        <v>330</v>
      </c>
      <c r="O540" s="29" t="s">
        <v>2</v>
      </c>
      <c r="P540" s="28">
        <v>4</v>
      </c>
      <c r="Q540" s="28" t="s">
        <v>1652</v>
      </c>
      <c r="R540" s="28" t="s">
        <v>1588</v>
      </c>
      <c r="S540" s="34" t="str">
        <f>IFERROR(HYPERLINK("#Main!A"&amp;MATCH(A540,Main!A:A,0),"Open"),HYPERLINK("#Main!A1","Open"))</f>
        <v>Open</v>
      </c>
      <c r="T540" s="34" t="str">
        <f>IFERROR(HYPERLINK("#Technical!A"&amp;MATCH(A540,Technical!A:A,0),"Open"),HYPERLINK("#Technical!A1","Open"))</f>
        <v>Open</v>
      </c>
      <c r="U540" s="34"/>
    </row>
    <row r="541" spans="1:21" ht="30" customHeight="1" x14ac:dyDescent="0.25">
      <c r="A541" s="30" t="s">
        <v>629</v>
      </c>
      <c r="B541" s="37">
        <v>5597</v>
      </c>
      <c r="C541" s="55" t="s">
        <v>1114</v>
      </c>
      <c r="D541" s="37" t="s">
        <v>18</v>
      </c>
      <c r="E541" s="47" t="s">
        <v>388</v>
      </c>
      <c r="F541" s="37" t="s">
        <v>1584</v>
      </c>
      <c r="G541" s="42">
        <v>37</v>
      </c>
      <c r="H541" s="37">
        <v>0</v>
      </c>
      <c r="I541" s="37" t="s">
        <v>1585</v>
      </c>
      <c r="J541" s="37" t="s">
        <v>1586</v>
      </c>
      <c r="K541" s="57" t="s">
        <v>20</v>
      </c>
      <c r="L541" s="37" t="s">
        <v>889</v>
      </c>
      <c r="M541" s="37" t="s">
        <v>392</v>
      </c>
      <c r="N541" s="37" t="s">
        <v>330</v>
      </c>
      <c r="O541" s="29" t="s">
        <v>2</v>
      </c>
      <c r="P541" s="37">
        <v>4</v>
      </c>
      <c r="Q541" s="37" t="s">
        <v>1653</v>
      </c>
      <c r="R541" s="37" t="s">
        <v>1588</v>
      </c>
      <c r="S541" t="str">
        <f>IFERROR(HYPERLINK("#Main!A"&amp;MATCH(A541,Main!A:A,0),"Open"),HYPERLINK("#Main!A1","Open"))</f>
        <v>Open</v>
      </c>
      <c r="T541" t="str">
        <f>IFERROR(HYPERLINK("#Technical!A"&amp;MATCH(A541,Technical!A:A,0),"Open"),HYPERLINK("#Technical!A1","Open"))</f>
        <v>Open</v>
      </c>
    </row>
    <row r="542" spans="1:21" ht="30" customHeight="1" x14ac:dyDescent="0.25">
      <c r="A542" s="33" t="s">
        <v>632</v>
      </c>
      <c r="B542" s="28">
        <v>33050</v>
      </c>
      <c r="C542" s="55" t="s">
        <v>1116</v>
      </c>
      <c r="D542" s="28" t="s">
        <v>18</v>
      </c>
      <c r="E542" s="47" t="s">
        <v>388</v>
      </c>
      <c r="F542" s="28" t="s">
        <v>1584</v>
      </c>
      <c r="G542" s="39">
        <v>37</v>
      </c>
      <c r="H542" s="28">
        <v>0</v>
      </c>
      <c r="I542" s="28" t="s">
        <v>1585</v>
      </c>
      <c r="J542" s="28" t="s">
        <v>1586</v>
      </c>
      <c r="K542" s="56" t="s">
        <v>20</v>
      </c>
      <c r="L542" s="28" t="s">
        <v>889</v>
      </c>
      <c r="M542" s="28" t="s">
        <v>392</v>
      </c>
      <c r="N542" s="28" t="s">
        <v>330</v>
      </c>
      <c r="O542" s="29" t="s">
        <v>2</v>
      </c>
      <c r="P542" s="28">
        <v>4</v>
      </c>
      <c r="Q542" s="28" t="s">
        <v>1654</v>
      </c>
      <c r="R542" s="28" t="s">
        <v>1588</v>
      </c>
      <c r="S542" s="34" t="str">
        <f>IFERROR(HYPERLINK("#Main!A"&amp;MATCH(A542,Main!A:A,0),"Open"),HYPERLINK("#Main!A1","Open"))</f>
        <v>Open</v>
      </c>
      <c r="T542" s="34" t="str">
        <f>IFERROR(HYPERLINK("#Technical!A"&amp;MATCH(A542,Technical!A:A,0),"Open"),HYPERLINK("#Technical!A1","Open"))</f>
        <v>Open</v>
      </c>
      <c r="U542" s="34"/>
    </row>
    <row r="543" spans="1:21" ht="30" customHeight="1" x14ac:dyDescent="0.25">
      <c r="A543" s="30" t="s">
        <v>635</v>
      </c>
      <c r="B543" s="37">
        <v>86</v>
      </c>
      <c r="C543" s="55" t="s">
        <v>1118</v>
      </c>
      <c r="D543" s="37" t="s">
        <v>18</v>
      </c>
      <c r="E543" s="47" t="s">
        <v>388</v>
      </c>
      <c r="F543" s="37" t="s">
        <v>1584</v>
      </c>
      <c r="G543" s="42">
        <v>37</v>
      </c>
      <c r="H543" s="37">
        <v>0</v>
      </c>
      <c r="I543" s="37" t="s">
        <v>1585</v>
      </c>
      <c r="J543" s="37" t="s">
        <v>1586</v>
      </c>
      <c r="K543" s="57" t="s">
        <v>20</v>
      </c>
      <c r="L543" s="37" t="s">
        <v>889</v>
      </c>
      <c r="M543" s="37" t="s">
        <v>392</v>
      </c>
      <c r="N543" s="37" t="s">
        <v>330</v>
      </c>
      <c r="O543" s="29" t="s">
        <v>2</v>
      </c>
      <c r="P543" s="37">
        <v>4</v>
      </c>
      <c r="Q543" s="37" t="s">
        <v>1655</v>
      </c>
      <c r="R543" s="37" t="s">
        <v>1588</v>
      </c>
      <c r="S543" t="str">
        <f>IFERROR(HYPERLINK("#Main!A"&amp;MATCH(A543,Main!A:A,0),"Open"),HYPERLINK("#Main!A1","Open"))</f>
        <v>Open</v>
      </c>
      <c r="T543" t="str">
        <f>IFERROR(HYPERLINK("#Technical!A"&amp;MATCH(A543,Technical!A:A,0),"Open"),HYPERLINK("#Technical!A1","Open"))</f>
        <v>Open</v>
      </c>
    </row>
    <row r="544" spans="1:21" ht="30" customHeight="1" x14ac:dyDescent="0.25">
      <c r="A544" s="33" t="s">
        <v>638</v>
      </c>
      <c r="B544" s="28">
        <v>2196</v>
      </c>
      <c r="C544" s="55" t="s">
        <v>1120</v>
      </c>
      <c r="D544" s="28" t="s">
        <v>18</v>
      </c>
      <c r="E544" s="47" t="s">
        <v>388</v>
      </c>
      <c r="F544" s="28" t="s">
        <v>1584</v>
      </c>
      <c r="G544" s="39">
        <v>37</v>
      </c>
      <c r="H544" s="28">
        <v>0</v>
      </c>
      <c r="I544" s="28" t="s">
        <v>1585</v>
      </c>
      <c r="J544" s="28" t="s">
        <v>1586</v>
      </c>
      <c r="K544" s="56" t="s">
        <v>20</v>
      </c>
      <c r="L544" s="28" t="s">
        <v>889</v>
      </c>
      <c r="M544" s="28" t="s">
        <v>392</v>
      </c>
      <c r="N544" s="28" t="s">
        <v>330</v>
      </c>
      <c r="O544" s="29" t="s">
        <v>2</v>
      </c>
      <c r="P544" s="28">
        <v>4</v>
      </c>
      <c r="Q544" s="28" t="s">
        <v>1656</v>
      </c>
      <c r="R544" s="28" t="s">
        <v>1588</v>
      </c>
      <c r="S544" s="34" t="str">
        <f>IFERROR(HYPERLINK("#Main!A"&amp;MATCH(A544,Main!A:A,0),"Open"),HYPERLINK("#Main!A1","Open"))</f>
        <v>Open</v>
      </c>
      <c r="T544" s="34" t="str">
        <f>IFERROR(HYPERLINK("#Technical!A"&amp;MATCH(A544,Technical!A:A,0),"Open"),HYPERLINK("#Technical!A1","Open"))</f>
        <v>Open</v>
      </c>
      <c r="U544" s="34"/>
    </row>
    <row r="545" spans="1:21" ht="30" customHeight="1" x14ac:dyDescent="0.25">
      <c r="A545" s="30" t="s">
        <v>641</v>
      </c>
      <c r="B545" s="37">
        <v>3</v>
      </c>
      <c r="C545" s="55" t="s">
        <v>1122</v>
      </c>
      <c r="D545" s="37" t="s">
        <v>18</v>
      </c>
      <c r="E545" s="47" t="s">
        <v>388</v>
      </c>
      <c r="F545" s="37" t="s">
        <v>1584</v>
      </c>
      <c r="G545" s="42">
        <v>37</v>
      </c>
      <c r="H545" s="37">
        <v>0</v>
      </c>
      <c r="I545" s="37" t="s">
        <v>1585</v>
      </c>
      <c r="J545" s="37" t="s">
        <v>1586</v>
      </c>
      <c r="K545" s="57" t="s">
        <v>20</v>
      </c>
      <c r="L545" s="37" t="s">
        <v>889</v>
      </c>
      <c r="M545" s="37" t="s">
        <v>392</v>
      </c>
      <c r="N545" s="37" t="s">
        <v>330</v>
      </c>
      <c r="O545" s="29" t="s">
        <v>2</v>
      </c>
      <c r="P545" s="37">
        <v>4</v>
      </c>
      <c r="Q545" s="37" t="s">
        <v>1657</v>
      </c>
      <c r="R545" s="37" t="s">
        <v>1588</v>
      </c>
      <c r="S545" t="str">
        <f>IFERROR(HYPERLINK("#Main!A"&amp;MATCH(A545,Main!A:A,0),"Open"),HYPERLINK("#Main!A1","Open"))</f>
        <v>Open</v>
      </c>
      <c r="T545" t="str">
        <f>IFERROR(HYPERLINK("#Technical!A"&amp;MATCH(A545,Technical!A:A,0),"Open"),HYPERLINK("#Technical!A1","Open"))</f>
        <v>Open</v>
      </c>
    </row>
    <row r="546" spans="1:21" ht="30" customHeight="1" x14ac:dyDescent="0.25">
      <c r="A546" s="33" t="s">
        <v>644</v>
      </c>
      <c r="B546" s="28">
        <v>9047</v>
      </c>
      <c r="C546" s="55" t="s">
        <v>1124</v>
      </c>
      <c r="D546" s="28" t="s">
        <v>18</v>
      </c>
      <c r="E546" s="47" t="s">
        <v>388</v>
      </c>
      <c r="F546" s="28" t="s">
        <v>1584</v>
      </c>
      <c r="G546" s="39">
        <v>37</v>
      </c>
      <c r="H546" s="28">
        <v>0</v>
      </c>
      <c r="I546" s="28" t="s">
        <v>1585</v>
      </c>
      <c r="J546" s="28" t="s">
        <v>1586</v>
      </c>
      <c r="K546" s="56" t="s">
        <v>20</v>
      </c>
      <c r="L546" s="28" t="s">
        <v>889</v>
      </c>
      <c r="M546" s="28" t="s">
        <v>392</v>
      </c>
      <c r="N546" s="28" t="s">
        <v>330</v>
      </c>
      <c r="O546" s="29" t="s">
        <v>2</v>
      </c>
      <c r="P546" s="28">
        <v>4</v>
      </c>
      <c r="Q546" s="28" t="s">
        <v>1658</v>
      </c>
      <c r="R546" s="28" t="s">
        <v>1588</v>
      </c>
      <c r="S546" s="34" t="str">
        <f>IFERROR(HYPERLINK("#Main!A"&amp;MATCH(A546,Main!A:A,0),"Open"),HYPERLINK("#Main!A1","Open"))</f>
        <v>Open</v>
      </c>
      <c r="T546" s="34" t="str">
        <f>IFERROR(HYPERLINK("#Technical!A"&amp;MATCH(A546,Technical!A:A,0),"Open"),HYPERLINK("#Technical!A1","Open"))</f>
        <v>Open</v>
      </c>
      <c r="U546" s="34"/>
    </row>
    <row r="547" spans="1:21" ht="30" customHeight="1" x14ac:dyDescent="0.25">
      <c r="A547" s="30" t="s">
        <v>647</v>
      </c>
      <c r="B547" s="37">
        <v>3686</v>
      </c>
      <c r="C547" s="55" t="s">
        <v>1126</v>
      </c>
      <c r="D547" s="37" t="s">
        <v>18</v>
      </c>
      <c r="E547" s="47" t="s">
        <v>388</v>
      </c>
      <c r="F547" s="37" t="s">
        <v>1584</v>
      </c>
      <c r="G547" s="42">
        <v>37</v>
      </c>
      <c r="H547" s="37">
        <v>0</v>
      </c>
      <c r="I547" s="37" t="s">
        <v>1585</v>
      </c>
      <c r="J547" s="37" t="s">
        <v>1586</v>
      </c>
      <c r="K547" s="57" t="s">
        <v>20</v>
      </c>
      <c r="L547" s="37" t="s">
        <v>889</v>
      </c>
      <c r="M547" s="37" t="s">
        <v>392</v>
      </c>
      <c r="N547" s="37" t="s">
        <v>330</v>
      </c>
      <c r="O547" s="29" t="s">
        <v>2</v>
      </c>
      <c r="P547" s="37">
        <v>4</v>
      </c>
      <c r="Q547" s="37" t="s">
        <v>1659</v>
      </c>
      <c r="R547" s="37" t="s">
        <v>1588</v>
      </c>
      <c r="S547" t="str">
        <f>IFERROR(HYPERLINK("#Main!A"&amp;MATCH(A547,Main!A:A,0),"Open"),HYPERLINK("#Main!A1","Open"))</f>
        <v>Open</v>
      </c>
      <c r="T547" t="str">
        <f>IFERROR(HYPERLINK("#Technical!A"&amp;MATCH(A547,Technical!A:A,0),"Open"),HYPERLINK("#Technical!A1","Open"))</f>
        <v>Open</v>
      </c>
    </row>
    <row r="548" spans="1:21" ht="30" customHeight="1" x14ac:dyDescent="0.25">
      <c r="A548" s="33" t="s">
        <v>650</v>
      </c>
      <c r="B548" s="28">
        <v>3252</v>
      </c>
      <c r="C548" s="55" t="s">
        <v>1128</v>
      </c>
      <c r="D548" s="28" t="s">
        <v>18</v>
      </c>
      <c r="E548" s="47" t="s">
        <v>388</v>
      </c>
      <c r="F548" s="28" t="s">
        <v>1584</v>
      </c>
      <c r="G548" s="39">
        <v>37</v>
      </c>
      <c r="H548" s="28">
        <v>0</v>
      </c>
      <c r="I548" s="28" t="s">
        <v>1585</v>
      </c>
      <c r="J548" s="28" t="s">
        <v>1586</v>
      </c>
      <c r="K548" s="56" t="s">
        <v>20</v>
      </c>
      <c r="L548" s="28" t="s">
        <v>889</v>
      </c>
      <c r="M548" s="28" t="s">
        <v>392</v>
      </c>
      <c r="N548" s="28" t="s">
        <v>330</v>
      </c>
      <c r="O548" s="29" t="s">
        <v>2</v>
      </c>
      <c r="P548" s="28">
        <v>4</v>
      </c>
      <c r="Q548" s="28" t="s">
        <v>1660</v>
      </c>
      <c r="R548" s="28" t="s">
        <v>1588</v>
      </c>
      <c r="S548" s="34" t="str">
        <f>IFERROR(HYPERLINK("#Main!A"&amp;MATCH(A548,Main!A:A,0),"Open"),HYPERLINK("#Main!A1","Open"))</f>
        <v>Open</v>
      </c>
      <c r="T548" s="34" t="str">
        <f>IFERROR(HYPERLINK("#Technical!A"&amp;MATCH(A548,Technical!A:A,0),"Open"),HYPERLINK("#Technical!A1","Open"))</f>
        <v>Open</v>
      </c>
      <c r="U548" s="34"/>
    </row>
    <row r="549" spans="1:21" ht="30" customHeight="1" x14ac:dyDescent="0.25">
      <c r="A549" s="30" t="s">
        <v>652</v>
      </c>
      <c r="B549" s="37">
        <v>21962</v>
      </c>
      <c r="C549" s="55" t="s">
        <v>1130</v>
      </c>
      <c r="D549" s="37" t="s">
        <v>18</v>
      </c>
      <c r="E549" s="47" t="s">
        <v>388</v>
      </c>
      <c r="F549" s="37" t="s">
        <v>1584</v>
      </c>
      <c r="G549" s="42">
        <v>37</v>
      </c>
      <c r="H549" s="37">
        <v>0</v>
      </c>
      <c r="I549" s="37" t="s">
        <v>1585</v>
      </c>
      <c r="J549" s="37" t="s">
        <v>1586</v>
      </c>
      <c r="K549" s="57" t="s">
        <v>20</v>
      </c>
      <c r="L549" s="37" t="s">
        <v>889</v>
      </c>
      <c r="M549" s="37" t="s">
        <v>392</v>
      </c>
      <c r="N549" s="37" t="s">
        <v>330</v>
      </c>
      <c r="O549" s="29" t="s">
        <v>2</v>
      </c>
      <c r="P549" s="37">
        <v>4</v>
      </c>
      <c r="Q549" s="37" t="s">
        <v>1661</v>
      </c>
      <c r="R549" s="37" t="s">
        <v>1588</v>
      </c>
      <c r="S549" t="str">
        <f>IFERROR(HYPERLINK("#Main!A"&amp;MATCH(A549,Main!A:A,0),"Open"),HYPERLINK("#Main!A1","Open"))</f>
        <v>Open</v>
      </c>
      <c r="T549" t="str">
        <f>IFERROR(HYPERLINK("#Technical!A"&amp;MATCH(A549,Technical!A:A,0),"Open"),HYPERLINK("#Technical!A1","Open"))</f>
        <v>Open</v>
      </c>
    </row>
    <row r="550" spans="1:21" ht="30" customHeight="1" x14ac:dyDescent="0.25">
      <c r="A550" s="33" t="s">
        <v>655</v>
      </c>
      <c r="B550" s="28">
        <v>3634</v>
      </c>
      <c r="C550" s="55" t="s">
        <v>1132</v>
      </c>
      <c r="D550" s="28" t="s">
        <v>18</v>
      </c>
      <c r="E550" s="47" t="s">
        <v>388</v>
      </c>
      <c r="F550" s="28" t="s">
        <v>1584</v>
      </c>
      <c r="G550" s="39">
        <v>37</v>
      </c>
      <c r="H550" s="28">
        <v>0</v>
      </c>
      <c r="I550" s="28" t="s">
        <v>1585</v>
      </c>
      <c r="J550" s="28" t="s">
        <v>1586</v>
      </c>
      <c r="K550" s="56" t="s">
        <v>20</v>
      </c>
      <c r="L550" s="28" t="s">
        <v>889</v>
      </c>
      <c r="M550" s="28" t="s">
        <v>392</v>
      </c>
      <c r="N550" s="28" t="s">
        <v>330</v>
      </c>
      <c r="O550" s="29" t="s">
        <v>2</v>
      </c>
      <c r="P550" s="28">
        <v>4</v>
      </c>
      <c r="Q550" s="28" t="s">
        <v>1662</v>
      </c>
      <c r="R550" s="28" t="s">
        <v>1588</v>
      </c>
      <c r="S550" s="34" t="str">
        <f>IFERROR(HYPERLINK("#Main!A"&amp;MATCH(A550,Main!A:A,0),"Open"),HYPERLINK("#Main!A1","Open"))</f>
        <v>Open</v>
      </c>
      <c r="T550" s="34" t="str">
        <f>IFERROR(HYPERLINK("#Technical!A"&amp;MATCH(A550,Technical!A:A,0),"Open"),HYPERLINK("#Technical!A1","Open"))</f>
        <v>Open</v>
      </c>
      <c r="U550" s="34"/>
    </row>
    <row r="551" spans="1:21" ht="30" customHeight="1" x14ac:dyDescent="0.25">
      <c r="A551" s="30" t="s">
        <v>658</v>
      </c>
      <c r="B551" s="37">
        <v>7781</v>
      </c>
      <c r="C551" s="55" t="s">
        <v>1134</v>
      </c>
      <c r="D551" s="37" t="s">
        <v>18</v>
      </c>
      <c r="E551" s="47" t="s">
        <v>388</v>
      </c>
      <c r="F551" s="37" t="s">
        <v>1584</v>
      </c>
      <c r="G551" s="42">
        <v>37</v>
      </c>
      <c r="H551" s="37">
        <v>0</v>
      </c>
      <c r="I551" s="37" t="s">
        <v>1585</v>
      </c>
      <c r="J551" s="37" t="s">
        <v>1586</v>
      </c>
      <c r="K551" s="57" t="s">
        <v>20</v>
      </c>
      <c r="L551" s="37" t="s">
        <v>889</v>
      </c>
      <c r="M551" s="37" t="s">
        <v>392</v>
      </c>
      <c r="N551" s="37" t="s">
        <v>330</v>
      </c>
      <c r="O551" s="29" t="s">
        <v>2</v>
      </c>
      <c r="P551" s="37">
        <v>4</v>
      </c>
      <c r="Q551" s="37" t="s">
        <v>1663</v>
      </c>
      <c r="R551" s="37" t="s">
        <v>1588</v>
      </c>
      <c r="S551" t="str">
        <f>IFERROR(HYPERLINK("#Main!A"&amp;MATCH(A551,Main!A:A,0),"Open"),HYPERLINK("#Main!A1","Open"))</f>
        <v>Open</v>
      </c>
      <c r="T551" t="str">
        <f>IFERROR(HYPERLINK("#Technical!A"&amp;MATCH(A551,Technical!A:A,0),"Open"),HYPERLINK("#Technical!A1","Open"))</f>
        <v>Open</v>
      </c>
    </row>
    <row r="552" spans="1:21" ht="30" customHeight="1" x14ac:dyDescent="0.25">
      <c r="A552" s="33" t="s">
        <v>661</v>
      </c>
      <c r="B552" s="28">
        <v>5490</v>
      </c>
      <c r="C552" s="55" t="s">
        <v>1136</v>
      </c>
      <c r="D552" s="28" t="s">
        <v>18</v>
      </c>
      <c r="E552" s="47" t="s">
        <v>388</v>
      </c>
      <c r="F552" s="28" t="s">
        <v>1584</v>
      </c>
      <c r="G552" s="39">
        <v>37</v>
      </c>
      <c r="H552" s="28">
        <v>0</v>
      </c>
      <c r="I552" s="28" t="s">
        <v>1585</v>
      </c>
      <c r="J552" s="28" t="s">
        <v>1586</v>
      </c>
      <c r="K552" s="56" t="s">
        <v>20</v>
      </c>
      <c r="L552" s="28" t="s">
        <v>889</v>
      </c>
      <c r="M552" s="28" t="s">
        <v>392</v>
      </c>
      <c r="N552" s="28" t="s">
        <v>330</v>
      </c>
      <c r="O552" s="29" t="s">
        <v>2</v>
      </c>
      <c r="P552" s="28">
        <v>4</v>
      </c>
      <c r="Q552" s="28" t="s">
        <v>1664</v>
      </c>
      <c r="R552" s="28" t="s">
        <v>1588</v>
      </c>
      <c r="S552" s="34" t="str">
        <f>IFERROR(HYPERLINK("#Main!A"&amp;MATCH(A552,Main!A:A,0),"Open"),HYPERLINK("#Main!A1","Open"))</f>
        <v>Open</v>
      </c>
      <c r="T552" s="34" t="str">
        <f>IFERROR(HYPERLINK("#Technical!A"&amp;MATCH(A552,Technical!A:A,0),"Open"),HYPERLINK("#Technical!A1","Open"))</f>
        <v>Open</v>
      </c>
      <c r="U552" s="34"/>
    </row>
    <row r="553" spans="1:21" ht="30" customHeight="1" x14ac:dyDescent="0.25">
      <c r="A553" s="30" t="s">
        <v>664</v>
      </c>
      <c r="B553" s="37">
        <v>27352</v>
      </c>
      <c r="C553" s="55" t="s">
        <v>1138</v>
      </c>
      <c r="D553" s="37" t="s">
        <v>18</v>
      </c>
      <c r="E553" s="47" t="s">
        <v>388</v>
      </c>
      <c r="F553" s="37" t="s">
        <v>1584</v>
      </c>
      <c r="G553" s="42">
        <v>37</v>
      </c>
      <c r="H553" s="37">
        <v>0</v>
      </c>
      <c r="I553" s="37" t="s">
        <v>1585</v>
      </c>
      <c r="J553" s="37" t="s">
        <v>1586</v>
      </c>
      <c r="K553" s="57" t="s">
        <v>20</v>
      </c>
      <c r="L553" s="37" t="s">
        <v>889</v>
      </c>
      <c r="M553" s="37" t="s">
        <v>392</v>
      </c>
      <c r="N553" s="37" t="s">
        <v>330</v>
      </c>
      <c r="O553" s="29" t="s">
        <v>2</v>
      </c>
      <c r="P553" s="37">
        <v>4</v>
      </c>
      <c r="Q553" s="37" t="s">
        <v>1665</v>
      </c>
      <c r="R553" s="37" t="s">
        <v>1588</v>
      </c>
      <c r="S553" t="str">
        <f>IFERROR(HYPERLINK("#Main!A"&amp;MATCH(A553,Main!A:A,0),"Open"),HYPERLINK("#Main!A1","Open"))</f>
        <v>Open</v>
      </c>
      <c r="T553" t="str">
        <f>IFERROR(HYPERLINK("#Technical!A"&amp;MATCH(A553,Technical!A:A,0),"Open"),HYPERLINK("#Technical!A1","Open"))</f>
        <v>Open</v>
      </c>
    </row>
    <row r="554" spans="1:21" ht="30" customHeight="1" x14ac:dyDescent="0.25">
      <c r="A554" s="33" t="s">
        <v>667</v>
      </c>
      <c r="B554" s="28">
        <v>17195</v>
      </c>
      <c r="C554" s="55" t="s">
        <v>1140</v>
      </c>
      <c r="D554" s="28" t="s">
        <v>18</v>
      </c>
      <c r="E554" s="47" t="s">
        <v>388</v>
      </c>
      <c r="F554" s="28" t="s">
        <v>1584</v>
      </c>
      <c r="G554" s="39">
        <v>37</v>
      </c>
      <c r="H554" s="28">
        <v>0</v>
      </c>
      <c r="I554" s="28" t="s">
        <v>1585</v>
      </c>
      <c r="J554" s="28" t="s">
        <v>1586</v>
      </c>
      <c r="K554" s="56" t="s">
        <v>20</v>
      </c>
      <c r="L554" s="28" t="s">
        <v>889</v>
      </c>
      <c r="M554" s="28" t="s">
        <v>392</v>
      </c>
      <c r="N554" s="28" t="s">
        <v>330</v>
      </c>
      <c r="O554" s="29" t="s">
        <v>2</v>
      </c>
      <c r="P554" s="28">
        <v>4</v>
      </c>
      <c r="Q554" s="28" t="s">
        <v>1666</v>
      </c>
      <c r="R554" s="28" t="s">
        <v>1588</v>
      </c>
      <c r="S554" s="34" t="str">
        <f>IFERROR(HYPERLINK("#Main!A"&amp;MATCH(A554,Main!A:A,0),"Open"),HYPERLINK("#Main!A1","Open"))</f>
        <v>Open</v>
      </c>
      <c r="T554" s="34" t="str">
        <f>IFERROR(HYPERLINK("#Technical!A"&amp;MATCH(A554,Technical!A:A,0),"Open"),HYPERLINK("#Technical!A1","Open"))</f>
        <v>Open</v>
      </c>
      <c r="U554" s="34"/>
    </row>
    <row r="555" spans="1:21" ht="30" customHeight="1" x14ac:dyDescent="0.25">
      <c r="A555" s="30" t="s">
        <v>670</v>
      </c>
      <c r="B555" s="37">
        <v>21591</v>
      </c>
      <c r="C555" s="55" t="s">
        <v>1142</v>
      </c>
      <c r="D555" s="37" t="s">
        <v>18</v>
      </c>
      <c r="E555" s="47" t="s">
        <v>388</v>
      </c>
      <c r="F555" s="37" t="s">
        <v>1584</v>
      </c>
      <c r="G555" s="42">
        <v>37</v>
      </c>
      <c r="H555" s="37">
        <v>0</v>
      </c>
      <c r="I555" s="37" t="s">
        <v>1585</v>
      </c>
      <c r="J555" s="37" t="s">
        <v>1586</v>
      </c>
      <c r="K555" s="57" t="s">
        <v>20</v>
      </c>
      <c r="L555" s="37" t="s">
        <v>889</v>
      </c>
      <c r="M555" s="37" t="s">
        <v>392</v>
      </c>
      <c r="N555" s="37" t="s">
        <v>330</v>
      </c>
      <c r="O555" s="29" t="s">
        <v>2</v>
      </c>
      <c r="P555" s="37">
        <v>4</v>
      </c>
      <c r="Q555" s="37" t="s">
        <v>1667</v>
      </c>
      <c r="R555" s="37" t="s">
        <v>1588</v>
      </c>
      <c r="S555" t="str">
        <f>IFERROR(HYPERLINK("#Main!A"&amp;MATCH(A555,Main!A:A,0),"Open"),HYPERLINK("#Main!A1","Open"))</f>
        <v>Open</v>
      </c>
      <c r="T555" t="str">
        <f>IFERROR(HYPERLINK("#Technical!A"&amp;MATCH(A555,Technical!A:A,0),"Open"),HYPERLINK("#Technical!A1","Open"))</f>
        <v>Open</v>
      </c>
    </row>
    <row r="556" spans="1:21" ht="30" customHeight="1" x14ac:dyDescent="0.25">
      <c r="A556" s="33" t="s">
        <v>673</v>
      </c>
      <c r="B556" s="28">
        <v>7916</v>
      </c>
      <c r="C556" s="55" t="s">
        <v>1144</v>
      </c>
      <c r="D556" s="28" t="s">
        <v>18</v>
      </c>
      <c r="E556" s="47" t="s">
        <v>388</v>
      </c>
      <c r="F556" s="28" t="s">
        <v>1584</v>
      </c>
      <c r="G556" s="39">
        <v>37</v>
      </c>
      <c r="H556" s="28">
        <v>0</v>
      </c>
      <c r="I556" s="28" t="s">
        <v>1585</v>
      </c>
      <c r="J556" s="28" t="s">
        <v>1586</v>
      </c>
      <c r="K556" s="56" t="s">
        <v>20</v>
      </c>
      <c r="L556" s="28" t="s">
        <v>889</v>
      </c>
      <c r="M556" s="28" t="s">
        <v>392</v>
      </c>
      <c r="N556" s="28" t="s">
        <v>330</v>
      </c>
      <c r="O556" s="29" t="s">
        <v>2</v>
      </c>
      <c r="P556" s="28">
        <v>4</v>
      </c>
      <c r="Q556" s="28" t="s">
        <v>1668</v>
      </c>
      <c r="R556" s="28" t="s">
        <v>1588</v>
      </c>
      <c r="S556" s="34" t="str">
        <f>IFERROR(HYPERLINK("#Main!A"&amp;MATCH(A556,Main!A:A,0),"Open"),HYPERLINK("#Main!A1","Open"))</f>
        <v>Open</v>
      </c>
      <c r="T556" s="34" t="str">
        <f>IFERROR(HYPERLINK("#Technical!A"&amp;MATCH(A556,Technical!A:A,0),"Open"),HYPERLINK("#Technical!A1","Open"))</f>
        <v>Open</v>
      </c>
      <c r="U556" s="34"/>
    </row>
    <row r="557" spans="1:21" ht="30" customHeight="1" x14ac:dyDescent="0.25">
      <c r="A557" s="30" t="s">
        <v>677</v>
      </c>
      <c r="B557" s="37">
        <v>17000</v>
      </c>
      <c r="C557" s="55" t="s">
        <v>1146</v>
      </c>
      <c r="D557" s="37" t="s">
        <v>18</v>
      </c>
      <c r="E557" s="47" t="s">
        <v>388</v>
      </c>
      <c r="F557" s="37" t="s">
        <v>1584</v>
      </c>
      <c r="G557" s="42">
        <v>37</v>
      </c>
      <c r="H557" s="37">
        <v>0</v>
      </c>
      <c r="I557" s="37" t="s">
        <v>1585</v>
      </c>
      <c r="J557" s="37" t="s">
        <v>1586</v>
      </c>
      <c r="K557" s="57" t="s">
        <v>20</v>
      </c>
      <c r="L557" s="37" t="s">
        <v>889</v>
      </c>
      <c r="M557" s="37" t="s">
        <v>392</v>
      </c>
      <c r="N557" s="37" t="s">
        <v>330</v>
      </c>
      <c r="O557" s="29" t="s">
        <v>2</v>
      </c>
      <c r="P557" s="37">
        <v>4</v>
      </c>
      <c r="Q557" s="37" t="s">
        <v>1669</v>
      </c>
      <c r="R557" s="37" t="s">
        <v>1588</v>
      </c>
      <c r="S557" t="str">
        <f>IFERROR(HYPERLINK("#Main!A"&amp;MATCH(A557,Main!A:A,0),"Open"),HYPERLINK("#Main!A1","Open"))</f>
        <v>Open</v>
      </c>
      <c r="T557" t="str">
        <f>IFERROR(HYPERLINK("#Technical!A"&amp;MATCH(A557,Technical!A:A,0),"Open"),HYPERLINK("#Technical!A1","Open"))</f>
        <v>Open</v>
      </c>
    </row>
    <row r="558" spans="1:21" ht="30" customHeight="1" x14ac:dyDescent="0.25">
      <c r="A558" s="33" t="s">
        <v>680</v>
      </c>
      <c r="B558" s="28">
        <v>17196</v>
      </c>
      <c r="C558" s="55" t="s">
        <v>1148</v>
      </c>
      <c r="D558" s="28" t="s">
        <v>18</v>
      </c>
      <c r="E558" s="47" t="s">
        <v>388</v>
      </c>
      <c r="F558" s="28" t="s">
        <v>1584</v>
      </c>
      <c r="G558" s="39">
        <v>37</v>
      </c>
      <c r="H558" s="28">
        <v>0</v>
      </c>
      <c r="I558" s="28" t="s">
        <v>1585</v>
      </c>
      <c r="J558" s="28" t="s">
        <v>1586</v>
      </c>
      <c r="K558" s="56" t="s">
        <v>20</v>
      </c>
      <c r="L558" s="28" t="s">
        <v>889</v>
      </c>
      <c r="M558" s="28" t="s">
        <v>392</v>
      </c>
      <c r="N558" s="28" t="s">
        <v>330</v>
      </c>
      <c r="O558" s="29" t="s">
        <v>2</v>
      </c>
      <c r="P558" s="28">
        <v>4</v>
      </c>
      <c r="Q558" s="28" t="s">
        <v>1670</v>
      </c>
      <c r="R558" s="28" t="s">
        <v>1588</v>
      </c>
      <c r="S558" s="34" t="str">
        <f>IFERROR(HYPERLINK("#Main!A"&amp;MATCH(A558,Main!A:A,0),"Open"),HYPERLINK("#Main!A1","Open"))</f>
        <v>Open</v>
      </c>
      <c r="T558" s="34" t="str">
        <f>IFERROR(HYPERLINK("#Technical!A"&amp;MATCH(A558,Technical!A:A,0),"Open"),HYPERLINK("#Technical!A1","Open"))</f>
        <v>Open</v>
      </c>
      <c r="U558" s="34"/>
    </row>
    <row r="559" spans="1:21" ht="30" customHeight="1" x14ac:dyDescent="0.25">
      <c r="A559" s="30" t="s">
        <v>683</v>
      </c>
      <c r="B559" s="37">
        <v>4909</v>
      </c>
      <c r="C559" s="55" t="s">
        <v>1150</v>
      </c>
      <c r="D559" s="37" t="s">
        <v>18</v>
      </c>
      <c r="E559" s="47" t="s">
        <v>388</v>
      </c>
      <c r="F559" s="37" t="s">
        <v>1584</v>
      </c>
      <c r="G559" s="42">
        <v>37</v>
      </c>
      <c r="H559" s="37">
        <v>0</v>
      </c>
      <c r="I559" s="37" t="s">
        <v>1585</v>
      </c>
      <c r="J559" s="37" t="s">
        <v>1586</v>
      </c>
      <c r="K559" s="57" t="s">
        <v>20</v>
      </c>
      <c r="L559" s="37" t="s">
        <v>889</v>
      </c>
      <c r="M559" s="37" t="s">
        <v>392</v>
      </c>
      <c r="N559" s="37" t="s">
        <v>330</v>
      </c>
      <c r="O559" s="29" t="s">
        <v>2</v>
      </c>
      <c r="P559" s="37">
        <v>4</v>
      </c>
      <c r="Q559" s="37" t="s">
        <v>1671</v>
      </c>
      <c r="R559" s="37" t="s">
        <v>1588</v>
      </c>
      <c r="S559" t="str">
        <f>IFERROR(HYPERLINK("#Main!A"&amp;MATCH(A559,Main!A:A,0),"Open"),HYPERLINK("#Main!A1","Open"))</f>
        <v>Open</v>
      </c>
      <c r="T559" t="str">
        <f>IFERROR(HYPERLINK("#Technical!A"&amp;MATCH(A559,Technical!A:A,0),"Open"),HYPERLINK("#Technical!A1","Open"))</f>
        <v>Open</v>
      </c>
    </row>
    <row r="560" spans="1:21" ht="30" customHeight="1" x14ac:dyDescent="0.25">
      <c r="A560" s="33" t="s">
        <v>686</v>
      </c>
      <c r="B560" s="28">
        <v>5290</v>
      </c>
      <c r="C560" s="55" t="s">
        <v>1152</v>
      </c>
      <c r="D560" s="28" t="s">
        <v>18</v>
      </c>
      <c r="E560" s="47" t="s">
        <v>388</v>
      </c>
      <c r="F560" s="28" t="s">
        <v>1584</v>
      </c>
      <c r="G560" s="39">
        <v>37</v>
      </c>
      <c r="H560" s="28">
        <v>0</v>
      </c>
      <c r="I560" s="28" t="s">
        <v>1585</v>
      </c>
      <c r="J560" s="28" t="s">
        <v>1586</v>
      </c>
      <c r="K560" s="56" t="s">
        <v>20</v>
      </c>
      <c r="L560" s="28" t="s">
        <v>889</v>
      </c>
      <c r="M560" s="28" t="s">
        <v>392</v>
      </c>
      <c r="N560" s="28" t="s">
        <v>330</v>
      </c>
      <c r="O560" s="29" t="s">
        <v>2</v>
      </c>
      <c r="P560" s="28">
        <v>4</v>
      </c>
      <c r="Q560" s="28" t="s">
        <v>1672</v>
      </c>
      <c r="R560" s="28" t="s">
        <v>1588</v>
      </c>
      <c r="S560" s="34" t="str">
        <f>IFERROR(HYPERLINK("#Main!A"&amp;MATCH(A560,Main!A:A,0),"Open"),HYPERLINK("#Main!A1","Open"))</f>
        <v>Open</v>
      </c>
      <c r="T560" s="34" t="str">
        <f>IFERROR(HYPERLINK("#Technical!A"&amp;MATCH(A560,Technical!A:A,0),"Open"),HYPERLINK("#Technical!A1","Open"))</f>
        <v>Open</v>
      </c>
      <c r="U560" s="34"/>
    </row>
    <row r="561" spans="1:21" ht="30" customHeight="1" x14ac:dyDescent="0.25">
      <c r="A561" s="30" t="s">
        <v>127</v>
      </c>
      <c r="B561" s="37">
        <v>8</v>
      </c>
      <c r="C561" s="55" t="s">
        <v>988</v>
      </c>
      <c r="D561" s="37" t="s">
        <v>1253</v>
      </c>
      <c r="E561" s="47" t="s">
        <v>388</v>
      </c>
      <c r="F561" s="37" t="s">
        <v>1673</v>
      </c>
      <c r="G561" s="42">
        <v>37</v>
      </c>
      <c r="H561" s="37">
        <v>5</v>
      </c>
      <c r="I561" s="37" t="s">
        <v>1674</v>
      </c>
      <c r="J561" s="37" t="s">
        <v>1675</v>
      </c>
      <c r="K561" s="57" t="s">
        <v>18</v>
      </c>
      <c r="L561" s="37" t="s">
        <v>876</v>
      </c>
      <c r="M561" s="37" t="s">
        <v>392</v>
      </c>
      <c r="N561" s="37" t="s">
        <v>330</v>
      </c>
      <c r="O561" s="29" t="s">
        <v>2</v>
      </c>
      <c r="P561" s="37">
        <v>4</v>
      </c>
      <c r="Q561" s="37" t="s">
        <v>1676</v>
      </c>
      <c r="R561" s="37" t="s">
        <v>1677</v>
      </c>
      <c r="S561" t="str">
        <f>IFERROR(HYPERLINK("#Main!A"&amp;MATCH(A561,Main!A:A,0),"Open"),HYPERLINK("#Main!A1","Open"))</f>
        <v>Open</v>
      </c>
      <c r="T561" t="str">
        <f>IFERROR(HYPERLINK("#Technical!A"&amp;MATCH(A561,Technical!A:A,0),"Open"),HYPERLINK("#Technical!A1","Open"))</f>
        <v>Open</v>
      </c>
    </row>
    <row r="562" spans="1:21" ht="30" customHeight="1" x14ac:dyDescent="0.25">
      <c r="A562" s="33" t="s">
        <v>127</v>
      </c>
      <c r="B562" s="28">
        <v>8</v>
      </c>
      <c r="C562" s="55" t="s">
        <v>988</v>
      </c>
      <c r="D562" s="28" t="s">
        <v>1253</v>
      </c>
      <c r="E562" s="47" t="s">
        <v>388</v>
      </c>
      <c r="F562" s="28" t="s">
        <v>1678</v>
      </c>
      <c r="G562" s="39">
        <v>37</v>
      </c>
      <c r="H562" s="28">
        <v>0</v>
      </c>
      <c r="I562" s="28" t="s">
        <v>1679</v>
      </c>
      <c r="J562" s="28" t="s">
        <v>1680</v>
      </c>
      <c r="K562" s="56" t="s">
        <v>20</v>
      </c>
      <c r="L562" s="28" t="s">
        <v>888</v>
      </c>
      <c r="M562" s="28" t="s">
        <v>392</v>
      </c>
      <c r="N562" s="28" t="s">
        <v>330</v>
      </c>
      <c r="O562" s="29" t="s">
        <v>2</v>
      </c>
      <c r="P562" s="28">
        <v>4</v>
      </c>
      <c r="Q562" s="28" t="s">
        <v>1681</v>
      </c>
      <c r="R562" s="28" t="s">
        <v>1682</v>
      </c>
      <c r="S562" s="34" t="str">
        <f>IFERROR(HYPERLINK("#Main!A"&amp;MATCH(A562,Main!A:A,0),"Open"),HYPERLINK("#Main!A1","Open"))</f>
        <v>Open</v>
      </c>
      <c r="T562" s="34" t="str">
        <f>IFERROR(HYPERLINK("#Technical!A"&amp;MATCH(A562,Technical!A:A,0),"Open"),HYPERLINK("#Technical!A1","Open"))</f>
        <v>Open</v>
      </c>
      <c r="U562" s="34"/>
    </row>
    <row r="563" spans="1:21" ht="30" customHeight="1" x14ac:dyDescent="0.25">
      <c r="A563" s="30" t="s">
        <v>135</v>
      </c>
      <c r="B563" s="37">
        <v>84</v>
      </c>
      <c r="C563" s="55" t="s">
        <v>992</v>
      </c>
      <c r="D563" s="37" t="s">
        <v>1253</v>
      </c>
      <c r="E563" s="47" t="s">
        <v>388</v>
      </c>
      <c r="F563" s="37" t="s">
        <v>1678</v>
      </c>
      <c r="G563" s="42">
        <v>37</v>
      </c>
      <c r="H563" s="37">
        <v>0</v>
      </c>
      <c r="I563" s="37" t="s">
        <v>1679</v>
      </c>
      <c r="J563" s="37" t="s">
        <v>1680</v>
      </c>
      <c r="K563" s="57" t="s">
        <v>20</v>
      </c>
      <c r="L563" s="37" t="s">
        <v>888</v>
      </c>
      <c r="M563" s="37" t="s">
        <v>392</v>
      </c>
      <c r="N563" s="37" t="s">
        <v>330</v>
      </c>
      <c r="O563" s="29" t="s">
        <v>2</v>
      </c>
      <c r="P563" s="37">
        <v>4</v>
      </c>
      <c r="Q563" s="37" t="s">
        <v>1683</v>
      </c>
      <c r="R563" s="37" t="s">
        <v>1682</v>
      </c>
      <c r="S563" t="str">
        <f>IFERROR(HYPERLINK("#Main!A"&amp;MATCH(A563,Main!A:A,0),"Open"),HYPERLINK("#Main!A1","Open"))</f>
        <v>Open</v>
      </c>
      <c r="T563" t="str">
        <f>IFERROR(HYPERLINK("#Technical!A"&amp;MATCH(A563,Technical!A:A,0),"Open"),HYPERLINK("#Technical!A1","Open"))</f>
        <v>Open</v>
      </c>
    </row>
    <row r="564" spans="1:21" ht="30" customHeight="1" x14ac:dyDescent="0.25">
      <c r="A564" s="33" t="s">
        <v>144</v>
      </c>
      <c r="B564" s="28">
        <v>28165</v>
      </c>
      <c r="C564" s="55" t="s">
        <v>994</v>
      </c>
      <c r="D564" s="28" t="s">
        <v>1253</v>
      </c>
      <c r="E564" s="47" t="s">
        <v>388</v>
      </c>
      <c r="F564" s="28" t="s">
        <v>1673</v>
      </c>
      <c r="G564" s="39">
        <v>37</v>
      </c>
      <c r="H564" s="28">
        <v>2</v>
      </c>
      <c r="I564" s="28" t="s">
        <v>1674</v>
      </c>
      <c r="J564" s="28" t="s">
        <v>1675</v>
      </c>
      <c r="K564" s="56" t="s">
        <v>18</v>
      </c>
      <c r="L564" s="28" t="s">
        <v>876</v>
      </c>
      <c r="M564" s="28" t="s">
        <v>392</v>
      </c>
      <c r="N564" s="28" t="s">
        <v>330</v>
      </c>
      <c r="O564" s="29" t="s">
        <v>2</v>
      </c>
      <c r="P564" s="28">
        <v>4</v>
      </c>
      <c r="Q564" s="28" t="s">
        <v>1684</v>
      </c>
      <c r="R564" s="28" t="s">
        <v>1677</v>
      </c>
      <c r="S564" s="34" t="str">
        <f>IFERROR(HYPERLINK("#Main!A"&amp;MATCH(A564,Main!A:A,0),"Open"),HYPERLINK("#Main!A1","Open"))</f>
        <v>Open</v>
      </c>
      <c r="T564" s="34" t="str">
        <f>IFERROR(HYPERLINK("#Technical!A"&amp;MATCH(A564,Technical!A:A,0),"Open"),HYPERLINK("#Technical!A1","Open"))</f>
        <v>Open</v>
      </c>
      <c r="U564" s="34"/>
    </row>
    <row r="565" spans="1:21" ht="30" customHeight="1" x14ac:dyDescent="0.25">
      <c r="A565" s="30" t="s">
        <v>144</v>
      </c>
      <c r="B565" s="37">
        <v>28165</v>
      </c>
      <c r="C565" s="55" t="s">
        <v>994</v>
      </c>
      <c r="D565" s="37" t="s">
        <v>1253</v>
      </c>
      <c r="E565" s="47" t="s">
        <v>388</v>
      </c>
      <c r="F565" s="37" t="s">
        <v>1678</v>
      </c>
      <c r="G565" s="42">
        <v>37</v>
      </c>
      <c r="H565" s="37">
        <v>0</v>
      </c>
      <c r="I565" s="37" t="s">
        <v>1679</v>
      </c>
      <c r="J565" s="37" t="s">
        <v>1680</v>
      </c>
      <c r="K565" s="57" t="s">
        <v>20</v>
      </c>
      <c r="L565" s="37" t="s">
        <v>888</v>
      </c>
      <c r="M565" s="37" t="s">
        <v>392</v>
      </c>
      <c r="N565" s="37" t="s">
        <v>330</v>
      </c>
      <c r="O565" s="29" t="s">
        <v>2</v>
      </c>
      <c r="P565" s="37">
        <v>4</v>
      </c>
      <c r="Q565" s="37" t="s">
        <v>1685</v>
      </c>
      <c r="R565" s="37" t="s">
        <v>1682</v>
      </c>
      <c r="S565" t="str">
        <f>IFERROR(HYPERLINK("#Main!A"&amp;MATCH(A565,Main!A:A,0),"Open"),HYPERLINK("#Main!A1","Open"))</f>
        <v>Open</v>
      </c>
      <c r="T565" t="str">
        <f>IFERROR(HYPERLINK("#Technical!A"&amp;MATCH(A565,Technical!A:A,0),"Open"),HYPERLINK("#Technical!A1","Open"))</f>
        <v>Open</v>
      </c>
    </row>
    <row r="566" spans="1:21" ht="30" customHeight="1" x14ac:dyDescent="0.25">
      <c r="A566" s="33" t="s">
        <v>152</v>
      </c>
      <c r="B566" s="28">
        <v>16125</v>
      </c>
      <c r="C566" s="55" t="s">
        <v>996</v>
      </c>
      <c r="D566" s="28" t="s">
        <v>1253</v>
      </c>
      <c r="E566" s="47" t="s">
        <v>388</v>
      </c>
      <c r="F566" s="28" t="s">
        <v>1673</v>
      </c>
      <c r="G566" s="39">
        <v>37</v>
      </c>
      <c r="H566" s="28">
        <v>2</v>
      </c>
      <c r="I566" s="28" t="s">
        <v>1674</v>
      </c>
      <c r="J566" s="28" t="s">
        <v>1675</v>
      </c>
      <c r="K566" s="56" t="s">
        <v>18</v>
      </c>
      <c r="L566" s="28" t="s">
        <v>876</v>
      </c>
      <c r="M566" s="28" t="s">
        <v>392</v>
      </c>
      <c r="N566" s="28" t="s">
        <v>330</v>
      </c>
      <c r="O566" s="29" t="s">
        <v>2</v>
      </c>
      <c r="P566" s="28">
        <v>4</v>
      </c>
      <c r="Q566" s="28" t="s">
        <v>1686</v>
      </c>
      <c r="R566" s="28" t="s">
        <v>1677</v>
      </c>
      <c r="S566" s="34" t="str">
        <f>IFERROR(HYPERLINK("#Main!A"&amp;MATCH(A566,Main!A:A,0),"Open"),HYPERLINK("#Main!A1","Open"))</f>
        <v>Open</v>
      </c>
      <c r="T566" s="34" t="str">
        <f>IFERROR(HYPERLINK("#Technical!A"&amp;MATCH(A566,Technical!A:A,0),"Open"),HYPERLINK("#Technical!A1","Open"))</f>
        <v>Open</v>
      </c>
      <c r="U566" s="34"/>
    </row>
    <row r="567" spans="1:21" ht="30" customHeight="1" x14ac:dyDescent="0.25">
      <c r="A567" s="30" t="s">
        <v>152</v>
      </c>
      <c r="B567" s="37">
        <v>16125</v>
      </c>
      <c r="C567" s="55" t="s">
        <v>996</v>
      </c>
      <c r="D567" s="37" t="s">
        <v>1253</v>
      </c>
      <c r="E567" s="47" t="s">
        <v>388</v>
      </c>
      <c r="F567" s="37" t="s">
        <v>1678</v>
      </c>
      <c r="G567" s="42">
        <v>37</v>
      </c>
      <c r="H567" s="37">
        <v>0</v>
      </c>
      <c r="I567" s="37" t="s">
        <v>1679</v>
      </c>
      <c r="J567" s="37" t="s">
        <v>1680</v>
      </c>
      <c r="K567" s="57" t="s">
        <v>20</v>
      </c>
      <c r="L567" s="37" t="s">
        <v>888</v>
      </c>
      <c r="M567" s="37" t="s">
        <v>392</v>
      </c>
      <c r="N567" s="37" t="s">
        <v>330</v>
      </c>
      <c r="O567" s="29" t="s">
        <v>2</v>
      </c>
      <c r="P567" s="37">
        <v>4</v>
      </c>
      <c r="Q567" s="37" t="s">
        <v>1687</v>
      </c>
      <c r="R567" s="37" t="s">
        <v>1682</v>
      </c>
      <c r="S567" t="str">
        <f>IFERROR(HYPERLINK("#Main!A"&amp;MATCH(A567,Main!A:A,0),"Open"),HYPERLINK("#Main!A1","Open"))</f>
        <v>Open</v>
      </c>
      <c r="T567" t="str">
        <f>IFERROR(HYPERLINK("#Technical!A"&amp;MATCH(A567,Technical!A:A,0),"Open"),HYPERLINK("#Technical!A1","Open"))</f>
        <v>Open</v>
      </c>
    </row>
    <row r="568" spans="1:21" ht="30" customHeight="1" x14ac:dyDescent="0.25">
      <c r="A568" s="33" t="s">
        <v>161</v>
      </c>
      <c r="B568" s="28">
        <v>4494</v>
      </c>
      <c r="C568" s="55" t="s">
        <v>998</v>
      </c>
      <c r="D568" s="28" t="s">
        <v>1253</v>
      </c>
      <c r="E568" s="47" t="s">
        <v>388</v>
      </c>
      <c r="F568" s="28" t="s">
        <v>1678</v>
      </c>
      <c r="G568" s="39">
        <v>37</v>
      </c>
      <c r="H568" s="28">
        <v>0</v>
      </c>
      <c r="I568" s="28" t="s">
        <v>1679</v>
      </c>
      <c r="J568" s="28" t="s">
        <v>1680</v>
      </c>
      <c r="K568" s="56" t="s">
        <v>20</v>
      </c>
      <c r="L568" s="28" t="s">
        <v>888</v>
      </c>
      <c r="M568" s="28" t="s">
        <v>392</v>
      </c>
      <c r="N568" s="28" t="s">
        <v>330</v>
      </c>
      <c r="O568" s="29" t="s">
        <v>2</v>
      </c>
      <c r="P568" s="28">
        <v>4</v>
      </c>
      <c r="Q568" s="28" t="s">
        <v>1688</v>
      </c>
      <c r="R568" s="28" t="s">
        <v>1682</v>
      </c>
      <c r="S568" s="34" t="str">
        <f>IFERROR(HYPERLINK("#Main!A"&amp;MATCH(A568,Main!A:A,0),"Open"),HYPERLINK("#Main!A1","Open"))</f>
        <v>Open</v>
      </c>
      <c r="T568" s="34" t="str">
        <f>IFERROR(HYPERLINK("#Technical!A"&amp;MATCH(A568,Technical!A:A,0),"Open"),HYPERLINK("#Technical!A1","Open"))</f>
        <v>Open</v>
      </c>
      <c r="U568" s="34"/>
    </row>
    <row r="569" spans="1:21" ht="30" customHeight="1" x14ac:dyDescent="0.25">
      <c r="A569" s="30" t="s">
        <v>169</v>
      </c>
      <c r="B569" s="37">
        <v>5619</v>
      </c>
      <c r="C569" s="55" t="s">
        <v>1000</v>
      </c>
      <c r="D569" s="37" t="s">
        <v>1253</v>
      </c>
      <c r="E569" s="47" t="s">
        <v>388</v>
      </c>
      <c r="F569" s="37" t="s">
        <v>1678</v>
      </c>
      <c r="G569" s="42">
        <v>37</v>
      </c>
      <c r="H569" s="37">
        <v>0</v>
      </c>
      <c r="I569" s="37" t="s">
        <v>1679</v>
      </c>
      <c r="J569" s="37" t="s">
        <v>1680</v>
      </c>
      <c r="K569" s="57" t="s">
        <v>20</v>
      </c>
      <c r="L569" s="37" t="s">
        <v>888</v>
      </c>
      <c r="M569" s="37" t="s">
        <v>392</v>
      </c>
      <c r="N569" s="37" t="s">
        <v>330</v>
      </c>
      <c r="O569" s="29" t="s">
        <v>2</v>
      </c>
      <c r="P569" s="37">
        <v>4</v>
      </c>
      <c r="Q569" s="37" t="s">
        <v>1689</v>
      </c>
      <c r="R569" s="37" t="s">
        <v>1682</v>
      </c>
      <c r="S569" t="str">
        <f>IFERROR(HYPERLINK("#Main!A"&amp;MATCH(A569,Main!A:A,0),"Open"),HYPERLINK("#Main!A1","Open"))</f>
        <v>Open</v>
      </c>
      <c r="T569" t="str">
        <f>IFERROR(HYPERLINK("#Technical!A"&amp;MATCH(A569,Technical!A:A,0),"Open"),HYPERLINK("#Technical!A1","Open"))</f>
        <v>Open</v>
      </c>
    </row>
    <row r="570" spans="1:21" ht="30" customHeight="1" x14ac:dyDescent="0.25">
      <c r="A570" s="33" t="s">
        <v>177</v>
      </c>
      <c r="B570" s="28">
        <v>4941</v>
      </c>
      <c r="C570" s="55" t="s">
        <v>1002</v>
      </c>
      <c r="D570" s="28" t="s">
        <v>1253</v>
      </c>
      <c r="E570" s="47" t="s">
        <v>388</v>
      </c>
      <c r="F570" s="28" t="s">
        <v>1678</v>
      </c>
      <c r="G570" s="39">
        <v>37</v>
      </c>
      <c r="H570" s="28">
        <v>0</v>
      </c>
      <c r="I570" s="28" t="s">
        <v>1679</v>
      </c>
      <c r="J570" s="28" t="s">
        <v>1680</v>
      </c>
      <c r="K570" s="56" t="s">
        <v>20</v>
      </c>
      <c r="L570" s="28" t="s">
        <v>888</v>
      </c>
      <c r="M570" s="28" t="s">
        <v>392</v>
      </c>
      <c r="N570" s="28" t="s">
        <v>330</v>
      </c>
      <c r="O570" s="29" t="s">
        <v>2</v>
      </c>
      <c r="P570" s="28">
        <v>4</v>
      </c>
      <c r="Q570" s="28" t="s">
        <v>1690</v>
      </c>
      <c r="R570" s="28" t="s">
        <v>1682</v>
      </c>
      <c r="S570" s="34" t="str">
        <f>IFERROR(HYPERLINK("#Main!A"&amp;MATCH(A570,Main!A:A,0),"Open"),HYPERLINK("#Main!A1","Open"))</f>
        <v>Open</v>
      </c>
      <c r="T570" s="34" t="str">
        <f>IFERROR(HYPERLINK("#Technical!A"&amp;MATCH(A570,Technical!A:A,0),"Open"),HYPERLINK("#Technical!A1","Open"))</f>
        <v>Open</v>
      </c>
      <c r="U570" s="34"/>
    </row>
    <row r="571" spans="1:21" ht="30" customHeight="1" x14ac:dyDescent="0.25">
      <c r="A571" s="30" t="s">
        <v>185</v>
      </c>
      <c r="B571" s="37">
        <v>12371</v>
      </c>
      <c r="C571" s="55" t="s">
        <v>1004</v>
      </c>
      <c r="D571" s="37" t="s">
        <v>1253</v>
      </c>
      <c r="E571" s="47" t="s">
        <v>388</v>
      </c>
      <c r="F571" s="37" t="s">
        <v>1678</v>
      </c>
      <c r="G571" s="42">
        <v>37</v>
      </c>
      <c r="H571" s="37">
        <v>0</v>
      </c>
      <c r="I571" s="37" t="s">
        <v>1679</v>
      </c>
      <c r="J571" s="37" t="s">
        <v>1680</v>
      </c>
      <c r="K571" s="57" t="s">
        <v>20</v>
      </c>
      <c r="L571" s="37" t="s">
        <v>888</v>
      </c>
      <c r="M571" s="37" t="s">
        <v>392</v>
      </c>
      <c r="N571" s="37" t="s">
        <v>330</v>
      </c>
      <c r="O571" s="29" t="s">
        <v>2</v>
      </c>
      <c r="P571" s="37">
        <v>4</v>
      </c>
      <c r="Q571" s="37" t="s">
        <v>1691</v>
      </c>
      <c r="R571" s="37" t="s">
        <v>1682</v>
      </c>
      <c r="S571" t="str">
        <f>IFERROR(HYPERLINK("#Main!A"&amp;MATCH(A571,Main!A:A,0),"Open"),HYPERLINK("#Main!A1","Open"))</f>
        <v>Open</v>
      </c>
      <c r="T571" t="str">
        <f>IFERROR(HYPERLINK("#Technical!A"&amp;MATCH(A571,Technical!A:A,0),"Open"),HYPERLINK("#Technical!A1","Open"))</f>
        <v>Open</v>
      </c>
    </row>
    <row r="572" spans="1:21" ht="30" customHeight="1" x14ac:dyDescent="0.25">
      <c r="A572" s="33" t="s">
        <v>193</v>
      </c>
      <c r="B572" s="28">
        <v>12954</v>
      </c>
      <c r="C572" s="55" t="s">
        <v>1006</v>
      </c>
      <c r="D572" s="28" t="s">
        <v>1253</v>
      </c>
      <c r="E572" s="47" t="s">
        <v>388</v>
      </c>
      <c r="F572" s="28" t="s">
        <v>1678</v>
      </c>
      <c r="G572" s="39">
        <v>37</v>
      </c>
      <c r="H572" s="28">
        <v>0</v>
      </c>
      <c r="I572" s="28" t="s">
        <v>1679</v>
      </c>
      <c r="J572" s="28" t="s">
        <v>1680</v>
      </c>
      <c r="K572" s="56" t="s">
        <v>20</v>
      </c>
      <c r="L572" s="28" t="s">
        <v>888</v>
      </c>
      <c r="M572" s="28" t="s">
        <v>392</v>
      </c>
      <c r="N572" s="28" t="s">
        <v>330</v>
      </c>
      <c r="O572" s="29" t="s">
        <v>2</v>
      </c>
      <c r="P572" s="28">
        <v>4</v>
      </c>
      <c r="Q572" s="28" t="s">
        <v>1692</v>
      </c>
      <c r="R572" s="28" t="s">
        <v>1682</v>
      </c>
      <c r="S572" s="34" t="str">
        <f>IFERROR(HYPERLINK("#Main!A"&amp;MATCH(A572,Main!A:A,0),"Open"),HYPERLINK("#Main!A1","Open"))</f>
        <v>Open</v>
      </c>
      <c r="T572" s="34" t="str">
        <f>IFERROR(HYPERLINK("#Technical!A"&amp;MATCH(A572,Technical!A:A,0),"Open"),HYPERLINK("#Technical!A1","Open"))</f>
        <v>Open</v>
      </c>
      <c r="U572" s="34"/>
    </row>
    <row r="573" spans="1:21" ht="30" customHeight="1" x14ac:dyDescent="0.25">
      <c r="A573" s="30" t="s">
        <v>201</v>
      </c>
      <c r="B573" s="37">
        <v>13164</v>
      </c>
      <c r="C573" s="55" t="s">
        <v>1008</v>
      </c>
      <c r="D573" s="37" t="s">
        <v>1253</v>
      </c>
      <c r="E573" s="47" t="s">
        <v>388</v>
      </c>
      <c r="F573" s="37" t="s">
        <v>1678</v>
      </c>
      <c r="G573" s="42">
        <v>37</v>
      </c>
      <c r="H573" s="37">
        <v>0</v>
      </c>
      <c r="I573" s="37" t="s">
        <v>1679</v>
      </c>
      <c r="J573" s="37" t="s">
        <v>1680</v>
      </c>
      <c r="K573" s="57" t="s">
        <v>20</v>
      </c>
      <c r="L573" s="37" t="s">
        <v>888</v>
      </c>
      <c r="M573" s="37" t="s">
        <v>392</v>
      </c>
      <c r="N573" s="37" t="s">
        <v>330</v>
      </c>
      <c r="O573" s="29" t="s">
        <v>2</v>
      </c>
      <c r="P573" s="37">
        <v>4</v>
      </c>
      <c r="Q573" s="37" t="s">
        <v>1693</v>
      </c>
      <c r="R573" s="37" t="s">
        <v>1682</v>
      </c>
      <c r="S573" t="str">
        <f>IFERROR(HYPERLINK("#Main!A"&amp;MATCH(A573,Main!A:A,0),"Open"),HYPERLINK("#Main!A1","Open"))</f>
        <v>Open</v>
      </c>
      <c r="T573" t="str">
        <f>IFERROR(HYPERLINK("#Technical!A"&amp;MATCH(A573,Technical!A:A,0),"Open"),HYPERLINK("#Technical!A1","Open"))</f>
        <v>Open</v>
      </c>
    </row>
    <row r="574" spans="1:21" ht="30" customHeight="1" x14ac:dyDescent="0.25">
      <c r="A574" s="33" t="s">
        <v>208</v>
      </c>
      <c r="B574" s="28">
        <v>12407</v>
      </c>
      <c r="C574" s="55" t="s">
        <v>1010</v>
      </c>
      <c r="D574" s="28" t="s">
        <v>1253</v>
      </c>
      <c r="E574" s="47" t="s">
        <v>388</v>
      </c>
      <c r="F574" s="28" t="s">
        <v>1694</v>
      </c>
      <c r="G574" s="39">
        <v>37</v>
      </c>
      <c r="H574" s="28">
        <v>8.91</v>
      </c>
      <c r="I574" s="28" t="s">
        <v>1695</v>
      </c>
      <c r="J574" s="28" t="s">
        <v>1696</v>
      </c>
      <c r="K574" s="56" t="s">
        <v>18</v>
      </c>
      <c r="L574" s="28" t="s">
        <v>873</v>
      </c>
      <c r="M574" s="28" t="s">
        <v>392</v>
      </c>
      <c r="N574" s="28" t="s">
        <v>330</v>
      </c>
      <c r="O574" s="29" t="s">
        <v>2</v>
      </c>
      <c r="P574" s="28">
        <v>4</v>
      </c>
      <c r="Q574" s="28" t="s">
        <v>1697</v>
      </c>
      <c r="R574" s="28" t="s">
        <v>1698</v>
      </c>
      <c r="S574" s="34" t="str">
        <f>IFERROR(HYPERLINK("#Main!A"&amp;MATCH(A574,Main!A:A,0),"Open"),HYPERLINK("#Main!A1","Open"))</f>
        <v>Open</v>
      </c>
      <c r="T574" s="34" t="str">
        <f>IFERROR(HYPERLINK("#Technical!A"&amp;MATCH(A574,Technical!A:A,0),"Open"),HYPERLINK("#Technical!A1","Open"))</f>
        <v>Open</v>
      </c>
      <c r="U574" s="34"/>
    </row>
    <row r="575" spans="1:21" ht="30" customHeight="1" x14ac:dyDescent="0.25">
      <c r="A575" s="30" t="s">
        <v>208</v>
      </c>
      <c r="B575" s="37">
        <v>12407</v>
      </c>
      <c r="C575" s="55" t="s">
        <v>1010</v>
      </c>
      <c r="D575" s="37" t="s">
        <v>1253</v>
      </c>
      <c r="E575" s="47" t="s">
        <v>388</v>
      </c>
      <c r="F575" s="37" t="s">
        <v>1678</v>
      </c>
      <c r="G575" s="42">
        <v>37</v>
      </c>
      <c r="H575" s="37">
        <v>0</v>
      </c>
      <c r="I575" s="37" t="s">
        <v>1679</v>
      </c>
      <c r="J575" s="37" t="s">
        <v>1680</v>
      </c>
      <c r="K575" s="57" t="s">
        <v>20</v>
      </c>
      <c r="L575" s="37" t="s">
        <v>888</v>
      </c>
      <c r="M575" s="37" t="s">
        <v>392</v>
      </c>
      <c r="N575" s="37" t="s">
        <v>330</v>
      </c>
      <c r="O575" s="29" t="s">
        <v>2</v>
      </c>
      <c r="P575" s="37">
        <v>4</v>
      </c>
      <c r="Q575" s="37" t="s">
        <v>1699</v>
      </c>
      <c r="R575" s="37" t="s">
        <v>1682</v>
      </c>
      <c r="S575" t="str">
        <f>IFERROR(HYPERLINK("#Main!A"&amp;MATCH(A575,Main!A:A,0),"Open"),HYPERLINK("#Main!A1","Open"))</f>
        <v>Open</v>
      </c>
      <c r="T575" t="str">
        <f>IFERROR(HYPERLINK("#Technical!A"&amp;MATCH(A575,Technical!A:A,0),"Open"),HYPERLINK("#Technical!A1","Open"))</f>
        <v>Open</v>
      </c>
    </row>
    <row r="576" spans="1:21" ht="30" customHeight="1" x14ac:dyDescent="0.25">
      <c r="A576" s="33" t="s">
        <v>216</v>
      </c>
      <c r="B576" s="28">
        <v>12497</v>
      </c>
      <c r="C576" s="55" t="s">
        <v>1012</v>
      </c>
      <c r="D576" s="28" t="s">
        <v>1253</v>
      </c>
      <c r="E576" s="47" t="s">
        <v>388</v>
      </c>
      <c r="F576" s="28" t="s">
        <v>1678</v>
      </c>
      <c r="G576" s="39">
        <v>37</v>
      </c>
      <c r="H576" s="28">
        <v>0</v>
      </c>
      <c r="I576" s="28" t="s">
        <v>1679</v>
      </c>
      <c r="J576" s="28" t="s">
        <v>1680</v>
      </c>
      <c r="K576" s="56" t="s">
        <v>20</v>
      </c>
      <c r="L576" s="28" t="s">
        <v>888</v>
      </c>
      <c r="M576" s="28" t="s">
        <v>392</v>
      </c>
      <c r="N576" s="28" t="s">
        <v>330</v>
      </c>
      <c r="O576" s="29" t="s">
        <v>2</v>
      </c>
      <c r="P576" s="28">
        <v>4</v>
      </c>
      <c r="Q576" s="28" t="s">
        <v>1700</v>
      </c>
      <c r="R576" s="28" t="s">
        <v>1682</v>
      </c>
      <c r="S576" s="34" t="str">
        <f>IFERROR(HYPERLINK("#Main!A"&amp;MATCH(A576,Main!A:A,0),"Open"),HYPERLINK("#Main!A1","Open"))</f>
        <v>Open</v>
      </c>
      <c r="T576" s="34" t="str">
        <f>IFERROR(HYPERLINK("#Technical!A"&amp;MATCH(A576,Technical!A:A,0),"Open"),HYPERLINK("#Technical!A1","Open"))</f>
        <v>Open</v>
      </c>
      <c r="U576" s="34"/>
    </row>
    <row r="577" spans="1:21" ht="30" customHeight="1" x14ac:dyDescent="0.25">
      <c r="A577" s="30" t="s">
        <v>224</v>
      </c>
      <c r="B577" s="37">
        <v>13098</v>
      </c>
      <c r="C577" s="55" t="s">
        <v>1014</v>
      </c>
      <c r="D577" s="37" t="s">
        <v>1253</v>
      </c>
      <c r="E577" s="47" t="s">
        <v>388</v>
      </c>
      <c r="F577" s="37" t="s">
        <v>1678</v>
      </c>
      <c r="G577" s="42">
        <v>37</v>
      </c>
      <c r="H577" s="37">
        <v>0</v>
      </c>
      <c r="I577" s="37" t="s">
        <v>1679</v>
      </c>
      <c r="J577" s="37" t="s">
        <v>1680</v>
      </c>
      <c r="K577" s="57" t="s">
        <v>20</v>
      </c>
      <c r="L577" s="37" t="s">
        <v>888</v>
      </c>
      <c r="M577" s="37" t="s">
        <v>392</v>
      </c>
      <c r="N577" s="37" t="s">
        <v>330</v>
      </c>
      <c r="O577" s="29" t="s">
        <v>2</v>
      </c>
      <c r="P577" s="37">
        <v>4</v>
      </c>
      <c r="Q577" s="37" t="s">
        <v>1701</v>
      </c>
      <c r="R577" s="37" t="s">
        <v>1682</v>
      </c>
      <c r="S577" t="str">
        <f>IFERROR(HYPERLINK("#Main!A"&amp;MATCH(A577,Main!A:A,0),"Open"),HYPERLINK("#Main!A1","Open"))</f>
        <v>Open</v>
      </c>
      <c r="T577" t="str">
        <f>IFERROR(HYPERLINK("#Technical!A"&amp;MATCH(A577,Technical!A:A,0),"Open"),HYPERLINK("#Technical!A1","Open"))</f>
        <v>Open</v>
      </c>
    </row>
    <row r="578" spans="1:21" ht="30" customHeight="1" x14ac:dyDescent="0.25">
      <c r="A578" s="33" t="s">
        <v>233</v>
      </c>
      <c r="B578" s="28">
        <v>13549</v>
      </c>
      <c r="C578" s="55" t="s">
        <v>1016</v>
      </c>
      <c r="D578" s="28" t="s">
        <v>1253</v>
      </c>
      <c r="E578" s="47" t="s">
        <v>388</v>
      </c>
      <c r="F578" s="28" t="s">
        <v>1678</v>
      </c>
      <c r="G578" s="39">
        <v>37</v>
      </c>
      <c r="H578" s="28">
        <v>0</v>
      </c>
      <c r="I578" s="28" t="s">
        <v>1679</v>
      </c>
      <c r="J578" s="28" t="s">
        <v>1680</v>
      </c>
      <c r="K578" s="56" t="s">
        <v>20</v>
      </c>
      <c r="L578" s="28" t="s">
        <v>888</v>
      </c>
      <c r="M578" s="28" t="s">
        <v>392</v>
      </c>
      <c r="N578" s="28" t="s">
        <v>330</v>
      </c>
      <c r="O578" s="29" t="s">
        <v>2</v>
      </c>
      <c r="P578" s="28">
        <v>4</v>
      </c>
      <c r="Q578" s="28" t="s">
        <v>1702</v>
      </c>
      <c r="R578" s="28" t="s">
        <v>1682</v>
      </c>
      <c r="S578" s="34" t="str">
        <f>IFERROR(HYPERLINK("#Main!A"&amp;MATCH(A578,Main!A:A,0),"Open"),HYPERLINK("#Main!A1","Open"))</f>
        <v>Open</v>
      </c>
      <c r="T578" s="34" t="str">
        <f>IFERROR(HYPERLINK("#Technical!A"&amp;MATCH(A578,Technical!A:A,0),"Open"),HYPERLINK("#Technical!A1","Open"))</f>
        <v>Open</v>
      </c>
      <c r="U578" s="34"/>
    </row>
    <row r="579" spans="1:21" ht="30" customHeight="1" x14ac:dyDescent="0.25">
      <c r="A579" s="30" t="s">
        <v>241</v>
      </c>
      <c r="B579" s="37">
        <v>13282</v>
      </c>
      <c r="C579" s="55" t="s">
        <v>1018</v>
      </c>
      <c r="D579" s="37" t="s">
        <v>1253</v>
      </c>
      <c r="E579" s="47" t="s">
        <v>388</v>
      </c>
      <c r="F579" s="37" t="s">
        <v>1678</v>
      </c>
      <c r="G579" s="42">
        <v>37</v>
      </c>
      <c r="H579" s="37">
        <v>0</v>
      </c>
      <c r="I579" s="37" t="s">
        <v>1679</v>
      </c>
      <c r="J579" s="37" t="s">
        <v>1680</v>
      </c>
      <c r="K579" s="57" t="s">
        <v>20</v>
      </c>
      <c r="L579" s="37" t="s">
        <v>888</v>
      </c>
      <c r="M579" s="37" t="s">
        <v>392</v>
      </c>
      <c r="N579" s="37" t="s">
        <v>330</v>
      </c>
      <c r="O579" s="29" t="s">
        <v>2</v>
      </c>
      <c r="P579" s="37">
        <v>4</v>
      </c>
      <c r="Q579" s="37" t="s">
        <v>1703</v>
      </c>
      <c r="R579" s="37" t="s">
        <v>1682</v>
      </c>
      <c r="S579" t="str">
        <f>IFERROR(HYPERLINK("#Main!A"&amp;MATCH(A579,Main!A:A,0),"Open"),HYPERLINK("#Main!A1","Open"))</f>
        <v>Open</v>
      </c>
      <c r="T579" t="str">
        <f>IFERROR(HYPERLINK("#Technical!A"&amp;MATCH(A579,Technical!A:A,0),"Open"),HYPERLINK("#Technical!A1","Open"))</f>
        <v>Open</v>
      </c>
    </row>
    <row r="580" spans="1:21" ht="30" customHeight="1" x14ac:dyDescent="0.25">
      <c r="A580" s="33" t="s">
        <v>485</v>
      </c>
      <c r="B580" s="28">
        <v>12945</v>
      </c>
      <c r="C580" s="55" t="s">
        <v>1020</v>
      </c>
      <c r="D580" s="28" t="s">
        <v>1253</v>
      </c>
      <c r="E580" s="47" t="s">
        <v>388</v>
      </c>
      <c r="F580" s="28" t="s">
        <v>1678</v>
      </c>
      <c r="G580" s="39">
        <v>37</v>
      </c>
      <c r="H580" s="28">
        <v>0</v>
      </c>
      <c r="I580" s="28" t="s">
        <v>1679</v>
      </c>
      <c r="J580" s="28" t="s">
        <v>1680</v>
      </c>
      <c r="K580" s="56" t="s">
        <v>20</v>
      </c>
      <c r="L580" s="28" t="s">
        <v>888</v>
      </c>
      <c r="M580" s="28" t="s">
        <v>392</v>
      </c>
      <c r="N580" s="28" t="s">
        <v>330</v>
      </c>
      <c r="O580" s="29" t="s">
        <v>2</v>
      </c>
      <c r="P580" s="28">
        <v>4</v>
      </c>
      <c r="Q580" s="28" t="s">
        <v>1704</v>
      </c>
      <c r="R580" s="28" t="s">
        <v>1682</v>
      </c>
      <c r="S580" s="34" t="str">
        <f>IFERROR(HYPERLINK("#Main!A"&amp;MATCH(A580,Main!A:A,0),"Open"),HYPERLINK("#Main!A1","Open"))</f>
        <v>Open</v>
      </c>
      <c r="T580" s="34" t="str">
        <f>IFERROR(HYPERLINK("#Technical!A"&amp;MATCH(A580,Technical!A:A,0),"Open"),HYPERLINK("#Technical!A1","Open"))</f>
        <v>Open</v>
      </c>
      <c r="U580" s="34"/>
    </row>
    <row r="581" spans="1:21" ht="30" customHeight="1" x14ac:dyDescent="0.25">
      <c r="A581" s="30" t="s">
        <v>488</v>
      </c>
      <c r="B581" s="37">
        <v>13179</v>
      </c>
      <c r="C581" s="55" t="s">
        <v>1022</v>
      </c>
      <c r="D581" s="37" t="s">
        <v>1253</v>
      </c>
      <c r="E581" s="47" t="s">
        <v>388</v>
      </c>
      <c r="F581" s="37" t="s">
        <v>1678</v>
      </c>
      <c r="G581" s="42">
        <v>37</v>
      </c>
      <c r="H581" s="37">
        <v>0</v>
      </c>
      <c r="I581" s="37" t="s">
        <v>1679</v>
      </c>
      <c r="J581" s="37" t="s">
        <v>1680</v>
      </c>
      <c r="K581" s="57" t="s">
        <v>20</v>
      </c>
      <c r="L581" s="37" t="s">
        <v>888</v>
      </c>
      <c r="M581" s="37" t="s">
        <v>392</v>
      </c>
      <c r="N581" s="37" t="s">
        <v>330</v>
      </c>
      <c r="O581" s="29" t="s">
        <v>2</v>
      </c>
      <c r="P581" s="37">
        <v>4</v>
      </c>
      <c r="Q581" s="37" t="s">
        <v>1705</v>
      </c>
      <c r="R581" s="37" t="s">
        <v>1682</v>
      </c>
      <c r="S581" t="str">
        <f>IFERROR(HYPERLINK("#Main!A"&amp;MATCH(A581,Main!A:A,0),"Open"),HYPERLINK("#Main!A1","Open"))</f>
        <v>Open</v>
      </c>
      <c r="T581" t="str">
        <f>IFERROR(HYPERLINK("#Technical!A"&amp;MATCH(A581,Technical!A:A,0),"Open"),HYPERLINK("#Technical!A1","Open"))</f>
        <v>Open</v>
      </c>
    </row>
    <row r="582" spans="1:21" ht="30" customHeight="1" x14ac:dyDescent="0.25">
      <c r="A582" s="33" t="s">
        <v>491</v>
      </c>
      <c r="B582" s="28">
        <v>22401</v>
      </c>
      <c r="C582" s="55" t="s">
        <v>1024</v>
      </c>
      <c r="D582" s="28" t="s">
        <v>1253</v>
      </c>
      <c r="E582" s="47" t="s">
        <v>388</v>
      </c>
      <c r="F582" s="28" t="s">
        <v>1673</v>
      </c>
      <c r="G582" s="39">
        <v>37</v>
      </c>
      <c r="H582" s="28">
        <v>2</v>
      </c>
      <c r="I582" s="28" t="s">
        <v>1674</v>
      </c>
      <c r="J582" s="28" t="s">
        <v>1675</v>
      </c>
      <c r="K582" s="56" t="s">
        <v>18</v>
      </c>
      <c r="L582" s="28" t="s">
        <v>876</v>
      </c>
      <c r="M582" s="28" t="s">
        <v>392</v>
      </c>
      <c r="N582" s="28" t="s">
        <v>330</v>
      </c>
      <c r="O582" s="29" t="s">
        <v>2</v>
      </c>
      <c r="P582" s="28">
        <v>4</v>
      </c>
      <c r="Q582" s="28" t="s">
        <v>1706</v>
      </c>
      <c r="R582" s="28" t="s">
        <v>1677</v>
      </c>
      <c r="S582" s="34" t="str">
        <f>IFERROR(HYPERLINK("#Main!A"&amp;MATCH(A582,Main!A:A,0),"Open"),HYPERLINK("#Main!A1","Open"))</f>
        <v>Open</v>
      </c>
      <c r="T582" s="34" t="str">
        <f>IFERROR(HYPERLINK("#Technical!A"&amp;MATCH(A582,Technical!A:A,0),"Open"),HYPERLINK("#Technical!A1","Open"))</f>
        <v>Open</v>
      </c>
      <c r="U582" s="34"/>
    </row>
    <row r="583" spans="1:21" ht="30" customHeight="1" x14ac:dyDescent="0.25">
      <c r="A583" s="30" t="s">
        <v>491</v>
      </c>
      <c r="B583" s="37">
        <v>22401</v>
      </c>
      <c r="C583" s="55" t="s">
        <v>1024</v>
      </c>
      <c r="D583" s="37" t="s">
        <v>1253</v>
      </c>
      <c r="E583" s="47" t="s">
        <v>388</v>
      </c>
      <c r="F583" s="37" t="s">
        <v>1678</v>
      </c>
      <c r="G583" s="42">
        <v>37</v>
      </c>
      <c r="H583" s="37">
        <v>0</v>
      </c>
      <c r="I583" s="37" t="s">
        <v>1679</v>
      </c>
      <c r="J583" s="37" t="s">
        <v>1680</v>
      </c>
      <c r="K583" s="57" t="s">
        <v>20</v>
      </c>
      <c r="L583" s="37" t="s">
        <v>888</v>
      </c>
      <c r="M583" s="37" t="s">
        <v>392</v>
      </c>
      <c r="N583" s="37" t="s">
        <v>330</v>
      </c>
      <c r="O583" s="29" t="s">
        <v>2</v>
      </c>
      <c r="P583" s="37">
        <v>4</v>
      </c>
      <c r="Q583" s="37" t="s">
        <v>1707</v>
      </c>
      <c r="R583" s="37" t="s">
        <v>1682</v>
      </c>
      <c r="S583" t="str">
        <f>IFERROR(HYPERLINK("#Main!A"&amp;MATCH(A583,Main!A:A,0),"Open"),HYPERLINK("#Main!A1","Open"))</f>
        <v>Open</v>
      </c>
      <c r="T583" t="str">
        <f>IFERROR(HYPERLINK("#Technical!A"&amp;MATCH(A583,Technical!A:A,0),"Open"),HYPERLINK("#Technical!A1","Open"))</f>
        <v>Open</v>
      </c>
    </row>
    <row r="584" spans="1:21" ht="30" customHeight="1" x14ac:dyDescent="0.25">
      <c r="A584" s="33" t="s">
        <v>494</v>
      </c>
      <c r="B584" s="28">
        <v>18318</v>
      </c>
      <c r="C584" s="55" t="s">
        <v>1026</v>
      </c>
      <c r="D584" s="28" t="s">
        <v>1253</v>
      </c>
      <c r="E584" s="47" t="s">
        <v>388</v>
      </c>
      <c r="F584" s="28" t="s">
        <v>1678</v>
      </c>
      <c r="G584" s="39">
        <v>37</v>
      </c>
      <c r="H584" s="28">
        <v>0</v>
      </c>
      <c r="I584" s="28" t="s">
        <v>1679</v>
      </c>
      <c r="J584" s="28" t="s">
        <v>1680</v>
      </c>
      <c r="K584" s="56" t="s">
        <v>20</v>
      </c>
      <c r="L584" s="28" t="s">
        <v>888</v>
      </c>
      <c r="M584" s="28" t="s">
        <v>392</v>
      </c>
      <c r="N584" s="28" t="s">
        <v>330</v>
      </c>
      <c r="O584" s="29" t="s">
        <v>2</v>
      </c>
      <c r="P584" s="28">
        <v>4</v>
      </c>
      <c r="Q584" s="28" t="s">
        <v>1708</v>
      </c>
      <c r="R584" s="28" t="s">
        <v>1682</v>
      </c>
      <c r="S584" s="34" t="str">
        <f>IFERROR(HYPERLINK("#Main!A"&amp;MATCH(A584,Main!A:A,0),"Open"),HYPERLINK("#Main!A1","Open"))</f>
        <v>Open</v>
      </c>
      <c r="T584" s="34" t="str">
        <f>IFERROR(HYPERLINK("#Technical!A"&amp;MATCH(A584,Technical!A:A,0),"Open"),HYPERLINK("#Technical!A1","Open"))</f>
        <v>Open</v>
      </c>
      <c r="U584" s="34"/>
    </row>
    <row r="585" spans="1:21" ht="30" customHeight="1" x14ac:dyDescent="0.25">
      <c r="A585" s="30" t="s">
        <v>497</v>
      </c>
      <c r="B585" s="37">
        <v>23710</v>
      </c>
      <c r="C585" s="55" t="s">
        <v>1028</v>
      </c>
      <c r="D585" s="37" t="s">
        <v>1253</v>
      </c>
      <c r="E585" s="47" t="s">
        <v>388</v>
      </c>
      <c r="F585" s="37" t="s">
        <v>1673</v>
      </c>
      <c r="G585" s="42">
        <v>37</v>
      </c>
      <c r="H585" s="37">
        <v>2</v>
      </c>
      <c r="I585" s="37" t="s">
        <v>1674</v>
      </c>
      <c r="J585" s="37" t="s">
        <v>1675</v>
      </c>
      <c r="K585" s="57" t="s">
        <v>18</v>
      </c>
      <c r="L585" s="37" t="s">
        <v>876</v>
      </c>
      <c r="M585" s="37" t="s">
        <v>392</v>
      </c>
      <c r="N585" s="37" t="s">
        <v>330</v>
      </c>
      <c r="O585" s="29" t="s">
        <v>2</v>
      </c>
      <c r="P585" s="37">
        <v>4</v>
      </c>
      <c r="Q585" s="37" t="s">
        <v>1709</v>
      </c>
      <c r="R585" s="37" t="s">
        <v>1677</v>
      </c>
      <c r="S585" t="str">
        <f>IFERROR(HYPERLINK("#Main!A"&amp;MATCH(A585,Main!A:A,0),"Open"),HYPERLINK("#Main!A1","Open"))</f>
        <v>Open</v>
      </c>
      <c r="T585" t="str">
        <f>IFERROR(HYPERLINK("#Technical!A"&amp;MATCH(A585,Technical!A:A,0),"Open"),HYPERLINK("#Technical!A1","Open"))</f>
        <v>Open</v>
      </c>
    </row>
    <row r="586" spans="1:21" ht="30" customHeight="1" x14ac:dyDescent="0.25">
      <c r="A586" s="33" t="s">
        <v>497</v>
      </c>
      <c r="B586" s="28">
        <v>23710</v>
      </c>
      <c r="C586" s="55" t="s">
        <v>1028</v>
      </c>
      <c r="D586" s="28" t="s">
        <v>1253</v>
      </c>
      <c r="E586" s="47" t="s">
        <v>388</v>
      </c>
      <c r="F586" s="28" t="s">
        <v>1678</v>
      </c>
      <c r="G586" s="39">
        <v>37</v>
      </c>
      <c r="H586" s="28">
        <v>0</v>
      </c>
      <c r="I586" s="28" t="s">
        <v>1679</v>
      </c>
      <c r="J586" s="28" t="s">
        <v>1680</v>
      </c>
      <c r="K586" s="56" t="s">
        <v>20</v>
      </c>
      <c r="L586" s="28" t="s">
        <v>888</v>
      </c>
      <c r="M586" s="28" t="s">
        <v>392</v>
      </c>
      <c r="N586" s="28" t="s">
        <v>330</v>
      </c>
      <c r="O586" s="29" t="s">
        <v>2</v>
      </c>
      <c r="P586" s="28">
        <v>4</v>
      </c>
      <c r="Q586" s="28" t="s">
        <v>1710</v>
      </c>
      <c r="R586" s="28" t="s">
        <v>1682</v>
      </c>
      <c r="S586" s="34" t="str">
        <f>IFERROR(HYPERLINK("#Main!A"&amp;MATCH(A586,Main!A:A,0),"Open"),HYPERLINK("#Main!A1","Open"))</f>
        <v>Open</v>
      </c>
      <c r="T586" s="34" t="str">
        <f>IFERROR(HYPERLINK("#Technical!A"&amp;MATCH(A586,Technical!A:A,0),"Open"),HYPERLINK("#Technical!A1","Open"))</f>
        <v>Open</v>
      </c>
      <c r="U586" s="34"/>
    </row>
    <row r="587" spans="1:21" ht="30" customHeight="1" x14ac:dyDescent="0.25">
      <c r="A587" s="30" t="s">
        <v>500</v>
      </c>
      <c r="B587" s="37">
        <v>30257</v>
      </c>
      <c r="C587" s="55" t="s">
        <v>1030</v>
      </c>
      <c r="D587" s="37" t="s">
        <v>1253</v>
      </c>
      <c r="E587" s="47" t="s">
        <v>388</v>
      </c>
      <c r="F587" s="37" t="s">
        <v>1673</v>
      </c>
      <c r="G587" s="42">
        <v>37</v>
      </c>
      <c r="H587" s="37">
        <v>10</v>
      </c>
      <c r="I587" s="37" t="s">
        <v>1674</v>
      </c>
      <c r="J587" s="37" t="s">
        <v>1675</v>
      </c>
      <c r="K587" s="57" t="s">
        <v>18</v>
      </c>
      <c r="L587" s="37" t="s">
        <v>876</v>
      </c>
      <c r="M587" s="37" t="s">
        <v>392</v>
      </c>
      <c r="N587" s="37" t="s">
        <v>330</v>
      </c>
      <c r="O587" s="29" t="s">
        <v>2</v>
      </c>
      <c r="P587" s="37">
        <v>4</v>
      </c>
      <c r="Q587" s="37" t="s">
        <v>1711</v>
      </c>
      <c r="R587" s="37" t="s">
        <v>1677</v>
      </c>
      <c r="S587" t="str">
        <f>IFERROR(HYPERLINK("#Main!A"&amp;MATCH(A587,Main!A:A,0),"Open"),HYPERLINK("#Main!A1","Open"))</f>
        <v>Open</v>
      </c>
      <c r="T587" t="str">
        <f>IFERROR(HYPERLINK("#Technical!A"&amp;MATCH(A587,Technical!A:A,0),"Open"),HYPERLINK("#Technical!A1","Open"))</f>
        <v>Open</v>
      </c>
    </row>
    <row r="588" spans="1:21" ht="30" customHeight="1" x14ac:dyDescent="0.25">
      <c r="A588" s="33" t="s">
        <v>500</v>
      </c>
      <c r="B588" s="28">
        <v>30257</v>
      </c>
      <c r="C588" s="55" t="s">
        <v>1030</v>
      </c>
      <c r="D588" s="28" t="s">
        <v>1253</v>
      </c>
      <c r="E588" s="47" t="s">
        <v>388</v>
      </c>
      <c r="F588" s="28" t="s">
        <v>1678</v>
      </c>
      <c r="G588" s="39">
        <v>37</v>
      </c>
      <c r="H588" s="28">
        <v>0</v>
      </c>
      <c r="I588" s="28" t="s">
        <v>1679</v>
      </c>
      <c r="J588" s="28" t="s">
        <v>1680</v>
      </c>
      <c r="K588" s="56" t="s">
        <v>20</v>
      </c>
      <c r="L588" s="28" t="s">
        <v>888</v>
      </c>
      <c r="M588" s="28" t="s">
        <v>392</v>
      </c>
      <c r="N588" s="28" t="s">
        <v>330</v>
      </c>
      <c r="O588" s="29" t="s">
        <v>2</v>
      </c>
      <c r="P588" s="28">
        <v>4</v>
      </c>
      <c r="Q588" s="28" t="s">
        <v>1712</v>
      </c>
      <c r="R588" s="28" t="s">
        <v>1682</v>
      </c>
      <c r="S588" s="34" t="str">
        <f>IFERROR(HYPERLINK("#Main!A"&amp;MATCH(A588,Main!A:A,0),"Open"),HYPERLINK("#Main!A1","Open"))</f>
        <v>Open</v>
      </c>
      <c r="T588" s="34" t="str">
        <f>IFERROR(HYPERLINK("#Technical!A"&amp;MATCH(A588,Technical!A:A,0),"Open"),HYPERLINK("#Technical!A1","Open"))</f>
        <v>Open</v>
      </c>
      <c r="U588" s="34"/>
    </row>
    <row r="589" spans="1:21" ht="30" customHeight="1" x14ac:dyDescent="0.25">
      <c r="A589" s="30" t="s">
        <v>503</v>
      </c>
      <c r="B589" s="37">
        <v>31478</v>
      </c>
      <c r="C589" s="55" t="s">
        <v>1032</v>
      </c>
      <c r="D589" s="37" t="s">
        <v>1253</v>
      </c>
      <c r="E589" s="47" t="s">
        <v>388</v>
      </c>
      <c r="F589" s="37" t="s">
        <v>1678</v>
      </c>
      <c r="G589" s="42">
        <v>37</v>
      </c>
      <c r="H589" s="37">
        <v>0</v>
      </c>
      <c r="I589" s="37" t="s">
        <v>1679</v>
      </c>
      <c r="J589" s="37" t="s">
        <v>1680</v>
      </c>
      <c r="K589" s="57" t="s">
        <v>20</v>
      </c>
      <c r="L589" s="37" t="s">
        <v>888</v>
      </c>
      <c r="M589" s="37" t="s">
        <v>392</v>
      </c>
      <c r="N589" s="37" t="s">
        <v>330</v>
      </c>
      <c r="O589" s="29" t="s">
        <v>2</v>
      </c>
      <c r="P589" s="37">
        <v>4</v>
      </c>
      <c r="Q589" s="37" t="s">
        <v>1713</v>
      </c>
      <c r="R589" s="37" t="s">
        <v>1682</v>
      </c>
      <c r="S589" t="str">
        <f>IFERROR(HYPERLINK("#Main!A"&amp;MATCH(A589,Main!A:A,0),"Open"),HYPERLINK("#Main!A1","Open"))</f>
        <v>Open</v>
      </c>
      <c r="T589" t="str">
        <f>IFERROR(HYPERLINK("#Technical!A"&amp;MATCH(A589,Technical!A:A,0),"Open"),HYPERLINK("#Technical!A1","Open"))</f>
        <v>Open</v>
      </c>
    </row>
    <row r="590" spans="1:21" ht="30" customHeight="1" x14ac:dyDescent="0.25">
      <c r="A590" s="33" t="s">
        <v>506</v>
      </c>
      <c r="B590" s="28">
        <v>33280</v>
      </c>
      <c r="C590" s="55" t="s">
        <v>1034</v>
      </c>
      <c r="D590" s="28" t="s">
        <v>1253</v>
      </c>
      <c r="E590" s="47" t="s">
        <v>388</v>
      </c>
      <c r="F590" s="28" t="s">
        <v>1673</v>
      </c>
      <c r="G590" s="39">
        <v>37</v>
      </c>
      <c r="H590" s="28">
        <v>2</v>
      </c>
      <c r="I590" s="28" t="s">
        <v>1674</v>
      </c>
      <c r="J590" s="28" t="s">
        <v>1675</v>
      </c>
      <c r="K590" s="56" t="s">
        <v>18</v>
      </c>
      <c r="L590" s="28" t="s">
        <v>876</v>
      </c>
      <c r="M590" s="28" t="s">
        <v>392</v>
      </c>
      <c r="N590" s="28" t="s">
        <v>330</v>
      </c>
      <c r="O590" s="29" t="s">
        <v>2</v>
      </c>
      <c r="P590" s="28">
        <v>4</v>
      </c>
      <c r="Q590" s="28" t="s">
        <v>1714</v>
      </c>
      <c r="R590" s="28" t="s">
        <v>1677</v>
      </c>
      <c r="S590" s="34" t="str">
        <f>IFERROR(HYPERLINK("#Main!A"&amp;MATCH(A590,Main!A:A,0),"Open"),HYPERLINK("#Main!A1","Open"))</f>
        <v>Open</v>
      </c>
      <c r="T590" s="34" t="str">
        <f>IFERROR(HYPERLINK("#Technical!A"&amp;MATCH(A590,Technical!A:A,0),"Open"),HYPERLINK("#Technical!A1","Open"))</f>
        <v>Open</v>
      </c>
      <c r="U590" s="34"/>
    </row>
    <row r="591" spans="1:21" ht="30" customHeight="1" x14ac:dyDescent="0.25">
      <c r="A591" s="30" t="s">
        <v>506</v>
      </c>
      <c r="B591" s="37">
        <v>33280</v>
      </c>
      <c r="C591" s="55" t="s">
        <v>1034</v>
      </c>
      <c r="D591" s="37" t="s">
        <v>1253</v>
      </c>
      <c r="E591" s="47" t="s">
        <v>388</v>
      </c>
      <c r="F591" s="37" t="s">
        <v>1678</v>
      </c>
      <c r="G591" s="42">
        <v>37</v>
      </c>
      <c r="H591" s="37">
        <v>0</v>
      </c>
      <c r="I591" s="37" t="s">
        <v>1679</v>
      </c>
      <c r="J591" s="37" t="s">
        <v>1680</v>
      </c>
      <c r="K591" s="57" t="s">
        <v>20</v>
      </c>
      <c r="L591" s="37" t="s">
        <v>888</v>
      </c>
      <c r="M591" s="37" t="s">
        <v>392</v>
      </c>
      <c r="N591" s="37" t="s">
        <v>330</v>
      </c>
      <c r="O591" s="29" t="s">
        <v>2</v>
      </c>
      <c r="P591" s="37">
        <v>4</v>
      </c>
      <c r="Q591" s="37" t="s">
        <v>1715</v>
      </c>
      <c r="R591" s="37" t="s">
        <v>1682</v>
      </c>
      <c r="S591" t="str">
        <f>IFERROR(HYPERLINK("#Main!A"&amp;MATCH(A591,Main!A:A,0),"Open"),HYPERLINK("#Main!A1","Open"))</f>
        <v>Open</v>
      </c>
      <c r="T591" t="str">
        <f>IFERROR(HYPERLINK("#Technical!A"&amp;MATCH(A591,Technical!A:A,0),"Open"),HYPERLINK("#Technical!A1","Open"))</f>
        <v>Open</v>
      </c>
    </row>
    <row r="592" spans="1:21" ht="30" customHeight="1" x14ac:dyDescent="0.25">
      <c r="A592" s="33" t="s">
        <v>509</v>
      </c>
      <c r="B592" s="28">
        <v>22778</v>
      </c>
      <c r="C592" s="55" t="s">
        <v>1036</v>
      </c>
      <c r="D592" s="28" t="s">
        <v>1253</v>
      </c>
      <c r="E592" s="47" t="s">
        <v>388</v>
      </c>
      <c r="F592" s="28" t="s">
        <v>1673</v>
      </c>
      <c r="G592" s="39">
        <v>37</v>
      </c>
      <c r="H592" s="28">
        <v>2</v>
      </c>
      <c r="I592" s="28" t="s">
        <v>1674</v>
      </c>
      <c r="J592" s="28" t="s">
        <v>1675</v>
      </c>
      <c r="K592" s="56" t="s">
        <v>18</v>
      </c>
      <c r="L592" s="28" t="s">
        <v>876</v>
      </c>
      <c r="M592" s="28" t="s">
        <v>392</v>
      </c>
      <c r="N592" s="28" t="s">
        <v>330</v>
      </c>
      <c r="O592" s="29" t="s">
        <v>2</v>
      </c>
      <c r="P592" s="28">
        <v>4</v>
      </c>
      <c r="Q592" s="28" t="s">
        <v>1716</v>
      </c>
      <c r="R592" s="28" t="s">
        <v>1677</v>
      </c>
      <c r="S592" s="34" t="str">
        <f>IFERROR(HYPERLINK("#Main!A"&amp;MATCH(A592,Main!A:A,0),"Open"),HYPERLINK("#Main!A1","Open"))</f>
        <v>Open</v>
      </c>
      <c r="T592" s="34" t="str">
        <f>IFERROR(HYPERLINK("#Technical!A"&amp;MATCH(A592,Technical!A:A,0),"Open"),HYPERLINK("#Technical!A1","Open"))</f>
        <v>Open</v>
      </c>
      <c r="U592" s="34"/>
    </row>
    <row r="593" spans="1:21" ht="30" customHeight="1" x14ac:dyDescent="0.25">
      <c r="A593" s="30" t="s">
        <v>509</v>
      </c>
      <c r="B593" s="37">
        <v>22778</v>
      </c>
      <c r="C593" s="55" t="s">
        <v>1036</v>
      </c>
      <c r="D593" s="37" t="s">
        <v>1253</v>
      </c>
      <c r="E593" s="47" t="s">
        <v>388</v>
      </c>
      <c r="F593" s="37" t="s">
        <v>1678</v>
      </c>
      <c r="G593" s="42">
        <v>37</v>
      </c>
      <c r="H593" s="37">
        <v>0</v>
      </c>
      <c r="I593" s="37" t="s">
        <v>1679</v>
      </c>
      <c r="J593" s="37" t="s">
        <v>1680</v>
      </c>
      <c r="K593" s="57" t="s">
        <v>20</v>
      </c>
      <c r="L593" s="37" t="s">
        <v>888</v>
      </c>
      <c r="M593" s="37" t="s">
        <v>392</v>
      </c>
      <c r="N593" s="37" t="s">
        <v>330</v>
      </c>
      <c r="O593" s="29" t="s">
        <v>2</v>
      </c>
      <c r="P593" s="37">
        <v>4</v>
      </c>
      <c r="Q593" s="37" t="s">
        <v>1717</v>
      </c>
      <c r="R593" s="37" t="s">
        <v>1682</v>
      </c>
      <c r="S593" t="str">
        <f>IFERROR(HYPERLINK("#Main!A"&amp;MATCH(A593,Main!A:A,0),"Open"),HYPERLINK("#Main!A1","Open"))</f>
        <v>Open</v>
      </c>
      <c r="T593" t="str">
        <f>IFERROR(HYPERLINK("#Technical!A"&amp;MATCH(A593,Technical!A:A,0),"Open"),HYPERLINK("#Technical!A1","Open"))</f>
        <v>Open</v>
      </c>
    </row>
    <row r="594" spans="1:21" ht="30" customHeight="1" x14ac:dyDescent="0.25">
      <c r="A594" s="33" t="s">
        <v>512</v>
      </c>
      <c r="B594" s="28">
        <v>5057</v>
      </c>
      <c r="C594" s="55" t="s">
        <v>1038</v>
      </c>
      <c r="D594" s="28" t="s">
        <v>1253</v>
      </c>
      <c r="E594" s="47" t="s">
        <v>388</v>
      </c>
      <c r="F594" s="28" t="s">
        <v>1678</v>
      </c>
      <c r="G594" s="39">
        <v>37</v>
      </c>
      <c r="H594" s="28">
        <v>0</v>
      </c>
      <c r="I594" s="28" t="s">
        <v>1679</v>
      </c>
      <c r="J594" s="28" t="s">
        <v>1680</v>
      </c>
      <c r="K594" s="56" t="s">
        <v>20</v>
      </c>
      <c r="L594" s="28" t="s">
        <v>888</v>
      </c>
      <c r="M594" s="28" t="s">
        <v>392</v>
      </c>
      <c r="N594" s="28" t="s">
        <v>330</v>
      </c>
      <c r="O594" s="29" t="s">
        <v>2</v>
      </c>
      <c r="P594" s="28">
        <v>4</v>
      </c>
      <c r="Q594" s="28" t="s">
        <v>1718</v>
      </c>
      <c r="R594" s="28" t="s">
        <v>1682</v>
      </c>
      <c r="S594" s="34" t="str">
        <f>IFERROR(HYPERLINK("#Main!A"&amp;MATCH(A594,Main!A:A,0),"Open"),HYPERLINK("#Main!A1","Open"))</f>
        <v>Open</v>
      </c>
      <c r="T594" s="34" t="str">
        <f>IFERROR(HYPERLINK("#Technical!A"&amp;MATCH(A594,Technical!A:A,0),"Open"),HYPERLINK("#Technical!A1","Open"))</f>
        <v>Open</v>
      </c>
      <c r="U594" s="34"/>
    </row>
    <row r="595" spans="1:21" ht="30" customHeight="1" x14ac:dyDescent="0.25">
      <c r="A595" s="30" t="s">
        <v>476</v>
      </c>
      <c r="B595" s="37"/>
      <c r="C595" s="37"/>
      <c r="D595" s="37" t="s">
        <v>1253</v>
      </c>
      <c r="E595" s="47" t="s">
        <v>388</v>
      </c>
      <c r="F595" s="37" t="s">
        <v>1678</v>
      </c>
      <c r="G595" s="42">
        <v>37</v>
      </c>
      <c r="H595" s="37">
        <v>0</v>
      </c>
      <c r="I595" s="37" t="s">
        <v>1679</v>
      </c>
      <c r="J595" s="37" t="s">
        <v>1680</v>
      </c>
      <c r="K595" s="57" t="s">
        <v>20</v>
      </c>
      <c r="L595" s="37" t="s">
        <v>888</v>
      </c>
      <c r="M595" s="37" t="s">
        <v>392</v>
      </c>
      <c r="N595" s="37" t="s">
        <v>330</v>
      </c>
      <c r="O595" s="29" t="s">
        <v>2</v>
      </c>
      <c r="P595" s="37">
        <v>4</v>
      </c>
      <c r="Q595" s="37" t="s">
        <v>1719</v>
      </c>
      <c r="R595" s="37" t="s">
        <v>1682</v>
      </c>
      <c r="S595" t="str">
        <f>IFERROR(HYPERLINK("#Main!A"&amp;MATCH(A595,Main!A:A,0),"Open"),HYPERLINK("#Main!A1","Open"))</f>
        <v>Open</v>
      </c>
      <c r="T595" t="str">
        <f>IFERROR(HYPERLINK("#Technical!A"&amp;MATCH(A595,Technical!A:A,0),"Open"),HYPERLINK("#Technical!A1","Open"))</f>
        <v>Open</v>
      </c>
    </row>
    <row r="596" spans="1:21" ht="30" customHeight="1" x14ac:dyDescent="0.25">
      <c r="A596" s="33" t="s">
        <v>515</v>
      </c>
      <c r="B596" s="28">
        <v>12477</v>
      </c>
      <c r="C596" s="55" t="s">
        <v>1040</v>
      </c>
      <c r="D596" s="28" t="s">
        <v>1253</v>
      </c>
      <c r="E596" s="47" t="s">
        <v>388</v>
      </c>
      <c r="F596" s="28" t="s">
        <v>1678</v>
      </c>
      <c r="G596" s="39">
        <v>37</v>
      </c>
      <c r="H596" s="28">
        <v>0</v>
      </c>
      <c r="I596" s="28" t="s">
        <v>1679</v>
      </c>
      <c r="J596" s="28" t="s">
        <v>1680</v>
      </c>
      <c r="K596" s="56" t="s">
        <v>20</v>
      </c>
      <c r="L596" s="28" t="s">
        <v>888</v>
      </c>
      <c r="M596" s="28" t="s">
        <v>392</v>
      </c>
      <c r="N596" s="28" t="s">
        <v>330</v>
      </c>
      <c r="O596" s="29" t="s">
        <v>2</v>
      </c>
      <c r="P596" s="28">
        <v>4</v>
      </c>
      <c r="Q596" s="28" t="s">
        <v>1720</v>
      </c>
      <c r="R596" s="28" t="s">
        <v>1682</v>
      </c>
      <c r="S596" s="34" t="str">
        <f>IFERROR(HYPERLINK("#Main!A"&amp;MATCH(A596,Main!A:A,0),"Open"),HYPERLINK("#Main!A1","Open"))</f>
        <v>Open</v>
      </c>
      <c r="T596" s="34" t="str">
        <f>IFERROR(HYPERLINK("#Technical!A"&amp;MATCH(A596,Technical!A:A,0),"Open"),HYPERLINK("#Technical!A1","Open"))</f>
        <v>Open</v>
      </c>
      <c r="U596" s="34"/>
    </row>
    <row r="597" spans="1:21" ht="30" customHeight="1" x14ac:dyDescent="0.25">
      <c r="A597" s="30" t="s">
        <v>518</v>
      </c>
      <c r="B597" s="37">
        <v>21958</v>
      </c>
      <c r="C597" s="55" t="s">
        <v>1042</v>
      </c>
      <c r="D597" s="37" t="s">
        <v>1253</v>
      </c>
      <c r="E597" s="47" t="s">
        <v>388</v>
      </c>
      <c r="F597" s="37" t="s">
        <v>1678</v>
      </c>
      <c r="G597" s="42">
        <v>37</v>
      </c>
      <c r="H597" s="37">
        <v>0</v>
      </c>
      <c r="I597" s="37" t="s">
        <v>1679</v>
      </c>
      <c r="J597" s="37" t="s">
        <v>1680</v>
      </c>
      <c r="K597" s="57" t="s">
        <v>20</v>
      </c>
      <c r="L597" s="37" t="s">
        <v>888</v>
      </c>
      <c r="M597" s="37" t="s">
        <v>392</v>
      </c>
      <c r="N597" s="37" t="s">
        <v>330</v>
      </c>
      <c r="O597" s="29" t="s">
        <v>2</v>
      </c>
      <c r="P597" s="37">
        <v>4</v>
      </c>
      <c r="Q597" s="37" t="s">
        <v>1721</v>
      </c>
      <c r="R597" s="37" t="s">
        <v>1682</v>
      </c>
      <c r="S597" t="str">
        <f>IFERROR(HYPERLINK("#Main!A"&amp;MATCH(A597,Main!A:A,0),"Open"),HYPERLINK("#Main!A1","Open"))</f>
        <v>Open</v>
      </c>
      <c r="T597" t="str">
        <f>IFERROR(HYPERLINK("#Technical!A"&amp;MATCH(A597,Technical!A:A,0),"Open"),HYPERLINK("#Technical!A1","Open"))</f>
        <v>Open</v>
      </c>
    </row>
    <row r="598" spans="1:21" ht="30" customHeight="1" x14ac:dyDescent="0.25">
      <c r="A598" s="33" t="s">
        <v>521</v>
      </c>
      <c r="B598" s="28">
        <v>21984</v>
      </c>
      <c r="C598" s="55" t="s">
        <v>1044</v>
      </c>
      <c r="D598" s="28" t="s">
        <v>1253</v>
      </c>
      <c r="E598" s="47" t="s">
        <v>388</v>
      </c>
      <c r="F598" s="28" t="s">
        <v>1678</v>
      </c>
      <c r="G598" s="39">
        <v>37</v>
      </c>
      <c r="H598" s="28">
        <v>0</v>
      </c>
      <c r="I598" s="28" t="s">
        <v>1679</v>
      </c>
      <c r="J598" s="28" t="s">
        <v>1680</v>
      </c>
      <c r="K598" s="56" t="s">
        <v>20</v>
      </c>
      <c r="L598" s="28" t="s">
        <v>888</v>
      </c>
      <c r="M598" s="28" t="s">
        <v>392</v>
      </c>
      <c r="N598" s="28" t="s">
        <v>330</v>
      </c>
      <c r="O598" s="29" t="s">
        <v>2</v>
      </c>
      <c r="P598" s="28">
        <v>4</v>
      </c>
      <c r="Q598" s="28" t="s">
        <v>1722</v>
      </c>
      <c r="R598" s="28" t="s">
        <v>1682</v>
      </c>
      <c r="S598" s="34" t="str">
        <f>IFERROR(HYPERLINK("#Main!A"&amp;MATCH(A598,Main!A:A,0),"Open"),HYPERLINK("#Main!A1","Open"))</f>
        <v>Open</v>
      </c>
      <c r="T598" s="34" t="str">
        <f>IFERROR(HYPERLINK("#Technical!A"&amp;MATCH(A598,Technical!A:A,0),"Open"),HYPERLINK("#Technical!A1","Open"))</f>
        <v>Open</v>
      </c>
      <c r="U598" s="34"/>
    </row>
    <row r="599" spans="1:21" ht="30" customHeight="1" x14ac:dyDescent="0.25">
      <c r="A599" s="30" t="s">
        <v>524</v>
      </c>
      <c r="B599" s="37">
        <v>33131</v>
      </c>
      <c r="C599" s="55" t="s">
        <v>1046</v>
      </c>
      <c r="D599" s="37" t="s">
        <v>1253</v>
      </c>
      <c r="E599" s="47" t="s">
        <v>388</v>
      </c>
      <c r="F599" s="37" t="s">
        <v>1673</v>
      </c>
      <c r="G599" s="42">
        <v>37</v>
      </c>
      <c r="H599" s="37">
        <v>2</v>
      </c>
      <c r="I599" s="37" t="s">
        <v>1674</v>
      </c>
      <c r="J599" s="37" t="s">
        <v>1675</v>
      </c>
      <c r="K599" s="57" t="s">
        <v>18</v>
      </c>
      <c r="L599" s="37" t="s">
        <v>876</v>
      </c>
      <c r="M599" s="37" t="s">
        <v>392</v>
      </c>
      <c r="N599" s="37" t="s">
        <v>330</v>
      </c>
      <c r="O599" s="29" t="s">
        <v>2</v>
      </c>
      <c r="P599" s="37">
        <v>4</v>
      </c>
      <c r="Q599" s="37" t="s">
        <v>1723</v>
      </c>
      <c r="R599" s="37" t="s">
        <v>1677</v>
      </c>
      <c r="S599" t="str">
        <f>IFERROR(HYPERLINK("#Main!A"&amp;MATCH(A599,Main!A:A,0),"Open"),HYPERLINK("#Main!A1","Open"))</f>
        <v>Open</v>
      </c>
      <c r="T599" t="str">
        <f>IFERROR(HYPERLINK("#Technical!A"&amp;MATCH(A599,Technical!A:A,0),"Open"),HYPERLINK("#Technical!A1","Open"))</f>
        <v>Open</v>
      </c>
    </row>
    <row r="600" spans="1:21" ht="30" customHeight="1" x14ac:dyDescent="0.25">
      <c r="A600" s="33" t="s">
        <v>524</v>
      </c>
      <c r="B600" s="28">
        <v>33131</v>
      </c>
      <c r="C600" s="55" t="s">
        <v>1046</v>
      </c>
      <c r="D600" s="28" t="s">
        <v>1253</v>
      </c>
      <c r="E600" s="47" t="s">
        <v>388</v>
      </c>
      <c r="F600" s="28" t="s">
        <v>1678</v>
      </c>
      <c r="G600" s="39">
        <v>37</v>
      </c>
      <c r="H600" s="28">
        <v>0</v>
      </c>
      <c r="I600" s="28" t="s">
        <v>1679</v>
      </c>
      <c r="J600" s="28" t="s">
        <v>1680</v>
      </c>
      <c r="K600" s="56" t="s">
        <v>20</v>
      </c>
      <c r="L600" s="28" t="s">
        <v>888</v>
      </c>
      <c r="M600" s="28" t="s">
        <v>392</v>
      </c>
      <c r="N600" s="28" t="s">
        <v>330</v>
      </c>
      <c r="O600" s="29" t="s">
        <v>2</v>
      </c>
      <c r="P600" s="28">
        <v>4</v>
      </c>
      <c r="Q600" s="28" t="s">
        <v>1724</v>
      </c>
      <c r="R600" s="28" t="s">
        <v>1682</v>
      </c>
      <c r="S600" s="34" t="str">
        <f>IFERROR(HYPERLINK("#Main!A"&amp;MATCH(A600,Main!A:A,0),"Open"),HYPERLINK("#Main!A1","Open"))</f>
        <v>Open</v>
      </c>
      <c r="T600" s="34" t="str">
        <f>IFERROR(HYPERLINK("#Technical!A"&amp;MATCH(A600,Technical!A:A,0),"Open"),HYPERLINK("#Technical!A1","Open"))</f>
        <v>Open</v>
      </c>
      <c r="U600" s="34"/>
    </row>
    <row r="601" spans="1:21" ht="30" customHeight="1" x14ac:dyDescent="0.25">
      <c r="A601" s="30" t="s">
        <v>527</v>
      </c>
      <c r="B601" s="37">
        <v>21958</v>
      </c>
      <c r="C601" s="55" t="s">
        <v>1042</v>
      </c>
      <c r="D601" s="37" t="s">
        <v>1253</v>
      </c>
      <c r="E601" s="47" t="s">
        <v>388</v>
      </c>
      <c r="F601" s="37" t="s">
        <v>1678</v>
      </c>
      <c r="G601" s="42">
        <v>37</v>
      </c>
      <c r="H601" s="37">
        <v>0</v>
      </c>
      <c r="I601" s="37" t="s">
        <v>1679</v>
      </c>
      <c r="J601" s="37" t="s">
        <v>1680</v>
      </c>
      <c r="K601" s="57" t="s">
        <v>20</v>
      </c>
      <c r="L601" s="37" t="s">
        <v>888</v>
      </c>
      <c r="M601" s="37" t="s">
        <v>392</v>
      </c>
      <c r="N601" s="37" t="s">
        <v>330</v>
      </c>
      <c r="O601" s="29" t="s">
        <v>2</v>
      </c>
      <c r="P601" s="37">
        <v>4</v>
      </c>
      <c r="Q601" s="37" t="s">
        <v>1725</v>
      </c>
      <c r="R601" s="37" t="s">
        <v>1682</v>
      </c>
      <c r="S601" t="str">
        <f>IFERROR(HYPERLINK("#Main!A"&amp;MATCH(A601,Main!A:A,0),"Open"),HYPERLINK("#Main!A1","Open"))</f>
        <v>Open</v>
      </c>
      <c r="T601" t="str">
        <f>IFERROR(HYPERLINK("#Technical!A"&amp;MATCH(A601,Technical!A:A,0),"Open"),HYPERLINK("#Technical!A1","Open"))</f>
        <v>Open</v>
      </c>
    </row>
    <row r="602" spans="1:21" ht="45" customHeight="1" x14ac:dyDescent="0.25">
      <c r="A602" s="33" t="s">
        <v>528</v>
      </c>
      <c r="B602" s="28">
        <v>25857</v>
      </c>
      <c r="C602" s="55" t="s">
        <v>1049</v>
      </c>
      <c r="D602" s="28" t="s">
        <v>1253</v>
      </c>
      <c r="E602" s="47" t="s">
        <v>388</v>
      </c>
      <c r="F602" s="28" t="s">
        <v>1678</v>
      </c>
      <c r="G602" s="39">
        <v>37</v>
      </c>
      <c r="H602" s="28">
        <v>0</v>
      </c>
      <c r="I602" s="28" t="s">
        <v>1679</v>
      </c>
      <c r="J602" s="28" t="s">
        <v>1680</v>
      </c>
      <c r="K602" s="56" t="s">
        <v>20</v>
      </c>
      <c r="L602" s="28" t="s">
        <v>888</v>
      </c>
      <c r="M602" s="28" t="s">
        <v>392</v>
      </c>
      <c r="N602" s="28" t="s">
        <v>330</v>
      </c>
      <c r="O602" s="29" t="s">
        <v>2</v>
      </c>
      <c r="P602" s="28">
        <v>4</v>
      </c>
      <c r="Q602" s="28" t="s">
        <v>1726</v>
      </c>
      <c r="R602" s="28" t="s">
        <v>1682</v>
      </c>
      <c r="S602" s="34" t="str">
        <f>IFERROR(HYPERLINK("#Main!A"&amp;MATCH(A602,Main!A:A,0),"Open"),HYPERLINK("#Main!A1","Open"))</f>
        <v>Open</v>
      </c>
      <c r="T602" s="34" t="str">
        <f>IFERROR(HYPERLINK("#Technical!A"&amp;MATCH(A602,Technical!A:A,0),"Open"),HYPERLINK("#Technical!A1","Open"))</f>
        <v>Open</v>
      </c>
      <c r="U602" s="34"/>
    </row>
    <row r="603" spans="1:21" ht="30" customHeight="1" x14ac:dyDescent="0.25">
      <c r="A603" s="30" t="s">
        <v>531</v>
      </c>
      <c r="B603" s="37">
        <v>25788</v>
      </c>
      <c r="C603" s="55" t="s">
        <v>1051</v>
      </c>
      <c r="D603" s="37" t="s">
        <v>1253</v>
      </c>
      <c r="E603" s="47" t="s">
        <v>388</v>
      </c>
      <c r="F603" s="37" t="s">
        <v>1678</v>
      </c>
      <c r="G603" s="42">
        <v>37</v>
      </c>
      <c r="H603" s="37">
        <v>0</v>
      </c>
      <c r="I603" s="37" t="s">
        <v>1679</v>
      </c>
      <c r="J603" s="37" t="s">
        <v>1680</v>
      </c>
      <c r="K603" s="57" t="s">
        <v>20</v>
      </c>
      <c r="L603" s="37" t="s">
        <v>888</v>
      </c>
      <c r="M603" s="37" t="s">
        <v>392</v>
      </c>
      <c r="N603" s="37" t="s">
        <v>330</v>
      </c>
      <c r="O603" s="29" t="s">
        <v>2</v>
      </c>
      <c r="P603" s="37">
        <v>4</v>
      </c>
      <c r="Q603" s="37" t="s">
        <v>1727</v>
      </c>
      <c r="R603" s="37" t="s">
        <v>1682</v>
      </c>
      <c r="S603" t="str">
        <f>IFERROR(HYPERLINK("#Main!A"&amp;MATCH(A603,Main!A:A,0),"Open"),HYPERLINK("#Main!A1","Open"))</f>
        <v>Open</v>
      </c>
      <c r="T603" t="str">
        <f>IFERROR(HYPERLINK("#Technical!A"&amp;MATCH(A603,Technical!A:A,0),"Open"),HYPERLINK("#Technical!A1","Open"))</f>
        <v>Open</v>
      </c>
    </row>
    <row r="604" spans="1:21" ht="30" customHeight="1" x14ac:dyDescent="0.25">
      <c r="A604" s="33" t="s">
        <v>534</v>
      </c>
      <c r="B604" s="28">
        <v>26290</v>
      </c>
      <c r="C604" s="55" t="s">
        <v>1053</v>
      </c>
      <c r="D604" s="28" t="s">
        <v>1253</v>
      </c>
      <c r="E604" s="47" t="s">
        <v>388</v>
      </c>
      <c r="F604" s="28" t="s">
        <v>1678</v>
      </c>
      <c r="G604" s="39">
        <v>37</v>
      </c>
      <c r="H604" s="28">
        <v>0</v>
      </c>
      <c r="I604" s="28" t="s">
        <v>1679</v>
      </c>
      <c r="J604" s="28" t="s">
        <v>1680</v>
      </c>
      <c r="K604" s="56" t="s">
        <v>20</v>
      </c>
      <c r="L604" s="28" t="s">
        <v>888</v>
      </c>
      <c r="M604" s="28" t="s">
        <v>392</v>
      </c>
      <c r="N604" s="28" t="s">
        <v>330</v>
      </c>
      <c r="O604" s="29" t="s">
        <v>2</v>
      </c>
      <c r="P604" s="28">
        <v>4</v>
      </c>
      <c r="Q604" s="28" t="s">
        <v>1728</v>
      </c>
      <c r="R604" s="28" t="s">
        <v>1682</v>
      </c>
      <c r="S604" s="34" t="str">
        <f>IFERROR(HYPERLINK("#Main!A"&amp;MATCH(A604,Main!A:A,0),"Open"),HYPERLINK("#Main!A1","Open"))</f>
        <v>Open</v>
      </c>
      <c r="T604" s="34" t="str">
        <f>IFERROR(HYPERLINK("#Technical!A"&amp;MATCH(A604,Technical!A:A,0),"Open"),HYPERLINK("#Technical!A1","Open"))</f>
        <v>Open</v>
      </c>
      <c r="U604" s="34"/>
    </row>
    <row r="605" spans="1:21" ht="30" customHeight="1" x14ac:dyDescent="0.25">
      <c r="A605" s="30" t="s">
        <v>537</v>
      </c>
      <c r="B605" s="37">
        <v>24882</v>
      </c>
      <c r="C605" s="55" t="s">
        <v>1055</v>
      </c>
      <c r="D605" s="37" t="s">
        <v>1253</v>
      </c>
      <c r="E605" s="47" t="s">
        <v>388</v>
      </c>
      <c r="F605" s="37" t="s">
        <v>1673</v>
      </c>
      <c r="G605" s="42">
        <v>37</v>
      </c>
      <c r="H605" s="37">
        <v>2</v>
      </c>
      <c r="I605" s="37" t="s">
        <v>1674</v>
      </c>
      <c r="J605" s="37" t="s">
        <v>1675</v>
      </c>
      <c r="K605" s="57" t="s">
        <v>18</v>
      </c>
      <c r="L605" s="37" t="s">
        <v>876</v>
      </c>
      <c r="M605" s="37" t="s">
        <v>392</v>
      </c>
      <c r="N605" s="37" t="s">
        <v>330</v>
      </c>
      <c r="O605" s="29" t="s">
        <v>2</v>
      </c>
      <c r="P605" s="37">
        <v>4</v>
      </c>
      <c r="Q605" s="37" t="s">
        <v>1729</v>
      </c>
      <c r="R605" s="37" t="s">
        <v>1677</v>
      </c>
      <c r="S605" t="str">
        <f>IFERROR(HYPERLINK("#Main!A"&amp;MATCH(A605,Main!A:A,0),"Open"),HYPERLINK("#Main!A1","Open"))</f>
        <v>Open</v>
      </c>
      <c r="T605" t="str">
        <f>IFERROR(HYPERLINK("#Technical!A"&amp;MATCH(A605,Technical!A:A,0),"Open"),HYPERLINK("#Technical!A1","Open"))</f>
        <v>Open</v>
      </c>
    </row>
    <row r="606" spans="1:21" ht="30" customHeight="1" x14ac:dyDescent="0.25">
      <c r="A606" s="33" t="s">
        <v>537</v>
      </c>
      <c r="B606" s="28">
        <v>24882</v>
      </c>
      <c r="C606" s="55" t="s">
        <v>1055</v>
      </c>
      <c r="D606" s="28" t="s">
        <v>1253</v>
      </c>
      <c r="E606" s="47" t="s">
        <v>388</v>
      </c>
      <c r="F606" s="28" t="s">
        <v>1678</v>
      </c>
      <c r="G606" s="39">
        <v>37</v>
      </c>
      <c r="H606" s="28">
        <v>0</v>
      </c>
      <c r="I606" s="28" t="s">
        <v>1679</v>
      </c>
      <c r="J606" s="28" t="s">
        <v>1680</v>
      </c>
      <c r="K606" s="56" t="s">
        <v>20</v>
      </c>
      <c r="L606" s="28" t="s">
        <v>888</v>
      </c>
      <c r="M606" s="28" t="s">
        <v>392</v>
      </c>
      <c r="N606" s="28" t="s">
        <v>330</v>
      </c>
      <c r="O606" s="29" t="s">
        <v>2</v>
      </c>
      <c r="P606" s="28">
        <v>4</v>
      </c>
      <c r="Q606" s="28" t="s">
        <v>1730</v>
      </c>
      <c r="R606" s="28" t="s">
        <v>1682</v>
      </c>
      <c r="S606" s="34" t="str">
        <f>IFERROR(HYPERLINK("#Main!A"&amp;MATCH(A606,Main!A:A,0),"Open"),HYPERLINK("#Main!A1","Open"))</f>
        <v>Open</v>
      </c>
      <c r="T606" s="34" t="str">
        <f>IFERROR(HYPERLINK("#Technical!A"&amp;MATCH(A606,Technical!A:A,0),"Open"),HYPERLINK("#Technical!A1","Open"))</f>
        <v>Open</v>
      </c>
      <c r="U606" s="34"/>
    </row>
    <row r="607" spans="1:21" ht="45" customHeight="1" x14ac:dyDescent="0.25">
      <c r="A607" s="30" t="s">
        <v>540</v>
      </c>
      <c r="B607" s="37">
        <v>22595</v>
      </c>
      <c r="C607" s="55" t="s">
        <v>1057</v>
      </c>
      <c r="D607" s="37" t="s">
        <v>1253</v>
      </c>
      <c r="E607" s="47" t="s">
        <v>388</v>
      </c>
      <c r="F607" s="37" t="s">
        <v>1673</v>
      </c>
      <c r="G607" s="42">
        <v>37</v>
      </c>
      <c r="H607" s="37">
        <v>4</v>
      </c>
      <c r="I607" s="37" t="s">
        <v>1674</v>
      </c>
      <c r="J607" s="37" t="s">
        <v>1675</v>
      </c>
      <c r="K607" s="57" t="s">
        <v>18</v>
      </c>
      <c r="L607" s="37" t="s">
        <v>876</v>
      </c>
      <c r="M607" s="37" t="s">
        <v>392</v>
      </c>
      <c r="N607" s="37" t="s">
        <v>330</v>
      </c>
      <c r="O607" s="29" t="s">
        <v>2</v>
      </c>
      <c r="P607" s="37">
        <v>4</v>
      </c>
      <c r="Q607" s="37" t="s">
        <v>1731</v>
      </c>
      <c r="R607" s="37" t="s">
        <v>1677</v>
      </c>
      <c r="S607" t="str">
        <f>IFERROR(HYPERLINK("#Main!A"&amp;MATCH(A607,Main!A:A,0),"Open"),HYPERLINK("#Main!A1","Open"))</f>
        <v>Open</v>
      </c>
      <c r="T607" t="str">
        <f>IFERROR(HYPERLINK("#Technical!A"&amp;MATCH(A607,Technical!A:A,0),"Open"),HYPERLINK("#Technical!A1","Open"))</f>
        <v>Open</v>
      </c>
    </row>
    <row r="608" spans="1:21" ht="45" customHeight="1" x14ac:dyDescent="0.25">
      <c r="A608" s="33" t="s">
        <v>540</v>
      </c>
      <c r="B608" s="28">
        <v>22595</v>
      </c>
      <c r="C608" s="55" t="s">
        <v>1057</v>
      </c>
      <c r="D608" s="28" t="s">
        <v>1253</v>
      </c>
      <c r="E608" s="47" t="s">
        <v>388</v>
      </c>
      <c r="F608" s="28" t="s">
        <v>1678</v>
      </c>
      <c r="G608" s="39">
        <v>37</v>
      </c>
      <c r="H608" s="28">
        <v>0</v>
      </c>
      <c r="I608" s="28" t="s">
        <v>1679</v>
      </c>
      <c r="J608" s="28" t="s">
        <v>1680</v>
      </c>
      <c r="K608" s="56" t="s">
        <v>20</v>
      </c>
      <c r="L608" s="28" t="s">
        <v>888</v>
      </c>
      <c r="M608" s="28" t="s">
        <v>392</v>
      </c>
      <c r="N608" s="28" t="s">
        <v>330</v>
      </c>
      <c r="O608" s="29" t="s">
        <v>2</v>
      </c>
      <c r="P608" s="28">
        <v>4</v>
      </c>
      <c r="Q608" s="28" t="s">
        <v>1732</v>
      </c>
      <c r="R608" s="28" t="s">
        <v>1682</v>
      </c>
      <c r="S608" s="34" t="str">
        <f>IFERROR(HYPERLINK("#Main!A"&amp;MATCH(A608,Main!A:A,0),"Open"),HYPERLINK("#Main!A1","Open"))</f>
        <v>Open</v>
      </c>
      <c r="T608" s="34" t="str">
        <f>IFERROR(HYPERLINK("#Technical!A"&amp;MATCH(A608,Technical!A:A,0),"Open"),HYPERLINK("#Technical!A1","Open"))</f>
        <v>Open</v>
      </c>
      <c r="U608" s="34"/>
    </row>
    <row r="609" spans="1:21" ht="30" customHeight="1" x14ac:dyDescent="0.25">
      <c r="A609" s="30" t="s">
        <v>543</v>
      </c>
      <c r="B609" s="37">
        <v>29496</v>
      </c>
      <c r="C609" s="55" t="s">
        <v>1059</v>
      </c>
      <c r="D609" s="37" t="s">
        <v>1253</v>
      </c>
      <c r="E609" s="47" t="s">
        <v>388</v>
      </c>
      <c r="F609" s="37" t="s">
        <v>1678</v>
      </c>
      <c r="G609" s="42">
        <v>37</v>
      </c>
      <c r="H609" s="37">
        <v>0</v>
      </c>
      <c r="I609" s="37" t="s">
        <v>1679</v>
      </c>
      <c r="J609" s="37" t="s">
        <v>1680</v>
      </c>
      <c r="K609" s="57" t="s">
        <v>20</v>
      </c>
      <c r="L609" s="37" t="s">
        <v>888</v>
      </c>
      <c r="M609" s="37" t="s">
        <v>392</v>
      </c>
      <c r="N609" s="37" t="s">
        <v>330</v>
      </c>
      <c r="O609" s="29" t="s">
        <v>2</v>
      </c>
      <c r="P609" s="37">
        <v>4</v>
      </c>
      <c r="Q609" s="37" t="s">
        <v>1733</v>
      </c>
      <c r="R609" s="37" t="s">
        <v>1682</v>
      </c>
      <c r="S609" t="str">
        <f>IFERROR(HYPERLINK("#Main!A"&amp;MATCH(A609,Main!A:A,0),"Open"),HYPERLINK("#Main!A1","Open"))</f>
        <v>Open</v>
      </c>
      <c r="T609" t="str">
        <f>IFERROR(HYPERLINK("#Technical!A"&amp;MATCH(A609,Technical!A:A,0),"Open"),HYPERLINK("#Technical!A1","Open"))</f>
        <v>Open</v>
      </c>
    </row>
    <row r="610" spans="1:21" ht="30" customHeight="1" x14ac:dyDescent="0.25">
      <c r="A610" s="33" t="s">
        <v>546</v>
      </c>
      <c r="B610" s="28">
        <v>16104</v>
      </c>
      <c r="C610" s="55" t="s">
        <v>1061</v>
      </c>
      <c r="D610" s="28" t="s">
        <v>1253</v>
      </c>
      <c r="E610" s="47" t="s">
        <v>388</v>
      </c>
      <c r="F610" s="28" t="s">
        <v>1678</v>
      </c>
      <c r="G610" s="39">
        <v>37</v>
      </c>
      <c r="H610" s="28">
        <v>0</v>
      </c>
      <c r="I610" s="28" t="s">
        <v>1679</v>
      </c>
      <c r="J610" s="28" t="s">
        <v>1680</v>
      </c>
      <c r="K610" s="56" t="s">
        <v>20</v>
      </c>
      <c r="L610" s="28" t="s">
        <v>888</v>
      </c>
      <c r="M610" s="28" t="s">
        <v>392</v>
      </c>
      <c r="N610" s="28" t="s">
        <v>330</v>
      </c>
      <c r="O610" s="29" t="s">
        <v>2</v>
      </c>
      <c r="P610" s="28">
        <v>4</v>
      </c>
      <c r="Q610" s="28" t="s">
        <v>1734</v>
      </c>
      <c r="R610" s="28" t="s">
        <v>1682</v>
      </c>
      <c r="S610" s="34" t="str">
        <f>IFERROR(HYPERLINK("#Main!A"&amp;MATCH(A610,Main!A:A,0),"Open"),HYPERLINK("#Main!A1","Open"))</f>
        <v>Open</v>
      </c>
      <c r="T610" s="34" t="str">
        <f>IFERROR(HYPERLINK("#Technical!A"&amp;MATCH(A610,Technical!A:A,0),"Open"),HYPERLINK("#Technical!A1","Open"))</f>
        <v>Open</v>
      </c>
      <c r="U610" s="34"/>
    </row>
    <row r="611" spans="1:21" ht="30" customHeight="1" x14ac:dyDescent="0.25">
      <c r="A611" s="30" t="s">
        <v>483</v>
      </c>
      <c r="B611" s="37"/>
      <c r="C611" s="37"/>
      <c r="D611" s="37" t="s">
        <v>1253</v>
      </c>
      <c r="E611" s="47" t="s">
        <v>388</v>
      </c>
      <c r="F611" s="37" t="s">
        <v>1678</v>
      </c>
      <c r="G611" s="42">
        <v>37</v>
      </c>
      <c r="H611" s="37">
        <v>0</v>
      </c>
      <c r="I611" s="37" t="s">
        <v>1679</v>
      </c>
      <c r="J611" s="37" t="s">
        <v>1680</v>
      </c>
      <c r="K611" s="57" t="s">
        <v>20</v>
      </c>
      <c r="L611" s="37" t="s">
        <v>888</v>
      </c>
      <c r="M611" s="37" t="s">
        <v>392</v>
      </c>
      <c r="N611" s="37" t="s">
        <v>330</v>
      </c>
      <c r="O611" s="29" t="s">
        <v>2</v>
      </c>
      <c r="P611" s="37">
        <v>4</v>
      </c>
      <c r="Q611" s="37" t="s">
        <v>1735</v>
      </c>
      <c r="R611" s="37" t="s">
        <v>1682</v>
      </c>
      <c r="S611" t="str">
        <f>IFERROR(HYPERLINK("#Main!A"&amp;MATCH(A611,Main!A:A,0),"Open"),HYPERLINK("#Main!A1","Open"))</f>
        <v>Open</v>
      </c>
      <c r="T611" t="str">
        <f>IFERROR(HYPERLINK("#Technical!A"&amp;MATCH(A611,Technical!A:A,0),"Open"),HYPERLINK("#Technical!A1","Open"))</f>
        <v>Open</v>
      </c>
    </row>
    <row r="612" spans="1:21" ht="30" customHeight="1" x14ac:dyDescent="0.25">
      <c r="A612" s="33" t="s">
        <v>549</v>
      </c>
      <c r="B612" s="28">
        <v>23021</v>
      </c>
      <c r="C612" s="55" t="s">
        <v>1063</v>
      </c>
      <c r="D612" s="28" t="s">
        <v>1253</v>
      </c>
      <c r="E612" s="47" t="s">
        <v>388</v>
      </c>
      <c r="F612" s="28" t="s">
        <v>1673</v>
      </c>
      <c r="G612" s="39">
        <v>37</v>
      </c>
      <c r="H612" s="28">
        <v>4</v>
      </c>
      <c r="I612" s="28" t="s">
        <v>1674</v>
      </c>
      <c r="J612" s="28" t="s">
        <v>1675</v>
      </c>
      <c r="K612" s="56" t="s">
        <v>18</v>
      </c>
      <c r="L612" s="28" t="s">
        <v>876</v>
      </c>
      <c r="M612" s="28" t="s">
        <v>392</v>
      </c>
      <c r="N612" s="28" t="s">
        <v>330</v>
      </c>
      <c r="O612" s="29" t="s">
        <v>2</v>
      </c>
      <c r="P612" s="28">
        <v>4</v>
      </c>
      <c r="Q612" s="28" t="s">
        <v>1736</v>
      </c>
      <c r="R612" s="28" t="s">
        <v>1677</v>
      </c>
      <c r="S612" s="34" t="str">
        <f>IFERROR(HYPERLINK("#Main!A"&amp;MATCH(A612,Main!A:A,0),"Open"),HYPERLINK("#Main!A1","Open"))</f>
        <v>Open</v>
      </c>
      <c r="T612" s="34" t="str">
        <f>IFERROR(HYPERLINK("#Technical!A"&amp;MATCH(A612,Technical!A:A,0),"Open"),HYPERLINK("#Technical!A1","Open"))</f>
        <v>Open</v>
      </c>
      <c r="U612" s="34"/>
    </row>
    <row r="613" spans="1:21" ht="30" customHeight="1" x14ac:dyDescent="0.25">
      <c r="A613" s="30" t="s">
        <v>549</v>
      </c>
      <c r="B613" s="37">
        <v>23021</v>
      </c>
      <c r="C613" s="55" t="s">
        <v>1063</v>
      </c>
      <c r="D613" s="37" t="s">
        <v>1253</v>
      </c>
      <c r="E613" s="47" t="s">
        <v>388</v>
      </c>
      <c r="F613" s="37" t="s">
        <v>1678</v>
      </c>
      <c r="G613" s="42">
        <v>37</v>
      </c>
      <c r="H613" s="37">
        <v>0</v>
      </c>
      <c r="I613" s="37" t="s">
        <v>1679</v>
      </c>
      <c r="J613" s="37" t="s">
        <v>1680</v>
      </c>
      <c r="K613" s="57" t="s">
        <v>20</v>
      </c>
      <c r="L613" s="37" t="s">
        <v>888</v>
      </c>
      <c r="M613" s="37" t="s">
        <v>392</v>
      </c>
      <c r="N613" s="37" t="s">
        <v>330</v>
      </c>
      <c r="O613" s="29" t="s">
        <v>2</v>
      </c>
      <c r="P613" s="37">
        <v>4</v>
      </c>
      <c r="Q613" s="37" t="s">
        <v>1737</v>
      </c>
      <c r="R613" s="37" t="s">
        <v>1682</v>
      </c>
      <c r="S613" t="str">
        <f>IFERROR(HYPERLINK("#Main!A"&amp;MATCH(A613,Main!A:A,0),"Open"),HYPERLINK("#Main!A1","Open"))</f>
        <v>Open</v>
      </c>
      <c r="T613" t="str">
        <f>IFERROR(HYPERLINK("#Technical!A"&amp;MATCH(A613,Technical!A:A,0),"Open"),HYPERLINK("#Technical!A1","Open"))</f>
        <v>Open</v>
      </c>
    </row>
    <row r="614" spans="1:21" ht="30" customHeight="1" x14ac:dyDescent="0.25">
      <c r="A614" s="33" t="s">
        <v>552</v>
      </c>
      <c r="B614" s="28">
        <v>6553</v>
      </c>
      <c r="C614" s="55" t="s">
        <v>1065</v>
      </c>
      <c r="D614" s="28" t="s">
        <v>1253</v>
      </c>
      <c r="E614" s="47" t="s">
        <v>388</v>
      </c>
      <c r="F614" s="28" t="s">
        <v>1678</v>
      </c>
      <c r="G614" s="39">
        <v>37</v>
      </c>
      <c r="H614" s="28">
        <v>0</v>
      </c>
      <c r="I614" s="28" t="s">
        <v>1679</v>
      </c>
      <c r="J614" s="28" t="s">
        <v>1680</v>
      </c>
      <c r="K614" s="56" t="s">
        <v>20</v>
      </c>
      <c r="L614" s="28" t="s">
        <v>888</v>
      </c>
      <c r="M614" s="28" t="s">
        <v>392</v>
      </c>
      <c r="N614" s="28" t="s">
        <v>330</v>
      </c>
      <c r="O614" s="29" t="s">
        <v>2</v>
      </c>
      <c r="P614" s="28">
        <v>4</v>
      </c>
      <c r="Q614" s="28" t="s">
        <v>1738</v>
      </c>
      <c r="R614" s="28" t="s">
        <v>1682</v>
      </c>
      <c r="S614" s="34" t="str">
        <f>IFERROR(HYPERLINK("#Main!A"&amp;MATCH(A614,Main!A:A,0),"Open"),HYPERLINK("#Main!A1","Open"))</f>
        <v>Open</v>
      </c>
      <c r="T614" s="34" t="str">
        <f>IFERROR(HYPERLINK("#Technical!A"&amp;MATCH(A614,Technical!A:A,0),"Open"),HYPERLINK("#Technical!A1","Open"))</f>
        <v>Open</v>
      </c>
      <c r="U614" s="34"/>
    </row>
    <row r="615" spans="1:21" ht="30" customHeight="1" x14ac:dyDescent="0.25">
      <c r="A615" s="30" t="s">
        <v>555</v>
      </c>
      <c r="B615" s="37">
        <v>6816</v>
      </c>
      <c r="C615" s="55" t="s">
        <v>1067</v>
      </c>
      <c r="D615" s="37" t="s">
        <v>1253</v>
      </c>
      <c r="E615" s="47" t="s">
        <v>388</v>
      </c>
      <c r="F615" s="37" t="s">
        <v>1678</v>
      </c>
      <c r="G615" s="42">
        <v>37</v>
      </c>
      <c r="H615" s="37">
        <v>0</v>
      </c>
      <c r="I615" s="37" t="s">
        <v>1679</v>
      </c>
      <c r="J615" s="37" t="s">
        <v>1680</v>
      </c>
      <c r="K615" s="57" t="s">
        <v>20</v>
      </c>
      <c r="L615" s="37" t="s">
        <v>888</v>
      </c>
      <c r="M615" s="37" t="s">
        <v>392</v>
      </c>
      <c r="N615" s="37" t="s">
        <v>330</v>
      </c>
      <c r="O615" s="29" t="s">
        <v>2</v>
      </c>
      <c r="P615" s="37">
        <v>4</v>
      </c>
      <c r="Q615" s="37" t="s">
        <v>1739</v>
      </c>
      <c r="R615" s="37" t="s">
        <v>1682</v>
      </c>
      <c r="S615" t="str">
        <f>IFERROR(HYPERLINK("#Main!A"&amp;MATCH(A615,Main!A:A,0),"Open"),HYPERLINK("#Main!A1","Open"))</f>
        <v>Open</v>
      </c>
      <c r="T615" t="str">
        <f>IFERROR(HYPERLINK("#Technical!A"&amp;MATCH(A615,Technical!A:A,0),"Open"),HYPERLINK("#Technical!A1","Open"))</f>
        <v>Open</v>
      </c>
    </row>
    <row r="616" spans="1:21" ht="30" customHeight="1" x14ac:dyDescent="0.25">
      <c r="A616" s="33" t="s">
        <v>557</v>
      </c>
      <c r="B616" s="28">
        <v>6822</v>
      </c>
      <c r="C616" s="55" t="s">
        <v>1069</v>
      </c>
      <c r="D616" s="28" t="s">
        <v>1253</v>
      </c>
      <c r="E616" s="47" t="s">
        <v>388</v>
      </c>
      <c r="F616" s="28" t="s">
        <v>1678</v>
      </c>
      <c r="G616" s="39">
        <v>37</v>
      </c>
      <c r="H616" s="28">
        <v>0</v>
      </c>
      <c r="I616" s="28" t="s">
        <v>1679</v>
      </c>
      <c r="J616" s="28" t="s">
        <v>1680</v>
      </c>
      <c r="K616" s="56" t="s">
        <v>20</v>
      </c>
      <c r="L616" s="28" t="s">
        <v>888</v>
      </c>
      <c r="M616" s="28" t="s">
        <v>392</v>
      </c>
      <c r="N616" s="28" t="s">
        <v>330</v>
      </c>
      <c r="O616" s="29" t="s">
        <v>2</v>
      </c>
      <c r="P616" s="28">
        <v>4</v>
      </c>
      <c r="Q616" s="28" t="s">
        <v>1740</v>
      </c>
      <c r="R616" s="28" t="s">
        <v>1682</v>
      </c>
      <c r="S616" s="34" t="str">
        <f>IFERROR(HYPERLINK("#Main!A"&amp;MATCH(A616,Main!A:A,0),"Open"),HYPERLINK("#Main!A1","Open"))</f>
        <v>Open</v>
      </c>
      <c r="T616" s="34" t="str">
        <f>IFERROR(HYPERLINK("#Technical!A"&amp;MATCH(A616,Technical!A:A,0),"Open"),HYPERLINK("#Technical!A1","Open"))</f>
        <v>Open</v>
      </c>
      <c r="U616" s="34"/>
    </row>
    <row r="617" spans="1:21" ht="30" customHeight="1" x14ac:dyDescent="0.25">
      <c r="A617" s="30" t="s">
        <v>560</v>
      </c>
      <c r="B617" s="37">
        <v>4492</v>
      </c>
      <c r="C617" s="55" t="s">
        <v>1071</v>
      </c>
      <c r="D617" s="37" t="s">
        <v>1253</v>
      </c>
      <c r="E617" s="47" t="s">
        <v>388</v>
      </c>
      <c r="F617" s="37" t="s">
        <v>1678</v>
      </c>
      <c r="G617" s="42">
        <v>37</v>
      </c>
      <c r="H617" s="37">
        <v>0</v>
      </c>
      <c r="I617" s="37" t="s">
        <v>1679</v>
      </c>
      <c r="J617" s="37" t="s">
        <v>1680</v>
      </c>
      <c r="K617" s="57" t="s">
        <v>20</v>
      </c>
      <c r="L617" s="37" t="s">
        <v>888</v>
      </c>
      <c r="M617" s="37" t="s">
        <v>392</v>
      </c>
      <c r="N617" s="37" t="s">
        <v>330</v>
      </c>
      <c r="O617" s="29" t="s">
        <v>2</v>
      </c>
      <c r="P617" s="37">
        <v>4</v>
      </c>
      <c r="Q617" s="37" t="s">
        <v>1741</v>
      </c>
      <c r="R617" s="37" t="s">
        <v>1682</v>
      </c>
      <c r="S617" t="str">
        <f>IFERROR(HYPERLINK("#Main!A"&amp;MATCH(A617,Main!A:A,0),"Open"),HYPERLINK("#Main!A1","Open"))</f>
        <v>Open</v>
      </c>
      <c r="T617" t="str">
        <f>IFERROR(HYPERLINK("#Technical!A"&amp;MATCH(A617,Technical!A:A,0),"Open"),HYPERLINK("#Technical!A1","Open"))</f>
        <v>Open</v>
      </c>
    </row>
    <row r="618" spans="1:21" ht="30" customHeight="1" x14ac:dyDescent="0.25">
      <c r="A618" s="33" t="s">
        <v>563</v>
      </c>
      <c r="B618" s="28">
        <v>23001</v>
      </c>
      <c r="C618" s="55" t="s">
        <v>1073</v>
      </c>
      <c r="D618" s="28" t="s">
        <v>1253</v>
      </c>
      <c r="E618" s="47" t="s">
        <v>388</v>
      </c>
      <c r="F618" s="28" t="s">
        <v>1678</v>
      </c>
      <c r="G618" s="39">
        <v>37</v>
      </c>
      <c r="H618" s="28">
        <v>0</v>
      </c>
      <c r="I618" s="28" t="s">
        <v>1679</v>
      </c>
      <c r="J618" s="28" t="s">
        <v>1680</v>
      </c>
      <c r="K618" s="56" t="s">
        <v>20</v>
      </c>
      <c r="L618" s="28" t="s">
        <v>888</v>
      </c>
      <c r="M618" s="28" t="s">
        <v>392</v>
      </c>
      <c r="N618" s="28" t="s">
        <v>330</v>
      </c>
      <c r="O618" s="29" t="s">
        <v>2</v>
      </c>
      <c r="P618" s="28">
        <v>4</v>
      </c>
      <c r="Q618" s="28" t="s">
        <v>1742</v>
      </c>
      <c r="R618" s="28" t="s">
        <v>1682</v>
      </c>
      <c r="S618" s="34" t="str">
        <f>IFERROR(HYPERLINK("#Main!A"&amp;MATCH(A618,Main!A:A,0),"Open"),HYPERLINK("#Main!A1","Open"))</f>
        <v>Open</v>
      </c>
      <c r="T618" s="34" t="str">
        <f>IFERROR(HYPERLINK("#Technical!A"&amp;MATCH(A618,Technical!A:A,0),"Open"),HYPERLINK("#Technical!A1","Open"))</f>
        <v>Open</v>
      </c>
      <c r="U618" s="34"/>
    </row>
    <row r="619" spans="1:21" ht="30" customHeight="1" x14ac:dyDescent="0.25">
      <c r="A619" s="30" t="s">
        <v>566</v>
      </c>
      <c r="B619" s="37">
        <v>21952</v>
      </c>
      <c r="C619" s="55" t="s">
        <v>1075</v>
      </c>
      <c r="D619" s="37" t="s">
        <v>1253</v>
      </c>
      <c r="E619" s="47" t="s">
        <v>388</v>
      </c>
      <c r="F619" s="37" t="s">
        <v>1678</v>
      </c>
      <c r="G619" s="42">
        <v>37</v>
      </c>
      <c r="H619" s="37">
        <v>0</v>
      </c>
      <c r="I619" s="37" t="s">
        <v>1679</v>
      </c>
      <c r="J619" s="37" t="s">
        <v>1680</v>
      </c>
      <c r="K619" s="57" t="s">
        <v>20</v>
      </c>
      <c r="L619" s="37" t="s">
        <v>888</v>
      </c>
      <c r="M619" s="37" t="s">
        <v>392</v>
      </c>
      <c r="N619" s="37" t="s">
        <v>330</v>
      </c>
      <c r="O619" s="29" t="s">
        <v>2</v>
      </c>
      <c r="P619" s="37">
        <v>4</v>
      </c>
      <c r="Q619" s="37" t="s">
        <v>1743</v>
      </c>
      <c r="R619" s="37" t="s">
        <v>1682</v>
      </c>
      <c r="S619" t="str">
        <f>IFERROR(HYPERLINK("#Main!A"&amp;MATCH(A619,Main!A:A,0),"Open"),HYPERLINK("#Main!A1","Open"))</f>
        <v>Open</v>
      </c>
      <c r="T619" t="str">
        <f>IFERROR(HYPERLINK("#Technical!A"&amp;MATCH(A619,Technical!A:A,0),"Open"),HYPERLINK("#Technical!A1","Open"))</f>
        <v>Open</v>
      </c>
    </row>
    <row r="620" spans="1:21" ht="30" customHeight="1" x14ac:dyDescent="0.25">
      <c r="A620" s="33" t="s">
        <v>570</v>
      </c>
      <c r="B620" s="28">
        <v>22679</v>
      </c>
      <c r="C620" s="55" t="s">
        <v>1077</v>
      </c>
      <c r="D620" s="28" t="s">
        <v>1253</v>
      </c>
      <c r="E620" s="47" t="s">
        <v>388</v>
      </c>
      <c r="F620" s="28" t="s">
        <v>1678</v>
      </c>
      <c r="G620" s="39">
        <v>37</v>
      </c>
      <c r="H620" s="28">
        <v>0</v>
      </c>
      <c r="I620" s="28" t="s">
        <v>1679</v>
      </c>
      <c r="J620" s="28" t="s">
        <v>1680</v>
      </c>
      <c r="K620" s="56" t="s">
        <v>20</v>
      </c>
      <c r="L620" s="28" t="s">
        <v>888</v>
      </c>
      <c r="M620" s="28" t="s">
        <v>392</v>
      </c>
      <c r="N620" s="28" t="s">
        <v>330</v>
      </c>
      <c r="O620" s="29" t="s">
        <v>2</v>
      </c>
      <c r="P620" s="28">
        <v>4</v>
      </c>
      <c r="Q620" s="28" t="s">
        <v>1744</v>
      </c>
      <c r="R620" s="28" t="s">
        <v>1682</v>
      </c>
      <c r="S620" s="34" t="str">
        <f>IFERROR(HYPERLINK("#Main!A"&amp;MATCH(A620,Main!A:A,0),"Open"),HYPERLINK("#Main!A1","Open"))</f>
        <v>Open</v>
      </c>
      <c r="T620" s="34" t="str">
        <f>IFERROR(HYPERLINK("#Technical!A"&amp;MATCH(A620,Technical!A:A,0),"Open"),HYPERLINK("#Technical!A1","Open"))</f>
        <v>Open</v>
      </c>
      <c r="U620" s="34"/>
    </row>
    <row r="621" spans="1:21" ht="30" customHeight="1" x14ac:dyDescent="0.25">
      <c r="A621" s="30" t="s">
        <v>573</v>
      </c>
      <c r="B621" s="37">
        <v>34622</v>
      </c>
      <c r="C621" s="55" t="s">
        <v>1079</v>
      </c>
      <c r="D621" s="37" t="s">
        <v>1253</v>
      </c>
      <c r="E621" s="47" t="s">
        <v>388</v>
      </c>
      <c r="F621" s="37" t="s">
        <v>1673</v>
      </c>
      <c r="G621" s="42">
        <v>37</v>
      </c>
      <c r="H621" s="37">
        <v>3</v>
      </c>
      <c r="I621" s="37" t="s">
        <v>1674</v>
      </c>
      <c r="J621" s="37" t="s">
        <v>1675</v>
      </c>
      <c r="K621" s="57" t="s">
        <v>18</v>
      </c>
      <c r="L621" s="37" t="s">
        <v>876</v>
      </c>
      <c r="M621" s="37" t="s">
        <v>392</v>
      </c>
      <c r="N621" s="37" t="s">
        <v>330</v>
      </c>
      <c r="O621" s="29" t="s">
        <v>2</v>
      </c>
      <c r="P621" s="37">
        <v>4</v>
      </c>
      <c r="Q621" s="37" t="s">
        <v>1745</v>
      </c>
      <c r="R621" s="37" t="s">
        <v>1677</v>
      </c>
      <c r="S621" t="str">
        <f>IFERROR(HYPERLINK("#Main!A"&amp;MATCH(A621,Main!A:A,0),"Open"),HYPERLINK("#Main!A1","Open"))</f>
        <v>Open</v>
      </c>
      <c r="T621" t="str">
        <f>IFERROR(HYPERLINK("#Technical!A"&amp;MATCH(A621,Technical!A:A,0),"Open"),HYPERLINK("#Technical!A1","Open"))</f>
        <v>Open</v>
      </c>
    </row>
    <row r="622" spans="1:21" ht="30" customHeight="1" x14ac:dyDescent="0.25">
      <c r="A622" s="33" t="s">
        <v>573</v>
      </c>
      <c r="B622" s="28">
        <v>34622</v>
      </c>
      <c r="C622" s="55" t="s">
        <v>1079</v>
      </c>
      <c r="D622" s="28" t="s">
        <v>1253</v>
      </c>
      <c r="E622" s="47" t="s">
        <v>388</v>
      </c>
      <c r="F622" s="28" t="s">
        <v>1678</v>
      </c>
      <c r="G622" s="39">
        <v>37</v>
      </c>
      <c r="H622" s="28">
        <v>0</v>
      </c>
      <c r="I622" s="28" t="s">
        <v>1679</v>
      </c>
      <c r="J622" s="28" t="s">
        <v>1680</v>
      </c>
      <c r="K622" s="56" t="s">
        <v>20</v>
      </c>
      <c r="L622" s="28" t="s">
        <v>888</v>
      </c>
      <c r="M622" s="28" t="s">
        <v>392</v>
      </c>
      <c r="N622" s="28" t="s">
        <v>330</v>
      </c>
      <c r="O622" s="29" t="s">
        <v>2</v>
      </c>
      <c r="P622" s="28">
        <v>4</v>
      </c>
      <c r="Q622" s="28" t="s">
        <v>1746</v>
      </c>
      <c r="R622" s="28" t="s">
        <v>1682</v>
      </c>
      <c r="S622" s="34" t="str">
        <f>IFERROR(HYPERLINK("#Main!A"&amp;MATCH(A622,Main!A:A,0),"Open"),HYPERLINK("#Main!A1","Open"))</f>
        <v>Open</v>
      </c>
      <c r="T622" s="34" t="str">
        <f>IFERROR(HYPERLINK("#Technical!A"&amp;MATCH(A622,Technical!A:A,0),"Open"),HYPERLINK("#Technical!A1","Open"))</f>
        <v>Open</v>
      </c>
      <c r="U622" s="34"/>
    </row>
    <row r="623" spans="1:21" ht="30" customHeight="1" x14ac:dyDescent="0.25">
      <c r="A623" s="30" t="s">
        <v>577</v>
      </c>
      <c r="B623" s="37">
        <v>32554</v>
      </c>
      <c r="C623" s="55" t="s">
        <v>1081</v>
      </c>
      <c r="D623" s="37" t="s">
        <v>1253</v>
      </c>
      <c r="E623" s="47" t="s">
        <v>388</v>
      </c>
      <c r="F623" s="37" t="s">
        <v>1673</v>
      </c>
      <c r="G623" s="42">
        <v>37</v>
      </c>
      <c r="H623" s="37">
        <v>3</v>
      </c>
      <c r="I623" s="37" t="s">
        <v>1674</v>
      </c>
      <c r="J623" s="37" t="s">
        <v>1675</v>
      </c>
      <c r="K623" s="57" t="s">
        <v>18</v>
      </c>
      <c r="L623" s="37" t="s">
        <v>876</v>
      </c>
      <c r="M623" s="37" t="s">
        <v>392</v>
      </c>
      <c r="N623" s="37" t="s">
        <v>330</v>
      </c>
      <c r="O623" s="29" t="s">
        <v>2</v>
      </c>
      <c r="P623" s="37">
        <v>4</v>
      </c>
      <c r="Q623" s="37" t="s">
        <v>1747</v>
      </c>
      <c r="R623" s="37" t="s">
        <v>1677</v>
      </c>
      <c r="S623" t="str">
        <f>IFERROR(HYPERLINK("#Main!A"&amp;MATCH(A623,Main!A:A,0),"Open"),HYPERLINK("#Main!A1","Open"))</f>
        <v>Open</v>
      </c>
      <c r="T623" t="str">
        <f>IFERROR(HYPERLINK("#Technical!A"&amp;MATCH(A623,Technical!A:A,0),"Open"),HYPERLINK("#Technical!A1","Open"))</f>
        <v>Open</v>
      </c>
    </row>
    <row r="624" spans="1:21" ht="30" customHeight="1" x14ac:dyDescent="0.25">
      <c r="A624" s="33" t="s">
        <v>577</v>
      </c>
      <c r="B624" s="28">
        <v>32554</v>
      </c>
      <c r="C624" s="55" t="s">
        <v>1081</v>
      </c>
      <c r="D624" s="28" t="s">
        <v>1253</v>
      </c>
      <c r="E624" s="47" t="s">
        <v>388</v>
      </c>
      <c r="F624" s="28" t="s">
        <v>1678</v>
      </c>
      <c r="G624" s="39">
        <v>37</v>
      </c>
      <c r="H624" s="28">
        <v>0</v>
      </c>
      <c r="I624" s="28" t="s">
        <v>1679</v>
      </c>
      <c r="J624" s="28" t="s">
        <v>1680</v>
      </c>
      <c r="K624" s="56" t="s">
        <v>20</v>
      </c>
      <c r="L624" s="28" t="s">
        <v>888</v>
      </c>
      <c r="M624" s="28" t="s">
        <v>392</v>
      </c>
      <c r="N624" s="28" t="s">
        <v>330</v>
      </c>
      <c r="O624" s="29" t="s">
        <v>2</v>
      </c>
      <c r="P624" s="28">
        <v>4</v>
      </c>
      <c r="Q624" s="28" t="s">
        <v>1748</v>
      </c>
      <c r="R624" s="28" t="s">
        <v>1682</v>
      </c>
      <c r="S624" s="34" t="str">
        <f>IFERROR(HYPERLINK("#Main!A"&amp;MATCH(A624,Main!A:A,0),"Open"),HYPERLINK("#Main!A1","Open"))</f>
        <v>Open</v>
      </c>
      <c r="T624" s="34" t="str">
        <f>IFERROR(HYPERLINK("#Technical!A"&amp;MATCH(A624,Technical!A:A,0),"Open"),HYPERLINK("#Technical!A1","Open"))</f>
        <v>Open</v>
      </c>
      <c r="U624" s="34"/>
    </row>
    <row r="625" spans="1:21" ht="30" customHeight="1" x14ac:dyDescent="0.25">
      <c r="A625" s="30" t="s">
        <v>579</v>
      </c>
      <c r="B625" s="37">
        <v>34552</v>
      </c>
      <c r="C625" s="55" t="s">
        <v>1083</v>
      </c>
      <c r="D625" s="37" t="s">
        <v>1253</v>
      </c>
      <c r="E625" s="47" t="s">
        <v>388</v>
      </c>
      <c r="F625" s="37" t="s">
        <v>1673</v>
      </c>
      <c r="G625" s="42">
        <v>37</v>
      </c>
      <c r="H625" s="37">
        <v>3</v>
      </c>
      <c r="I625" s="37" t="s">
        <v>1674</v>
      </c>
      <c r="J625" s="37" t="s">
        <v>1675</v>
      </c>
      <c r="K625" s="57" t="s">
        <v>18</v>
      </c>
      <c r="L625" s="37" t="s">
        <v>876</v>
      </c>
      <c r="M625" s="37" t="s">
        <v>392</v>
      </c>
      <c r="N625" s="37" t="s">
        <v>330</v>
      </c>
      <c r="O625" s="29" t="s">
        <v>2</v>
      </c>
      <c r="P625" s="37">
        <v>4</v>
      </c>
      <c r="Q625" s="37" t="s">
        <v>1749</v>
      </c>
      <c r="R625" s="37" t="s">
        <v>1677</v>
      </c>
      <c r="S625" t="str">
        <f>IFERROR(HYPERLINK("#Main!A"&amp;MATCH(A625,Main!A:A,0),"Open"),HYPERLINK("#Main!A1","Open"))</f>
        <v>Open</v>
      </c>
      <c r="T625" t="str">
        <f>IFERROR(HYPERLINK("#Technical!A"&amp;MATCH(A625,Technical!A:A,0),"Open"),HYPERLINK("#Technical!A1","Open"))</f>
        <v>Open</v>
      </c>
    </row>
    <row r="626" spans="1:21" ht="30" customHeight="1" x14ac:dyDescent="0.25">
      <c r="A626" s="33" t="s">
        <v>579</v>
      </c>
      <c r="B626" s="28">
        <v>34552</v>
      </c>
      <c r="C626" s="55" t="s">
        <v>1083</v>
      </c>
      <c r="D626" s="28" t="s">
        <v>1253</v>
      </c>
      <c r="E626" s="47" t="s">
        <v>388</v>
      </c>
      <c r="F626" s="28" t="s">
        <v>1678</v>
      </c>
      <c r="G626" s="39">
        <v>37</v>
      </c>
      <c r="H626" s="28">
        <v>0</v>
      </c>
      <c r="I626" s="28" t="s">
        <v>1679</v>
      </c>
      <c r="J626" s="28" t="s">
        <v>1680</v>
      </c>
      <c r="K626" s="56" t="s">
        <v>20</v>
      </c>
      <c r="L626" s="28" t="s">
        <v>888</v>
      </c>
      <c r="M626" s="28" t="s">
        <v>392</v>
      </c>
      <c r="N626" s="28" t="s">
        <v>330</v>
      </c>
      <c r="O626" s="29" t="s">
        <v>2</v>
      </c>
      <c r="P626" s="28">
        <v>4</v>
      </c>
      <c r="Q626" s="28" t="s">
        <v>1750</v>
      </c>
      <c r="R626" s="28" t="s">
        <v>1682</v>
      </c>
      <c r="S626" s="34" t="str">
        <f>IFERROR(HYPERLINK("#Main!A"&amp;MATCH(A626,Main!A:A,0),"Open"),HYPERLINK("#Main!A1","Open"))</f>
        <v>Open</v>
      </c>
      <c r="T626" s="34" t="str">
        <f>IFERROR(HYPERLINK("#Technical!A"&amp;MATCH(A626,Technical!A:A,0),"Open"),HYPERLINK("#Technical!A1","Open"))</f>
        <v>Open</v>
      </c>
      <c r="U626" s="34"/>
    </row>
    <row r="627" spans="1:21" ht="30" customHeight="1" x14ac:dyDescent="0.25">
      <c r="A627" s="30" t="s">
        <v>582</v>
      </c>
      <c r="B627" s="37">
        <v>28742</v>
      </c>
      <c r="C627" s="55" t="s">
        <v>1085</v>
      </c>
      <c r="D627" s="37" t="s">
        <v>1253</v>
      </c>
      <c r="E627" s="47" t="s">
        <v>388</v>
      </c>
      <c r="F627" s="37" t="s">
        <v>1678</v>
      </c>
      <c r="G627" s="42">
        <v>37</v>
      </c>
      <c r="H627" s="37">
        <v>0</v>
      </c>
      <c r="I627" s="37" t="s">
        <v>1679</v>
      </c>
      <c r="J627" s="37" t="s">
        <v>1680</v>
      </c>
      <c r="K627" s="57" t="s">
        <v>20</v>
      </c>
      <c r="L627" s="37" t="s">
        <v>888</v>
      </c>
      <c r="M627" s="37" t="s">
        <v>392</v>
      </c>
      <c r="N627" s="37" t="s">
        <v>330</v>
      </c>
      <c r="O627" s="29" t="s">
        <v>2</v>
      </c>
      <c r="P627" s="37">
        <v>4</v>
      </c>
      <c r="Q627" s="37" t="s">
        <v>1751</v>
      </c>
      <c r="R627" s="37" t="s">
        <v>1682</v>
      </c>
      <c r="S627" t="str">
        <f>IFERROR(HYPERLINK("#Main!A"&amp;MATCH(A627,Main!A:A,0),"Open"),HYPERLINK("#Main!A1","Open"))</f>
        <v>Open</v>
      </c>
      <c r="T627" t="str">
        <f>IFERROR(HYPERLINK("#Technical!A"&amp;MATCH(A627,Technical!A:A,0),"Open"),HYPERLINK("#Technical!A1","Open"))</f>
        <v>Open</v>
      </c>
    </row>
    <row r="628" spans="1:21" ht="30" customHeight="1" x14ac:dyDescent="0.25">
      <c r="A628" s="33" t="s">
        <v>585</v>
      </c>
      <c r="B628" s="28">
        <v>9075</v>
      </c>
      <c r="C628" s="55" t="s">
        <v>1087</v>
      </c>
      <c r="D628" s="28" t="s">
        <v>1253</v>
      </c>
      <c r="E628" s="47" t="s">
        <v>388</v>
      </c>
      <c r="F628" s="28" t="s">
        <v>1678</v>
      </c>
      <c r="G628" s="39">
        <v>37</v>
      </c>
      <c r="H628" s="28">
        <v>0</v>
      </c>
      <c r="I628" s="28" t="s">
        <v>1679</v>
      </c>
      <c r="J628" s="28" t="s">
        <v>1680</v>
      </c>
      <c r="K628" s="56" t="s">
        <v>20</v>
      </c>
      <c r="L628" s="28" t="s">
        <v>888</v>
      </c>
      <c r="M628" s="28" t="s">
        <v>392</v>
      </c>
      <c r="N628" s="28" t="s">
        <v>330</v>
      </c>
      <c r="O628" s="29" t="s">
        <v>2</v>
      </c>
      <c r="P628" s="28">
        <v>4</v>
      </c>
      <c r="Q628" s="28" t="s">
        <v>1752</v>
      </c>
      <c r="R628" s="28" t="s">
        <v>1682</v>
      </c>
      <c r="S628" s="34" t="str">
        <f>IFERROR(HYPERLINK("#Main!A"&amp;MATCH(A628,Main!A:A,0),"Open"),HYPERLINK("#Main!A1","Open"))</f>
        <v>Open</v>
      </c>
      <c r="T628" s="34" t="str">
        <f>IFERROR(HYPERLINK("#Technical!A"&amp;MATCH(A628,Technical!A:A,0),"Open"),HYPERLINK("#Technical!A1","Open"))</f>
        <v>Open</v>
      </c>
      <c r="U628" s="34"/>
    </row>
    <row r="629" spans="1:21" ht="30" customHeight="1" x14ac:dyDescent="0.25">
      <c r="A629" s="30" t="s">
        <v>588</v>
      </c>
      <c r="B629" s="37">
        <v>20001</v>
      </c>
      <c r="C629" s="55" t="s">
        <v>1089</v>
      </c>
      <c r="D629" s="37" t="s">
        <v>1253</v>
      </c>
      <c r="E629" s="47" t="s">
        <v>388</v>
      </c>
      <c r="F629" s="37" t="s">
        <v>1678</v>
      </c>
      <c r="G629" s="42">
        <v>37</v>
      </c>
      <c r="H629" s="37">
        <v>0</v>
      </c>
      <c r="I629" s="37" t="s">
        <v>1679</v>
      </c>
      <c r="J629" s="37" t="s">
        <v>1680</v>
      </c>
      <c r="K629" s="57" t="s">
        <v>20</v>
      </c>
      <c r="L629" s="37" t="s">
        <v>888</v>
      </c>
      <c r="M629" s="37" t="s">
        <v>392</v>
      </c>
      <c r="N629" s="37" t="s">
        <v>330</v>
      </c>
      <c r="O629" s="29" t="s">
        <v>2</v>
      </c>
      <c r="P629" s="37">
        <v>4</v>
      </c>
      <c r="Q629" s="37" t="s">
        <v>1753</v>
      </c>
      <c r="R629" s="37" t="s">
        <v>1682</v>
      </c>
      <c r="S629" t="str">
        <f>IFERROR(HYPERLINK("#Main!A"&amp;MATCH(A629,Main!A:A,0),"Open"),HYPERLINK("#Main!A1","Open"))</f>
        <v>Open</v>
      </c>
      <c r="T629" t="str">
        <f>IFERROR(HYPERLINK("#Technical!A"&amp;MATCH(A629,Technical!A:A,0),"Open"),HYPERLINK("#Technical!A1","Open"))</f>
        <v>Open</v>
      </c>
    </row>
    <row r="630" spans="1:21" ht="30" customHeight="1" x14ac:dyDescent="0.25">
      <c r="A630" s="33" t="s">
        <v>591</v>
      </c>
      <c r="B630" s="28">
        <v>19980</v>
      </c>
      <c r="C630" s="55" t="s">
        <v>1091</v>
      </c>
      <c r="D630" s="28" t="s">
        <v>1253</v>
      </c>
      <c r="E630" s="47" t="s">
        <v>388</v>
      </c>
      <c r="F630" s="28" t="s">
        <v>1678</v>
      </c>
      <c r="G630" s="39">
        <v>37</v>
      </c>
      <c r="H630" s="28">
        <v>0</v>
      </c>
      <c r="I630" s="28" t="s">
        <v>1679</v>
      </c>
      <c r="J630" s="28" t="s">
        <v>1680</v>
      </c>
      <c r="K630" s="56" t="s">
        <v>20</v>
      </c>
      <c r="L630" s="28" t="s">
        <v>888</v>
      </c>
      <c r="M630" s="28" t="s">
        <v>392</v>
      </c>
      <c r="N630" s="28" t="s">
        <v>330</v>
      </c>
      <c r="O630" s="29" t="s">
        <v>2</v>
      </c>
      <c r="P630" s="28">
        <v>4</v>
      </c>
      <c r="Q630" s="28" t="s">
        <v>1754</v>
      </c>
      <c r="R630" s="28" t="s">
        <v>1682</v>
      </c>
      <c r="S630" s="34" t="str">
        <f>IFERROR(HYPERLINK("#Main!A"&amp;MATCH(A630,Main!A:A,0),"Open"),HYPERLINK("#Main!A1","Open"))</f>
        <v>Open</v>
      </c>
      <c r="T630" s="34" t="str">
        <f>IFERROR(HYPERLINK("#Technical!A"&amp;MATCH(A630,Technical!A:A,0),"Open"),HYPERLINK("#Technical!A1","Open"))</f>
        <v>Open</v>
      </c>
      <c r="U630" s="34"/>
    </row>
    <row r="631" spans="1:21" ht="30" customHeight="1" x14ac:dyDescent="0.25">
      <c r="A631" s="30" t="s">
        <v>594</v>
      </c>
      <c r="B631" s="37">
        <v>10823</v>
      </c>
      <c r="C631" s="55" t="s">
        <v>1093</v>
      </c>
      <c r="D631" s="37" t="s">
        <v>1253</v>
      </c>
      <c r="E631" s="47" t="s">
        <v>388</v>
      </c>
      <c r="F631" s="37" t="s">
        <v>1678</v>
      </c>
      <c r="G631" s="42">
        <v>37</v>
      </c>
      <c r="H631" s="37">
        <v>0</v>
      </c>
      <c r="I631" s="37" t="s">
        <v>1679</v>
      </c>
      <c r="J631" s="37" t="s">
        <v>1680</v>
      </c>
      <c r="K631" s="57" t="s">
        <v>20</v>
      </c>
      <c r="L631" s="37" t="s">
        <v>888</v>
      </c>
      <c r="M631" s="37" t="s">
        <v>392</v>
      </c>
      <c r="N631" s="37" t="s">
        <v>330</v>
      </c>
      <c r="O631" s="29" t="s">
        <v>2</v>
      </c>
      <c r="P631" s="37">
        <v>4</v>
      </c>
      <c r="Q631" s="37" t="s">
        <v>1755</v>
      </c>
      <c r="R631" s="37" t="s">
        <v>1682</v>
      </c>
      <c r="S631" t="str">
        <f>IFERROR(HYPERLINK("#Main!A"&amp;MATCH(A631,Main!A:A,0),"Open"),HYPERLINK("#Main!A1","Open"))</f>
        <v>Open</v>
      </c>
      <c r="T631" t="str">
        <f>IFERROR(HYPERLINK("#Technical!A"&amp;MATCH(A631,Technical!A:A,0),"Open"),HYPERLINK("#Technical!A1","Open"))</f>
        <v>Open</v>
      </c>
    </row>
    <row r="632" spans="1:21" ht="30" customHeight="1" x14ac:dyDescent="0.25">
      <c r="A632" s="33" t="s">
        <v>597</v>
      </c>
      <c r="B632" s="28">
        <v>17908</v>
      </c>
      <c r="C632" s="55" t="s">
        <v>975</v>
      </c>
      <c r="D632" s="28" t="s">
        <v>1253</v>
      </c>
      <c r="E632" s="47" t="s">
        <v>388</v>
      </c>
      <c r="F632" s="28" t="s">
        <v>1678</v>
      </c>
      <c r="G632" s="39">
        <v>37</v>
      </c>
      <c r="H632" s="28">
        <v>0</v>
      </c>
      <c r="I632" s="28" t="s">
        <v>1679</v>
      </c>
      <c r="J632" s="28" t="s">
        <v>1680</v>
      </c>
      <c r="K632" s="56" t="s">
        <v>20</v>
      </c>
      <c r="L632" s="28" t="s">
        <v>888</v>
      </c>
      <c r="M632" s="28" t="s">
        <v>392</v>
      </c>
      <c r="N632" s="28" t="s">
        <v>330</v>
      </c>
      <c r="O632" s="29" t="s">
        <v>2</v>
      </c>
      <c r="P632" s="28">
        <v>4</v>
      </c>
      <c r="Q632" s="28" t="s">
        <v>1756</v>
      </c>
      <c r="R632" s="28" t="s">
        <v>1682</v>
      </c>
      <c r="S632" s="34" t="str">
        <f>IFERROR(HYPERLINK("#Main!A"&amp;MATCH(A632,Main!A:A,0),"Open"),HYPERLINK("#Main!A1","Open"))</f>
        <v>Open</v>
      </c>
      <c r="T632" s="34" t="str">
        <f>IFERROR(HYPERLINK("#Technical!A"&amp;MATCH(A632,Technical!A:A,0),"Open"),HYPERLINK("#Technical!A1","Open"))</f>
        <v>Open</v>
      </c>
      <c r="U632" s="34"/>
    </row>
    <row r="633" spans="1:21" ht="30" customHeight="1" x14ac:dyDescent="0.25">
      <c r="A633" s="30" t="s">
        <v>601</v>
      </c>
      <c r="B633" s="37">
        <v>24640</v>
      </c>
      <c r="C633" s="55" t="s">
        <v>1096</v>
      </c>
      <c r="D633" s="37" t="s">
        <v>1253</v>
      </c>
      <c r="E633" s="47" t="s">
        <v>388</v>
      </c>
      <c r="F633" s="37" t="s">
        <v>1678</v>
      </c>
      <c r="G633" s="42">
        <v>37</v>
      </c>
      <c r="H633" s="37">
        <v>0</v>
      </c>
      <c r="I633" s="37" t="s">
        <v>1679</v>
      </c>
      <c r="J633" s="37" t="s">
        <v>1680</v>
      </c>
      <c r="K633" s="57" t="s">
        <v>20</v>
      </c>
      <c r="L633" s="37" t="s">
        <v>888</v>
      </c>
      <c r="M633" s="37" t="s">
        <v>392</v>
      </c>
      <c r="N633" s="37" t="s">
        <v>330</v>
      </c>
      <c r="O633" s="29" t="s">
        <v>2</v>
      </c>
      <c r="P633" s="37">
        <v>4</v>
      </c>
      <c r="Q633" s="37" t="s">
        <v>1757</v>
      </c>
      <c r="R633" s="37" t="s">
        <v>1682</v>
      </c>
      <c r="S633" t="str">
        <f>IFERROR(HYPERLINK("#Main!A"&amp;MATCH(A633,Main!A:A,0),"Open"),HYPERLINK("#Main!A1","Open"))</f>
        <v>Open</v>
      </c>
      <c r="T633" t="str">
        <f>IFERROR(HYPERLINK("#Technical!A"&amp;MATCH(A633,Technical!A:A,0),"Open"),HYPERLINK("#Technical!A1","Open"))</f>
        <v>Open</v>
      </c>
    </row>
    <row r="634" spans="1:21" ht="30" customHeight="1" x14ac:dyDescent="0.25">
      <c r="A634" s="33" t="s">
        <v>604</v>
      </c>
      <c r="B634" s="28">
        <v>16472</v>
      </c>
      <c r="C634" s="55" t="s">
        <v>1098</v>
      </c>
      <c r="D634" s="28" t="s">
        <v>1253</v>
      </c>
      <c r="E634" s="47" t="s">
        <v>388</v>
      </c>
      <c r="F634" s="28" t="s">
        <v>1678</v>
      </c>
      <c r="G634" s="39">
        <v>37</v>
      </c>
      <c r="H634" s="28">
        <v>0</v>
      </c>
      <c r="I634" s="28" t="s">
        <v>1679</v>
      </c>
      <c r="J634" s="28" t="s">
        <v>1680</v>
      </c>
      <c r="K634" s="56" t="s">
        <v>20</v>
      </c>
      <c r="L634" s="28" t="s">
        <v>888</v>
      </c>
      <c r="M634" s="28" t="s">
        <v>392</v>
      </c>
      <c r="N634" s="28" t="s">
        <v>330</v>
      </c>
      <c r="O634" s="29" t="s">
        <v>2</v>
      </c>
      <c r="P634" s="28">
        <v>4</v>
      </c>
      <c r="Q634" s="28" t="s">
        <v>1758</v>
      </c>
      <c r="R634" s="28" t="s">
        <v>1682</v>
      </c>
      <c r="S634" s="34" t="str">
        <f>IFERROR(HYPERLINK("#Main!A"&amp;MATCH(A634,Main!A:A,0),"Open"),HYPERLINK("#Main!A1","Open"))</f>
        <v>Open</v>
      </c>
      <c r="T634" s="34" t="str">
        <f>IFERROR(HYPERLINK("#Technical!A"&amp;MATCH(A634,Technical!A:A,0),"Open"),HYPERLINK("#Technical!A1","Open"))</f>
        <v>Open</v>
      </c>
      <c r="U634" s="34"/>
    </row>
    <row r="635" spans="1:21" ht="30" customHeight="1" x14ac:dyDescent="0.25">
      <c r="A635" s="30" t="s">
        <v>608</v>
      </c>
      <c r="B635" s="37">
        <v>92</v>
      </c>
      <c r="C635" s="55" t="s">
        <v>1100</v>
      </c>
      <c r="D635" s="37" t="s">
        <v>1253</v>
      </c>
      <c r="E635" s="47" t="s">
        <v>388</v>
      </c>
      <c r="F635" s="37" t="s">
        <v>1673</v>
      </c>
      <c r="G635" s="42">
        <v>37</v>
      </c>
      <c r="H635" s="37">
        <v>2</v>
      </c>
      <c r="I635" s="37" t="s">
        <v>1674</v>
      </c>
      <c r="J635" s="37" t="s">
        <v>1675</v>
      </c>
      <c r="K635" s="57" t="s">
        <v>18</v>
      </c>
      <c r="L635" s="37" t="s">
        <v>876</v>
      </c>
      <c r="M635" s="37" t="s">
        <v>392</v>
      </c>
      <c r="N635" s="37" t="s">
        <v>330</v>
      </c>
      <c r="O635" s="29" t="s">
        <v>2</v>
      </c>
      <c r="P635" s="37">
        <v>4</v>
      </c>
      <c r="Q635" s="37" t="s">
        <v>1759</v>
      </c>
      <c r="R635" s="37" t="s">
        <v>1677</v>
      </c>
      <c r="S635" t="str">
        <f>IFERROR(HYPERLINK("#Main!A"&amp;MATCH(A635,Main!A:A,0),"Open"),HYPERLINK("#Main!A1","Open"))</f>
        <v>Open</v>
      </c>
      <c r="T635" t="str">
        <f>IFERROR(HYPERLINK("#Technical!A"&amp;MATCH(A635,Technical!A:A,0),"Open"),HYPERLINK("#Technical!A1","Open"))</f>
        <v>Open</v>
      </c>
    </row>
    <row r="636" spans="1:21" ht="30" customHeight="1" x14ac:dyDescent="0.25">
      <c r="A636" s="33" t="s">
        <v>608</v>
      </c>
      <c r="B636" s="28">
        <v>92</v>
      </c>
      <c r="C636" s="55" t="s">
        <v>1100</v>
      </c>
      <c r="D636" s="28" t="s">
        <v>1253</v>
      </c>
      <c r="E636" s="47" t="s">
        <v>388</v>
      </c>
      <c r="F636" s="28" t="s">
        <v>1678</v>
      </c>
      <c r="G636" s="39">
        <v>37</v>
      </c>
      <c r="H636" s="28">
        <v>0</v>
      </c>
      <c r="I636" s="28" t="s">
        <v>1679</v>
      </c>
      <c r="J636" s="28" t="s">
        <v>1680</v>
      </c>
      <c r="K636" s="56" t="s">
        <v>20</v>
      </c>
      <c r="L636" s="28" t="s">
        <v>888</v>
      </c>
      <c r="M636" s="28" t="s">
        <v>392</v>
      </c>
      <c r="N636" s="28" t="s">
        <v>330</v>
      </c>
      <c r="O636" s="29" t="s">
        <v>2</v>
      </c>
      <c r="P636" s="28">
        <v>4</v>
      </c>
      <c r="Q636" s="28" t="s">
        <v>1760</v>
      </c>
      <c r="R636" s="28" t="s">
        <v>1682</v>
      </c>
      <c r="S636" s="34" t="str">
        <f>IFERROR(HYPERLINK("#Main!A"&amp;MATCH(A636,Main!A:A,0),"Open"),HYPERLINK("#Main!A1","Open"))</f>
        <v>Open</v>
      </c>
      <c r="T636" s="34" t="str">
        <f>IFERROR(HYPERLINK("#Technical!A"&amp;MATCH(A636,Technical!A:A,0),"Open"),HYPERLINK("#Technical!A1","Open"))</f>
        <v>Open</v>
      </c>
      <c r="U636" s="34"/>
    </row>
    <row r="637" spans="1:21" ht="30" customHeight="1" x14ac:dyDescent="0.25">
      <c r="A637" s="30" t="s">
        <v>611</v>
      </c>
      <c r="B637" s="37">
        <v>18478</v>
      </c>
      <c r="C637" s="55" t="s">
        <v>1102</v>
      </c>
      <c r="D637" s="37" t="s">
        <v>1253</v>
      </c>
      <c r="E637" s="47" t="s">
        <v>388</v>
      </c>
      <c r="F637" s="37" t="s">
        <v>1678</v>
      </c>
      <c r="G637" s="42">
        <v>37</v>
      </c>
      <c r="H637" s="37">
        <v>0</v>
      </c>
      <c r="I637" s="37" t="s">
        <v>1679</v>
      </c>
      <c r="J637" s="37" t="s">
        <v>1680</v>
      </c>
      <c r="K637" s="57" t="s">
        <v>20</v>
      </c>
      <c r="L637" s="37" t="s">
        <v>888</v>
      </c>
      <c r="M637" s="37" t="s">
        <v>392</v>
      </c>
      <c r="N637" s="37" t="s">
        <v>330</v>
      </c>
      <c r="O637" s="29" t="s">
        <v>2</v>
      </c>
      <c r="P637" s="37">
        <v>4</v>
      </c>
      <c r="Q637" s="37" t="s">
        <v>1761</v>
      </c>
      <c r="R637" s="37" t="s">
        <v>1682</v>
      </c>
      <c r="S637" t="str">
        <f>IFERROR(HYPERLINK("#Main!A"&amp;MATCH(A637,Main!A:A,0),"Open"),HYPERLINK("#Main!A1","Open"))</f>
        <v>Open</v>
      </c>
      <c r="T637" t="str">
        <f>IFERROR(HYPERLINK("#Technical!A"&amp;MATCH(A637,Technical!A:A,0),"Open"),HYPERLINK("#Technical!A1","Open"))</f>
        <v>Open</v>
      </c>
    </row>
    <row r="638" spans="1:21" ht="30" customHeight="1" x14ac:dyDescent="0.25">
      <c r="A638" s="33" t="s">
        <v>615</v>
      </c>
      <c r="B638" s="28">
        <v>19172</v>
      </c>
      <c r="C638" s="55" t="s">
        <v>1104</v>
      </c>
      <c r="D638" s="28" t="s">
        <v>1253</v>
      </c>
      <c r="E638" s="47" t="s">
        <v>388</v>
      </c>
      <c r="F638" s="28" t="s">
        <v>1678</v>
      </c>
      <c r="G638" s="39">
        <v>37</v>
      </c>
      <c r="H638" s="28">
        <v>0</v>
      </c>
      <c r="I638" s="28" t="s">
        <v>1679</v>
      </c>
      <c r="J638" s="28" t="s">
        <v>1680</v>
      </c>
      <c r="K638" s="56" t="s">
        <v>20</v>
      </c>
      <c r="L638" s="28" t="s">
        <v>888</v>
      </c>
      <c r="M638" s="28" t="s">
        <v>392</v>
      </c>
      <c r="N638" s="28" t="s">
        <v>330</v>
      </c>
      <c r="O638" s="29" t="s">
        <v>2</v>
      </c>
      <c r="P638" s="28">
        <v>4</v>
      </c>
      <c r="Q638" s="28" t="s">
        <v>1762</v>
      </c>
      <c r="R638" s="28" t="s">
        <v>1682</v>
      </c>
      <c r="S638" s="34" t="str">
        <f>IFERROR(HYPERLINK("#Main!A"&amp;MATCH(A638,Main!A:A,0),"Open"),HYPERLINK("#Main!A1","Open"))</f>
        <v>Open</v>
      </c>
      <c r="T638" s="34" t="str">
        <f>IFERROR(HYPERLINK("#Technical!A"&amp;MATCH(A638,Technical!A:A,0),"Open"),HYPERLINK("#Technical!A1","Open"))</f>
        <v>Open</v>
      </c>
      <c r="U638" s="34"/>
    </row>
    <row r="639" spans="1:21" ht="30" customHeight="1" x14ac:dyDescent="0.25">
      <c r="A639" s="30" t="s">
        <v>618</v>
      </c>
      <c r="B639" s="37">
        <v>88</v>
      </c>
      <c r="C639" s="55" t="s">
        <v>1106</v>
      </c>
      <c r="D639" s="37" t="s">
        <v>1253</v>
      </c>
      <c r="E639" s="47" t="s">
        <v>388</v>
      </c>
      <c r="F639" s="37" t="s">
        <v>1678</v>
      </c>
      <c r="G639" s="42">
        <v>37</v>
      </c>
      <c r="H639" s="37">
        <v>0</v>
      </c>
      <c r="I639" s="37" t="s">
        <v>1679</v>
      </c>
      <c r="J639" s="37" t="s">
        <v>1680</v>
      </c>
      <c r="K639" s="57" t="s">
        <v>20</v>
      </c>
      <c r="L639" s="37" t="s">
        <v>888</v>
      </c>
      <c r="M639" s="37" t="s">
        <v>392</v>
      </c>
      <c r="N639" s="37" t="s">
        <v>330</v>
      </c>
      <c r="O639" s="29" t="s">
        <v>2</v>
      </c>
      <c r="P639" s="37">
        <v>4</v>
      </c>
      <c r="Q639" s="37" t="s">
        <v>1763</v>
      </c>
      <c r="R639" s="37" t="s">
        <v>1682</v>
      </c>
      <c r="S639" t="str">
        <f>IFERROR(HYPERLINK("#Main!A"&amp;MATCH(A639,Main!A:A,0),"Open"),HYPERLINK("#Main!A1","Open"))</f>
        <v>Open</v>
      </c>
      <c r="T639" t="str">
        <f>IFERROR(HYPERLINK("#Technical!A"&amp;MATCH(A639,Technical!A:A,0),"Open"),HYPERLINK("#Technical!A1","Open"))</f>
        <v>Open</v>
      </c>
    </row>
    <row r="640" spans="1:21" ht="30" customHeight="1" x14ac:dyDescent="0.25">
      <c r="A640" s="33" t="s">
        <v>621</v>
      </c>
      <c r="B640" s="28">
        <v>16548</v>
      </c>
      <c r="C640" s="55" t="s">
        <v>1108</v>
      </c>
      <c r="D640" s="28" t="s">
        <v>1253</v>
      </c>
      <c r="E640" s="47" t="s">
        <v>388</v>
      </c>
      <c r="F640" s="28" t="s">
        <v>1678</v>
      </c>
      <c r="G640" s="39">
        <v>37</v>
      </c>
      <c r="H640" s="28">
        <v>0</v>
      </c>
      <c r="I640" s="28" t="s">
        <v>1679</v>
      </c>
      <c r="J640" s="28" t="s">
        <v>1680</v>
      </c>
      <c r="K640" s="56" t="s">
        <v>20</v>
      </c>
      <c r="L640" s="28" t="s">
        <v>888</v>
      </c>
      <c r="M640" s="28" t="s">
        <v>392</v>
      </c>
      <c r="N640" s="28" t="s">
        <v>330</v>
      </c>
      <c r="O640" s="29" t="s">
        <v>2</v>
      </c>
      <c r="P640" s="28">
        <v>4</v>
      </c>
      <c r="Q640" s="28" t="s">
        <v>1764</v>
      </c>
      <c r="R640" s="28" t="s">
        <v>1682</v>
      </c>
      <c r="S640" s="34" t="str">
        <f>IFERROR(HYPERLINK("#Main!A"&amp;MATCH(A640,Main!A:A,0),"Open"),HYPERLINK("#Main!A1","Open"))</f>
        <v>Open</v>
      </c>
      <c r="T640" s="34" t="str">
        <f>IFERROR(HYPERLINK("#Technical!A"&amp;MATCH(A640,Technical!A:A,0),"Open"),HYPERLINK("#Technical!A1","Open"))</f>
        <v>Open</v>
      </c>
      <c r="U640" s="34"/>
    </row>
    <row r="641" spans="1:21" ht="30" customHeight="1" x14ac:dyDescent="0.25">
      <c r="A641" s="30" t="s">
        <v>624</v>
      </c>
      <c r="B641" s="37">
        <v>20341</v>
      </c>
      <c r="C641" s="55" t="s">
        <v>1110</v>
      </c>
      <c r="D641" s="37" t="s">
        <v>1253</v>
      </c>
      <c r="E641" s="47" t="s">
        <v>388</v>
      </c>
      <c r="F641" s="37" t="s">
        <v>1678</v>
      </c>
      <c r="G641" s="42">
        <v>37</v>
      </c>
      <c r="H641" s="37">
        <v>0</v>
      </c>
      <c r="I641" s="37" t="s">
        <v>1679</v>
      </c>
      <c r="J641" s="37" t="s">
        <v>1680</v>
      </c>
      <c r="K641" s="57" t="s">
        <v>20</v>
      </c>
      <c r="L641" s="37" t="s">
        <v>888</v>
      </c>
      <c r="M641" s="37" t="s">
        <v>392</v>
      </c>
      <c r="N641" s="37" t="s">
        <v>330</v>
      </c>
      <c r="O641" s="29" t="s">
        <v>2</v>
      </c>
      <c r="P641" s="37">
        <v>4</v>
      </c>
      <c r="Q641" s="37" t="s">
        <v>1765</v>
      </c>
      <c r="R641" s="37" t="s">
        <v>1682</v>
      </c>
      <c r="S641" t="str">
        <f>IFERROR(HYPERLINK("#Main!A"&amp;MATCH(A641,Main!A:A,0),"Open"),HYPERLINK("#Main!A1","Open"))</f>
        <v>Open</v>
      </c>
      <c r="T641" t="str">
        <f>IFERROR(HYPERLINK("#Technical!A"&amp;MATCH(A641,Technical!A:A,0),"Open"),HYPERLINK("#Technical!A1","Open"))</f>
        <v>Open</v>
      </c>
    </row>
    <row r="642" spans="1:21" ht="30" customHeight="1" x14ac:dyDescent="0.25">
      <c r="A642" s="33" t="s">
        <v>626</v>
      </c>
      <c r="B642" s="28">
        <v>31820</v>
      </c>
      <c r="C642" s="55" t="s">
        <v>1112</v>
      </c>
      <c r="D642" s="28" t="s">
        <v>1253</v>
      </c>
      <c r="E642" s="47" t="s">
        <v>388</v>
      </c>
      <c r="F642" s="28" t="s">
        <v>1678</v>
      </c>
      <c r="G642" s="39">
        <v>37</v>
      </c>
      <c r="H642" s="28">
        <v>0</v>
      </c>
      <c r="I642" s="28" t="s">
        <v>1679</v>
      </c>
      <c r="J642" s="28" t="s">
        <v>1680</v>
      </c>
      <c r="K642" s="56" t="s">
        <v>20</v>
      </c>
      <c r="L642" s="28" t="s">
        <v>888</v>
      </c>
      <c r="M642" s="28" t="s">
        <v>392</v>
      </c>
      <c r="N642" s="28" t="s">
        <v>330</v>
      </c>
      <c r="O642" s="29" t="s">
        <v>2</v>
      </c>
      <c r="P642" s="28">
        <v>4</v>
      </c>
      <c r="Q642" s="28" t="s">
        <v>1766</v>
      </c>
      <c r="R642" s="28" t="s">
        <v>1682</v>
      </c>
      <c r="S642" s="34" t="str">
        <f>IFERROR(HYPERLINK("#Main!A"&amp;MATCH(A642,Main!A:A,0),"Open"),HYPERLINK("#Main!A1","Open"))</f>
        <v>Open</v>
      </c>
      <c r="T642" s="34" t="str">
        <f>IFERROR(HYPERLINK("#Technical!A"&amp;MATCH(A642,Technical!A:A,0),"Open"),HYPERLINK("#Technical!A1","Open"))</f>
        <v>Open</v>
      </c>
      <c r="U642" s="34"/>
    </row>
    <row r="643" spans="1:21" ht="30" customHeight="1" x14ac:dyDescent="0.25">
      <c r="A643" s="30" t="s">
        <v>629</v>
      </c>
      <c r="B643" s="37">
        <v>5597</v>
      </c>
      <c r="C643" s="55" t="s">
        <v>1114</v>
      </c>
      <c r="D643" s="37" t="s">
        <v>1253</v>
      </c>
      <c r="E643" s="47" t="s">
        <v>388</v>
      </c>
      <c r="F643" s="37" t="s">
        <v>1678</v>
      </c>
      <c r="G643" s="42">
        <v>37</v>
      </c>
      <c r="H643" s="37">
        <v>0</v>
      </c>
      <c r="I643" s="37" t="s">
        <v>1679</v>
      </c>
      <c r="J643" s="37" t="s">
        <v>1680</v>
      </c>
      <c r="K643" s="57" t="s">
        <v>20</v>
      </c>
      <c r="L643" s="37" t="s">
        <v>888</v>
      </c>
      <c r="M643" s="37" t="s">
        <v>392</v>
      </c>
      <c r="N643" s="37" t="s">
        <v>330</v>
      </c>
      <c r="O643" s="29" t="s">
        <v>2</v>
      </c>
      <c r="P643" s="37">
        <v>4</v>
      </c>
      <c r="Q643" s="37" t="s">
        <v>1767</v>
      </c>
      <c r="R643" s="37" t="s">
        <v>1682</v>
      </c>
      <c r="S643" t="str">
        <f>IFERROR(HYPERLINK("#Main!A"&amp;MATCH(A643,Main!A:A,0),"Open"),HYPERLINK("#Main!A1","Open"))</f>
        <v>Open</v>
      </c>
      <c r="T643" t="str">
        <f>IFERROR(HYPERLINK("#Technical!A"&amp;MATCH(A643,Technical!A:A,0),"Open"),HYPERLINK("#Technical!A1","Open"))</f>
        <v>Open</v>
      </c>
    </row>
    <row r="644" spans="1:21" ht="30" customHeight="1" x14ac:dyDescent="0.25">
      <c r="A644" s="33" t="s">
        <v>632</v>
      </c>
      <c r="B644" s="28">
        <v>33050</v>
      </c>
      <c r="C644" s="55" t="s">
        <v>1116</v>
      </c>
      <c r="D644" s="28" t="s">
        <v>1253</v>
      </c>
      <c r="E644" s="47" t="s">
        <v>388</v>
      </c>
      <c r="F644" s="28" t="s">
        <v>1678</v>
      </c>
      <c r="G644" s="39">
        <v>37</v>
      </c>
      <c r="H644" s="28">
        <v>0</v>
      </c>
      <c r="I644" s="28" t="s">
        <v>1679</v>
      </c>
      <c r="J644" s="28" t="s">
        <v>1680</v>
      </c>
      <c r="K644" s="56" t="s">
        <v>20</v>
      </c>
      <c r="L644" s="28" t="s">
        <v>888</v>
      </c>
      <c r="M644" s="28" t="s">
        <v>392</v>
      </c>
      <c r="N644" s="28" t="s">
        <v>330</v>
      </c>
      <c r="O644" s="29" t="s">
        <v>2</v>
      </c>
      <c r="P644" s="28">
        <v>4</v>
      </c>
      <c r="Q644" s="28" t="s">
        <v>1768</v>
      </c>
      <c r="R644" s="28" t="s">
        <v>1682</v>
      </c>
      <c r="S644" s="34" t="str">
        <f>IFERROR(HYPERLINK("#Main!A"&amp;MATCH(A644,Main!A:A,0),"Open"),HYPERLINK("#Main!A1","Open"))</f>
        <v>Open</v>
      </c>
      <c r="T644" s="34" t="str">
        <f>IFERROR(HYPERLINK("#Technical!A"&amp;MATCH(A644,Technical!A:A,0),"Open"),HYPERLINK("#Technical!A1","Open"))</f>
        <v>Open</v>
      </c>
      <c r="U644" s="34"/>
    </row>
    <row r="645" spans="1:21" ht="30" customHeight="1" x14ac:dyDescent="0.25">
      <c r="A645" s="30" t="s">
        <v>635</v>
      </c>
      <c r="B645" s="37">
        <v>86</v>
      </c>
      <c r="C645" s="55" t="s">
        <v>1118</v>
      </c>
      <c r="D645" s="37" t="s">
        <v>1253</v>
      </c>
      <c r="E645" s="47" t="s">
        <v>388</v>
      </c>
      <c r="F645" s="37" t="s">
        <v>1678</v>
      </c>
      <c r="G645" s="42">
        <v>37</v>
      </c>
      <c r="H645" s="37">
        <v>0</v>
      </c>
      <c r="I645" s="37" t="s">
        <v>1679</v>
      </c>
      <c r="J645" s="37" t="s">
        <v>1680</v>
      </c>
      <c r="K645" s="57" t="s">
        <v>20</v>
      </c>
      <c r="L645" s="37" t="s">
        <v>888</v>
      </c>
      <c r="M645" s="37" t="s">
        <v>392</v>
      </c>
      <c r="N645" s="37" t="s">
        <v>330</v>
      </c>
      <c r="O645" s="29" t="s">
        <v>2</v>
      </c>
      <c r="P645" s="37">
        <v>4</v>
      </c>
      <c r="Q645" s="37" t="s">
        <v>1769</v>
      </c>
      <c r="R645" s="37" t="s">
        <v>1682</v>
      </c>
      <c r="S645" t="str">
        <f>IFERROR(HYPERLINK("#Main!A"&amp;MATCH(A645,Main!A:A,0),"Open"),HYPERLINK("#Main!A1","Open"))</f>
        <v>Open</v>
      </c>
      <c r="T645" t="str">
        <f>IFERROR(HYPERLINK("#Technical!A"&amp;MATCH(A645,Technical!A:A,0),"Open"),HYPERLINK("#Technical!A1","Open"))</f>
        <v>Open</v>
      </c>
    </row>
    <row r="646" spans="1:21" ht="30" customHeight="1" x14ac:dyDescent="0.25">
      <c r="A646" s="33" t="s">
        <v>638</v>
      </c>
      <c r="B646" s="28">
        <v>2196</v>
      </c>
      <c r="C646" s="55" t="s">
        <v>1120</v>
      </c>
      <c r="D646" s="28" t="s">
        <v>1253</v>
      </c>
      <c r="E646" s="47" t="s">
        <v>388</v>
      </c>
      <c r="F646" s="28" t="s">
        <v>1678</v>
      </c>
      <c r="G646" s="39">
        <v>37</v>
      </c>
      <c r="H646" s="28">
        <v>0</v>
      </c>
      <c r="I646" s="28" t="s">
        <v>1679</v>
      </c>
      <c r="J646" s="28" t="s">
        <v>1680</v>
      </c>
      <c r="K646" s="56" t="s">
        <v>20</v>
      </c>
      <c r="L646" s="28" t="s">
        <v>888</v>
      </c>
      <c r="M646" s="28" t="s">
        <v>392</v>
      </c>
      <c r="N646" s="28" t="s">
        <v>330</v>
      </c>
      <c r="O646" s="29" t="s">
        <v>2</v>
      </c>
      <c r="P646" s="28">
        <v>4</v>
      </c>
      <c r="Q646" s="28" t="s">
        <v>1770</v>
      </c>
      <c r="R646" s="28" t="s">
        <v>1682</v>
      </c>
      <c r="S646" s="34" t="str">
        <f>IFERROR(HYPERLINK("#Main!A"&amp;MATCH(A646,Main!A:A,0),"Open"),HYPERLINK("#Main!A1","Open"))</f>
        <v>Open</v>
      </c>
      <c r="T646" s="34" t="str">
        <f>IFERROR(HYPERLINK("#Technical!A"&amp;MATCH(A646,Technical!A:A,0),"Open"),HYPERLINK("#Technical!A1","Open"))</f>
        <v>Open</v>
      </c>
      <c r="U646" s="34"/>
    </row>
    <row r="647" spans="1:21" ht="30" customHeight="1" x14ac:dyDescent="0.25">
      <c r="A647" s="30" t="s">
        <v>641</v>
      </c>
      <c r="B647" s="37">
        <v>3</v>
      </c>
      <c r="C647" s="55" t="s">
        <v>1122</v>
      </c>
      <c r="D647" s="37" t="s">
        <v>1253</v>
      </c>
      <c r="E647" s="47" t="s">
        <v>388</v>
      </c>
      <c r="F647" s="37" t="s">
        <v>1673</v>
      </c>
      <c r="G647" s="42">
        <v>37</v>
      </c>
      <c r="H647" s="37">
        <v>2</v>
      </c>
      <c r="I647" s="37" t="s">
        <v>1674</v>
      </c>
      <c r="J647" s="37" t="s">
        <v>1675</v>
      </c>
      <c r="K647" s="57" t="s">
        <v>18</v>
      </c>
      <c r="L647" s="37" t="s">
        <v>876</v>
      </c>
      <c r="M647" s="37" t="s">
        <v>392</v>
      </c>
      <c r="N647" s="37" t="s">
        <v>330</v>
      </c>
      <c r="O647" s="29" t="s">
        <v>2</v>
      </c>
      <c r="P647" s="37">
        <v>4</v>
      </c>
      <c r="Q647" s="37" t="s">
        <v>1771</v>
      </c>
      <c r="R647" s="37" t="s">
        <v>1677</v>
      </c>
      <c r="S647" t="str">
        <f>IFERROR(HYPERLINK("#Main!A"&amp;MATCH(A647,Main!A:A,0),"Open"),HYPERLINK("#Main!A1","Open"))</f>
        <v>Open</v>
      </c>
      <c r="T647" t="str">
        <f>IFERROR(HYPERLINK("#Technical!A"&amp;MATCH(A647,Technical!A:A,0),"Open"),HYPERLINK("#Technical!A1","Open"))</f>
        <v>Open</v>
      </c>
    </row>
    <row r="648" spans="1:21" ht="30" customHeight="1" x14ac:dyDescent="0.25">
      <c r="A648" s="33" t="s">
        <v>641</v>
      </c>
      <c r="B648" s="28">
        <v>3</v>
      </c>
      <c r="C648" s="55" t="s">
        <v>1122</v>
      </c>
      <c r="D648" s="28" t="s">
        <v>1253</v>
      </c>
      <c r="E648" s="47" t="s">
        <v>388</v>
      </c>
      <c r="F648" s="28" t="s">
        <v>1678</v>
      </c>
      <c r="G648" s="39">
        <v>37</v>
      </c>
      <c r="H648" s="28">
        <v>0</v>
      </c>
      <c r="I648" s="28" t="s">
        <v>1679</v>
      </c>
      <c r="J648" s="28" t="s">
        <v>1680</v>
      </c>
      <c r="K648" s="56" t="s">
        <v>20</v>
      </c>
      <c r="L648" s="28" t="s">
        <v>888</v>
      </c>
      <c r="M648" s="28" t="s">
        <v>392</v>
      </c>
      <c r="N648" s="28" t="s">
        <v>330</v>
      </c>
      <c r="O648" s="29" t="s">
        <v>2</v>
      </c>
      <c r="P648" s="28">
        <v>4</v>
      </c>
      <c r="Q648" s="28" t="s">
        <v>1772</v>
      </c>
      <c r="R648" s="28" t="s">
        <v>1682</v>
      </c>
      <c r="S648" s="34" t="str">
        <f>IFERROR(HYPERLINK("#Main!A"&amp;MATCH(A648,Main!A:A,0),"Open"),HYPERLINK("#Main!A1","Open"))</f>
        <v>Open</v>
      </c>
      <c r="T648" s="34" t="str">
        <f>IFERROR(HYPERLINK("#Technical!A"&amp;MATCH(A648,Technical!A:A,0),"Open"),HYPERLINK("#Technical!A1","Open"))</f>
        <v>Open</v>
      </c>
      <c r="U648" s="34"/>
    </row>
    <row r="649" spans="1:21" ht="30" customHeight="1" x14ac:dyDescent="0.25">
      <c r="A649" s="30" t="s">
        <v>644</v>
      </c>
      <c r="B649" s="37">
        <v>9047</v>
      </c>
      <c r="C649" s="55" t="s">
        <v>1124</v>
      </c>
      <c r="D649" s="37" t="s">
        <v>1253</v>
      </c>
      <c r="E649" s="47" t="s">
        <v>388</v>
      </c>
      <c r="F649" s="37" t="s">
        <v>1678</v>
      </c>
      <c r="G649" s="42">
        <v>37</v>
      </c>
      <c r="H649" s="37">
        <v>0</v>
      </c>
      <c r="I649" s="37" t="s">
        <v>1679</v>
      </c>
      <c r="J649" s="37" t="s">
        <v>1680</v>
      </c>
      <c r="K649" s="57" t="s">
        <v>20</v>
      </c>
      <c r="L649" s="37" t="s">
        <v>888</v>
      </c>
      <c r="M649" s="37" t="s">
        <v>392</v>
      </c>
      <c r="N649" s="37" t="s">
        <v>330</v>
      </c>
      <c r="O649" s="29" t="s">
        <v>2</v>
      </c>
      <c r="P649" s="37">
        <v>4</v>
      </c>
      <c r="Q649" s="37" t="s">
        <v>1773</v>
      </c>
      <c r="R649" s="37" t="s">
        <v>1682</v>
      </c>
      <c r="S649" t="str">
        <f>IFERROR(HYPERLINK("#Main!A"&amp;MATCH(A649,Main!A:A,0),"Open"),HYPERLINK("#Main!A1","Open"))</f>
        <v>Open</v>
      </c>
      <c r="T649" t="str">
        <f>IFERROR(HYPERLINK("#Technical!A"&amp;MATCH(A649,Technical!A:A,0),"Open"),HYPERLINK("#Technical!A1","Open"))</f>
        <v>Open</v>
      </c>
    </row>
    <row r="650" spans="1:21" ht="30" customHeight="1" x14ac:dyDescent="0.25">
      <c r="A650" s="33" t="s">
        <v>647</v>
      </c>
      <c r="B650" s="28">
        <v>3686</v>
      </c>
      <c r="C650" s="55" t="s">
        <v>1126</v>
      </c>
      <c r="D650" s="28" t="s">
        <v>1253</v>
      </c>
      <c r="E650" s="47" t="s">
        <v>388</v>
      </c>
      <c r="F650" s="28" t="s">
        <v>1678</v>
      </c>
      <c r="G650" s="39">
        <v>37</v>
      </c>
      <c r="H650" s="28">
        <v>0</v>
      </c>
      <c r="I650" s="28" t="s">
        <v>1679</v>
      </c>
      <c r="J650" s="28" t="s">
        <v>1680</v>
      </c>
      <c r="K650" s="56" t="s">
        <v>20</v>
      </c>
      <c r="L650" s="28" t="s">
        <v>888</v>
      </c>
      <c r="M650" s="28" t="s">
        <v>392</v>
      </c>
      <c r="N650" s="28" t="s">
        <v>330</v>
      </c>
      <c r="O650" s="29" t="s">
        <v>2</v>
      </c>
      <c r="P650" s="28">
        <v>4</v>
      </c>
      <c r="Q650" s="28" t="s">
        <v>1774</v>
      </c>
      <c r="R650" s="28" t="s">
        <v>1682</v>
      </c>
      <c r="S650" s="34" t="str">
        <f>IFERROR(HYPERLINK("#Main!A"&amp;MATCH(A650,Main!A:A,0),"Open"),HYPERLINK("#Main!A1","Open"))</f>
        <v>Open</v>
      </c>
      <c r="T650" s="34" t="str">
        <f>IFERROR(HYPERLINK("#Technical!A"&amp;MATCH(A650,Technical!A:A,0),"Open"),HYPERLINK("#Technical!A1","Open"))</f>
        <v>Open</v>
      </c>
      <c r="U650" s="34"/>
    </row>
    <row r="651" spans="1:21" ht="30" customHeight="1" x14ac:dyDescent="0.25">
      <c r="A651" s="30" t="s">
        <v>650</v>
      </c>
      <c r="B651" s="37">
        <v>3252</v>
      </c>
      <c r="C651" s="55" t="s">
        <v>1128</v>
      </c>
      <c r="D651" s="37" t="s">
        <v>1253</v>
      </c>
      <c r="E651" s="47" t="s">
        <v>388</v>
      </c>
      <c r="F651" s="37" t="s">
        <v>1678</v>
      </c>
      <c r="G651" s="42">
        <v>37</v>
      </c>
      <c r="H651" s="37">
        <v>0</v>
      </c>
      <c r="I651" s="37" t="s">
        <v>1679</v>
      </c>
      <c r="J651" s="37" t="s">
        <v>1680</v>
      </c>
      <c r="K651" s="57" t="s">
        <v>20</v>
      </c>
      <c r="L651" s="37" t="s">
        <v>888</v>
      </c>
      <c r="M651" s="37" t="s">
        <v>392</v>
      </c>
      <c r="N651" s="37" t="s">
        <v>330</v>
      </c>
      <c r="O651" s="29" t="s">
        <v>2</v>
      </c>
      <c r="P651" s="37">
        <v>4</v>
      </c>
      <c r="Q651" s="37" t="s">
        <v>1775</v>
      </c>
      <c r="R651" s="37" t="s">
        <v>1682</v>
      </c>
      <c r="S651" t="str">
        <f>IFERROR(HYPERLINK("#Main!A"&amp;MATCH(A651,Main!A:A,0),"Open"),HYPERLINK("#Main!A1","Open"))</f>
        <v>Open</v>
      </c>
      <c r="T651" t="str">
        <f>IFERROR(HYPERLINK("#Technical!A"&amp;MATCH(A651,Technical!A:A,0),"Open"),HYPERLINK("#Technical!A1","Open"))</f>
        <v>Open</v>
      </c>
    </row>
    <row r="652" spans="1:21" ht="30" customHeight="1" x14ac:dyDescent="0.25">
      <c r="A652" s="33" t="s">
        <v>652</v>
      </c>
      <c r="B652" s="28">
        <v>21962</v>
      </c>
      <c r="C652" s="55" t="s">
        <v>1130</v>
      </c>
      <c r="D652" s="28" t="s">
        <v>1253</v>
      </c>
      <c r="E652" s="47" t="s">
        <v>388</v>
      </c>
      <c r="F652" s="28" t="s">
        <v>1673</v>
      </c>
      <c r="G652" s="39">
        <v>37</v>
      </c>
      <c r="H652" s="28">
        <v>9</v>
      </c>
      <c r="I652" s="28" t="s">
        <v>1674</v>
      </c>
      <c r="J652" s="28" t="s">
        <v>1675</v>
      </c>
      <c r="K652" s="56" t="s">
        <v>18</v>
      </c>
      <c r="L652" s="28" t="s">
        <v>876</v>
      </c>
      <c r="M652" s="28" t="s">
        <v>392</v>
      </c>
      <c r="N652" s="28" t="s">
        <v>330</v>
      </c>
      <c r="O652" s="29" t="s">
        <v>2</v>
      </c>
      <c r="P652" s="28">
        <v>4</v>
      </c>
      <c r="Q652" s="28" t="s">
        <v>1776</v>
      </c>
      <c r="R652" s="28" t="s">
        <v>1677</v>
      </c>
      <c r="S652" s="34" t="str">
        <f>IFERROR(HYPERLINK("#Main!A"&amp;MATCH(A652,Main!A:A,0),"Open"),HYPERLINK("#Main!A1","Open"))</f>
        <v>Open</v>
      </c>
      <c r="T652" s="34" t="str">
        <f>IFERROR(HYPERLINK("#Technical!A"&amp;MATCH(A652,Technical!A:A,0),"Open"),HYPERLINK("#Technical!A1","Open"))</f>
        <v>Open</v>
      </c>
      <c r="U652" s="34"/>
    </row>
    <row r="653" spans="1:21" ht="30" customHeight="1" x14ac:dyDescent="0.25">
      <c r="A653" s="30" t="s">
        <v>652</v>
      </c>
      <c r="B653" s="37">
        <v>21962</v>
      </c>
      <c r="C653" s="55" t="s">
        <v>1130</v>
      </c>
      <c r="D653" s="37" t="s">
        <v>1253</v>
      </c>
      <c r="E653" s="47" t="s">
        <v>388</v>
      </c>
      <c r="F653" s="37" t="s">
        <v>1678</v>
      </c>
      <c r="G653" s="42">
        <v>37</v>
      </c>
      <c r="H653" s="37">
        <v>0</v>
      </c>
      <c r="I653" s="37" t="s">
        <v>1679</v>
      </c>
      <c r="J653" s="37" t="s">
        <v>1680</v>
      </c>
      <c r="K653" s="57" t="s">
        <v>20</v>
      </c>
      <c r="L653" s="37" t="s">
        <v>888</v>
      </c>
      <c r="M653" s="37" t="s">
        <v>392</v>
      </c>
      <c r="N653" s="37" t="s">
        <v>330</v>
      </c>
      <c r="O653" s="29" t="s">
        <v>2</v>
      </c>
      <c r="P653" s="37">
        <v>4</v>
      </c>
      <c r="Q653" s="37" t="s">
        <v>1777</v>
      </c>
      <c r="R653" s="37" t="s">
        <v>1682</v>
      </c>
      <c r="S653" t="str">
        <f>IFERROR(HYPERLINK("#Main!A"&amp;MATCH(A653,Main!A:A,0),"Open"),HYPERLINK("#Main!A1","Open"))</f>
        <v>Open</v>
      </c>
      <c r="T653" t="str">
        <f>IFERROR(HYPERLINK("#Technical!A"&amp;MATCH(A653,Technical!A:A,0),"Open"),HYPERLINK("#Technical!A1","Open"))</f>
        <v>Open</v>
      </c>
    </row>
    <row r="654" spans="1:21" ht="30" customHeight="1" x14ac:dyDescent="0.25">
      <c r="A654" s="33" t="s">
        <v>655</v>
      </c>
      <c r="B654" s="28">
        <v>3634</v>
      </c>
      <c r="C654" s="55" t="s">
        <v>1132</v>
      </c>
      <c r="D654" s="28" t="s">
        <v>1253</v>
      </c>
      <c r="E654" s="47" t="s">
        <v>388</v>
      </c>
      <c r="F654" s="28" t="s">
        <v>1678</v>
      </c>
      <c r="G654" s="39">
        <v>37</v>
      </c>
      <c r="H654" s="28">
        <v>0</v>
      </c>
      <c r="I654" s="28" t="s">
        <v>1679</v>
      </c>
      <c r="J654" s="28" t="s">
        <v>1680</v>
      </c>
      <c r="K654" s="56" t="s">
        <v>20</v>
      </c>
      <c r="L654" s="28" t="s">
        <v>888</v>
      </c>
      <c r="M654" s="28" t="s">
        <v>392</v>
      </c>
      <c r="N654" s="28" t="s">
        <v>330</v>
      </c>
      <c r="O654" s="29" t="s">
        <v>2</v>
      </c>
      <c r="P654" s="28">
        <v>4</v>
      </c>
      <c r="Q654" s="28" t="s">
        <v>1778</v>
      </c>
      <c r="R654" s="28" t="s">
        <v>1682</v>
      </c>
      <c r="S654" s="34" t="str">
        <f>IFERROR(HYPERLINK("#Main!A"&amp;MATCH(A654,Main!A:A,0),"Open"),HYPERLINK("#Main!A1","Open"))</f>
        <v>Open</v>
      </c>
      <c r="T654" s="34" t="str">
        <f>IFERROR(HYPERLINK("#Technical!A"&amp;MATCH(A654,Technical!A:A,0),"Open"),HYPERLINK("#Technical!A1","Open"))</f>
        <v>Open</v>
      </c>
      <c r="U654" s="34"/>
    </row>
    <row r="655" spans="1:21" ht="30" customHeight="1" x14ac:dyDescent="0.25">
      <c r="A655" s="30" t="s">
        <v>658</v>
      </c>
      <c r="B655" s="37">
        <v>7781</v>
      </c>
      <c r="C655" s="55" t="s">
        <v>1134</v>
      </c>
      <c r="D655" s="37" t="s">
        <v>1253</v>
      </c>
      <c r="E655" s="47" t="s">
        <v>388</v>
      </c>
      <c r="F655" s="37" t="s">
        <v>1678</v>
      </c>
      <c r="G655" s="42">
        <v>37</v>
      </c>
      <c r="H655" s="37">
        <v>0</v>
      </c>
      <c r="I655" s="37" t="s">
        <v>1679</v>
      </c>
      <c r="J655" s="37" t="s">
        <v>1680</v>
      </c>
      <c r="K655" s="57" t="s">
        <v>20</v>
      </c>
      <c r="L655" s="37" t="s">
        <v>888</v>
      </c>
      <c r="M655" s="37" t="s">
        <v>392</v>
      </c>
      <c r="N655" s="37" t="s">
        <v>330</v>
      </c>
      <c r="O655" s="29" t="s">
        <v>2</v>
      </c>
      <c r="P655" s="37">
        <v>4</v>
      </c>
      <c r="Q655" s="37" t="s">
        <v>1779</v>
      </c>
      <c r="R655" s="37" t="s">
        <v>1682</v>
      </c>
      <c r="S655" t="str">
        <f>IFERROR(HYPERLINK("#Main!A"&amp;MATCH(A655,Main!A:A,0),"Open"),HYPERLINK("#Main!A1","Open"))</f>
        <v>Open</v>
      </c>
      <c r="T655" t="str">
        <f>IFERROR(HYPERLINK("#Technical!A"&amp;MATCH(A655,Technical!A:A,0),"Open"),HYPERLINK("#Technical!A1","Open"))</f>
        <v>Open</v>
      </c>
    </row>
    <row r="656" spans="1:21" ht="30" customHeight="1" x14ac:dyDescent="0.25">
      <c r="A656" s="33" t="s">
        <v>661</v>
      </c>
      <c r="B656" s="28">
        <v>5490</v>
      </c>
      <c r="C656" s="55" t="s">
        <v>1136</v>
      </c>
      <c r="D656" s="28" t="s">
        <v>1253</v>
      </c>
      <c r="E656" s="47" t="s">
        <v>388</v>
      </c>
      <c r="F656" s="28" t="s">
        <v>1678</v>
      </c>
      <c r="G656" s="39">
        <v>37</v>
      </c>
      <c r="H656" s="28">
        <v>0</v>
      </c>
      <c r="I656" s="28" t="s">
        <v>1679</v>
      </c>
      <c r="J656" s="28" t="s">
        <v>1680</v>
      </c>
      <c r="K656" s="56" t="s">
        <v>20</v>
      </c>
      <c r="L656" s="28" t="s">
        <v>888</v>
      </c>
      <c r="M656" s="28" t="s">
        <v>392</v>
      </c>
      <c r="N656" s="28" t="s">
        <v>330</v>
      </c>
      <c r="O656" s="29" t="s">
        <v>2</v>
      </c>
      <c r="P656" s="28">
        <v>4</v>
      </c>
      <c r="Q656" s="28" t="s">
        <v>1780</v>
      </c>
      <c r="R656" s="28" t="s">
        <v>1682</v>
      </c>
      <c r="S656" s="34" t="str">
        <f>IFERROR(HYPERLINK("#Main!A"&amp;MATCH(A656,Main!A:A,0),"Open"),HYPERLINK("#Main!A1","Open"))</f>
        <v>Open</v>
      </c>
      <c r="T656" s="34" t="str">
        <f>IFERROR(HYPERLINK("#Technical!A"&amp;MATCH(A656,Technical!A:A,0),"Open"),HYPERLINK("#Technical!A1","Open"))</f>
        <v>Open</v>
      </c>
      <c r="U656" s="34"/>
    </row>
    <row r="657" spans="1:21" ht="30" customHeight="1" x14ac:dyDescent="0.25">
      <c r="A657" s="30" t="s">
        <v>664</v>
      </c>
      <c r="B657" s="37">
        <v>27352</v>
      </c>
      <c r="C657" s="55" t="s">
        <v>1138</v>
      </c>
      <c r="D657" s="37" t="s">
        <v>1253</v>
      </c>
      <c r="E657" s="47" t="s">
        <v>388</v>
      </c>
      <c r="F657" s="37" t="s">
        <v>1694</v>
      </c>
      <c r="G657" s="42">
        <v>37</v>
      </c>
      <c r="H657" s="37">
        <v>38.35</v>
      </c>
      <c r="I657" s="37" t="s">
        <v>1695</v>
      </c>
      <c r="J657" s="37" t="s">
        <v>1696</v>
      </c>
      <c r="K657" s="57" t="s">
        <v>18</v>
      </c>
      <c r="L657" s="37" t="s">
        <v>873</v>
      </c>
      <c r="M657" s="37" t="s">
        <v>392</v>
      </c>
      <c r="N657" s="37" t="s">
        <v>330</v>
      </c>
      <c r="O657" s="29" t="s">
        <v>2</v>
      </c>
      <c r="P657" s="37">
        <v>4</v>
      </c>
      <c r="Q657" s="37" t="s">
        <v>1781</v>
      </c>
      <c r="R657" s="37" t="s">
        <v>1698</v>
      </c>
      <c r="S657" t="str">
        <f>IFERROR(HYPERLINK("#Main!A"&amp;MATCH(A657,Main!A:A,0),"Open"),HYPERLINK("#Main!A1","Open"))</f>
        <v>Open</v>
      </c>
      <c r="T657" t="str">
        <f>IFERROR(HYPERLINK("#Technical!A"&amp;MATCH(A657,Technical!A:A,0),"Open"),HYPERLINK("#Technical!A1","Open"))</f>
        <v>Open</v>
      </c>
    </row>
    <row r="658" spans="1:21" ht="30" customHeight="1" x14ac:dyDescent="0.25">
      <c r="A658" s="33" t="s">
        <v>664</v>
      </c>
      <c r="B658" s="28">
        <v>27352</v>
      </c>
      <c r="C658" s="55" t="s">
        <v>1138</v>
      </c>
      <c r="D658" s="28" t="s">
        <v>1253</v>
      </c>
      <c r="E658" s="47" t="s">
        <v>388</v>
      </c>
      <c r="F658" s="28" t="s">
        <v>1678</v>
      </c>
      <c r="G658" s="39">
        <v>37</v>
      </c>
      <c r="H658" s="28">
        <v>0</v>
      </c>
      <c r="I658" s="28" t="s">
        <v>1679</v>
      </c>
      <c r="J658" s="28" t="s">
        <v>1680</v>
      </c>
      <c r="K658" s="56" t="s">
        <v>20</v>
      </c>
      <c r="L658" s="28" t="s">
        <v>888</v>
      </c>
      <c r="M658" s="28" t="s">
        <v>392</v>
      </c>
      <c r="N658" s="28" t="s">
        <v>330</v>
      </c>
      <c r="O658" s="29" t="s">
        <v>2</v>
      </c>
      <c r="P658" s="28">
        <v>4</v>
      </c>
      <c r="Q658" s="28" t="s">
        <v>1782</v>
      </c>
      <c r="R658" s="28" t="s">
        <v>1682</v>
      </c>
      <c r="S658" s="34" t="str">
        <f>IFERROR(HYPERLINK("#Main!A"&amp;MATCH(A658,Main!A:A,0),"Open"),HYPERLINK("#Main!A1","Open"))</f>
        <v>Open</v>
      </c>
      <c r="T658" s="34" t="str">
        <f>IFERROR(HYPERLINK("#Technical!A"&amp;MATCH(A658,Technical!A:A,0),"Open"),HYPERLINK("#Technical!A1","Open"))</f>
        <v>Open</v>
      </c>
      <c r="U658" s="34"/>
    </row>
    <row r="659" spans="1:21" ht="30" customHeight="1" x14ac:dyDescent="0.25">
      <c r="A659" s="30" t="s">
        <v>667</v>
      </c>
      <c r="B659" s="37">
        <v>17195</v>
      </c>
      <c r="C659" s="55" t="s">
        <v>1140</v>
      </c>
      <c r="D659" s="37" t="s">
        <v>1253</v>
      </c>
      <c r="E659" s="47" t="s">
        <v>388</v>
      </c>
      <c r="F659" s="37" t="s">
        <v>1678</v>
      </c>
      <c r="G659" s="42">
        <v>37</v>
      </c>
      <c r="H659" s="37">
        <v>0</v>
      </c>
      <c r="I659" s="37" t="s">
        <v>1679</v>
      </c>
      <c r="J659" s="37" t="s">
        <v>1680</v>
      </c>
      <c r="K659" s="57" t="s">
        <v>20</v>
      </c>
      <c r="L659" s="37" t="s">
        <v>888</v>
      </c>
      <c r="M659" s="37" t="s">
        <v>392</v>
      </c>
      <c r="N659" s="37" t="s">
        <v>330</v>
      </c>
      <c r="O659" s="29" t="s">
        <v>2</v>
      </c>
      <c r="P659" s="37">
        <v>4</v>
      </c>
      <c r="Q659" s="37" t="s">
        <v>1783</v>
      </c>
      <c r="R659" s="37" t="s">
        <v>1682</v>
      </c>
      <c r="S659" t="str">
        <f>IFERROR(HYPERLINK("#Main!A"&amp;MATCH(A659,Main!A:A,0),"Open"),HYPERLINK("#Main!A1","Open"))</f>
        <v>Open</v>
      </c>
      <c r="T659" t="str">
        <f>IFERROR(HYPERLINK("#Technical!A"&amp;MATCH(A659,Technical!A:A,0),"Open"),HYPERLINK("#Technical!A1","Open"))</f>
        <v>Open</v>
      </c>
    </row>
    <row r="660" spans="1:21" ht="30" customHeight="1" x14ac:dyDescent="0.25">
      <c r="A660" s="33" t="s">
        <v>670</v>
      </c>
      <c r="B660" s="28">
        <v>21591</v>
      </c>
      <c r="C660" s="55" t="s">
        <v>1142</v>
      </c>
      <c r="D660" s="28" t="s">
        <v>1253</v>
      </c>
      <c r="E660" s="47" t="s">
        <v>388</v>
      </c>
      <c r="F660" s="28" t="s">
        <v>1678</v>
      </c>
      <c r="G660" s="39">
        <v>37</v>
      </c>
      <c r="H660" s="28">
        <v>0</v>
      </c>
      <c r="I660" s="28" t="s">
        <v>1679</v>
      </c>
      <c r="J660" s="28" t="s">
        <v>1680</v>
      </c>
      <c r="K660" s="56" t="s">
        <v>20</v>
      </c>
      <c r="L660" s="28" t="s">
        <v>888</v>
      </c>
      <c r="M660" s="28" t="s">
        <v>392</v>
      </c>
      <c r="N660" s="28" t="s">
        <v>330</v>
      </c>
      <c r="O660" s="29" t="s">
        <v>2</v>
      </c>
      <c r="P660" s="28">
        <v>4</v>
      </c>
      <c r="Q660" s="28" t="s">
        <v>1784</v>
      </c>
      <c r="R660" s="28" t="s">
        <v>1682</v>
      </c>
      <c r="S660" s="34" t="str">
        <f>IFERROR(HYPERLINK("#Main!A"&amp;MATCH(A660,Main!A:A,0),"Open"),HYPERLINK("#Main!A1","Open"))</f>
        <v>Open</v>
      </c>
      <c r="T660" s="34" t="str">
        <f>IFERROR(HYPERLINK("#Technical!A"&amp;MATCH(A660,Technical!A:A,0),"Open"),HYPERLINK("#Technical!A1","Open"))</f>
        <v>Open</v>
      </c>
      <c r="U660" s="34"/>
    </row>
    <row r="661" spans="1:21" ht="30" customHeight="1" x14ac:dyDescent="0.25">
      <c r="A661" s="30" t="s">
        <v>673</v>
      </c>
      <c r="B661" s="37">
        <v>7916</v>
      </c>
      <c r="C661" s="55" t="s">
        <v>1144</v>
      </c>
      <c r="D661" s="37" t="s">
        <v>1253</v>
      </c>
      <c r="E661" s="47" t="s">
        <v>388</v>
      </c>
      <c r="F661" s="37" t="s">
        <v>1678</v>
      </c>
      <c r="G661" s="42">
        <v>37</v>
      </c>
      <c r="H661" s="37">
        <v>0</v>
      </c>
      <c r="I661" s="37" t="s">
        <v>1679</v>
      </c>
      <c r="J661" s="37" t="s">
        <v>1680</v>
      </c>
      <c r="K661" s="57" t="s">
        <v>20</v>
      </c>
      <c r="L661" s="37" t="s">
        <v>888</v>
      </c>
      <c r="M661" s="37" t="s">
        <v>392</v>
      </c>
      <c r="N661" s="37" t="s">
        <v>330</v>
      </c>
      <c r="O661" s="29" t="s">
        <v>2</v>
      </c>
      <c r="P661" s="37">
        <v>4</v>
      </c>
      <c r="Q661" s="37" t="s">
        <v>1785</v>
      </c>
      <c r="R661" s="37" t="s">
        <v>1682</v>
      </c>
      <c r="S661" t="str">
        <f>IFERROR(HYPERLINK("#Main!A"&amp;MATCH(A661,Main!A:A,0),"Open"),HYPERLINK("#Main!A1","Open"))</f>
        <v>Open</v>
      </c>
      <c r="T661" t="str">
        <f>IFERROR(HYPERLINK("#Technical!A"&amp;MATCH(A661,Technical!A:A,0),"Open"),HYPERLINK("#Technical!A1","Open"))</f>
        <v>Open</v>
      </c>
    </row>
    <row r="662" spans="1:21" ht="30" customHeight="1" x14ac:dyDescent="0.25">
      <c r="A662" s="33" t="s">
        <v>677</v>
      </c>
      <c r="B662" s="28">
        <v>17000</v>
      </c>
      <c r="C662" s="55" t="s">
        <v>1146</v>
      </c>
      <c r="D662" s="28" t="s">
        <v>1253</v>
      </c>
      <c r="E662" s="47" t="s">
        <v>388</v>
      </c>
      <c r="F662" s="28" t="s">
        <v>1678</v>
      </c>
      <c r="G662" s="39">
        <v>37</v>
      </c>
      <c r="H662" s="28">
        <v>0</v>
      </c>
      <c r="I662" s="28" t="s">
        <v>1679</v>
      </c>
      <c r="J662" s="28" t="s">
        <v>1680</v>
      </c>
      <c r="K662" s="56" t="s">
        <v>20</v>
      </c>
      <c r="L662" s="28" t="s">
        <v>888</v>
      </c>
      <c r="M662" s="28" t="s">
        <v>392</v>
      </c>
      <c r="N662" s="28" t="s">
        <v>330</v>
      </c>
      <c r="O662" s="29" t="s">
        <v>2</v>
      </c>
      <c r="P662" s="28">
        <v>4</v>
      </c>
      <c r="Q662" s="28" t="s">
        <v>1786</v>
      </c>
      <c r="R662" s="28" t="s">
        <v>1682</v>
      </c>
      <c r="S662" s="34" t="str">
        <f>IFERROR(HYPERLINK("#Main!A"&amp;MATCH(A662,Main!A:A,0),"Open"),HYPERLINK("#Main!A1","Open"))</f>
        <v>Open</v>
      </c>
      <c r="T662" s="34" t="str">
        <f>IFERROR(HYPERLINK("#Technical!A"&amp;MATCH(A662,Technical!A:A,0),"Open"),HYPERLINK("#Technical!A1","Open"))</f>
        <v>Open</v>
      </c>
      <c r="U662" s="34"/>
    </row>
    <row r="663" spans="1:21" ht="30" customHeight="1" x14ac:dyDescent="0.25">
      <c r="A663" s="30" t="s">
        <v>680</v>
      </c>
      <c r="B663" s="37">
        <v>17196</v>
      </c>
      <c r="C663" s="55" t="s">
        <v>1148</v>
      </c>
      <c r="D663" s="37" t="s">
        <v>1253</v>
      </c>
      <c r="E663" s="47" t="s">
        <v>388</v>
      </c>
      <c r="F663" s="37" t="s">
        <v>1678</v>
      </c>
      <c r="G663" s="42">
        <v>37</v>
      </c>
      <c r="H663" s="37">
        <v>0</v>
      </c>
      <c r="I663" s="37" t="s">
        <v>1679</v>
      </c>
      <c r="J663" s="37" t="s">
        <v>1680</v>
      </c>
      <c r="K663" s="57" t="s">
        <v>20</v>
      </c>
      <c r="L663" s="37" t="s">
        <v>888</v>
      </c>
      <c r="M663" s="37" t="s">
        <v>392</v>
      </c>
      <c r="N663" s="37" t="s">
        <v>330</v>
      </c>
      <c r="O663" s="29" t="s">
        <v>2</v>
      </c>
      <c r="P663" s="37">
        <v>4</v>
      </c>
      <c r="Q663" s="37" t="s">
        <v>1787</v>
      </c>
      <c r="R663" s="37" t="s">
        <v>1682</v>
      </c>
      <c r="S663" t="str">
        <f>IFERROR(HYPERLINK("#Main!A"&amp;MATCH(A663,Main!A:A,0),"Open"),HYPERLINK("#Main!A1","Open"))</f>
        <v>Open</v>
      </c>
      <c r="T663" t="str">
        <f>IFERROR(HYPERLINK("#Technical!A"&amp;MATCH(A663,Technical!A:A,0),"Open"),HYPERLINK("#Technical!A1","Open"))</f>
        <v>Open</v>
      </c>
    </row>
    <row r="664" spans="1:21" ht="30" customHeight="1" x14ac:dyDescent="0.25">
      <c r="A664" s="33" t="s">
        <v>683</v>
      </c>
      <c r="B664" s="28">
        <v>4909</v>
      </c>
      <c r="C664" s="55" t="s">
        <v>1150</v>
      </c>
      <c r="D664" s="28" t="s">
        <v>1253</v>
      </c>
      <c r="E664" s="47" t="s">
        <v>388</v>
      </c>
      <c r="F664" s="28" t="s">
        <v>1678</v>
      </c>
      <c r="G664" s="39">
        <v>37</v>
      </c>
      <c r="H664" s="28">
        <v>0</v>
      </c>
      <c r="I664" s="28" t="s">
        <v>1679</v>
      </c>
      <c r="J664" s="28" t="s">
        <v>1680</v>
      </c>
      <c r="K664" s="56" t="s">
        <v>20</v>
      </c>
      <c r="L664" s="28" t="s">
        <v>888</v>
      </c>
      <c r="M664" s="28" t="s">
        <v>392</v>
      </c>
      <c r="N664" s="28" t="s">
        <v>330</v>
      </c>
      <c r="O664" s="29" t="s">
        <v>2</v>
      </c>
      <c r="P664" s="28">
        <v>4</v>
      </c>
      <c r="Q664" s="28" t="s">
        <v>1788</v>
      </c>
      <c r="R664" s="28" t="s">
        <v>1682</v>
      </c>
      <c r="S664" s="34" t="str">
        <f>IFERROR(HYPERLINK("#Main!A"&amp;MATCH(A664,Main!A:A,0),"Open"),HYPERLINK("#Main!A1","Open"))</f>
        <v>Open</v>
      </c>
      <c r="T664" s="34" t="str">
        <f>IFERROR(HYPERLINK("#Technical!A"&amp;MATCH(A664,Technical!A:A,0),"Open"),HYPERLINK("#Technical!A1","Open"))</f>
        <v>Open</v>
      </c>
      <c r="U664" s="34"/>
    </row>
    <row r="665" spans="1:21" ht="30" customHeight="1" x14ac:dyDescent="0.25">
      <c r="A665" s="30" t="s">
        <v>686</v>
      </c>
      <c r="B665" s="37">
        <v>5290</v>
      </c>
      <c r="C665" s="55" t="s">
        <v>1152</v>
      </c>
      <c r="D665" s="37" t="s">
        <v>1253</v>
      </c>
      <c r="E665" s="47" t="s">
        <v>388</v>
      </c>
      <c r="F665" s="37" t="s">
        <v>1678</v>
      </c>
      <c r="G665" s="42">
        <v>37</v>
      </c>
      <c r="H665" s="37">
        <v>0</v>
      </c>
      <c r="I665" s="37" t="s">
        <v>1679</v>
      </c>
      <c r="J665" s="37" t="s">
        <v>1680</v>
      </c>
      <c r="K665" s="57" t="s">
        <v>20</v>
      </c>
      <c r="L665" s="37" t="s">
        <v>888</v>
      </c>
      <c r="M665" s="37" t="s">
        <v>392</v>
      </c>
      <c r="N665" s="37" t="s">
        <v>330</v>
      </c>
      <c r="O665" s="29" t="s">
        <v>2</v>
      </c>
      <c r="P665" s="37">
        <v>4</v>
      </c>
      <c r="Q665" s="37" t="s">
        <v>1789</v>
      </c>
      <c r="R665" s="37" t="s">
        <v>1682</v>
      </c>
      <c r="S665" t="str">
        <f>IFERROR(HYPERLINK("#Main!A"&amp;MATCH(A665,Main!A:A,0),"Open"),HYPERLINK("#Main!A1","Open"))</f>
        <v>Open</v>
      </c>
      <c r="T665" t="str">
        <f>IFERROR(HYPERLINK("#Technical!A"&amp;MATCH(A665,Technical!A:A,0),"Open"),HYPERLINK("#Technical!A1","Open"))</f>
        <v>Open</v>
      </c>
    </row>
    <row r="666" spans="1:21" ht="45" customHeight="1" x14ac:dyDescent="0.25">
      <c r="A666" s="33" t="s">
        <v>127</v>
      </c>
      <c r="B666" s="28">
        <v>8</v>
      </c>
      <c r="C666" s="55" t="s">
        <v>988</v>
      </c>
      <c r="D666" s="28" t="s">
        <v>1407</v>
      </c>
      <c r="E666" s="47" t="s">
        <v>388</v>
      </c>
      <c r="F666" s="28" t="s">
        <v>1790</v>
      </c>
      <c r="G666" s="39">
        <v>37</v>
      </c>
      <c r="H666" s="28" t="b">
        <v>0</v>
      </c>
      <c r="I666" s="28" t="s">
        <v>1791</v>
      </c>
      <c r="J666" s="28" t="s">
        <v>1792</v>
      </c>
      <c r="K666" s="56" t="s">
        <v>20</v>
      </c>
      <c r="L666" s="28" t="s">
        <v>890</v>
      </c>
      <c r="M666" s="28" t="s">
        <v>392</v>
      </c>
      <c r="N666" s="28" t="s">
        <v>330</v>
      </c>
      <c r="O666" s="29" t="s">
        <v>2</v>
      </c>
      <c r="P666" s="28">
        <v>4</v>
      </c>
      <c r="Q666" s="28" t="s">
        <v>1793</v>
      </c>
      <c r="R666" s="28" t="s">
        <v>1794</v>
      </c>
      <c r="S666" s="34" t="str">
        <f>IFERROR(HYPERLINK("#Main!A"&amp;MATCH(A666,Main!A:A,0),"Open"),HYPERLINK("#Main!A1","Open"))</f>
        <v>Open</v>
      </c>
      <c r="T666" s="34" t="str">
        <f>IFERROR(HYPERLINK("#Technical!A"&amp;MATCH(A666,Technical!A:A,0),"Open"),HYPERLINK("#Technical!A1","Open"))</f>
        <v>Open</v>
      </c>
      <c r="U666" s="34"/>
    </row>
    <row r="667" spans="1:21" ht="45" customHeight="1" x14ac:dyDescent="0.25">
      <c r="A667" s="30" t="s">
        <v>135</v>
      </c>
      <c r="B667" s="37">
        <v>84</v>
      </c>
      <c r="C667" s="55" t="s">
        <v>992</v>
      </c>
      <c r="D667" s="37" t="s">
        <v>1407</v>
      </c>
      <c r="E667" s="47" t="s">
        <v>388</v>
      </c>
      <c r="F667" s="37" t="s">
        <v>1790</v>
      </c>
      <c r="G667" s="42">
        <v>37</v>
      </c>
      <c r="H667" s="37" t="b">
        <v>0</v>
      </c>
      <c r="I667" s="37" t="s">
        <v>1791</v>
      </c>
      <c r="J667" s="37" t="s">
        <v>1792</v>
      </c>
      <c r="K667" s="57" t="s">
        <v>20</v>
      </c>
      <c r="L667" s="37" t="s">
        <v>890</v>
      </c>
      <c r="M667" s="37" t="s">
        <v>392</v>
      </c>
      <c r="N667" s="37" t="s">
        <v>330</v>
      </c>
      <c r="O667" s="29" t="s">
        <v>2</v>
      </c>
      <c r="P667" s="37">
        <v>4</v>
      </c>
      <c r="Q667" s="37" t="s">
        <v>1795</v>
      </c>
      <c r="R667" s="37" t="s">
        <v>1794</v>
      </c>
      <c r="S667" t="str">
        <f>IFERROR(HYPERLINK("#Main!A"&amp;MATCH(A667,Main!A:A,0),"Open"),HYPERLINK("#Main!A1","Open"))</f>
        <v>Open</v>
      </c>
      <c r="T667" t="str">
        <f>IFERROR(HYPERLINK("#Technical!A"&amp;MATCH(A667,Technical!A:A,0),"Open"),HYPERLINK("#Technical!A1","Open"))</f>
        <v>Open</v>
      </c>
    </row>
    <row r="668" spans="1:21" ht="45" customHeight="1" x14ac:dyDescent="0.25">
      <c r="A668" s="33" t="s">
        <v>144</v>
      </c>
      <c r="B668" s="28">
        <v>28165</v>
      </c>
      <c r="C668" s="55" t="s">
        <v>994</v>
      </c>
      <c r="D668" s="28" t="s">
        <v>1407</v>
      </c>
      <c r="E668" s="47" t="s">
        <v>388</v>
      </c>
      <c r="F668" s="28" t="s">
        <v>1790</v>
      </c>
      <c r="G668" s="39">
        <v>37</v>
      </c>
      <c r="H668" s="28" t="b">
        <v>0</v>
      </c>
      <c r="I668" s="28" t="s">
        <v>1791</v>
      </c>
      <c r="J668" s="28" t="s">
        <v>1792</v>
      </c>
      <c r="K668" s="56" t="s">
        <v>20</v>
      </c>
      <c r="L668" s="28" t="s">
        <v>890</v>
      </c>
      <c r="M668" s="28" t="s">
        <v>392</v>
      </c>
      <c r="N668" s="28" t="s">
        <v>330</v>
      </c>
      <c r="O668" s="29" t="s">
        <v>2</v>
      </c>
      <c r="P668" s="28">
        <v>4</v>
      </c>
      <c r="Q668" s="28" t="s">
        <v>1796</v>
      </c>
      <c r="R668" s="28" t="s">
        <v>1794</v>
      </c>
      <c r="S668" s="34" t="str">
        <f>IFERROR(HYPERLINK("#Main!A"&amp;MATCH(A668,Main!A:A,0),"Open"),HYPERLINK("#Main!A1","Open"))</f>
        <v>Open</v>
      </c>
      <c r="T668" s="34" t="str">
        <f>IFERROR(HYPERLINK("#Technical!A"&amp;MATCH(A668,Technical!A:A,0),"Open"),HYPERLINK("#Technical!A1","Open"))</f>
        <v>Open</v>
      </c>
      <c r="U668" s="34"/>
    </row>
    <row r="669" spans="1:21" ht="45" customHeight="1" x14ac:dyDescent="0.25">
      <c r="A669" s="30" t="s">
        <v>152</v>
      </c>
      <c r="B669" s="37">
        <v>16125</v>
      </c>
      <c r="C669" s="55" t="s">
        <v>996</v>
      </c>
      <c r="D669" s="37" t="s">
        <v>1407</v>
      </c>
      <c r="E669" s="47" t="s">
        <v>388</v>
      </c>
      <c r="F669" s="37" t="s">
        <v>1790</v>
      </c>
      <c r="G669" s="42">
        <v>37</v>
      </c>
      <c r="H669" s="37" t="b">
        <v>0</v>
      </c>
      <c r="I669" s="37" t="s">
        <v>1791</v>
      </c>
      <c r="J669" s="37" t="s">
        <v>1792</v>
      </c>
      <c r="K669" s="57" t="s">
        <v>20</v>
      </c>
      <c r="L669" s="37" t="s">
        <v>890</v>
      </c>
      <c r="M669" s="37" t="s">
        <v>392</v>
      </c>
      <c r="N669" s="37" t="s">
        <v>330</v>
      </c>
      <c r="O669" s="29" t="s">
        <v>2</v>
      </c>
      <c r="P669" s="37">
        <v>4</v>
      </c>
      <c r="Q669" s="37" t="s">
        <v>1797</v>
      </c>
      <c r="R669" s="37" t="s">
        <v>1794</v>
      </c>
      <c r="S669" t="str">
        <f>IFERROR(HYPERLINK("#Main!A"&amp;MATCH(A669,Main!A:A,0),"Open"),HYPERLINK("#Main!A1","Open"))</f>
        <v>Open</v>
      </c>
      <c r="T669" t="str">
        <f>IFERROR(HYPERLINK("#Technical!A"&amp;MATCH(A669,Technical!A:A,0),"Open"),HYPERLINK("#Technical!A1","Open"))</f>
        <v>Open</v>
      </c>
    </row>
    <row r="670" spans="1:21" ht="45" customHeight="1" x14ac:dyDescent="0.25">
      <c r="A670" s="33" t="s">
        <v>161</v>
      </c>
      <c r="B670" s="28">
        <v>4494</v>
      </c>
      <c r="C670" s="55" t="s">
        <v>998</v>
      </c>
      <c r="D670" s="28" t="s">
        <v>1407</v>
      </c>
      <c r="E670" s="47" t="s">
        <v>388</v>
      </c>
      <c r="F670" s="28" t="s">
        <v>1790</v>
      </c>
      <c r="G670" s="39">
        <v>37</v>
      </c>
      <c r="H670" s="28" t="b">
        <v>0</v>
      </c>
      <c r="I670" s="28" t="s">
        <v>1791</v>
      </c>
      <c r="J670" s="28" t="s">
        <v>1792</v>
      </c>
      <c r="K670" s="56" t="s">
        <v>20</v>
      </c>
      <c r="L670" s="28" t="s">
        <v>890</v>
      </c>
      <c r="M670" s="28" t="s">
        <v>392</v>
      </c>
      <c r="N670" s="28" t="s">
        <v>330</v>
      </c>
      <c r="O670" s="29" t="s">
        <v>2</v>
      </c>
      <c r="P670" s="28">
        <v>4</v>
      </c>
      <c r="Q670" s="28" t="s">
        <v>1798</v>
      </c>
      <c r="R670" s="28" t="s">
        <v>1794</v>
      </c>
      <c r="S670" s="34" t="str">
        <f>IFERROR(HYPERLINK("#Main!A"&amp;MATCH(A670,Main!A:A,0),"Open"),HYPERLINK("#Main!A1","Open"))</f>
        <v>Open</v>
      </c>
      <c r="T670" s="34" t="str">
        <f>IFERROR(HYPERLINK("#Technical!A"&amp;MATCH(A670,Technical!A:A,0),"Open"),HYPERLINK("#Technical!A1","Open"))</f>
        <v>Open</v>
      </c>
      <c r="U670" s="34"/>
    </row>
    <row r="671" spans="1:21" ht="45" customHeight="1" x14ac:dyDescent="0.25">
      <c r="A671" s="30" t="s">
        <v>169</v>
      </c>
      <c r="B671" s="37">
        <v>5619</v>
      </c>
      <c r="C671" s="55" t="s">
        <v>1000</v>
      </c>
      <c r="D671" s="37" t="s">
        <v>1407</v>
      </c>
      <c r="E671" s="47" t="s">
        <v>388</v>
      </c>
      <c r="F671" s="37" t="s">
        <v>1790</v>
      </c>
      <c r="G671" s="42">
        <v>37</v>
      </c>
      <c r="H671" s="37" t="b">
        <v>0</v>
      </c>
      <c r="I671" s="37" t="s">
        <v>1791</v>
      </c>
      <c r="J671" s="37" t="s">
        <v>1792</v>
      </c>
      <c r="K671" s="57" t="s">
        <v>20</v>
      </c>
      <c r="L671" s="37" t="s">
        <v>890</v>
      </c>
      <c r="M671" s="37" t="s">
        <v>392</v>
      </c>
      <c r="N671" s="37" t="s">
        <v>330</v>
      </c>
      <c r="O671" s="29" t="s">
        <v>2</v>
      </c>
      <c r="P671" s="37">
        <v>4</v>
      </c>
      <c r="Q671" s="37" t="s">
        <v>1799</v>
      </c>
      <c r="R671" s="37" t="s">
        <v>1794</v>
      </c>
      <c r="S671" t="str">
        <f>IFERROR(HYPERLINK("#Main!A"&amp;MATCH(A671,Main!A:A,0),"Open"),HYPERLINK("#Main!A1","Open"))</f>
        <v>Open</v>
      </c>
      <c r="T671" t="str">
        <f>IFERROR(HYPERLINK("#Technical!A"&amp;MATCH(A671,Technical!A:A,0),"Open"),HYPERLINK("#Technical!A1","Open"))</f>
        <v>Open</v>
      </c>
    </row>
    <row r="672" spans="1:21" ht="45" customHeight="1" x14ac:dyDescent="0.25">
      <c r="A672" s="33" t="s">
        <v>177</v>
      </c>
      <c r="B672" s="28">
        <v>4941</v>
      </c>
      <c r="C672" s="55" t="s">
        <v>1002</v>
      </c>
      <c r="D672" s="28" t="s">
        <v>1407</v>
      </c>
      <c r="E672" s="47" t="s">
        <v>388</v>
      </c>
      <c r="F672" s="28" t="s">
        <v>1790</v>
      </c>
      <c r="G672" s="39">
        <v>37</v>
      </c>
      <c r="H672" s="28" t="b">
        <v>0</v>
      </c>
      <c r="I672" s="28" t="s">
        <v>1791</v>
      </c>
      <c r="J672" s="28" t="s">
        <v>1792</v>
      </c>
      <c r="K672" s="56" t="s">
        <v>20</v>
      </c>
      <c r="L672" s="28" t="s">
        <v>890</v>
      </c>
      <c r="M672" s="28" t="s">
        <v>392</v>
      </c>
      <c r="N672" s="28" t="s">
        <v>330</v>
      </c>
      <c r="O672" s="29" t="s">
        <v>2</v>
      </c>
      <c r="P672" s="28">
        <v>4</v>
      </c>
      <c r="Q672" s="28" t="s">
        <v>1800</v>
      </c>
      <c r="R672" s="28" t="s">
        <v>1794</v>
      </c>
      <c r="S672" s="34" t="str">
        <f>IFERROR(HYPERLINK("#Main!A"&amp;MATCH(A672,Main!A:A,0),"Open"),HYPERLINK("#Main!A1","Open"))</f>
        <v>Open</v>
      </c>
      <c r="T672" s="34" t="str">
        <f>IFERROR(HYPERLINK("#Technical!A"&amp;MATCH(A672,Technical!A:A,0),"Open"),HYPERLINK("#Technical!A1","Open"))</f>
        <v>Open</v>
      </c>
      <c r="U672" s="34"/>
    </row>
    <row r="673" spans="1:21" ht="45" customHeight="1" x14ac:dyDescent="0.25">
      <c r="A673" s="30" t="s">
        <v>185</v>
      </c>
      <c r="B673" s="37">
        <v>12371</v>
      </c>
      <c r="C673" s="55" t="s">
        <v>1004</v>
      </c>
      <c r="D673" s="37" t="s">
        <v>1407</v>
      </c>
      <c r="E673" s="47" t="s">
        <v>388</v>
      </c>
      <c r="F673" s="37" t="s">
        <v>1790</v>
      </c>
      <c r="G673" s="42">
        <v>37</v>
      </c>
      <c r="H673" s="37" t="b">
        <v>0</v>
      </c>
      <c r="I673" s="37" t="s">
        <v>1791</v>
      </c>
      <c r="J673" s="37" t="s">
        <v>1792</v>
      </c>
      <c r="K673" s="57" t="s">
        <v>20</v>
      </c>
      <c r="L673" s="37" t="s">
        <v>890</v>
      </c>
      <c r="M673" s="37" t="s">
        <v>392</v>
      </c>
      <c r="N673" s="37" t="s">
        <v>330</v>
      </c>
      <c r="O673" s="29" t="s">
        <v>2</v>
      </c>
      <c r="P673" s="37">
        <v>4</v>
      </c>
      <c r="Q673" s="37" t="s">
        <v>1801</v>
      </c>
      <c r="R673" s="37" t="s">
        <v>1794</v>
      </c>
      <c r="S673" t="str">
        <f>IFERROR(HYPERLINK("#Main!A"&amp;MATCH(A673,Main!A:A,0),"Open"),HYPERLINK("#Main!A1","Open"))</f>
        <v>Open</v>
      </c>
      <c r="T673" t="str">
        <f>IFERROR(HYPERLINK("#Technical!A"&amp;MATCH(A673,Technical!A:A,0),"Open"),HYPERLINK("#Technical!A1","Open"))</f>
        <v>Open</v>
      </c>
    </row>
    <row r="674" spans="1:21" ht="45" customHeight="1" x14ac:dyDescent="0.25">
      <c r="A674" s="33" t="s">
        <v>193</v>
      </c>
      <c r="B674" s="28">
        <v>12954</v>
      </c>
      <c r="C674" s="55" t="s">
        <v>1006</v>
      </c>
      <c r="D674" s="28" t="s">
        <v>1407</v>
      </c>
      <c r="E674" s="47" t="s">
        <v>388</v>
      </c>
      <c r="F674" s="28" t="s">
        <v>1790</v>
      </c>
      <c r="G674" s="39">
        <v>37</v>
      </c>
      <c r="H674" s="28" t="b">
        <v>0</v>
      </c>
      <c r="I674" s="28" t="s">
        <v>1791</v>
      </c>
      <c r="J674" s="28" t="s">
        <v>1792</v>
      </c>
      <c r="K674" s="56" t="s">
        <v>20</v>
      </c>
      <c r="L674" s="28" t="s">
        <v>890</v>
      </c>
      <c r="M674" s="28" t="s">
        <v>392</v>
      </c>
      <c r="N674" s="28" t="s">
        <v>330</v>
      </c>
      <c r="O674" s="29" t="s">
        <v>2</v>
      </c>
      <c r="P674" s="28">
        <v>4</v>
      </c>
      <c r="Q674" s="28" t="s">
        <v>1802</v>
      </c>
      <c r="R674" s="28" t="s">
        <v>1794</v>
      </c>
      <c r="S674" s="34" t="str">
        <f>IFERROR(HYPERLINK("#Main!A"&amp;MATCH(A674,Main!A:A,0),"Open"),HYPERLINK("#Main!A1","Open"))</f>
        <v>Open</v>
      </c>
      <c r="T674" s="34" t="str">
        <f>IFERROR(HYPERLINK("#Technical!A"&amp;MATCH(A674,Technical!A:A,0),"Open"),HYPERLINK("#Technical!A1","Open"))</f>
        <v>Open</v>
      </c>
      <c r="U674" s="34"/>
    </row>
    <row r="675" spans="1:21" ht="45" customHeight="1" x14ac:dyDescent="0.25">
      <c r="A675" s="30" t="s">
        <v>201</v>
      </c>
      <c r="B675" s="37">
        <v>13164</v>
      </c>
      <c r="C675" s="55" t="s">
        <v>1008</v>
      </c>
      <c r="D675" s="37" t="s">
        <v>1407</v>
      </c>
      <c r="E675" s="47" t="s">
        <v>388</v>
      </c>
      <c r="F675" s="37" t="s">
        <v>1790</v>
      </c>
      <c r="G675" s="42">
        <v>37</v>
      </c>
      <c r="H675" s="37" t="b">
        <v>0</v>
      </c>
      <c r="I675" s="37" t="s">
        <v>1791</v>
      </c>
      <c r="J675" s="37" t="s">
        <v>1792</v>
      </c>
      <c r="K675" s="57" t="s">
        <v>20</v>
      </c>
      <c r="L675" s="37" t="s">
        <v>890</v>
      </c>
      <c r="M675" s="37" t="s">
        <v>392</v>
      </c>
      <c r="N675" s="37" t="s">
        <v>330</v>
      </c>
      <c r="O675" s="29" t="s">
        <v>2</v>
      </c>
      <c r="P675" s="37">
        <v>4</v>
      </c>
      <c r="Q675" s="37" t="s">
        <v>1803</v>
      </c>
      <c r="R675" s="37" t="s">
        <v>1794</v>
      </c>
      <c r="S675" t="str">
        <f>IFERROR(HYPERLINK("#Main!A"&amp;MATCH(A675,Main!A:A,0),"Open"),HYPERLINK("#Main!A1","Open"))</f>
        <v>Open</v>
      </c>
      <c r="T675" t="str">
        <f>IFERROR(HYPERLINK("#Technical!A"&amp;MATCH(A675,Technical!A:A,0),"Open"),HYPERLINK("#Technical!A1","Open"))</f>
        <v>Open</v>
      </c>
    </row>
    <row r="676" spans="1:21" ht="45" customHeight="1" x14ac:dyDescent="0.25">
      <c r="A676" s="33" t="s">
        <v>208</v>
      </c>
      <c r="B676" s="28">
        <v>12407</v>
      </c>
      <c r="C676" s="55" t="s">
        <v>1010</v>
      </c>
      <c r="D676" s="28" t="s">
        <v>1407</v>
      </c>
      <c r="E676" s="47" t="s">
        <v>388</v>
      </c>
      <c r="F676" s="28" t="s">
        <v>1790</v>
      </c>
      <c r="G676" s="39">
        <v>37</v>
      </c>
      <c r="H676" s="28" t="b">
        <v>0</v>
      </c>
      <c r="I676" s="28" t="s">
        <v>1791</v>
      </c>
      <c r="J676" s="28" t="s">
        <v>1792</v>
      </c>
      <c r="K676" s="56" t="s">
        <v>20</v>
      </c>
      <c r="L676" s="28" t="s">
        <v>890</v>
      </c>
      <c r="M676" s="28" t="s">
        <v>392</v>
      </c>
      <c r="N676" s="28" t="s">
        <v>330</v>
      </c>
      <c r="O676" s="29" t="s">
        <v>2</v>
      </c>
      <c r="P676" s="28">
        <v>4</v>
      </c>
      <c r="Q676" s="28" t="s">
        <v>1804</v>
      </c>
      <c r="R676" s="28" t="s">
        <v>1794</v>
      </c>
      <c r="S676" s="34" t="str">
        <f>IFERROR(HYPERLINK("#Main!A"&amp;MATCH(A676,Main!A:A,0),"Open"),HYPERLINK("#Main!A1","Open"))</f>
        <v>Open</v>
      </c>
      <c r="T676" s="34" t="str">
        <f>IFERROR(HYPERLINK("#Technical!A"&amp;MATCH(A676,Technical!A:A,0),"Open"),HYPERLINK("#Technical!A1","Open"))</f>
        <v>Open</v>
      </c>
      <c r="U676" s="34"/>
    </row>
    <row r="677" spans="1:21" ht="45" customHeight="1" x14ac:dyDescent="0.25">
      <c r="A677" s="30" t="s">
        <v>216</v>
      </c>
      <c r="B677" s="37">
        <v>12497</v>
      </c>
      <c r="C677" s="55" t="s">
        <v>1012</v>
      </c>
      <c r="D677" s="37" t="s">
        <v>1407</v>
      </c>
      <c r="E677" s="47" t="s">
        <v>388</v>
      </c>
      <c r="F677" s="37" t="s">
        <v>1790</v>
      </c>
      <c r="G677" s="42">
        <v>37</v>
      </c>
      <c r="H677" s="37" t="b">
        <v>0</v>
      </c>
      <c r="I677" s="37" t="s">
        <v>1791</v>
      </c>
      <c r="J677" s="37" t="s">
        <v>1792</v>
      </c>
      <c r="K677" s="57" t="s">
        <v>20</v>
      </c>
      <c r="L677" s="37" t="s">
        <v>890</v>
      </c>
      <c r="M677" s="37" t="s">
        <v>392</v>
      </c>
      <c r="N677" s="37" t="s">
        <v>330</v>
      </c>
      <c r="O677" s="29" t="s">
        <v>2</v>
      </c>
      <c r="P677" s="37">
        <v>4</v>
      </c>
      <c r="Q677" s="37" t="s">
        <v>1805</v>
      </c>
      <c r="R677" s="37" t="s">
        <v>1794</v>
      </c>
      <c r="S677" t="str">
        <f>IFERROR(HYPERLINK("#Main!A"&amp;MATCH(A677,Main!A:A,0),"Open"),HYPERLINK("#Main!A1","Open"))</f>
        <v>Open</v>
      </c>
      <c r="T677" t="str">
        <f>IFERROR(HYPERLINK("#Technical!A"&amp;MATCH(A677,Technical!A:A,0),"Open"),HYPERLINK("#Technical!A1","Open"))</f>
        <v>Open</v>
      </c>
    </row>
    <row r="678" spans="1:21" ht="45" customHeight="1" x14ac:dyDescent="0.25">
      <c r="A678" s="33" t="s">
        <v>224</v>
      </c>
      <c r="B678" s="28">
        <v>13098</v>
      </c>
      <c r="C678" s="55" t="s">
        <v>1014</v>
      </c>
      <c r="D678" s="28" t="s">
        <v>1407</v>
      </c>
      <c r="E678" s="47" t="s">
        <v>388</v>
      </c>
      <c r="F678" s="28" t="s">
        <v>1790</v>
      </c>
      <c r="G678" s="39">
        <v>37</v>
      </c>
      <c r="H678" s="28" t="b">
        <v>0</v>
      </c>
      <c r="I678" s="28" t="s">
        <v>1791</v>
      </c>
      <c r="J678" s="28" t="s">
        <v>1792</v>
      </c>
      <c r="K678" s="56" t="s">
        <v>20</v>
      </c>
      <c r="L678" s="28" t="s">
        <v>890</v>
      </c>
      <c r="M678" s="28" t="s">
        <v>392</v>
      </c>
      <c r="N678" s="28" t="s">
        <v>330</v>
      </c>
      <c r="O678" s="29" t="s">
        <v>2</v>
      </c>
      <c r="P678" s="28">
        <v>4</v>
      </c>
      <c r="Q678" s="28" t="s">
        <v>1806</v>
      </c>
      <c r="R678" s="28" t="s">
        <v>1794</v>
      </c>
      <c r="S678" s="34" t="str">
        <f>IFERROR(HYPERLINK("#Main!A"&amp;MATCH(A678,Main!A:A,0),"Open"),HYPERLINK("#Main!A1","Open"))</f>
        <v>Open</v>
      </c>
      <c r="T678" s="34" t="str">
        <f>IFERROR(HYPERLINK("#Technical!A"&amp;MATCH(A678,Technical!A:A,0),"Open"),HYPERLINK("#Technical!A1","Open"))</f>
        <v>Open</v>
      </c>
      <c r="U678" s="34"/>
    </row>
    <row r="679" spans="1:21" ht="45" customHeight="1" x14ac:dyDescent="0.25">
      <c r="A679" s="30" t="s">
        <v>233</v>
      </c>
      <c r="B679" s="37">
        <v>13549</v>
      </c>
      <c r="C679" s="55" t="s">
        <v>1016</v>
      </c>
      <c r="D679" s="37" t="s">
        <v>1407</v>
      </c>
      <c r="E679" s="47" t="s">
        <v>388</v>
      </c>
      <c r="F679" s="37" t="s">
        <v>1790</v>
      </c>
      <c r="G679" s="42">
        <v>37</v>
      </c>
      <c r="H679" s="37" t="b">
        <v>0</v>
      </c>
      <c r="I679" s="37" t="s">
        <v>1791</v>
      </c>
      <c r="J679" s="37" t="s">
        <v>1792</v>
      </c>
      <c r="K679" s="57" t="s">
        <v>20</v>
      </c>
      <c r="L679" s="37" t="s">
        <v>890</v>
      </c>
      <c r="M679" s="37" t="s">
        <v>392</v>
      </c>
      <c r="N679" s="37" t="s">
        <v>330</v>
      </c>
      <c r="O679" s="29" t="s">
        <v>2</v>
      </c>
      <c r="P679" s="37">
        <v>4</v>
      </c>
      <c r="Q679" s="37" t="s">
        <v>1807</v>
      </c>
      <c r="R679" s="37" t="s">
        <v>1794</v>
      </c>
      <c r="S679" t="str">
        <f>IFERROR(HYPERLINK("#Main!A"&amp;MATCH(A679,Main!A:A,0),"Open"),HYPERLINK("#Main!A1","Open"))</f>
        <v>Open</v>
      </c>
      <c r="T679" t="str">
        <f>IFERROR(HYPERLINK("#Technical!A"&amp;MATCH(A679,Technical!A:A,0),"Open"),HYPERLINK("#Technical!A1","Open"))</f>
        <v>Open</v>
      </c>
    </row>
    <row r="680" spans="1:21" ht="45" customHeight="1" x14ac:dyDescent="0.25">
      <c r="A680" s="33" t="s">
        <v>241</v>
      </c>
      <c r="B680" s="28">
        <v>13282</v>
      </c>
      <c r="C680" s="55" t="s">
        <v>1018</v>
      </c>
      <c r="D680" s="28" t="s">
        <v>1407</v>
      </c>
      <c r="E680" s="47" t="s">
        <v>388</v>
      </c>
      <c r="F680" s="28" t="s">
        <v>1790</v>
      </c>
      <c r="G680" s="39">
        <v>37</v>
      </c>
      <c r="H680" s="28" t="b">
        <v>0</v>
      </c>
      <c r="I680" s="28" t="s">
        <v>1791</v>
      </c>
      <c r="J680" s="28" t="s">
        <v>1792</v>
      </c>
      <c r="K680" s="56" t="s">
        <v>20</v>
      </c>
      <c r="L680" s="28" t="s">
        <v>890</v>
      </c>
      <c r="M680" s="28" t="s">
        <v>392</v>
      </c>
      <c r="N680" s="28" t="s">
        <v>330</v>
      </c>
      <c r="O680" s="29" t="s">
        <v>2</v>
      </c>
      <c r="P680" s="28">
        <v>4</v>
      </c>
      <c r="Q680" s="28" t="s">
        <v>1808</v>
      </c>
      <c r="R680" s="28" t="s">
        <v>1794</v>
      </c>
      <c r="S680" s="34" t="str">
        <f>IFERROR(HYPERLINK("#Main!A"&amp;MATCH(A680,Main!A:A,0),"Open"),HYPERLINK("#Main!A1","Open"))</f>
        <v>Open</v>
      </c>
      <c r="T680" s="34" t="str">
        <f>IFERROR(HYPERLINK("#Technical!A"&amp;MATCH(A680,Technical!A:A,0),"Open"),HYPERLINK("#Technical!A1","Open"))</f>
        <v>Open</v>
      </c>
      <c r="U680" s="34"/>
    </row>
    <row r="681" spans="1:21" ht="45" customHeight="1" x14ac:dyDescent="0.25">
      <c r="A681" s="30" t="s">
        <v>485</v>
      </c>
      <c r="B681" s="37">
        <v>12945</v>
      </c>
      <c r="C681" s="55" t="s">
        <v>1020</v>
      </c>
      <c r="D681" s="37" t="s">
        <v>1407</v>
      </c>
      <c r="E681" s="47" t="s">
        <v>388</v>
      </c>
      <c r="F681" s="37" t="s">
        <v>1790</v>
      </c>
      <c r="G681" s="42">
        <v>37</v>
      </c>
      <c r="H681" s="37" t="b">
        <v>0</v>
      </c>
      <c r="I681" s="37" t="s">
        <v>1791</v>
      </c>
      <c r="J681" s="37" t="s">
        <v>1792</v>
      </c>
      <c r="K681" s="57" t="s">
        <v>20</v>
      </c>
      <c r="L681" s="37" t="s">
        <v>890</v>
      </c>
      <c r="M681" s="37" t="s">
        <v>392</v>
      </c>
      <c r="N681" s="37" t="s">
        <v>330</v>
      </c>
      <c r="O681" s="29" t="s">
        <v>2</v>
      </c>
      <c r="P681" s="37">
        <v>4</v>
      </c>
      <c r="Q681" s="37" t="s">
        <v>1809</v>
      </c>
      <c r="R681" s="37" t="s">
        <v>1794</v>
      </c>
      <c r="S681" t="str">
        <f>IFERROR(HYPERLINK("#Main!A"&amp;MATCH(A681,Main!A:A,0),"Open"),HYPERLINK("#Main!A1","Open"))</f>
        <v>Open</v>
      </c>
      <c r="T681" t="str">
        <f>IFERROR(HYPERLINK("#Technical!A"&amp;MATCH(A681,Technical!A:A,0),"Open"),HYPERLINK("#Technical!A1","Open"))</f>
        <v>Open</v>
      </c>
    </row>
    <row r="682" spans="1:21" ht="45" customHeight="1" x14ac:dyDescent="0.25">
      <c r="A682" s="33" t="s">
        <v>488</v>
      </c>
      <c r="B682" s="28">
        <v>13179</v>
      </c>
      <c r="C682" s="55" t="s">
        <v>1022</v>
      </c>
      <c r="D682" s="28" t="s">
        <v>1407</v>
      </c>
      <c r="E682" s="47" t="s">
        <v>388</v>
      </c>
      <c r="F682" s="28" t="s">
        <v>1790</v>
      </c>
      <c r="G682" s="39">
        <v>37</v>
      </c>
      <c r="H682" s="28" t="b">
        <v>0</v>
      </c>
      <c r="I682" s="28" t="s">
        <v>1791</v>
      </c>
      <c r="J682" s="28" t="s">
        <v>1792</v>
      </c>
      <c r="K682" s="56" t="s">
        <v>20</v>
      </c>
      <c r="L682" s="28" t="s">
        <v>890</v>
      </c>
      <c r="M682" s="28" t="s">
        <v>392</v>
      </c>
      <c r="N682" s="28" t="s">
        <v>330</v>
      </c>
      <c r="O682" s="29" t="s">
        <v>2</v>
      </c>
      <c r="P682" s="28">
        <v>4</v>
      </c>
      <c r="Q682" s="28" t="s">
        <v>1810</v>
      </c>
      <c r="R682" s="28" t="s">
        <v>1794</v>
      </c>
      <c r="S682" s="34" t="str">
        <f>IFERROR(HYPERLINK("#Main!A"&amp;MATCH(A682,Main!A:A,0),"Open"),HYPERLINK("#Main!A1","Open"))</f>
        <v>Open</v>
      </c>
      <c r="T682" s="34" t="str">
        <f>IFERROR(HYPERLINK("#Technical!A"&amp;MATCH(A682,Technical!A:A,0),"Open"),HYPERLINK("#Technical!A1","Open"))</f>
        <v>Open</v>
      </c>
      <c r="U682" s="34"/>
    </row>
    <row r="683" spans="1:21" ht="45" customHeight="1" x14ac:dyDescent="0.25">
      <c r="A683" s="30" t="s">
        <v>491</v>
      </c>
      <c r="B683" s="37">
        <v>22401</v>
      </c>
      <c r="C683" s="55" t="s">
        <v>1024</v>
      </c>
      <c r="D683" s="37" t="s">
        <v>1407</v>
      </c>
      <c r="E683" s="47" t="s">
        <v>388</v>
      </c>
      <c r="F683" s="37" t="s">
        <v>1790</v>
      </c>
      <c r="G683" s="42">
        <v>37</v>
      </c>
      <c r="H683" s="37" t="b">
        <v>0</v>
      </c>
      <c r="I683" s="37" t="s">
        <v>1791</v>
      </c>
      <c r="J683" s="37" t="s">
        <v>1792</v>
      </c>
      <c r="K683" s="57" t="s">
        <v>20</v>
      </c>
      <c r="L683" s="37" t="s">
        <v>890</v>
      </c>
      <c r="M683" s="37" t="s">
        <v>392</v>
      </c>
      <c r="N683" s="37" t="s">
        <v>330</v>
      </c>
      <c r="O683" s="29" t="s">
        <v>2</v>
      </c>
      <c r="P683" s="37">
        <v>4</v>
      </c>
      <c r="Q683" s="37" t="s">
        <v>1811</v>
      </c>
      <c r="R683" s="37" t="s">
        <v>1794</v>
      </c>
      <c r="S683" t="str">
        <f>IFERROR(HYPERLINK("#Main!A"&amp;MATCH(A683,Main!A:A,0),"Open"),HYPERLINK("#Main!A1","Open"))</f>
        <v>Open</v>
      </c>
      <c r="T683" t="str">
        <f>IFERROR(HYPERLINK("#Technical!A"&amp;MATCH(A683,Technical!A:A,0),"Open"),HYPERLINK("#Technical!A1","Open"))</f>
        <v>Open</v>
      </c>
    </row>
    <row r="684" spans="1:21" ht="45" customHeight="1" x14ac:dyDescent="0.25">
      <c r="A684" s="33" t="s">
        <v>494</v>
      </c>
      <c r="B684" s="28">
        <v>18318</v>
      </c>
      <c r="C684" s="55" t="s">
        <v>1026</v>
      </c>
      <c r="D684" s="28" t="s">
        <v>1407</v>
      </c>
      <c r="E684" s="47" t="s">
        <v>388</v>
      </c>
      <c r="F684" s="28" t="s">
        <v>1790</v>
      </c>
      <c r="G684" s="39">
        <v>37</v>
      </c>
      <c r="H684" s="28" t="b">
        <v>0</v>
      </c>
      <c r="I684" s="28" t="s">
        <v>1791</v>
      </c>
      <c r="J684" s="28" t="s">
        <v>1792</v>
      </c>
      <c r="K684" s="56" t="s">
        <v>20</v>
      </c>
      <c r="L684" s="28" t="s">
        <v>890</v>
      </c>
      <c r="M684" s="28" t="s">
        <v>392</v>
      </c>
      <c r="N684" s="28" t="s">
        <v>330</v>
      </c>
      <c r="O684" s="29" t="s">
        <v>2</v>
      </c>
      <c r="P684" s="28">
        <v>4</v>
      </c>
      <c r="Q684" s="28" t="s">
        <v>1812</v>
      </c>
      <c r="R684" s="28" t="s">
        <v>1794</v>
      </c>
      <c r="S684" s="34" t="str">
        <f>IFERROR(HYPERLINK("#Main!A"&amp;MATCH(A684,Main!A:A,0),"Open"),HYPERLINK("#Main!A1","Open"))</f>
        <v>Open</v>
      </c>
      <c r="T684" s="34" t="str">
        <f>IFERROR(HYPERLINK("#Technical!A"&amp;MATCH(A684,Technical!A:A,0),"Open"),HYPERLINK("#Technical!A1","Open"))</f>
        <v>Open</v>
      </c>
      <c r="U684" s="34"/>
    </row>
    <row r="685" spans="1:21" ht="45" customHeight="1" x14ac:dyDescent="0.25">
      <c r="A685" s="30" t="s">
        <v>497</v>
      </c>
      <c r="B685" s="37">
        <v>23710</v>
      </c>
      <c r="C685" s="55" t="s">
        <v>1028</v>
      </c>
      <c r="D685" s="37" t="s">
        <v>1407</v>
      </c>
      <c r="E685" s="47" t="s">
        <v>388</v>
      </c>
      <c r="F685" s="37" t="s">
        <v>1790</v>
      </c>
      <c r="G685" s="42">
        <v>37</v>
      </c>
      <c r="H685" s="37" t="b">
        <v>0</v>
      </c>
      <c r="I685" s="37" t="s">
        <v>1791</v>
      </c>
      <c r="J685" s="37" t="s">
        <v>1792</v>
      </c>
      <c r="K685" s="57" t="s">
        <v>20</v>
      </c>
      <c r="L685" s="37" t="s">
        <v>890</v>
      </c>
      <c r="M685" s="37" t="s">
        <v>392</v>
      </c>
      <c r="N685" s="37" t="s">
        <v>330</v>
      </c>
      <c r="O685" s="29" t="s">
        <v>2</v>
      </c>
      <c r="P685" s="37">
        <v>4</v>
      </c>
      <c r="Q685" s="37" t="s">
        <v>1813</v>
      </c>
      <c r="R685" s="37" t="s">
        <v>1794</v>
      </c>
      <c r="S685" t="str">
        <f>IFERROR(HYPERLINK("#Main!A"&amp;MATCH(A685,Main!A:A,0),"Open"),HYPERLINK("#Main!A1","Open"))</f>
        <v>Open</v>
      </c>
      <c r="T685" t="str">
        <f>IFERROR(HYPERLINK("#Technical!A"&amp;MATCH(A685,Technical!A:A,0),"Open"),HYPERLINK("#Technical!A1","Open"))</f>
        <v>Open</v>
      </c>
    </row>
    <row r="686" spans="1:21" ht="45" customHeight="1" x14ac:dyDescent="0.25">
      <c r="A686" s="33" t="s">
        <v>500</v>
      </c>
      <c r="B686" s="28">
        <v>30257</v>
      </c>
      <c r="C686" s="55" t="s">
        <v>1030</v>
      </c>
      <c r="D686" s="28" t="s">
        <v>1407</v>
      </c>
      <c r="E686" s="47" t="s">
        <v>388</v>
      </c>
      <c r="F686" s="28" t="s">
        <v>1790</v>
      </c>
      <c r="G686" s="39">
        <v>37</v>
      </c>
      <c r="H686" s="28" t="b">
        <v>0</v>
      </c>
      <c r="I686" s="28" t="s">
        <v>1791</v>
      </c>
      <c r="J686" s="28" t="s">
        <v>1792</v>
      </c>
      <c r="K686" s="56" t="s">
        <v>20</v>
      </c>
      <c r="L686" s="28" t="s">
        <v>890</v>
      </c>
      <c r="M686" s="28" t="s">
        <v>392</v>
      </c>
      <c r="N686" s="28" t="s">
        <v>330</v>
      </c>
      <c r="O686" s="29" t="s">
        <v>2</v>
      </c>
      <c r="P686" s="28">
        <v>4</v>
      </c>
      <c r="Q686" s="28" t="s">
        <v>1814</v>
      </c>
      <c r="R686" s="28" t="s">
        <v>1794</v>
      </c>
      <c r="S686" s="34" t="str">
        <f>IFERROR(HYPERLINK("#Main!A"&amp;MATCH(A686,Main!A:A,0),"Open"),HYPERLINK("#Main!A1","Open"))</f>
        <v>Open</v>
      </c>
      <c r="T686" s="34" t="str">
        <f>IFERROR(HYPERLINK("#Technical!A"&amp;MATCH(A686,Technical!A:A,0),"Open"),HYPERLINK("#Technical!A1","Open"))</f>
        <v>Open</v>
      </c>
      <c r="U686" s="34"/>
    </row>
    <row r="687" spans="1:21" ht="45" customHeight="1" x14ac:dyDescent="0.25">
      <c r="A687" s="30" t="s">
        <v>503</v>
      </c>
      <c r="B687" s="37">
        <v>31478</v>
      </c>
      <c r="C687" s="55" t="s">
        <v>1032</v>
      </c>
      <c r="D687" s="37" t="s">
        <v>1407</v>
      </c>
      <c r="E687" s="47" t="s">
        <v>388</v>
      </c>
      <c r="F687" s="37" t="s">
        <v>1790</v>
      </c>
      <c r="G687" s="42">
        <v>37</v>
      </c>
      <c r="H687" s="37" t="b">
        <v>0</v>
      </c>
      <c r="I687" s="37" t="s">
        <v>1791</v>
      </c>
      <c r="J687" s="37" t="s">
        <v>1792</v>
      </c>
      <c r="K687" s="57" t="s">
        <v>20</v>
      </c>
      <c r="L687" s="37" t="s">
        <v>890</v>
      </c>
      <c r="M687" s="37" t="s">
        <v>392</v>
      </c>
      <c r="N687" s="37" t="s">
        <v>330</v>
      </c>
      <c r="O687" s="29" t="s">
        <v>2</v>
      </c>
      <c r="P687" s="37">
        <v>4</v>
      </c>
      <c r="Q687" s="37" t="s">
        <v>1815</v>
      </c>
      <c r="R687" s="37" t="s">
        <v>1794</v>
      </c>
      <c r="S687" t="str">
        <f>IFERROR(HYPERLINK("#Main!A"&amp;MATCH(A687,Main!A:A,0),"Open"),HYPERLINK("#Main!A1","Open"))</f>
        <v>Open</v>
      </c>
      <c r="T687" t="str">
        <f>IFERROR(HYPERLINK("#Technical!A"&amp;MATCH(A687,Technical!A:A,0),"Open"),HYPERLINK("#Technical!A1","Open"))</f>
        <v>Open</v>
      </c>
    </row>
    <row r="688" spans="1:21" ht="45" customHeight="1" x14ac:dyDescent="0.25">
      <c r="A688" s="33" t="s">
        <v>506</v>
      </c>
      <c r="B688" s="28">
        <v>33280</v>
      </c>
      <c r="C688" s="55" t="s">
        <v>1034</v>
      </c>
      <c r="D688" s="28" t="s">
        <v>1407</v>
      </c>
      <c r="E688" s="47" t="s">
        <v>388</v>
      </c>
      <c r="F688" s="28" t="s">
        <v>1790</v>
      </c>
      <c r="G688" s="39">
        <v>37</v>
      </c>
      <c r="H688" s="28" t="b">
        <v>0</v>
      </c>
      <c r="I688" s="28" t="s">
        <v>1791</v>
      </c>
      <c r="J688" s="28" t="s">
        <v>1792</v>
      </c>
      <c r="K688" s="56" t="s">
        <v>20</v>
      </c>
      <c r="L688" s="28" t="s">
        <v>890</v>
      </c>
      <c r="M688" s="28" t="s">
        <v>392</v>
      </c>
      <c r="N688" s="28" t="s">
        <v>330</v>
      </c>
      <c r="O688" s="29" t="s">
        <v>2</v>
      </c>
      <c r="P688" s="28">
        <v>4</v>
      </c>
      <c r="Q688" s="28" t="s">
        <v>1816</v>
      </c>
      <c r="R688" s="28" t="s">
        <v>1794</v>
      </c>
      <c r="S688" s="34" t="str">
        <f>IFERROR(HYPERLINK("#Main!A"&amp;MATCH(A688,Main!A:A,0),"Open"),HYPERLINK("#Main!A1","Open"))</f>
        <v>Open</v>
      </c>
      <c r="T688" s="34" t="str">
        <f>IFERROR(HYPERLINK("#Technical!A"&amp;MATCH(A688,Technical!A:A,0),"Open"),HYPERLINK("#Technical!A1","Open"))</f>
        <v>Open</v>
      </c>
      <c r="U688" s="34"/>
    </row>
    <row r="689" spans="1:21" ht="45" customHeight="1" x14ac:dyDescent="0.25">
      <c r="A689" s="30" t="s">
        <v>509</v>
      </c>
      <c r="B689" s="37">
        <v>22778</v>
      </c>
      <c r="C689" s="55" t="s">
        <v>1036</v>
      </c>
      <c r="D689" s="37" t="s">
        <v>1407</v>
      </c>
      <c r="E689" s="47" t="s">
        <v>388</v>
      </c>
      <c r="F689" s="37" t="s">
        <v>1790</v>
      </c>
      <c r="G689" s="42">
        <v>37</v>
      </c>
      <c r="H689" s="37" t="b">
        <v>0</v>
      </c>
      <c r="I689" s="37" t="s">
        <v>1791</v>
      </c>
      <c r="J689" s="37" t="s">
        <v>1792</v>
      </c>
      <c r="K689" s="57" t="s">
        <v>20</v>
      </c>
      <c r="L689" s="37" t="s">
        <v>890</v>
      </c>
      <c r="M689" s="37" t="s">
        <v>392</v>
      </c>
      <c r="N689" s="37" t="s">
        <v>330</v>
      </c>
      <c r="O689" s="29" t="s">
        <v>2</v>
      </c>
      <c r="P689" s="37">
        <v>4</v>
      </c>
      <c r="Q689" s="37" t="s">
        <v>1817</v>
      </c>
      <c r="R689" s="37" t="s">
        <v>1794</v>
      </c>
      <c r="S689" t="str">
        <f>IFERROR(HYPERLINK("#Main!A"&amp;MATCH(A689,Main!A:A,0),"Open"),HYPERLINK("#Main!A1","Open"))</f>
        <v>Open</v>
      </c>
      <c r="T689" t="str">
        <f>IFERROR(HYPERLINK("#Technical!A"&amp;MATCH(A689,Technical!A:A,0),"Open"),HYPERLINK("#Technical!A1","Open"))</f>
        <v>Open</v>
      </c>
    </row>
    <row r="690" spans="1:21" ht="45" customHeight="1" x14ac:dyDescent="0.25">
      <c r="A690" s="33" t="s">
        <v>512</v>
      </c>
      <c r="B690" s="28">
        <v>5057</v>
      </c>
      <c r="C690" s="55" t="s">
        <v>1038</v>
      </c>
      <c r="D690" s="28" t="s">
        <v>1407</v>
      </c>
      <c r="E690" s="47" t="s">
        <v>388</v>
      </c>
      <c r="F690" s="28" t="s">
        <v>1790</v>
      </c>
      <c r="G690" s="39">
        <v>37</v>
      </c>
      <c r="H690" s="28" t="b">
        <v>0</v>
      </c>
      <c r="I690" s="28" t="s">
        <v>1791</v>
      </c>
      <c r="J690" s="28" t="s">
        <v>1792</v>
      </c>
      <c r="K690" s="56" t="s">
        <v>20</v>
      </c>
      <c r="L690" s="28" t="s">
        <v>890</v>
      </c>
      <c r="M690" s="28" t="s">
        <v>392</v>
      </c>
      <c r="N690" s="28" t="s">
        <v>330</v>
      </c>
      <c r="O690" s="29" t="s">
        <v>2</v>
      </c>
      <c r="P690" s="28">
        <v>4</v>
      </c>
      <c r="Q690" s="28" t="s">
        <v>1818</v>
      </c>
      <c r="R690" s="28" t="s">
        <v>1794</v>
      </c>
      <c r="S690" s="34" t="str">
        <f>IFERROR(HYPERLINK("#Main!A"&amp;MATCH(A690,Main!A:A,0),"Open"),HYPERLINK("#Main!A1","Open"))</f>
        <v>Open</v>
      </c>
      <c r="T690" s="34" t="str">
        <f>IFERROR(HYPERLINK("#Technical!A"&amp;MATCH(A690,Technical!A:A,0),"Open"),HYPERLINK("#Technical!A1","Open"))</f>
        <v>Open</v>
      </c>
      <c r="U690" s="34"/>
    </row>
    <row r="691" spans="1:21" ht="45" customHeight="1" x14ac:dyDescent="0.25">
      <c r="A691" s="30" t="s">
        <v>476</v>
      </c>
      <c r="B691" s="37"/>
      <c r="C691" s="37"/>
      <c r="D691" s="37" t="s">
        <v>1407</v>
      </c>
      <c r="E691" s="47" t="s">
        <v>388</v>
      </c>
      <c r="F691" s="37" t="s">
        <v>1790</v>
      </c>
      <c r="G691" s="42">
        <v>37</v>
      </c>
      <c r="H691" s="37" t="b">
        <v>0</v>
      </c>
      <c r="I691" s="37" t="s">
        <v>1791</v>
      </c>
      <c r="J691" s="37" t="s">
        <v>1792</v>
      </c>
      <c r="K691" s="57" t="s">
        <v>20</v>
      </c>
      <c r="L691" s="37" t="s">
        <v>890</v>
      </c>
      <c r="M691" s="37" t="s">
        <v>392</v>
      </c>
      <c r="N691" s="37" t="s">
        <v>330</v>
      </c>
      <c r="O691" s="29" t="s">
        <v>2</v>
      </c>
      <c r="P691" s="37">
        <v>4</v>
      </c>
      <c r="Q691" s="37" t="s">
        <v>1819</v>
      </c>
      <c r="R691" s="37" t="s">
        <v>1794</v>
      </c>
      <c r="S691" t="str">
        <f>IFERROR(HYPERLINK("#Main!A"&amp;MATCH(A691,Main!A:A,0),"Open"),HYPERLINK("#Main!A1","Open"))</f>
        <v>Open</v>
      </c>
      <c r="T691" t="str">
        <f>IFERROR(HYPERLINK("#Technical!A"&amp;MATCH(A691,Technical!A:A,0),"Open"),HYPERLINK("#Technical!A1","Open"))</f>
        <v>Open</v>
      </c>
    </row>
    <row r="692" spans="1:21" ht="45" customHeight="1" x14ac:dyDescent="0.25">
      <c r="A692" s="33" t="s">
        <v>515</v>
      </c>
      <c r="B692" s="28">
        <v>12477</v>
      </c>
      <c r="C692" s="55" t="s">
        <v>1040</v>
      </c>
      <c r="D692" s="28" t="s">
        <v>1407</v>
      </c>
      <c r="E692" s="47" t="s">
        <v>388</v>
      </c>
      <c r="F692" s="28" t="s">
        <v>1790</v>
      </c>
      <c r="G692" s="39">
        <v>37</v>
      </c>
      <c r="H692" s="28" t="b">
        <v>0</v>
      </c>
      <c r="I692" s="28" t="s">
        <v>1791</v>
      </c>
      <c r="J692" s="28" t="s">
        <v>1792</v>
      </c>
      <c r="K692" s="56" t="s">
        <v>20</v>
      </c>
      <c r="L692" s="28" t="s">
        <v>890</v>
      </c>
      <c r="M692" s="28" t="s">
        <v>392</v>
      </c>
      <c r="N692" s="28" t="s">
        <v>330</v>
      </c>
      <c r="O692" s="29" t="s">
        <v>2</v>
      </c>
      <c r="P692" s="28">
        <v>4</v>
      </c>
      <c r="Q692" s="28" t="s">
        <v>1820</v>
      </c>
      <c r="R692" s="28" t="s">
        <v>1794</v>
      </c>
      <c r="S692" s="34" t="str">
        <f>IFERROR(HYPERLINK("#Main!A"&amp;MATCH(A692,Main!A:A,0),"Open"),HYPERLINK("#Main!A1","Open"))</f>
        <v>Open</v>
      </c>
      <c r="T692" s="34" t="str">
        <f>IFERROR(HYPERLINK("#Technical!A"&amp;MATCH(A692,Technical!A:A,0),"Open"),HYPERLINK("#Technical!A1","Open"))</f>
        <v>Open</v>
      </c>
      <c r="U692" s="34"/>
    </row>
    <row r="693" spans="1:21" ht="45" customHeight="1" x14ac:dyDescent="0.25">
      <c r="A693" s="30" t="s">
        <v>518</v>
      </c>
      <c r="B693" s="37">
        <v>21958</v>
      </c>
      <c r="C693" s="55" t="s">
        <v>1042</v>
      </c>
      <c r="D693" s="37" t="s">
        <v>1407</v>
      </c>
      <c r="E693" s="47" t="s">
        <v>388</v>
      </c>
      <c r="F693" s="37" t="s">
        <v>1790</v>
      </c>
      <c r="G693" s="42">
        <v>37</v>
      </c>
      <c r="H693" s="37" t="b">
        <v>0</v>
      </c>
      <c r="I693" s="37" t="s">
        <v>1791</v>
      </c>
      <c r="J693" s="37" t="s">
        <v>1792</v>
      </c>
      <c r="K693" s="57" t="s">
        <v>20</v>
      </c>
      <c r="L693" s="37" t="s">
        <v>890</v>
      </c>
      <c r="M693" s="37" t="s">
        <v>392</v>
      </c>
      <c r="N693" s="37" t="s">
        <v>330</v>
      </c>
      <c r="O693" s="29" t="s">
        <v>2</v>
      </c>
      <c r="P693" s="37">
        <v>4</v>
      </c>
      <c r="Q693" s="37" t="s">
        <v>1821</v>
      </c>
      <c r="R693" s="37" t="s">
        <v>1794</v>
      </c>
      <c r="S693" t="str">
        <f>IFERROR(HYPERLINK("#Main!A"&amp;MATCH(A693,Main!A:A,0),"Open"),HYPERLINK("#Main!A1","Open"))</f>
        <v>Open</v>
      </c>
      <c r="T693" t="str">
        <f>IFERROR(HYPERLINK("#Technical!A"&amp;MATCH(A693,Technical!A:A,0),"Open"),HYPERLINK("#Technical!A1","Open"))</f>
        <v>Open</v>
      </c>
    </row>
    <row r="694" spans="1:21" ht="45" customHeight="1" x14ac:dyDescent="0.25">
      <c r="A694" s="33" t="s">
        <v>521</v>
      </c>
      <c r="B694" s="28">
        <v>21984</v>
      </c>
      <c r="C694" s="55" t="s">
        <v>1044</v>
      </c>
      <c r="D694" s="28" t="s">
        <v>1407</v>
      </c>
      <c r="E694" s="47" t="s">
        <v>388</v>
      </c>
      <c r="F694" s="28" t="s">
        <v>1790</v>
      </c>
      <c r="G694" s="39">
        <v>37</v>
      </c>
      <c r="H694" s="28" t="b">
        <v>0</v>
      </c>
      <c r="I694" s="28" t="s">
        <v>1791</v>
      </c>
      <c r="J694" s="28" t="s">
        <v>1792</v>
      </c>
      <c r="K694" s="56" t="s">
        <v>20</v>
      </c>
      <c r="L694" s="28" t="s">
        <v>890</v>
      </c>
      <c r="M694" s="28" t="s">
        <v>392</v>
      </c>
      <c r="N694" s="28" t="s">
        <v>330</v>
      </c>
      <c r="O694" s="29" t="s">
        <v>2</v>
      </c>
      <c r="P694" s="28">
        <v>4</v>
      </c>
      <c r="Q694" s="28" t="s">
        <v>1822</v>
      </c>
      <c r="R694" s="28" t="s">
        <v>1794</v>
      </c>
      <c r="S694" s="34" t="str">
        <f>IFERROR(HYPERLINK("#Main!A"&amp;MATCH(A694,Main!A:A,0),"Open"),HYPERLINK("#Main!A1","Open"))</f>
        <v>Open</v>
      </c>
      <c r="T694" s="34" t="str">
        <f>IFERROR(HYPERLINK("#Technical!A"&amp;MATCH(A694,Technical!A:A,0),"Open"),HYPERLINK("#Technical!A1","Open"))</f>
        <v>Open</v>
      </c>
      <c r="U694" s="34"/>
    </row>
    <row r="695" spans="1:21" ht="45" customHeight="1" x14ac:dyDescent="0.25">
      <c r="A695" s="30" t="s">
        <v>524</v>
      </c>
      <c r="B695" s="37">
        <v>33131</v>
      </c>
      <c r="C695" s="55" t="s">
        <v>1046</v>
      </c>
      <c r="D695" s="37" t="s">
        <v>1407</v>
      </c>
      <c r="E695" s="47" t="s">
        <v>388</v>
      </c>
      <c r="F695" s="37" t="s">
        <v>1790</v>
      </c>
      <c r="G695" s="42">
        <v>37</v>
      </c>
      <c r="H695" s="37" t="b">
        <v>0</v>
      </c>
      <c r="I695" s="37" t="s">
        <v>1791</v>
      </c>
      <c r="J695" s="37" t="s">
        <v>1792</v>
      </c>
      <c r="K695" s="57" t="s">
        <v>20</v>
      </c>
      <c r="L695" s="37" t="s">
        <v>890</v>
      </c>
      <c r="M695" s="37" t="s">
        <v>392</v>
      </c>
      <c r="N695" s="37" t="s">
        <v>330</v>
      </c>
      <c r="O695" s="29" t="s">
        <v>2</v>
      </c>
      <c r="P695" s="37">
        <v>4</v>
      </c>
      <c r="Q695" s="37" t="s">
        <v>1823</v>
      </c>
      <c r="R695" s="37" t="s">
        <v>1794</v>
      </c>
      <c r="S695" t="str">
        <f>IFERROR(HYPERLINK("#Main!A"&amp;MATCH(A695,Main!A:A,0),"Open"),HYPERLINK("#Main!A1","Open"))</f>
        <v>Open</v>
      </c>
      <c r="T695" t="str">
        <f>IFERROR(HYPERLINK("#Technical!A"&amp;MATCH(A695,Technical!A:A,0),"Open"),HYPERLINK("#Technical!A1","Open"))</f>
        <v>Open</v>
      </c>
    </row>
    <row r="696" spans="1:21" ht="45" customHeight="1" x14ac:dyDescent="0.25">
      <c r="A696" s="33" t="s">
        <v>527</v>
      </c>
      <c r="B696" s="28">
        <v>21958</v>
      </c>
      <c r="C696" s="55" t="s">
        <v>1042</v>
      </c>
      <c r="D696" s="28" t="s">
        <v>1407</v>
      </c>
      <c r="E696" s="47" t="s">
        <v>388</v>
      </c>
      <c r="F696" s="28" t="s">
        <v>1790</v>
      </c>
      <c r="G696" s="39">
        <v>37</v>
      </c>
      <c r="H696" s="28" t="b">
        <v>0</v>
      </c>
      <c r="I696" s="28" t="s">
        <v>1791</v>
      </c>
      <c r="J696" s="28" t="s">
        <v>1792</v>
      </c>
      <c r="K696" s="56" t="s">
        <v>20</v>
      </c>
      <c r="L696" s="28" t="s">
        <v>890</v>
      </c>
      <c r="M696" s="28" t="s">
        <v>392</v>
      </c>
      <c r="N696" s="28" t="s">
        <v>330</v>
      </c>
      <c r="O696" s="29" t="s">
        <v>2</v>
      </c>
      <c r="P696" s="28">
        <v>4</v>
      </c>
      <c r="Q696" s="28" t="s">
        <v>1824</v>
      </c>
      <c r="R696" s="28" t="s">
        <v>1794</v>
      </c>
      <c r="S696" s="34" t="str">
        <f>IFERROR(HYPERLINK("#Main!A"&amp;MATCH(A696,Main!A:A,0),"Open"),HYPERLINK("#Main!A1","Open"))</f>
        <v>Open</v>
      </c>
      <c r="T696" s="34" t="str">
        <f>IFERROR(HYPERLINK("#Technical!A"&amp;MATCH(A696,Technical!A:A,0),"Open"),HYPERLINK("#Technical!A1","Open"))</f>
        <v>Open</v>
      </c>
      <c r="U696" s="34"/>
    </row>
    <row r="697" spans="1:21" ht="45" customHeight="1" x14ac:dyDescent="0.25">
      <c r="A697" s="30" t="s">
        <v>528</v>
      </c>
      <c r="B697" s="37">
        <v>25857</v>
      </c>
      <c r="C697" s="55" t="s">
        <v>1049</v>
      </c>
      <c r="D697" s="37" t="s">
        <v>1407</v>
      </c>
      <c r="E697" s="47" t="s">
        <v>388</v>
      </c>
      <c r="F697" s="37" t="s">
        <v>1790</v>
      </c>
      <c r="G697" s="42">
        <v>37</v>
      </c>
      <c r="H697" s="37" t="b">
        <v>0</v>
      </c>
      <c r="I697" s="37" t="s">
        <v>1791</v>
      </c>
      <c r="J697" s="37" t="s">
        <v>1792</v>
      </c>
      <c r="K697" s="57" t="s">
        <v>20</v>
      </c>
      <c r="L697" s="37" t="s">
        <v>890</v>
      </c>
      <c r="M697" s="37" t="s">
        <v>392</v>
      </c>
      <c r="N697" s="37" t="s">
        <v>330</v>
      </c>
      <c r="O697" s="29" t="s">
        <v>2</v>
      </c>
      <c r="P697" s="37">
        <v>4</v>
      </c>
      <c r="Q697" s="37" t="s">
        <v>1825</v>
      </c>
      <c r="R697" s="37" t="s">
        <v>1794</v>
      </c>
      <c r="S697" t="str">
        <f>IFERROR(HYPERLINK("#Main!A"&amp;MATCH(A697,Main!A:A,0),"Open"),HYPERLINK("#Main!A1","Open"))</f>
        <v>Open</v>
      </c>
      <c r="T697" t="str">
        <f>IFERROR(HYPERLINK("#Technical!A"&amp;MATCH(A697,Technical!A:A,0),"Open"),HYPERLINK("#Technical!A1","Open"))</f>
        <v>Open</v>
      </c>
    </row>
    <row r="698" spans="1:21" ht="45" customHeight="1" x14ac:dyDescent="0.25">
      <c r="A698" s="33" t="s">
        <v>531</v>
      </c>
      <c r="B698" s="28">
        <v>25788</v>
      </c>
      <c r="C698" s="55" t="s">
        <v>1051</v>
      </c>
      <c r="D698" s="28" t="s">
        <v>1407</v>
      </c>
      <c r="E698" s="47" t="s">
        <v>388</v>
      </c>
      <c r="F698" s="28" t="s">
        <v>1790</v>
      </c>
      <c r="G698" s="39">
        <v>37</v>
      </c>
      <c r="H698" s="28" t="b">
        <v>0</v>
      </c>
      <c r="I698" s="28" t="s">
        <v>1791</v>
      </c>
      <c r="J698" s="28" t="s">
        <v>1792</v>
      </c>
      <c r="K698" s="56" t="s">
        <v>20</v>
      </c>
      <c r="L698" s="28" t="s">
        <v>890</v>
      </c>
      <c r="M698" s="28" t="s">
        <v>392</v>
      </c>
      <c r="N698" s="28" t="s">
        <v>330</v>
      </c>
      <c r="O698" s="29" t="s">
        <v>2</v>
      </c>
      <c r="P698" s="28">
        <v>4</v>
      </c>
      <c r="Q698" s="28" t="s">
        <v>1826</v>
      </c>
      <c r="R698" s="28" t="s">
        <v>1794</v>
      </c>
      <c r="S698" s="34" t="str">
        <f>IFERROR(HYPERLINK("#Main!A"&amp;MATCH(A698,Main!A:A,0),"Open"),HYPERLINK("#Main!A1","Open"))</f>
        <v>Open</v>
      </c>
      <c r="T698" s="34" t="str">
        <f>IFERROR(HYPERLINK("#Technical!A"&amp;MATCH(A698,Technical!A:A,0),"Open"),HYPERLINK("#Technical!A1","Open"))</f>
        <v>Open</v>
      </c>
      <c r="U698" s="34"/>
    </row>
    <row r="699" spans="1:21" ht="45" customHeight="1" x14ac:dyDescent="0.25">
      <c r="A699" s="30" t="s">
        <v>534</v>
      </c>
      <c r="B699" s="37">
        <v>26290</v>
      </c>
      <c r="C699" s="55" t="s">
        <v>1053</v>
      </c>
      <c r="D699" s="37" t="s">
        <v>1407</v>
      </c>
      <c r="E699" s="47" t="s">
        <v>388</v>
      </c>
      <c r="F699" s="37" t="s">
        <v>1790</v>
      </c>
      <c r="G699" s="42">
        <v>37</v>
      </c>
      <c r="H699" s="37" t="b">
        <v>0</v>
      </c>
      <c r="I699" s="37" t="s">
        <v>1791</v>
      </c>
      <c r="J699" s="37" t="s">
        <v>1792</v>
      </c>
      <c r="K699" s="57" t="s">
        <v>20</v>
      </c>
      <c r="L699" s="37" t="s">
        <v>890</v>
      </c>
      <c r="M699" s="37" t="s">
        <v>392</v>
      </c>
      <c r="N699" s="37" t="s">
        <v>330</v>
      </c>
      <c r="O699" s="29" t="s">
        <v>2</v>
      </c>
      <c r="P699" s="37">
        <v>4</v>
      </c>
      <c r="Q699" s="37" t="s">
        <v>1827</v>
      </c>
      <c r="R699" s="37" t="s">
        <v>1794</v>
      </c>
      <c r="S699" t="str">
        <f>IFERROR(HYPERLINK("#Main!A"&amp;MATCH(A699,Main!A:A,0),"Open"),HYPERLINK("#Main!A1","Open"))</f>
        <v>Open</v>
      </c>
      <c r="T699" t="str">
        <f>IFERROR(HYPERLINK("#Technical!A"&amp;MATCH(A699,Technical!A:A,0),"Open"),HYPERLINK("#Technical!A1","Open"))</f>
        <v>Open</v>
      </c>
    </row>
    <row r="700" spans="1:21" ht="45" customHeight="1" x14ac:dyDescent="0.25">
      <c r="A700" s="33" t="s">
        <v>537</v>
      </c>
      <c r="B700" s="28">
        <v>24882</v>
      </c>
      <c r="C700" s="55" t="s">
        <v>1055</v>
      </c>
      <c r="D700" s="28" t="s">
        <v>1407</v>
      </c>
      <c r="E700" s="47" t="s">
        <v>388</v>
      </c>
      <c r="F700" s="28" t="s">
        <v>1790</v>
      </c>
      <c r="G700" s="39">
        <v>37</v>
      </c>
      <c r="H700" s="28" t="b">
        <v>0</v>
      </c>
      <c r="I700" s="28" t="s">
        <v>1791</v>
      </c>
      <c r="J700" s="28" t="s">
        <v>1792</v>
      </c>
      <c r="K700" s="56" t="s">
        <v>20</v>
      </c>
      <c r="L700" s="28" t="s">
        <v>890</v>
      </c>
      <c r="M700" s="28" t="s">
        <v>392</v>
      </c>
      <c r="N700" s="28" t="s">
        <v>330</v>
      </c>
      <c r="O700" s="29" t="s">
        <v>2</v>
      </c>
      <c r="P700" s="28">
        <v>4</v>
      </c>
      <c r="Q700" s="28" t="s">
        <v>1828</v>
      </c>
      <c r="R700" s="28" t="s">
        <v>1794</v>
      </c>
      <c r="S700" s="34" t="str">
        <f>IFERROR(HYPERLINK("#Main!A"&amp;MATCH(A700,Main!A:A,0),"Open"),HYPERLINK("#Main!A1","Open"))</f>
        <v>Open</v>
      </c>
      <c r="T700" s="34" t="str">
        <f>IFERROR(HYPERLINK("#Technical!A"&amp;MATCH(A700,Technical!A:A,0),"Open"),HYPERLINK("#Technical!A1","Open"))</f>
        <v>Open</v>
      </c>
      <c r="U700" s="34"/>
    </row>
    <row r="701" spans="1:21" ht="45" customHeight="1" x14ac:dyDescent="0.25">
      <c r="A701" s="30" t="s">
        <v>540</v>
      </c>
      <c r="B701" s="37">
        <v>22595</v>
      </c>
      <c r="C701" s="55" t="s">
        <v>1057</v>
      </c>
      <c r="D701" s="37" t="s">
        <v>1407</v>
      </c>
      <c r="E701" s="47" t="s">
        <v>388</v>
      </c>
      <c r="F701" s="37" t="s">
        <v>1790</v>
      </c>
      <c r="G701" s="42">
        <v>37</v>
      </c>
      <c r="H701" s="37" t="b">
        <v>0</v>
      </c>
      <c r="I701" s="37" t="s">
        <v>1791</v>
      </c>
      <c r="J701" s="37" t="s">
        <v>1792</v>
      </c>
      <c r="K701" s="57" t="s">
        <v>20</v>
      </c>
      <c r="L701" s="37" t="s">
        <v>890</v>
      </c>
      <c r="M701" s="37" t="s">
        <v>392</v>
      </c>
      <c r="N701" s="37" t="s">
        <v>330</v>
      </c>
      <c r="O701" s="29" t="s">
        <v>2</v>
      </c>
      <c r="P701" s="37">
        <v>4</v>
      </c>
      <c r="Q701" s="37" t="s">
        <v>1829</v>
      </c>
      <c r="R701" s="37" t="s">
        <v>1794</v>
      </c>
      <c r="S701" t="str">
        <f>IFERROR(HYPERLINK("#Main!A"&amp;MATCH(A701,Main!A:A,0),"Open"),HYPERLINK("#Main!A1","Open"))</f>
        <v>Open</v>
      </c>
      <c r="T701" t="str">
        <f>IFERROR(HYPERLINK("#Technical!A"&amp;MATCH(A701,Technical!A:A,0),"Open"),HYPERLINK("#Technical!A1","Open"))</f>
        <v>Open</v>
      </c>
    </row>
    <row r="702" spans="1:21" ht="45" customHeight="1" x14ac:dyDescent="0.25">
      <c r="A702" s="33" t="s">
        <v>543</v>
      </c>
      <c r="B702" s="28">
        <v>29496</v>
      </c>
      <c r="C702" s="55" t="s">
        <v>1059</v>
      </c>
      <c r="D702" s="28" t="s">
        <v>1407</v>
      </c>
      <c r="E702" s="47" t="s">
        <v>388</v>
      </c>
      <c r="F702" s="28" t="s">
        <v>1790</v>
      </c>
      <c r="G702" s="39">
        <v>37</v>
      </c>
      <c r="H702" s="28" t="b">
        <v>0</v>
      </c>
      <c r="I702" s="28" t="s">
        <v>1791</v>
      </c>
      <c r="J702" s="28" t="s">
        <v>1792</v>
      </c>
      <c r="K702" s="56" t="s">
        <v>20</v>
      </c>
      <c r="L702" s="28" t="s">
        <v>890</v>
      </c>
      <c r="M702" s="28" t="s">
        <v>392</v>
      </c>
      <c r="N702" s="28" t="s">
        <v>330</v>
      </c>
      <c r="O702" s="29" t="s">
        <v>2</v>
      </c>
      <c r="P702" s="28">
        <v>4</v>
      </c>
      <c r="Q702" s="28" t="s">
        <v>1830</v>
      </c>
      <c r="R702" s="28" t="s">
        <v>1794</v>
      </c>
      <c r="S702" s="34" t="str">
        <f>IFERROR(HYPERLINK("#Main!A"&amp;MATCH(A702,Main!A:A,0),"Open"),HYPERLINK("#Main!A1","Open"))</f>
        <v>Open</v>
      </c>
      <c r="T702" s="34" t="str">
        <f>IFERROR(HYPERLINK("#Technical!A"&amp;MATCH(A702,Technical!A:A,0),"Open"),HYPERLINK("#Technical!A1","Open"))</f>
        <v>Open</v>
      </c>
      <c r="U702" s="34"/>
    </row>
    <row r="703" spans="1:21" ht="45" customHeight="1" x14ac:dyDescent="0.25">
      <c r="A703" s="30" t="s">
        <v>546</v>
      </c>
      <c r="B703" s="37">
        <v>16104</v>
      </c>
      <c r="C703" s="55" t="s">
        <v>1061</v>
      </c>
      <c r="D703" s="37" t="s">
        <v>1407</v>
      </c>
      <c r="E703" s="47" t="s">
        <v>388</v>
      </c>
      <c r="F703" s="37" t="s">
        <v>1790</v>
      </c>
      <c r="G703" s="42">
        <v>37</v>
      </c>
      <c r="H703" s="37" t="b">
        <v>0</v>
      </c>
      <c r="I703" s="37" t="s">
        <v>1791</v>
      </c>
      <c r="J703" s="37" t="s">
        <v>1792</v>
      </c>
      <c r="K703" s="57" t="s">
        <v>20</v>
      </c>
      <c r="L703" s="37" t="s">
        <v>890</v>
      </c>
      <c r="M703" s="37" t="s">
        <v>392</v>
      </c>
      <c r="N703" s="37" t="s">
        <v>330</v>
      </c>
      <c r="O703" s="29" t="s">
        <v>2</v>
      </c>
      <c r="P703" s="37">
        <v>4</v>
      </c>
      <c r="Q703" s="37" t="s">
        <v>1831</v>
      </c>
      <c r="R703" s="37" t="s">
        <v>1794</v>
      </c>
      <c r="S703" t="str">
        <f>IFERROR(HYPERLINK("#Main!A"&amp;MATCH(A703,Main!A:A,0),"Open"),HYPERLINK("#Main!A1","Open"))</f>
        <v>Open</v>
      </c>
      <c r="T703" t="str">
        <f>IFERROR(HYPERLINK("#Technical!A"&amp;MATCH(A703,Technical!A:A,0),"Open"),HYPERLINK("#Technical!A1","Open"))</f>
        <v>Open</v>
      </c>
    </row>
    <row r="704" spans="1:21" ht="45" customHeight="1" x14ac:dyDescent="0.25">
      <c r="A704" s="33" t="s">
        <v>483</v>
      </c>
      <c r="B704" s="28"/>
      <c r="C704" s="28"/>
      <c r="D704" s="28" t="s">
        <v>1407</v>
      </c>
      <c r="E704" s="47" t="s">
        <v>388</v>
      </c>
      <c r="F704" s="28" t="s">
        <v>1790</v>
      </c>
      <c r="G704" s="39">
        <v>37</v>
      </c>
      <c r="H704" s="28" t="b">
        <v>0</v>
      </c>
      <c r="I704" s="28" t="s">
        <v>1791</v>
      </c>
      <c r="J704" s="28" t="s">
        <v>1792</v>
      </c>
      <c r="K704" s="56" t="s">
        <v>20</v>
      </c>
      <c r="L704" s="28" t="s">
        <v>890</v>
      </c>
      <c r="M704" s="28" t="s">
        <v>392</v>
      </c>
      <c r="N704" s="28" t="s">
        <v>330</v>
      </c>
      <c r="O704" s="29" t="s">
        <v>2</v>
      </c>
      <c r="P704" s="28">
        <v>4</v>
      </c>
      <c r="Q704" s="28" t="s">
        <v>1832</v>
      </c>
      <c r="R704" s="28" t="s">
        <v>1794</v>
      </c>
      <c r="S704" s="34" t="str">
        <f>IFERROR(HYPERLINK("#Main!A"&amp;MATCH(A704,Main!A:A,0),"Open"),HYPERLINK("#Main!A1","Open"))</f>
        <v>Open</v>
      </c>
      <c r="T704" s="34" t="str">
        <f>IFERROR(HYPERLINK("#Technical!A"&amp;MATCH(A704,Technical!A:A,0),"Open"),HYPERLINK("#Technical!A1","Open"))</f>
        <v>Open</v>
      </c>
      <c r="U704" s="34"/>
    </row>
    <row r="705" spans="1:21" ht="45" customHeight="1" x14ac:dyDescent="0.25">
      <c r="A705" s="30" t="s">
        <v>549</v>
      </c>
      <c r="B705" s="37">
        <v>23021</v>
      </c>
      <c r="C705" s="55" t="s">
        <v>1063</v>
      </c>
      <c r="D705" s="37" t="s">
        <v>1407</v>
      </c>
      <c r="E705" s="47" t="s">
        <v>388</v>
      </c>
      <c r="F705" s="37" t="s">
        <v>1790</v>
      </c>
      <c r="G705" s="42">
        <v>37</v>
      </c>
      <c r="H705" s="37" t="b">
        <v>0</v>
      </c>
      <c r="I705" s="37" t="s">
        <v>1791</v>
      </c>
      <c r="J705" s="37" t="s">
        <v>1792</v>
      </c>
      <c r="K705" s="57" t="s">
        <v>20</v>
      </c>
      <c r="L705" s="37" t="s">
        <v>890</v>
      </c>
      <c r="M705" s="37" t="s">
        <v>392</v>
      </c>
      <c r="N705" s="37" t="s">
        <v>330</v>
      </c>
      <c r="O705" s="29" t="s">
        <v>2</v>
      </c>
      <c r="P705" s="37">
        <v>4</v>
      </c>
      <c r="Q705" s="37" t="s">
        <v>1833</v>
      </c>
      <c r="R705" s="37" t="s">
        <v>1794</v>
      </c>
      <c r="S705" t="str">
        <f>IFERROR(HYPERLINK("#Main!A"&amp;MATCH(A705,Main!A:A,0),"Open"),HYPERLINK("#Main!A1","Open"))</f>
        <v>Open</v>
      </c>
      <c r="T705" t="str">
        <f>IFERROR(HYPERLINK("#Technical!A"&amp;MATCH(A705,Technical!A:A,0),"Open"),HYPERLINK("#Technical!A1","Open"))</f>
        <v>Open</v>
      </c>
    </row>
    <row r="706" spans="1:21" ht="45" customHeight="1" x14ac:dyDescent="0.25">
      <c r="A706" s="33" t="s">
        <v>552</v>
      </c>
      <c r="B706" s="28">
        <v>6553</v>
      </c>
      <c r="C706" s="55" t="s">
        <v>1065</v>
      </c>
      <c r="D706" s="28" t="s">
        <v>1407</v>
      </c>
      <c r="E706" s="47" t="s">
        <v>388</v>
      </c>
      <c r="F706" s="28" t="s">
        <v>1790</v>
      </c>
      <c r="G706" s="39">
        <v>37</v>
      </c>
      <c r="H706" s="28" t="b">
        <v>0</v>
      </c>
      <c r="I706" s="28" t="s">
        <v>1791</v>
      </c>
      <c r="J706" s="28" t="s">
        <v>1792</v>
      </c>
      <c r="K706" s="56" t="s">
        <v>20</v>
      </c>
      <c r="L706" s="28" t="s">
        <v>890</v>
      </c>
      <c r="M706" s="28" t="s">
        <v>392</v>
      </c>
      <c r="N706" s="28" t="s">
        <v>330</v>
      </c>
      <c r="O706" s="29" t="s">
        <v>2</v>
      </c>
      <c r="P706" s="28">
        <v>4</v>
      </c>
      <c r="Q706" s="28" t="s">
        <v>1834</v>
      </c>
      <c r="R706" s="28" t="s">
        <v>1794</v>
      </c>
      <c r="S706" s="34" t="str">
        <f>IFERROR(HYPERLINK("#Main!A"&amp;MATCH(A706,Main!A:A,0),"Open"),HYPERLINK("#Main!A1","Open"))</f>
        <v>Open</v>
      </c>
      <c r="T706" s="34" t="str">
        <f>IFERROR(HYPERLINK("#Technical!A"&amp;MATCH(A706,Technical!A:A,0),"Open"),HYPERLINK("#Technical!A1","Open"))</f>
        <v>Open</v>
      </c>
      <c r="U706" s="34"/>
    </row>
    <row r="707" spans="1:21" ht="45" customHeight="1" x14ac:dyDescent="0.25">
      <c r="A707" s="30" t="s">
        <v>555</v>
      </c>
      <c r="B707" s="37">
        <v>6816</v>
      </c>
      <c r="C707" s="55" t="s">
        <v>1067</v>
      </c>
      <c r="D707" s="37" t="s">
        <v>1407</v>
      </c>
      <c r="E707" s="47" t="s">
        <v>388</v>
      </c>
      <c r="F707" s="37" t="s">
        <v>1790</v>
      </c>
      <c r="G707" s="42">
        <v>37</v>
      </c>
      <c r="H707" s="37" t="b">
        <v>0</v>
      </c>
      <c r="I707" s="37" t="s">
        <v>1791</v>
      </c>
      <c r="J707" s="37" t="s">
        <v>1792</v>
      </c>
      <c r="K707" s="57" t="s">
        <v>20</v>
      </c>
      <c r="L707" s="37" t="s">
        <v>890</v>
      </c>
      <c r="M707" s="37" t="s">
        <v>392</v>
      </c>
      <c r="N707" s="37" t="s">
        <v>330</v>
      </c>
      <c r="O707" s="29" t="s">
        <v>2</v>
      </c>
      <c r="P707" s="37">
        <v>4</v>
      </c>
      <c r="Q707" s="37" t="s">
        <v>1835</v>
      </c>
      <c r="R707" s="37" t="s">
        <v>1794</v>
      </c>
      <c r="S707" t="str">
        <f>IFERROR(HYPERLINK("#Main!A"&amp;MATCH(A707,Main!A:A,0),"Open"),HYPERLINK("#Main!A1","Open"))</f>
        <v>Open</v>
      </c>
      <c r="T707" t="str">
        <f>IFERROR(HYPERLINK("#Technical!A"&amp;MATCH(A707,Technical!A:A,0),"Open"),HYPERLINK("#Technical!A1","Open"))</f>
        <v>Open</v>
      </c>
    </row>
    <row r="708" spans="1:21" ht="45" customHeight="1" x14ac:dyDescent="0.25">
      <c r="A708" s="33" t="s">
        <v>557</v>
      </c>
      <c r="B708" s="28">
        <v>6822</v>
      </c>
      <c r="C708" s="55" t="s">
        <v>1069</v>
      </c>
      <c r="D708" s="28" t="s">
        <v>1407</v>
      </c>
      <c r="E708" s="47" t="s">
        <v>388</v>
      </c>
      <c r="F708" s="28" t="s">
        <v>1790</v>
      </c>
      <c r="G708" s="39">
        <v>37</v>
      </c>
      <c r="H708" s="28" t="b">
        <v>0</v>
      </c>
      <c r="I708" s="28" t="s">
        <v>1791</v>
      </c>
      <c r="J708" s="28" t="s">
        <v>1792</v>
      </c>
      <c r="K708" s="56" t="s">
        <v>20</v>
      </c>
      <c r="L708" s="28" t="s">
        <v>890</v>
      </c>
      <c r="M708" s="28" t="s">
        <v>392</v>
      </c>
      <c r="N708" s="28" t="s">
        <v>330</v>
      </c>
      <c r="O708" s="29" t="s">
        <v>2</v>
      </c>
      <c r="P708" s="28">
        <v>4</v>
      </c>
      <c r="Q708" s="28" t="s">
        <v>1836</v>
      </c>
      <c r="R708" s="28" t="s">
        <v>1794</v>
      </c>
      <c r="S708" s="34" t="str">
        <f>IFERROR(HYPERLINK("#Main!A"&amp;MATCH(A708,Main!A:A,0),"Open"),HYPERLINK("#Main!A1","Open"))</f>
        <v>Open</v>
      </c>
      <c r="T708" s="34" t="str">
        <f>IFERROR(HYPERLINK("#Technical!A"&amp;MATCH(A708,Technical!A:A,0),"Open"),HYPERLINK("#Technical!A1","Open"))</f>
        <v>Open</v>
      </c>
      <c r="U708" s="34"/>
    </row>
    <row r="709" spans="1:21" ht="45" customHeight="1" x14ac:dyDescent="0.25">
      <c r="A709" s="30" t="s">
        <v>560</v>
      </c>
      <c r="B709" s="37">
        <v>4492</v>
      </c>
      <c r="C709" s="55" t="s">
        <v>1071</v>
      </c>
      <c r="D709" s="37" t="s">
        <v>1407</v>
      </c>
      <c r="E709" s="47" t="s">
        <v>388</v>
      </c>
      <c r="F709" s="37" t="s">
        <v>1790</v>
      </c>
      <c r="G709" s="42">
        <v>37</v>
      </c>
      <c r="H709" s="37" t="b">
        <v>0</v>
      </c>
      <c r="I709" s="37" t="s">
        <v>1791</v>
      </c>
      <c r="J709" s="37" t="s">
        <v>1792</v>
      </c>
      <c r="K709" s="57" t="s">
        <v>20</v>
      </c>
      <c r="L709" s="37" t="s">
        <v>890</v>
      </c>
      <c r="M709" s="37" t="s">
        <v>392</v>
      </c>
      <c r="N709" s="37" t="s">
        <v>330</v>
      </c>
      <c r="O709" s="29" t="s">
        <v>2</v>
      </c>
      <c r="P709" s="37">
        <v>4</v>
      </c>
      <c r="Q709" s="37" t="s">
        <v>1837</v>
      </c>
      <c r="R709" s="37" t="s">
        <v>1794</v>
      </c>
      <c r="S709" t="str">
        <f>IFERROR(HYPERLINK("#Main!A"&amp;MATCH(A709,Main!A:A,0),"Open"),HYPERLINK("#Main!A1","Open"))</f>
        <v>Open</v>
      </c>
      <c r="T709" t="str">
        <f>IFERROR(HYPERLINK("#Technical!A"&amp;MATCH(A709,Technical!A:A,0),"Open"),HYPERLINK("#Technical!A1","Open"))</f>
        <v>Open</v>
      </c>
    </row>
    <row r="710" spans="1:21" ht="45" customHeight="1" x14ac:dyDescent="0.25">
      <c r="A710" s="33" t="s">
        <v>563</v>
      </c>
      <c r="B710" s="28">
        <v>23001</v>
      </c>
      <c r="C710" s="55" t="s">
        <v>1073</v>
      </c>
      <c r="D710" s="28" t="s">
        <v>1407</v>
      </c>
      <c r="E710" s="47" t="s">
        <v>388</v>
      </c>
      <c r="F710" s="28" t="s">
        <v>1790</v>
      </c>
      <c r="G710" s="39">
        <v>37</v>
      </c>
      <c r="H710" s="28" t="b">
        <v>0</v>
      </c>
      <c r="I710" s="28" t="s">
        <v>1791</v>
      </c>
      <c r="J710" s="28" t="s">
        <v>1792</v>
      </c>
      <c r="K710" s="56" t="s">
        <v>20</v>
      </c>
      <c r="L710" s="28" t="s">
        <v>890</v>
      </c>
      <c r="M710" s="28" t="s">
        <v>392</v>
      </c>
      <c r="N710" s="28" t="s">
        <v>330</v>
      </c>
      <c r="O710" s="29" t="s">
        <v>2</v>
      </c>
      <c r="P710" s="28">
        <v>4</v>
      </c>
      <c r="Q710" s="28" t="s">
        <v>1838</v>
      </c>
      <c r="R710" s="28" t="s">
        <v>1794</v>
      </c>
      <c r="S710" s="34" t="str">
        <f>IFERROR(HYPERLINK("#Main!A"&amp;MATCH(A710,Main!A:A,0),"Open"),HYPERLINK("#Main!A1","Open"))</f>
        <v>Open</v>
      </c>
      <c r="T710" s="34" t="str">
        <f>IFERROR(HYPERLINK("#Technical!A"&amp;MATCH(A710,Technical!A:A,0),"Open"),HYPERLINK("#Technical!A1","Open"))</f>
        <v>Open</v>
      </c>
      <c r="U710" s="34"/>
    </row>
    <row r="711" spans="1:21" ht="45" customHeight="1" x14ac:dyDescent="0.25">
      <c r="A711" s="30" t="s">
        <v>566</v>
      </c>
      <c r="B711" s="37">
        <v>21952</v>
      </c>
      <c r="C711" s="55" t="s">
        <v>1075</v>
      </c>
      <c r="D711" s="37" t="s">
        <v>1407</v>
      </c>
      <c r="E711" s="47" t="s">
        <v>388</v>
      </c>
      <c r="F711" s="37" t="s">
        <v>1790</v>
      </c>
      <c r="G711" s="42">
        <v>37</v>
      </c>
      <c r="H711" s="37" t="b">
        <v>0</v>
      </c>
      <c r="I711" s="37" t="s">
        <v>1791</v>
      </c>
      <c r="J711" s="37" t="s">
        <v>1792</v>
      </c>
      <c r="K711" s="57" t="s">
        <v>20</v>
      </c>
      <c r="L711" s="37" t="s">
        <v>890</v>
      </c>
      <c r="M711" s="37" t="s">
        <v>392</v>
      </c>
      <c r="N711" s="37" t="s">
        <v>330</v>
      </c>
      <c r="O711" s="29" t="s">
        <v>2</v>
      </c>
      <c r="P711" s="37">
        <v>4</v>
      </c>
      <c r="Q711" s="37" t="s">
        <v>1839</v>
      </c>
      <c r="R711" s="37" t="s">
        <v>1794</v>
      </c>
      <c r="S711" t="str">
        <f>IFERROR(HYPERLINK("#Main!A"&amp;MATCH(A711,Main!A:A,0),"Open"),HYPERLINK("#Main!A1","Open"))</f>
        <v>Open</v>
      </c>
      <c r="T711" t="str">
        <f>IFERROR(HYPERLINK("#Technical!A"&amp;MATCH(A711,Technical!A:A,0),"Open"),HYPERLINK("#Technical!A1","Open"))</f>
        <v>Open</v>
      </c>
    </row>
    <row r="712" spans="1:21" ht="45" customHeight="1" x14ac:dyDescent="0.25">
      <c r="A712" s="33" t="s">
        <v>570</v>
      </c>
      <c r="B712" s="28">
        <v>22679</v>
      </c>
      <c r="C712" s="55" t="s">
        <v>1077</v>
      </c>
      <c r="D712" s="28" t="s">
        <v>1407</v>
      </c>
      <c r="E712" s="47" t="s">
        <v>388</v>
      </c>
      <c r="F712" s="28" t="s">
        <v>1790</v>
      </c>
      <c r="G712" s="39">
        <v>37</v>
      </c>
      <c r="H712" s="28" t="b">
        <v>0</v>
      </c>
      <c r="I712" s="28" t="s">
        <v>1791</v>
      </c>
      <c r="J712" s="28" t="s">
        <v>1792</v>
      </c>
      <c r="K712" s="56" t="s">
        <v>20</v>
      </c>
      <c r="L712" s="28" t="s">
        <v>890</v>
      </c>
      <c r="M712" s="28" t="s">
        <v>392</v>
      </c>
      <c r="N712" s="28" t="s">
        <v>330</v>
      </c>
      <c r="O712" s="29" t="s">
        <v>2</v>
      </c>
      <c r="P712" s="28">
        <v>4</v>
      </c>
      <c r="Q712" s="28" t="s">
        <v>1840</v>
      </c>
      <c r="R712" s="28" t="s">
        <v>1794</v>
      </c>
      <c r="S712" s="34" t="str">
        <f>IFERROR(HYPERLINK("#Main!A"&amp;MATCH(A712,Main!A:A,0),"Open"),HYPERLINK("#Main!A1","Open"))</f>
        <v>Open</v>
      </c>
      <c r="T712" s="34" t="str">
        <f>IFERROR(HYPERLINK("#Technical!A"&amp;MATCH(A712,Technical!A:A,0),"Open"),HYPERLINK("#Technical!A1","Open"))</f>
        <v>Open</v>
      </c>
      <c r="U712" s="34"/>
    </row>
    <row r="713" spans="1:21" ht="45" customHeight="1" x14ac:dyDescent="0.25">
      <c r="A713" s="30" t="s">
        <v>573</v>
      </c>
      <c r="B713" s="37">
        <v>34622</v>
      </c>
      <c r="C713" s="55" t="s">
        <v>1079</v>
      </c>
      <c r="D713" s="37" t="s">
        <v>1407</v>
      </c>
      <c r="E713" s="47" t="s">
        <v>388</v>
      </c>
      <c r="F713" s="37" t="s">
        <v>1790</v>
      </c>
      <c r="G713" s="42">
        <v>37</v>
      </c>
      <c r="H713" s="37" t="b">
        <v>0</v>
      </c>
      <c r="I713" s="37" t="s">
        <v>1791</v>
      </c>
      <c r="J713" s="37" t="s">
        <v>1792</v>
      </c>
      <c r="K713" s="57" t="s">
        <v>20</v>
      </c>
      <c r="L713" s="37" t="s">
        <v>890</v>
      </c>
      <c r="M713" s="37" t="s">
        <v>392</v>
      </c>
      <c r="N713" s="37" t="s">
        <v>330</v>
      </c>
      <c r="O713" s="29" t="s">
        <v>2</v>
      </c>
      <c r="P713" s="37">
        <v>4</v>
      </c>
      <c r="Q713" s="37" t="s">
        <v>1841</v>
      </c>
      <c r="R713" s="37" t="s">
        <v>1794</v>
      </c>
      <c r="S713" t="str">
        <f>IFERROR(HYPERLINK("#Main!A"&amp;MATCH(A713,Main!A:A,0),"Open"),HYPERLINK("#Main!A1","Open"))</f>
        <v>Open</v>
      </c>
      <c r="T713" t="str">
        <f>IFERROR(HYPERLINK("#Technical!A"&amp;MATCH(A713,Technical!A:A,0),"Open"),HYPERLINK("#Technical!A1","Open"))</f>
        <v>Open</v>
      </c>
    </row>
    <row r="714" spans="1:21" ht="45" customHeight="1" x14ac:dyDescent="0.25">
      <c r="A714" s="33" t="s">
        <v>577</v>
      </c>
      <c r="B714" s="28">
        <v>32554</v>
      </c>
      <c r="C714" s="55" t="s">
        <v>1081</v>
      </c>
      <c r="D714" s="28" t="s">
        <v>1407</v>
      </c>
      <c r="E714" s="47" t="s">
        <v>388</v>
      </c>
      <c r="F714" s="28" t="s">
        <v>1790</v>
      </c>
      <c r="G714" s="39">
        <v>37</v>
      </c>
      <c r="H714" s="28" t="b">
        <v>0</v>
      </c>
      <c r="I714" s="28" t="s">
        <v>1791</v>
      </c>
      <c r="J714" s="28" t="s">
        <v>1792</v>
      </c>
      <c r="K714" s="56" t="s">
        <v>20</v>
      </c>
      <c r="L714" s="28" t="s">
        <v>890</v>
      </c>
      <c r="M714" s="28" t="s">
        <v>392</v>
      </c>
      <c r="N714" s="28" t="s">
        <v>330</v>
      </c>
      <c r="O714" s="29" t="s">
        <v>2</v>
      </c>
      <c r="P714" s="28">
        <v>4</v>
      </c>
      <c r="Q714" s="28" t="s">
        <v>1842</v>
      </c>
      <c r="R714" s="28" t="s">
        <v>1794</v>
      </c>
      <c r="S714" s="34" t="str">
        <f>IFERROR(HYPERLINK("#Main!A"&amp;MATCH(A714,Main!A:A,0),"Open"),HYPERLINK("#Main!A1","Open"))</f>
        <v>Open</v>
      </c>
      <c r="T714" s="34" t="str">
        <f>IFERROR(HYPERLINK("#Technical!A"&amp;MATCH(A714,Technical!A:A,0),"Open"),HYPERLINK("#Technical!A1","Open"))</f>
        <v>Open</v>
      </c>
      <c r="U714" s="34"/>
    </row>
    <row r="715" spans="1:21" ht="45" customHeight="1" x14ac:dyDescent="0.25">
      <c r="A715" s="30" t="s">
        <v>579</v>
      </c>
      <c r="B715" s="37">
        <v>34552</v>
      </c>
      <c r="C715" s="55" t="s">
        <v>1083</v>
      </c>
      <c r="D715" s="37" t="s">
        <v>1407</v>
      </c>
      <c r="E715" s="47" t="s">
        <v>388</v>
      </c>
      <c r="F715" s="37" t="s">
        <v>1790</v>
      </c>
      <c r="G715" s="42">
        <v>37</v>
      </c>
      <c r="H715" s="37" t="b">
        <v>0</v>
      </c>
      <c r="I715" s="37" t="s">
        <v>1791</v>
      </c>
      <c r="J715" s="37" t="s">
        <v>1792</v>
      </c>
      <c r="K715" s="57" t="s">
        <v>20</v>
      </c>
      <c r="L715" s="37" t="s">
        <v>890</v>
      </c>
      <c r="M715" s="37" t="s">
        <v>392</v>
      </c>
      <c r="N715" s="37" t="s">
        <v>330</v>
      </c>
      <c r="O715" s="29" t="s">
        <v>2</v>
      </c>
      <c r="P715" s="37">
        <v>4</v>
      </c>
      <c r="Q715" s="37" t="s">
        <v>1843</v>
      </c>
      <c r="R715" s="37" t="s">
        <v>1794</v>
      </c>
      <c r="S715" t="str">
        <f>IFERROR(HYPERLINK("#Main!A"&amp;MATCH(A715,Main!A:A,0),"Open"),HYPERLINK("#Main!A1","Open"))</f>
        <v>Open</v>
      </c>
      <c r="T715" t="str">
        <f>IFERROR(HYPERLINK("#Technical!A"&amp;MATCH(A715,Technical!A:A,0),"Open"),HYPERLINK("#Technical!A1","Open"))</f>
        <v>Open</v>
      </c>
    </row>
    <row r="716" spans="1:21" ht="45" customHeight="1" x14ac:dyDescent="0.25">
      <c r="A716" s="33" t="s">
        <v>582</v>
      </c>
      <c r="B716" s="28">
        <v>28742</v>
      </c>
      <c r="C716" s="55" t="s">
        <v>1085</v>
      </c>
      <c r="D716" s="28" t="s">
        <v>1407</v>
      </c>
      <c r="E716" s="47" t="s">
        <v>388</v>
      </c>
      <c r="F716" s="28" t="s">
        <v>1790</v>
      </c>
      <c r="G716" s="39">
        <v>37</v>
      </c>
      <c r="H716" s="28" t="b">
        <v>0</v>
      </c>
      <c r="I716" s="28" t="s">
        <v>1791</v>
      </c>
      <c r="J716" s="28" t="s">
        <v>1792</v>
      </c>
      <c r="K716" s="56" t="s">
        <v>20</v>
      </c>
      <c r="L716" s="28" t="s">
        <v>890</v>
      </c>
      <c r="M716" s="28" t="s">
        <v>392</v>
      </c>
      <c r="N716" s="28" t="s">
        <v>330</v>
      </c>
      <c r="O716" s="29" t="s">
        <v>2</v>
      </c>
      <c r="P716" s="28">
        <v>4</v>
      </c>
      <c r="Q716" s="28" t="s">
        <v>1844</v>
      </c>
      <c r="R716" s="28" t="s">
        <v>1794</v>
      </c>
      <c r="S716" s="34" t="str">
        <f>IFERROR(HYPERLINK("#Main!A"&amp;MATCH(A716,Main!A:A,0),"Open"),HYPERLINK("#Main!A1","Open"))</f>
        <v>Open</v>
      </c>
      <c r="T716" s="34" t="str">
        <f>IFERROR(HYPERLINK("#Technical!A"&amp;MATCH(A716,Technical!A:A,0),"Open"),HYPERLINK("#Technical!A1","Open"))</f>
        <v>Open</v>
      </c>
      <c r="U716" s="34"/>
    </row>
    <row r="717" spans="1:21" ht="45" customHeight="1" x14ac:dyDescent="0.25">
      <c r="A717" s="30" t="s">
        <v>585</v>
      </c>
      <c r="B717" s="37">
        <v>9075</v>
      </c>
      <c r="C717" s="55" t="s">
        <v>1087</v>
      </c>
      <c r="D717" s="37" t="s">
        <v>1407</v>
      </c>
      <c r="E717" s="47" t="s">
        <v>388</v>
      </c>
      <c r="F717" s="37" t="s">
        <v>1790</v>
      </c>
      <c r="G717" s="42">
        <v>37</v>
      </c>
      <c r="H717" s="37" t="b">
        <v>0</v>
      </c>
      <c r="I717" s="37" t="s">
        <v>1791</v>
      </c>
      <c r="J717" s="37" t="s">
        <v>1792</v>
      </c>
      <c r="K717" s="57" t="s">
        <v>20</v>
      </c>
      <c r="L717" s="37" t="s">
        <v>890</v>
      </c>
      <c r="M717" s="37" t="s">
        <v>392</v>
      </c>
      <c r="N717" s="37" t="s">
        <v>330</v>
      </c>
      <c r="O717" s="29" t="s">
        <v>2</v>
      </c>
      <c r="P717" s="37">
        <v>4</v>
      </c>
      <c r="Q717" s="37" t="s">
        <v>1845</v>
      </c>
      <c r="R717" s="37" t="s">
        <v>1794</v>
      </c>
      <c r="S717" t="str">
        <f>IFERROR(HYPERLINK("#Main!A"&amp;MATCH(A717,Main!A:A,0),"Open"),HYPERLINK("#Main!A1","Open"))</f>
        <v>Open</v>
      </c>
      <c r="T717" t="str">
        <f>IFERROR(HYPERLINK("#Technical!A"&amp;MATCH(A717,Technical!A:A,0),"Open"),HYPERLINK("#Technical!A1","Open"))</f>
        <v>Open</v>
      </c>
    </row>
    <row r="718" spans="1:21" ht="45" customHeight="1" x14ac:dyDescent="0.25">
      <c r="A718" s="33" t="s">
        <v>588</v>
      </c>
      <c r="B718" s="28">
        <v>20001</v>
      </c>
      <c r="C718" s="55" t="s">
        <v>1089</v>
      </c>
      <c r="D718" s="28" t="s">
        <v>1407</v>
      </c>
      <c r="E718" s="47" t="s">
        <v>388</v>
      </c>
      <c r="F718" s="28" t="s">
        <v>1790</v>
      </c>
      <c r="G718" s="39">
        <v>37</v>
      </c>
      <c r="H718" s="28" t="b">
        <v>0</v>
      </c>
      <c r="I718" s="28" t="s">
        <v>1791</v>
      </c>
      <c r="J718" s="28" t="s">
        <v>1792</v>
      </c>
      <c r="K718" s="56" t="s">
        <v>20</v>
      </c>
      <c r="L718" s="28" t="s">
        <v>890</v>
      </c>
      <c r="M718" s="28" t="s">
        <v>392</v>
      </c>
      <c r="N718" s="28" t="s">
        <v>330</v>
      </c>
      <c r="O718" s="29" t="s">
        <v>2</v>
      </c>
      <c r="P718" s="28">
        <v>4</v>
      </c>
      <c r="Q718" s="28" t="s">
        <v>1846</v>
      </c>
      <c r="R718" s="28" t="s">
        <v>1794</v>
      </c>
      <c r="S718" s="34" t="str">
        <f>IFERROR(HYPERLINK("#Main!A"&amp;MATCH(A718,Main!A:A,0),"Open"),HYPERLINK("#Main!A1","Open"))</f>
        <v>Open</v>
      </c>
      <c r="T718" s="34" t="str">
        <f>IFERROR(HYPERLINK("#Technical!A"&amp;MATCH(A718,Technical!A:A,0),"Open"),HYPERLINK("#Technical!A1","Open"))</f>
        <v>Open</v>
      </c>
      <c r="U718" s="34"/>
    </row>
    <row r="719" spans="1:21" ht="45" customHeight="1" x14ac:dyDescent="0.25">
      <c r="A719" s="30" t="s">
        <v>591</v>
      </c>
      <c r="B719" s="37">
        <v>19980</v>
      </c>
      <c r="C719" s="55" t="s">
        <v>1091</v>
      </c>
      <c r="D719" s="37" t="s">
        <v>1407</v>
      </c>
      <c r="E719" s="47" t="s">
        <v>388</v>
      </c>
      <c r="F719" s="37" t="s">
        <v>1790</v>
      </c>
      <c r="G719" s="42">
        <v>37</v>
      </c>
      <c r="H719" s="37" t="b">
        <v>0</v>
      </c>
      <c r="I719" s="37" t="s">
        <v>1791</v>
      </c>
      <c r="J719" s="37" t="s">
        <v>1792</v>
      </c>
      <c r="K719" s="57" t="s">
        <v>20</v>
      </c>
      <c r="L719" s="37" t="s">
        <v>890</v>
      </c>
      <c r="M719" s="37" t="s">
        <v>392</v>
      </c>
      <c r="N719" s="37" t="s">
        <v>330</v>
      </c>
      <c r="O719" s="29" t="s">
        <v>2</v>
      </c>
      <c r="P719" s="37">
        <v>4</v>
      </c>
      <c r="Q719" s="37" t="s">
        <v>1847</v>
      </c>
      <c r="R719" s="37" t="s">
        <v>1794</v>
      </c>
      <c r="S719" t="str">
        <f>IFERROR(HYPERLINK("#Main!A"&amp;MATCH(A719,Main!A:A,0),"Open"),HYPERLINK("#Main!A1","Open"))</f>
        <v>Open</v>
      </c>
      <c r="T719" t="str">
        <f>IFERROR(HYPERLINK("#Technical!A"&amp;MATCH(A719,Technical!A:A,0),"Open"),HYPERLINK("#Technical!A1","Open"))</f>
        <v>Open</v>
      </c>
    </row>
    <row r="720" spans="1:21" ht="45" customHeight="1" x14ac:dyDescent="0.25">
      <c r="A720" s="33" t="s">
        <v>594</v>
      </c>
      <c r="B720" s="28">
        <v>10823</v>
      </c>
      <c r="C720" s="55" t="s">
        <v>1093</v>
      </c>
      <c r="D720" s="28" t="s">
        <v>1407</v>
      </c>
      <c r="E720" s="47" t="s">
        <v>388</v>
      </c>
      <c r="F720" s="28" t="s">
        <v>1790</v>
      </c>
      <c r="G720" s="39">
        <v>37</v>
      </c>
      <c r="H720" s="28" t="b">
        <v>0</v>
      </c>
      <c r="I720" s="28" t="s">
        <v>1791</v>
      </c>
      <c r="J720" s="28" t="s">
        <v>1792</v>
      </c>
      <c r="K720" s="56" t="s">
        <v>20</v>
      </c>
      <c r="L720" s="28" t="s">
        <v>890</v>
      </c>
      <c r="M720" s="28" t="s">
        <v>392</v>
      </c>
      <c r="N720" s="28" t="s">
        <v>330</v>
      </c>
      <c r="O720" s="29" t="s">
        <v>2</v>
      </c>
      <c r="P720" s="28">
        <v>4</v>
      </c>
      <c r="Q720" s="28" t="s">
        <v>1848</v>
      </c>
      <c r="R720" s="28" t="s">
        <v>1794</v>
      </c>
      <c r="S720" s="34" t="str">
        <f>IFERROR(HYPERLINK("#Main!A"&amp;MATCH(A720,Main!A:A,0),"Open"),HYPERLINK("#Main!A1","Open"))</f>
        <v>Open</v>
      </c>
      <c r="T720" s="34" t="str">
        <f>IFERROR(HYPERLINK("#Technical!A"&amp;MATCH(A720,Technical!A:A,0),"Open"),HYPERLINK("#Technical!A1","Open"))</f>
        <v>Open</v>
      </c>
      <c r="U720" s="34"/>
    </row>
    <row r="721" spans="1:21" ht="45" customHeight="1" x14ac:dyDescent="0.25">
      <c r="A721" s="30" t="s">
        <v>597</v>
      </c>
      <c r="B721" s="37">
        <v>17908</v>
      </c>
      <c r="C721" s="55" t="s">
        <v>975</v>
      </c>
      <c r="D721" s="37" t="s">
        <v>1407</v>
      </c>
      <c r="E721" s="47" t="s">
        <v>388</v>
      </c>
      <c r="F721" s="37" t="s">
        <v>1790</v>
      </c>
      <c r="G721" s="42">
        <v>37</v>
      </c>
      <c r="H721" s="37" t="b">
        <v>0</v>
      </c>
      <c r="I721" s="37" t="s">
        <v>1791</v>
      </c>
      <c r="J721" s="37" t="s">
        <v>1792</v>
      </c>
      <c r="K721" s="57" t="s">
        <v>20</v>
      </c>
      <c r="L721" s="37" t="s">
        <v>890</v>
      </c>
      <c r="M721" s="37" t="s">
        <v>392</v>
      </c>
      <c r="N721" s="37" t="s">
        <v>330</v>
      </c>
      <c r="O721" s="29" t="s">
        <v>2</v>
      </c>
      <c r="P721" s="37">
        <v>4</v>
      </c>
      <c r="Q721" s="37" t="s">
        <v>1849</v>
      </c>
      <c r="R721" s="37" t="s">
        <v>1794</v>
      </c>
      <c r="S721" t="str">
        <f>IFERROR(HYPERLINK("#Main!A"&amp;MATCH(A721,Main!A:A,0),"Open"),HYPERLINK("#Main!A1","Open"))</f>
        <v>Open</v>
      </c>
      <c r="T721" t="str">
        <f>IFERROR(HYPERLINK("#Technical!A"&amp;MATCH(A721,Technical!A:A,0),"Open"),HYPERLINK("#Technical!A1","Open"))</f>
        <v>Open</v>
      </c>
    </row>
    <row r="722" spans="1:21" ht="45" customHeight="1" x14ac:dyDescent="0.25">
      <c r="A722" s="33" t="s">
        <v>601</v>
      </c>
      <c r="B722" s="28">
        <v>24640</v>
      </c>
      <c r="C722" s="55" t="s">
        <v>1096</v>
      </c>
      <c r="D722" s="28" t="s">
        <v>1407</v>
      </c>
      <c r="E722" s="47" t="s">
        <v>388</v>
      </c>
      <c r="F722" s="28" t="s">
        <v>1790</v>
      </c>
      <c r="G722" s="39">
        <v>37</v>
      </c>
      <c r="H722" s="28" t="b">
        <v>0</v>
      </c>
      <c r="I722" s="28" t="s">
        <v>1791</v>
      </c>
      <c r="J722" s="28" t="s">
        <v>1792</v>
      </c>
      <c r="K722" s="56" t="s">
        <v>20</v>
      </c>
      <c r="L722" s="28" t="s">
        <v>890</v>
      </c>
      <c r="M722" s="28" t="s">
        <v>392</v>
      </c>
      <c r="N722" s="28" t="s">
        <v>330</v>
      </c>
      <c r="O722" s="29" t="s">
        <v>2</v>
      </c>
      <c r="P722" s="28">
        <v>4</v>
      </c>
      <c r="Q722" s="28" t="s">
        <v>1850</v>
      </c>
      <c r="R722" s="28" t="s">
        <v>1794</v>
      </c>
      <c r="S722" s="34" t="str">
        <f>IFERROR(HYPERLINK("#Main!A"&amp;MATCH(A722,Main!A:A,0),"Open"),HYPERLINK("#Main!A1","Open"))</f>
        <v>Open</v>
      </c>
      <c r="T722" s="34" t="str">
        <f>IFERROR(HYPERLINK("#Technical!A"&amp;MATCH(A722,Technical!A:A,0),"Open"),HYPERLINK("#Technical!A1","Open"))</f>
        <v>Open</v>
      </c>
      <c r="U722" s="34"/>
    </row>
    <row r="723" spans="1:21" ht="45" customHeight="1" x14ac:dyDescent="0.25">
      <c r="A723" s="30" t="s">
        <v>604</v>
      </c>
      <c r="B723" s="37">
        <v>16472</v>
      </c>
      <c r="C723" s="55" t="s">
        <v>1098</v>
      </c>
      <c r="D723" s="37" t="s">
        <v>1407</v>
      </c>
      <c r="E723" s="47" t="s">
        <v>388</v>
      </c>
      <c r="F723" s="37" t="s">
        <v>1790</v>
      </c>
      <c r="G723" s="42">
        <v>37</v>
      </c>
      <c r="H723" s="37" t="b">
        <v>0</v>
      </c>
      <c r="I723" s="37" t="s">
        <v>1791</v>
      </c>
      <c r="J723" s="37" t="s">
        <v>1792</v>
      </c>
      <c r="K723" s="57" t="s">
        <v>20</v>
      </c>
      <c r="L723" s="37" t="s">
        <v>890</v>
      </c>
      <c r="M723" s="37" t="s">
        <v>392</v>
      </c>
      <c r="N723" s="37" t="s">
        <v>330</v>
      </c>
      <c r="O723" s="29" t="s">
        <v>2</v>
      </c>
      <c r="P723" s="37">
        <v>4</v>
      </c>
      <c r="Q723" s="37" t="s">
        <v>1851</v>
      </c>
      <c r="R723" s="37" t="s">
        <v>1794</v>
      </c>
      <c r="S723" t="str">
        <f>IFERROR(HYPERLINK("#Main!A"&amp;MATCH(A723,Main!A:A,0),"Open"),HYPERLINK("#Main!A1","Open"))</f>
        <v>Open</v>
      </c>
      <c r="T723" t="str">
        <f>IFERROR(HYPERLINK("#Technical!A"&amp;MATCH(A723,Technical!A:A,0),"Open"),HYPERLINK("#Technical!A1","Open"))</f>
        <v>Open</v>
      </c>
    </row>
    <row r="724" spans="1:21" ht="45" customHeight="1" x14ac:dyDescent="0.25">
      <c r="A724" s="33" t="s">
        <v>608</v>
      </c>
      <c r="B724" s="28">
        <v>92</v>
      </c>
      <c r="C724" s="55" t="s">
        <v>1100</v>
      </c>
      <c r="D724" s="28" t="s">
        <v>1407</v>
      </c>
      <c r="E724" s="47" t="s">
        <v>388</v>
      </c>
      <c r="F724" s="28" t="s">
        <v>1790</v>
      </c>
      <c r="G724" s="39">
        <v>37</v>
      </c>
      <c r="H724" s="28" t="b">
        <v>0</v>
      </c>
      <c r="I724" s="28" t="s">
        <v>1791</v>
      </c>
      <c r="J724" s="28" t="s">
        <v>1792</v>
      </c>
      <c r="K724" s="56" t="s">
        <v>20</v>
      </c>
      <c r="L724" s="28" t="s">
        <v>890</v>
      </c>
      <c r="M724" s="28" t="s">
        <v>392</v>
      </c>
      <c r="N724" s="28" t="s">
        <v>330</v>
      </c>
      <c r="O724" s="29" t="s">
        <v>2</v>
      </c>
      <c r="P724" s="28">
        <v>4</v>
      </c>
      <c r="Q724" s="28" t="s">
        <v>1852</v>
      </c>
      <c r="R724" s="28" t="s">
        <v>1794</v>
      </c>
      <c r="S724" s="34" t="str">
        <f>IFERROR(HYPERLINK("#Main!A"&amp;MATCH(A724,Main!A:A,0),"Open"),HYPERLINK("#Main!A1","Open"))</f>
        <v>Open</v>
      </c>
      <c r="T724" s="34" t="str">
        <f>IFERROR(HYPERLINK("#Technical!A"&amp;MATCH(A724,Technical!A:A,0),"Open"),HYPERLINK("#Technical!A1","Open"))</f>
        <v>Open</v>
      </c>
      <c r="U724" s="34"/>
    </row>
    <row r="725" spans="1:21" ht="45" customHeight="1" x14ac:dyDescent="0.25">
      <c r="A725" s="30" t="s">
        <v>611</v>
      </c>
      <c r="B725" s="37">
        <v>18478</v>
      </c>
      <c r="C725" s="55" t="s">
        <v>1102</v>
      </c>
      <c r="D725" s="37" t="s">
        <v>1407</v>
      </c>
      <c r="E725" s="47" t="s">
        <v>388</v>
      </c>
      <c r="F725" s="37" t="s">
        <v>1790</v>
      </c>
      <c r="G725" s="42">
        <v>37</v>
      </c>
      <c r="H725" s="37" t="b">
        <v>0</v>
      </c>
      <c r="I725" s="37" t="s">
        <v>1791</v>
      </c>
      <c r="J725" s="37" t="s">
        <v>1792</v>
      </c>
      <c r="K725" s="57" t="s">
        <v>20</v>
      </c>
      <c r="L725" s="37" t="s">
        <v>890</v>
      </c>
      <c r="M725" s="37" t="s">
        <v>392</v>
      </c>
      <c r="N725" s="37" t="s">
        <v>330</v>
      </c>
      <c r="O725" s="29" t="s">
        <v>2</v>
      </c>
      <c r="P725" s="37">
        <v>4</v>
      </c>
      <c r="Q725" s="37" t="s">
        <v>1853</v>
      </c>
      <c r="R725" s="37" t="s">
        <v>1794</v>
      </c>
      <c r="S725" t="str">
        <f>IFERROR(HYPERLINK("#Main!A"&amp;MATCH(A725,Main!A:A,0),"Open"),HYPERLINK("#Main!A1","Open"))</f>
        <v>Open</v>
      </c>
      <c r="T725" t="str">
        <f>IFERROR(HYPERLINK("#Technical!A"&amp;MATCH(A725,Technical!A:A,0),"Open"),HYPERLINK("#Technical!A1","Open"))</f>
        <v>Open</v>
      </c>
    </row>
    <row r="726" spans="1:21" ht="45" customHeight="1" x14ac:dyDescent="0.25">
      <c r="A726" s="33" t="s">
        <v>615</v>
      </c>
      <c r="B726" s="28">
        <v>19172</v>
      </c>
      <c r="C726" s="55" t="s">
        <v>1104</v>
      </c>
      <c r="D726" s="28" t="s">
        <v>1407</v>
      </c>
      <c r="E726" s="47" t="s">
        <v>388</v>
      </c>
      <c r="F726" s="28" t="s">
        <v>1790</v>
      </c>
      <c r="G726" s="39">
        <v>37</v>
      </c>
      <c r="H726" s="28" t="b">
        <v>0</v>
      </c>
      <c r="I726" s="28" t="s">
        <v>1791</v>
      </c>
      <c r="J726" s="28" t="s">
        <v>1792</v>
      </c>
      <c r="K726" s="56" t="s">
        <v>20</v>
      </c>
      <c r="L726" s="28" t="s">
        <v>890</v>
      </c>
      <c r="M726" s="28" t="s">
        <v>392</v>
      </c>
      <c r="N726" s="28" t="s">
        <v>330</v>
      </c>
      <c r="O726" s="29" t="s">
        <v>2</v>
      </c>
      <c r="P726" s="28">
        <v>4</v>
      </c>
      <c r="Q726" s="28" t="s">
        <v>1854</v>
      </c>
      <c r="R726" s="28" t="s">
        <v>1794</v>
      </c>
      <c r="S726" s="34" t="str">
        <f>IFERROR(HYPERLINK("#Main!A"&amp;MATCH(A726,Main!A:A,0),"Open"),HYPERLINK("#Main!A1","Open"))</f>
        <v>Open</v>
      </c>
      <c r="T726" s="34" t="str">
        <f>IFERROR(HYPERLINK("#Technical!A"&amp;MATCH(A726,Technical!A:A,0),"Open"),HYPERLINK("#Technical!A1","Open"))</f>
        <v>Open</v>
      </c>
      <c r="U726" s="34"/>
    </row>
    <row r="727" spans="1:21" ht="45" customHeight="1" x14ac:dyDescent="0.25">
      <c r="A727" s="30" t="s">
        <v>618</v>
      </c>
      <c r="B727" s="37">
        <v>88</v>
      </c>
      <c r="C727" s="55" t="s">
        <v>1106</v>
      </c>
      <c r="D727" s="37" t="s">
        <v>1407</v>
      </c>
      <c r="E727" s="47" t="s">
        <v>388</v>
      </c>
      <c r="F727" s="37" t="s">
        <v>1790</v>
      </c>
      <c r="G727" s="42">
        <v>37</v>
      </c>
      <c r="H727" s="37" t="b">
        <v>0</v>
      </c>
      <c r="I727" s="37" t="s">
        <v>1791</v>
      </c>
      <c r="J727" s="37" t="s">
        <v>1792</v>
      </c>
      <c r="K727" s="57" t="s">
        <v>20</v>
      </c>
      <c r="L727" s="37" t="s">
        <v>890</v>
      </c>
      <c r="M727" s="37" t="s">
        <v>392</v>
      </c>
      <c r="N727" s="37" t="s">
        <v>330</v>
      </c>
      <c r="O727" s="29" t="s">
        <v>2</v>
      </c>
      <c r="P727" s="37">
        <v>4</v>
      </c>
      <c r="Q727" s="37" t="s">
        <v>1855</v>
      </c>
      <c r="R727" s="37" t="s">
        <v>1794</v>
      </c>
      <c r="S727" t="str">
        <f>IFERROR(HYPERLINK("#Main!A"&amp;MATCH(A727,Main!A:A,0),"Open"),HYPERLINK("#Main!A1","Open"))</f>
        <v>Open</v>
      </c>
      <c r="T727" t="str">
        <f>IFERROR(HYPERLINK("#Technical!A"&amp;MATCH(A727,Technical!A:A,0),"Open"),HYPERLINK("#Technical!A1","Open"))</f>
        <v>Open</v>
      </c>
    </row>
    <row r="728" spans="1:21" ht="45" customHeight="1" x14ac:dyDescent="0.25">
      <c r="A728" s="33" t="s">
        <v>621</v>
      </c>
      <c r="B728" s="28">
        <v>16548</v>
      </c>
      <c r="C728" s="55" t="s">
        <v>1108</v>
      </c>
      <c r="D728" s="28" t="s">
        <v>1407</v>
      </c>
      <c r="E728" s="47" t="s">
        <v>388</v>
      </c>
      <c r="F728" s="28" t="s">
        <v>1790</v>
      </c>
      <c r="G728" s="39">
        <v>37</v>
      </c>
      <c r="H728" s="28" t="b">
        <v>0</v>
      </c>
      <c r="I728" s="28" t="s">
        <v>1791</v>
      </c>
      <c r="J728" s="28" t="s">
        <v>1792</v>
      </c>
      <c r="K728" s="56" t="s">
        <v>20</v>
      </c>
      <c r="L728" s="28" t="s">
        <v>890</v>
      </c>
      <c r="M728" s="28" t="s">
        <v>392</v>
      </c>
      <c r="N728" s="28" t="s">
        <v>330</v>
      </c>
      <c r="O728" s="29" t="s">
        <v>2</v>
      </c>
      <c r="P728" s="28">
        <v>4</v>
      </c>
      <c r="Q728" s="28" t="s">
        <v>1856</v>
      </c>
      <c r="R728" s="28" t="s">
        <v>1794</v>
      </c>
      <c r="S728" s="34" t="str">
        <f>IFERROR(HYPERLINK("#Main!A"&amp;MATCH(A728,Main!A:A,0),"Open"),HYPERLINK("#Main!A1","Open"))</f>
        <v>Open</v>
      </c>
      <c r="T728" s="34" t="str">
        <f>IFERROR(HYPERLINK("#Technical!A"&amp;MATCH(A728,Technical!A:A,0),"Open"),HYPERLINK("#Technical!A1","Open"))</f>
        <v>Open</v>
      </c>
      <c r="U728" s="34"/>
    </row>
    <row r="729" spans="1:21" ht="45" customHeight="1" x14ac:dyDescent="0.25">
      <c r="A729" s="30" t="s">
        <v>624</v>
      </c>
      <c r="B729" s="37">
        <v>20341</v>
      </c>
      <c r="C729" s="55" t="s">
        <v>1110</v>
      </c>
      <c r="D729" s="37" t="s">
        <v>1407</v>
      </c>
      <c r="E729" s="47" t="s">
        <v>388</v>
      </c>
      <c r="F729" s="37" t="s">
        <v>1790</v>
      </c>
      <c r="G729" s="42">
        <v>37</v>
      </c>
      <c r="H729" s="37" t="b">
        <v>0</v>
      </c>
      <c r="I729" s="37" t="s">
        <v>1791</v>
      </c>
      <c r="J729" s="37" t="s">
        <v>1792</v>
      </c>
      <c r="K729" s="57" t="s">
        <v>20</v>
      </c>
      <c r="L729" s="37" t="s">
        <v>890</v>
      </c>
      <c r="M729" s="37" t="s">
        <v>392</v>
      </c>
      <c r="N729" s="37" t="s">
        <v>330</v>
      </c>
      <c r="O729" s="29" t="s">
        <v>2</v>
      </c>
      <c r="P729" s="37">
        <v>4</v>
      </c>
      <c r="Q729" s="37" t="s">
        <v>1857</v>
      </c>
      <c r="R729" s="37" t="s">
        <v>1794</v>
      </c>
      <c r="S729" t="str">
        <f>IFERROR(HYPERLINK("#Main!A"&amp;MATCH(A729,Main!A:A,0),"Open"),HYPERLINK("#Main!A1","Open"))</f>
        <v>Open</v>
      </c>
      <c r="T729" t="str">
        <f>IFERROR(HYPERLINK("#Technical!A"&amp;MATCH(A729,Technical!A:A,0),"Open"),HYPERLINK("#Technical!A1","Open"))</f>
        <v>Open</v>
      </c>
    </row>
    <row r="730" spans="1:21" ht="45" customHeight="1" x14ac:dyDescent="0.25">
      <c r="A730" s="33" t="s">
        <v>626</v>
      </c>
      <c r="B730" s="28">
        <v>31820</v>
      </c>
      <c r="C730" s="55" t="s">
        <v>1112</v>
      </c>
      <c r="D730" s="28" t="s">
        <v>1407</v>
      </c>
      <c r="E730" s="47" t="s">
        <v>388</v>
      </c>
      <c r="F730" s="28" t="s">
        <v>1790</v>
      </c>
      <c r="G730" s="39">
        <v>37</v>
      </c>
      <c r="H730" s="28" t="b">
        <v>0</v>
      </c>
      <c r="I730" s="28" t="s">
        <v>1791</v>
      </c>
      <c r="J730" s="28" t="s">
        <v>1792</v>
      </c>
      <c r="K730" s="56" t="s">
        <v>20</v>
      </c>
      <c r="L730" s="28" t="s">
        <v>890</v>
      </c>
      <c r="M730" s="28" t="s">
        <v>392</v>
      </c>
      <c r="N730" s="28" t="s">
        <v>330</v>
      </c>
      <c r="O730" s="29" t="s">
        <v>2</v>
      </c>
      <c r="P730" s="28">
        <v>4</v>
      </c>
      <c r="Q730" s="28" t="s">
        <v>1858</v>
      </c>
      <c r="R730" s="28" t="s">
        <v>1794</v>
      </c>
      <c r="S730" s="34" t="str">
        <f>IFERROR(HYPERLINK("#Main!A"&amp;MATCH(A730,Main!A:A,0),"Open"),HYPERLINK("#Main!A1","Open"))</f>
        <v>Open</v>
      </c>
      <c r="T730" s="34" t="str">
        <f>IFERROR(HYPERLINK("#Technical!A"&amp;MATCH(A730,Technical!A:A,0),"Open"),HYPERLINK("#Technical!A1","Open"))</f>
        <v>Open</v>
      </c>
      <c r="U730" s="34"/>
    </row>
    <row r="731" spans="1:21" ht="45" customHeight="1" x14ac:dyDescent="0.25">
      <c r="A731" s="30" t="s">
        <v>629</v>
      </c>
      <c r="B731" s="37">
        <v>5597</v>
      </c>
      <c r="C731" s="55" t="s">
        <v>1114</v>
      </c>
      <c r="D731" s="37" t="s">
        <v>1407</v>
      </c>
      <c r="E731" s="47" t="s">
        <v>388</v>
      </c>
      <c r="F731" s="37" t="s">
        <v>1790</v>
      </c>
      <c r="G731" s="42">
        <v>37</v>
      </c>
      <c r="H731" s="37" t="b">
        <v>0</v>
      </c>
      <c r="I731" s="37" t="s">
        <v>1791</v>
      </c>
      <c r="J731" s="37" t="s">
        <v>1792</v>
      </c>
      <c r="K731" s="57" t="s">
        <v>20</v>
      </c>
      <c r="L731" s="37" t="s">
        <v>890</v>
      </c>
      <c r="M731" s="37" t="s">
        <v>392</v>
      </c>
      <c r="N731" s="37" t="s">
        <v>330</v>
      </c>
      <c r="O731" s="29" t="s">
        <v>2</v>
      </c>
      <c r="P731" s="37">
        <v>4</v>
      </c>
      <c r="Q731" s="37" t="s">
        <v>1859</v>
      </c>
      <c r="R731" s="37" t="s">
        <v>1794</v>
      </c>
      <c r="S731" t="str">
        <f>IFERROR(HYPERLINK("#Main!A"&amp;MATCH(A731,Main!A:A,0),"Open"),HYPERLINK("#Main!A1","Open"))</f>
        <v>Open</v>
      </c>
      <c r="T731" t="str">
        <f>IFERROR(HYPERLINK("#Technical!A"&amp;MATCH(A731,Technical!A:A,0),"Open"),HYPERLINK("#Technical!A1","Open"))</f>
        <v>Open</v>
      </c>
    </row>
    <row r="732" spans="1:21" ht="45" customHeight="1" x14ac:dyDescent="0.25">
      <c r="A732" s="33" t="s">
        <v>632</v>
      </c>
      <c r="B732" s="28">
        <v>33050</v>
      </c>
      <c r="C732" s="55" t="s">
        <v>1116</v>
      </c>
      <c r="D732" s="28" t="s">
        <v>1407</v>
      </c>
      <c r="E732" s="47" t="s">
        <v>388</v>
      </c>
      <c r="F732" s="28" t="s">
        <v>1790</v>
      </c>
      <c r="G732" s="39">
        <v>37</v>
      </c>
      <c r="H732" s="28" t="b">
        <v>0</v>
      </c>
      <c r="I732" s="28" t="s">
        <v>1791</v>
      </c>
      <c r="J732" s="28" t="s">
        <v>1792</v>
      </c>
      <c r="K732" s="56" t="s">
        <v>20</v>
      </c>
      <c r="L732" s="28" t="s">
        <v>890</v>
      </c>
      <c r="M732" s="28" t="s">
        <v>392</v>
      </c>
      <c r="N732" s="28" t="s">
        <v>330</v>
      </c>
      <c r="O732" s="29" t="s">
        <v>2</v>
      </c>
      <c r="P732" s="28">
        <v>4</v>
      </c>
      <c r="Q732" s="28" t="s">
        <v>1860</v>
      </c>
      <c r="R732" s="28" t="s">
        <v>1794</v>
      </c>
      <c r="S732" s="34" t="str">
        <f>IFERROR(HYPERLINK("#Main!A"&amp;MATCH(A732,Main!A:A,0),"Open"),HYPERLINK("#Main!A1","Open"))</f>
        <v>Open</v>
      </c>
      <c r="T732" s="34" t="str">
        <f>IFERROR(HYPERLINK("#Technical!A"&amp;MATCH(A732,Technical!A:A,0),"Open"),HYPERLINK("#Technical!A1","Open"))</f>
        <v>Open</v>
      </c>
      <c r="U732" s="34"/>
    </row>
    <row r="733" spans="1:21" ht="45" customHeight="1" x14ac:dyDescent="0.25">
      <c r="A733" s="30" t="s">
        <v>635</v>
      </c>
      <c r="B733" s="37">
        <v>86</v>
      </c>
      <c r="C733" s="55" t="s">
        <v>1118</v>
      </c>
      <c r="D733" s="37" t="s">
        <v>1407</v>
      </c>
      <c r="E733" s="47" t="s">
        <v>388</v>
      </c>
      <c r="F733" s="37" t="s">
        <v>1790</v>
      </c>
      <c r="G733" s="42">
        <v>37</v>
      </c>
      <c r="H733" s="37" t="b">
        <v>0</v>
      </c>
      <c r="I733" s="37" t="s">
        <v>1791</v>
      </c>
      <c r="J733" s="37" t="s">
        <v>1792</v>
      </c>
      <c r="K733" s="57" t="s">
        <v>20</v>
      </c>
      <c r="L733" s="37" t="s">
        <v>890</v>
      </c>
      <c r="M733" s="37" t="s">
        <v>392</v>
      </c>
      <c r="N733" s="37" t="s">
        <v>330</v>
      </c>
      <c r="O733" s="29" t="s">
        <v>2</v>
      </c>
      <c r="P733" s="37">
        <v>4</v>
      </c>
      <c r="Q733" s="37" t="s">
        <v>1861</v>
      </c>
      <c r="R733" s="37" t="s">
        <v>1794</v>
      </c>
      <c r="S733" t="str">
        <f>IFERROR(HYPERLINK("#Main!A"&amp;MATCH(A733,Main!A:A,0),"Open"),HYPERLINK("#Main!A1","Open"))</f>
        <v>Open</v>
      </c>
      <c r="T733" t="str">
        <f>IFERROR(HYPERLINK("#Technical!A"&amp;MATCH(A733,Technical!A:A,0),"Open"),HYPERLINK("#Technical!A1","Open"))</f>
        <v>Open</v>
      </c>
    </row>
    <row r="734" spans="1:21" ht="45" customHeight="1" x14ac:dyDescent="0.25">
      <c r="A734" s="33" t="s">
        <v>638</v>
      </c>
      <c r="B734" s="28">
        <v>2196</v>
      </c>
      <c r="C734" s="55" t="s">
        <v>1120</v>
      </c>
      <c r="D734" s="28" t="s">
        <v>1407</v>
      </c>
      <c r="E734" s="47" t="s">
        <v>388</v>
      </c>
      <c r="F734" s="28" t="s">
        <v>1790</v>
      </c>
      <c r="G734" s="39">
        <v>37</v>
      </c>
      <c r="H734" s="28" t="b">
        <v>0</v>
      </c>
      <c r="I734" s="28" t="s">
        <v>1791</v>
      </c>
      <c r="J734" s="28" t="s">
        <v>1792</v>
      </c>
      <c r="K734" s="56" t="s">
        <v>20</v>
      </c>
      <c r="L734" s="28" t="s">
        <v>890</v>
      </c>
      <c r="M734" s="28" t="s">
        <v>392</v>
      </c>
      <c r="N734" s="28" t="s">
        <v>330</v>
      </c>
      <c r="O734" s="29" t="s">
        <v>2</v>
      </c>
      <c r="P734" s="28">
        <v>4</v>
      </c>
      <c r="Q734" s="28" t="s">
        <v>1862</v>
      </c>
      <c r="R734" s="28" t="s">
        <v>1794</v>
      </c>
      <c r="S734" s="34" t="str">
        <f>IFERROR(HYPERLINK("#Main!A"&amp;MATCH(A734,Main!A:A,0),"Open"),HYPERLINK("#Main!A1","Open"))</f>
        <v>Open</v>
      </c>
      <c r="T734" s="34" t="str">
        <f>IFERROR(HYPERLINK("#Technical!A"&amp;MATCH(A734,Technical!A:A,0),"Open"),HYPERLINK("#Technical!A1","Open"))</f>
        <v>Open</v>
      </c>
      <c r="U734" s="34"/>
    </row>
    <row r="735" spans="1:21" ht="45" customHeight="1" x14ac:dyDescent="0.25">
      <c r="A735" s="30" t="s">
        <v>641</v>
      </c>
      <c r="B735" s="37">
        <v>3</v>
      </c>
      <c r="C735" s="55" t="s">
        <v>1122</v>
      </c>
      <c r="D735" s="37" t="s">
        <v>1407</v>
      </c>
      <c r="E735" s="47" t="s">
        <v>388</v>
      </c>
      <c r="F735" s="37" t="s">
        <v>1790</v>
      </c>
      <c r="G735" s="42">
        <v>37</v>
      </c>
      <c r="H735" s="37" t="b">
        <v>0</v>
      </c>
      <c r="I735" s="37" t="s">
        <v>1791</v>
      </c>
      <c r="J735" s="37" t="s">
        <v>1792</v>
      </c>
      <c r="K735" s="57" t="s">
        <v>20</v>
      </c>
      <c r="L735" s="37" t="s">
        <v>890</v>
      </c>
      <c r="M735" s="37" t="s">
        <v>392</v>
      </c>
      <c r="N735" s="37" t="s">
        <v>330</v>
      </c>
      <c r="O735" s="29" t="s">
        <v>2</v>
      </c>
      <c r="P735" s="37">
        <v>4</v>
      </c>
      <c r="Q735" s="37" t="s">
        <v>1863</v>
      </c>
      <c r="R735" s="37" t="s">
        <v>1794</v>
      </c>
      <c r="S735" t="str">
        <f>IFERROR(HYPERLINK("#Main!A"&amp;MATCH(A735,Main!A:A,0),"Open"),HYPERLINK("#Main!A1","Open"))</f>
        <v>Open</v>
      </c>
      <c r="T735" t="str">
        <f>IFERROR(HYPERLINK("#Technical!A"&amp;MATCH(A735,Technical!A:A,0),"Open"),HYPERLINK("#Technical!A1","Open"))</f>
        <v>Open</v>
      </c>
    </row>
    <row r="736" spans="1:21" ht="45" customHeight="1" x14ac:dyDescent="0.25">
      <c r="A736" s="33" t="s">
        <v>644</v>
      </c>
      <c r="B736" s="28">
        <v>9047</v>
      </c>
      <c r="C736" s="55" t="s">
        <v>1124</v>
      </c>
      <c r="D736" s="28" t="s">
        <v>1407</v>
      </c>
      <c r="E736" s="47" t="s">
        <v>388</v>
      </c>
      <c r="F736" s="28" t="s">
        <v>1790</v>
      </c>
      <c r="G736" s="39">
        <v>37</v>
      </c>
      <c r="H736" s="28" t="b">
        <v>0</v>
      </c>
      <c r="I736" s="28" t="s">
        <v>1791</v>
      </c>
      <c r="J736" s="28" t="s">
        <v>1792</v>
      </c>
      <c r="K736" s="56" t="s">
        <v>20</v>
      </c>
      <c r="L736" s="28" t="s">
        <v>890</v>
      </c>
      <c r="M736" s="28" t="s">
        <v>392</v>
      </c>
      <c r="N736" s="28" t="s">
        <v>330</v>
      </c>
      <c r="O736" s="29" t="s">
        <v>2</v>
      </c>
      <c r="P736" s="28">
        <v>4</v>
      </c>
      <c r="Q736" s="28" t="s">
        <v>1864</v>
      </c>
      <c r="R736" s="28" t="s">
        <v>1794</v>
      </c>
      <c r="S736" s="34" t="str">
        <f>IFERROR(HYPERLINK("#Main!A"&amp;MATCH(A736,Main!A:A,0),"Open"),HYPERLINK("#Main!A1","Open"))</f>
        <v>Open</v>
      </c>
      <c r="T736" s="34" t="str">
        <f>IFERROR(HYPERLINK("#Technical!A"&amp;MATCH(A736,Technical!A:A,0),"Open"),HYPERLINK("#Technical!A1","Open"))</f>
        <v>Open</v>
      </c>
      <c r="U736" s="34"/>
    </row>
    <row r="737" spans="1:21" ht="45" customHeight="1" x14ac:dyDescent="0.25">
      <c r="A737" s="30" t="s">
        <v>647</v>
      </c>
      <c r="B737" s="37">
        <v>3686</v>
      </c>
      <c r="C737" s="55" t="s">
        <v>1126</v>
      </c>
      <c r="D737" s="37" t="s">
        <v>1407</v>
      </c>
      <c r="E737" s="47" t="s">
        <v>388</v>
      </c>
      <c r="F737" s="37" t="s">
        <v>1790</v>
      </c>
      <c r="G737" s="42">
        <v>37</v>
      </c>
      <c r="H737" s="37" t="b">
        <v>0</v>
      </c>
      <c r="I737" s="37" t="s">
        <v>1791</v>
      </c>
      <c r="J737" s="37" t="s">
        <v>1792</v>
      </c>
      <c r="K737" s="57" t="s">
        <v>20</v>
      </c>
      <c r="L737" s="37" t="s">
        <v>890</v>
      </c>
      <c r="M737" s="37" t="s">
        <v>392</v>
      </c>
      <c r="N737" s="37" t="s">
        <v>330</v>
      </c>
      <c r="O737" s="29" t="s">
        <v>2</v>
      </c>
      <c r="P737" s="37">
        <v>4</v>
      </c>
      <c r="Q737" s="37" t="s">
        <v>1865</v>
      </c>
      <c r="R737" s="37" t="s">
        <v>1794</v>
      </c>
      <c r="S737" t="str">
        <f>IFERROR(HYPERLINK("#Main!A"&amp;MATCH(A737,Main!A:A,0),"Open"),HYPERLINK("#Main!A1","Open"))</f>
        <v>Open</v>
      </c>
      <c r="T737" t="str">
        <f>IFERROR(HYPERLINK("#Technical!A"&amp;MATCH(A737,Technical!A:A,0),"Open"),HYPERLINK("#Technical!A1","Open"))</f>
        <v>Open</v>
      </c>
    </row>
    <row r="738" spans="1:21" ht="45" customHeight="1" x14ac:dyDescent="0.25">
      <c r="A738" s="33" t="s">
        <v>650</v>
      </c>
      <c r="B738" s="28">
        <v>3252</v>
      </c>
      <c r="C738" s="55" t="s">
        <v>1128</v>
      </c>
      <c r="D738" s="28" t="s">
        <v>1407</v>
      </c>
      <c r="E738" s="47" t="s">
        <v>388</v>
      </c>
      <c r="F738" s="28" t="s">
        <v>1790</v>
      </c>
      <c r="G738" s="39">
        <v>37</v>
      </c>
      <c r="H738" s="28" t="b">
        <v>0</v>
      </c>
      <c r="I738" s="28" t="s">
        <v>1791</v>
      </c>
      <c r="J738" s="28" t="s">
        <v>1792</v>
      </c>
      <c r="K738" s="56" t="s">
        <v>20</v>
      </c>
      <c r="L738" s="28" t="s">
        <v>890</v>
      </c>
      <c r="M738" s="28" t="s">
        <v>392</v>
      </c>
      <c r="N738" s="28" t="s">
        <v>330</v>
      </c>
      <c r="O738" s="29" t="s">
        <v>2</v>
      </c>
      <c r="P738" s="28">
        <v>4</v>
      </c>
      <c r="Q738" s="28" t="s">
        <v>1866</v>
      </c>
      <c r="R738" s="28" t="s">
        <v>1794</v>
      </c>
      <c r="S738" s="34" t="str">
        <f>IFERROR(HYPERLINK("#Main!A"&amp;MATCH(A738,Main!A:A,0),"Open"),HYPERLINK("#Main!A1","Open"))</f>
        <v>Open</v>
      </c>
      <c r="T738" s="34" t="str">
        <f>IFERROR(HYPERLINK("#Technical!A"&amp;MATCH(A738,Technical!A:A,0),"Open"),HYPERLINK("#Technical!A1","Open"))</f>
        <v>Open</v>
      </c>
      <c r="U738" s="34"/>
    </row>
    <row r="739" spans="1:21" ht="45" customHeight="1" x14ac:dyDescent="0.25">
      <c r="A739" s="30" t="s">
        <v>652</v>
      </c>
      <c r="B739" s="37">
        <v>21962</v>
      </c>
      <c r="C739" s="55" t="s">
        <v>1130</v>
      </c>
      <c r="D739" s="37" t="s">
        <v>1407</v>
      </c>
      <c r="E739" s="47" t="s">
        <v>388</v>
      </c>
      <c r="F739" s="37" t="s">
        <v>1790</v>
      </c>
      <c r="G739" s="42">
        <v>37</v>
      </c>
      <c r="H739" s="37" t="b">
        <v>0</v>
      </c>
      <c r="I739" s="37" t="s">
        <v>1791</v>
      </c>
      <c r="J739" s="37" t="s">
        <v>1792</v>
      </c>
      <c r="K739" s="57" t="s">
        <v>20</v>
      </c>
      <c r="L739" s="37" t="s">
        <v>890</v>
      </c>
      <c r="M739" s="37" t="s">
        <v>392</v>
      </c>
      <c r="N739" s="37" t="s">
        <v>330</v>
      </c>
      <c r="O739" s="29" t="s">
        <v>2</v>
      </c>
      <c r="P739" s="37">
        <v>4</v>
      </c>
      <c r="Q739" s="37" t="s">
        <v>1867</v>
      </c>
      <c r="R739" s="37" t="s">
        <v>1794</v>
      </c>
      <c r="S739" t="str">
        <f>IFERROR(HYPERLINK("#Main!A"&amp;MATCH(A739,Main!A:A,0),"Open"),HYPERLINK("#Main!A1","Open"))</f>
        <v>Open</v>
      </c>
      <c r="T739" t="str">
        <f>IFERROR(HYPERLINK("#Technical!A"&amp;MATCH(A739,Technical!A:A,0),"Open"),HYPERLINK("#Technical!A1","Open"))</f>
        <v>Open</v>
      </c>
    </row>
    <row r="740" spans="1:21" ht="45" customHeight="1" x14ac:dyDescent="0.25">
      <c r="A740" s="33" t="s">
        <v>655</v>
      </c>
      <c r="B740" s="28">
        <v>3634</v>
      </c>
      <c r="C740" s="55" t="s">
        <v>1132</v>
      </c>
      <c r="D740" s="28" t="s">
        <v>1407</v>
      </c>
      <c r="E740" s="47" t="s">
        <v>388</v>
      </c>
      <c r="F740" s="28" t="s">
        <v>1790</v>
      </c>
      <c r="G740" s="39">
        <v>37</v>
      </c>
      <c r="H740" s="28" t="b">
        <v>0</v>
      </c>
      <c r="I740" s="28" t="s">
        <v>1791</v>
      </c>
      <c r="J740" s="28" t="s">
        <v>1792</v>
      </c>
      <c r="K740" s="56" t="s">
        <v>20</v>
      </c>
      <c r="L740" s="28" t="s">
        <v>890</v>
      </c>
      <c r="M740" s="28" t="s">
        <v>392</v>
      </c>
      <c r="N740" s="28" t="s">
        <v>330</v>
      </c>
      <c r="O740" s="29" t="s">
        <v>2</v>
      </c>
      <c r="P740" s="28">
        <v>4</v>
      </c>
      <c r="Q740" s="28" t="s">
        <v>1868</v>
      </c>
      <c r="R740" s="28" t="s">
        <v>1794</v>
      </c>
      <c r="S740" s="34" t="str">
        <f>IFERROR(HYPERLINK("#Main!A"&amp;MATCH(A740,Main!A:A,0),"Open"),HYPERLINK("#Main!A1","Open"))</f>
        <v>Open</v>
      </c>
      <c r="T740" s="34" t="str">
        <f>IFERROR(HYPERLINK("#Technical!A"&amp;MATCH(A740,Technical!A:A,0),"Open"),HYPERLINK("#Technical!A1","Open"))</f>
        <v>Open</v>
      </c>
      <c r="U740" s="34"/>
    </row>
    <row r="741" spans="1:21" ht="45" customHeight="1" x14ac:dyDescent="0.25">
      <c r="A741" s="30" t="s">
        <v>658</v>
      </c>
      <c r="B741" s="37">
        <v>7781</v>
      </c>
      <c r="C741" s="55" t="s">
        <v>1134</v>
      </c>
      <c r="D741" s="37" t="s">
        <v>1407</v>
      </c>
      <c r="E741" s="47" t="s">
        <v>388</v>
      </c>
      <c r="F741" s="37" t="s">
        <v>1790</v>
      </c>
      <c r="G741" s="42">
        <v>37</v>
      </c>
      <c r="H741" s="37" t="b">
        <v>0</v>
      </c>
      <c r="I741" s="37" t="s">
        <v>1791</v>
      </c>
      <c r="J741" s="37" t="s">
        <v>1792</v>
      </c>
      <c r="K741" s="57" t="s">
        <v>20</v>
      </c>
      <c r="L741" s="37" t="s">
        <v>890</v>
      </c>
      <c r="M741" s="37" t="s">
        <v>392</v>
      </c>
      <c r="N741" s="37" t="s">
        <v>330</v>
      </c>
      <c r="O741" s="29" t="s">
        <v>2</v>
      </c>
      <c r="P741" s="37">
        <v>4</v>
      </c>
      <c r="Q741" s="37" t="s">
        <v>1869</v>
      </c>
      <c r="R741" s="37" t="s">
        <v>1794</v>
      </c>
      <c r="S741" t="str">
        <f>IFERROR(HYPERLINK("#Main!A"&amp;MATCH(A741,Main!A:A,0),"Open"),HYPERLINK("#Main!A1","Open"))</f>
        <v>Open</v>
      </c>
      <c r="T741" t="str">
        <f>IFERROR(HYPERLINK("#Technical!A"&amp;MATCH(A741,Technical!A:A,0),"Open"),HYPERLINK("#Technical!A1","Open"))</f>
        <v>Open</v>
      </c>
    </row>
    <row r="742" spans="1:21" ht="45" customHeight="1" x14ac:dyDescent="0.25">
      <c r="A742" s="33" t="s">
        <v>661</v>
      </c>
      <c r="B742" s="28">
        <v>5490</v>
      </c>
      <c r="C742" s="55" t="s">
        <v>1136</v>
      </c>
      <c r="D742" s="28" t="s">
        <v>1407</v>
      </c>
      <c r="E742" s="47" t="s">
        <v>388</v>
      </c>
      <c r="F742" s="28" t="s">
        <v>1790</v>
      </c>
      <c r="G742" s="39">
        <v>37</v>
      </c>
      <c r="H742" s="28" t="b">
        <v>0</v>
      </c>
      <c r="I742" s="28" t="s">
        <v>1791</v>
      </c>
      <c r="J742" s="28" t="s">
        <v>1792</v>
      </c>
      <c r="K742" s="56" t="s">
        <v>20</v>
      </c>
      <c r="L742" s="28" t="s">
        <v>890</v>
      </c>
      <c r="M742" s="28" t="s">
        <v>392</v>
      </c>
      <c r="N742" s="28" t="s">
        <v>330</v>
      </c>
      <c r="O742" s="29" t="s">
        <v>2</v>
      </c>
      <c r="P742" s="28">
        <v>4</v>
      </c>
      <c r="Q742" s="28" t="s">
        <v>1870</v>
      </c>
      <c r="R742" s="28" t="s">
        <v>1794</v>
      </c>
      <c r="S742" s="34" t="str">
        <f>IFERROR(HYPERLINK("#Main!A"&amp;MATCH(A742,Main!A:A,0),"Open"),HYPERLINK("#Main!A1","Open"))</f>
        <v>Open</v>
      </c>
      <c r="T742" s="34" t="str">
        <f>IFERROR(HYPERLINK("#Technical!A"&amp;MATCH(A742,Technical!A:A,0),"Open"),HYPERLINK("#Technical!A1","Open"))</f>
        <v>Open</v>
      </c>
      <c r="U742" s="34"/>
    </row>
    <row r="743" spans="1:21" ht="45" customHeight="1" x14ac:dyDescent="0.25">
      <c r="A743" s="30" t="s">
        <v>664</v>
      </c>
      <c r="B743" s="37">
        <v>27352</v>
      </c>
      <c r="C743" s="55" t="s">
        <v>1138</v>
      </c>
      <c r="D743" s="37" t="s">
        <v>1407</v>
      </c>
      <c r="E743" s="47" t="s">
        <v>388</v>
      </c>
      <c r="F743" s="37" t="s">
        <v>1790</v>
      </c>
      <c r="G743" s="42">
        <v>37</v>
      </c>
      <c r="H743" s="37" t="b">
        <v>0</v>
      </c>
      <c r="I743" s="37" t="s">
        <v>1791</v>
      </c>
      <c r="J743" s="37" t="s">
        <v>1792</v>
      </c>
      <c r="K743" s="57" t="s">
        <v>20</v>
      </c>
      <c r="L743" s="37" t="s">
        <v>890</v>
      </c>
      <c r="M743" s="37" t="s">
        <v>392</v>
      </c>
      <c r="N743" s="37" t="s">
        <v>330</v>
      </c>
      <c r="O743" s="29" t="s">
        <v>2</v>
      </c>
      <c r="P743" s="37">
        <v>4</v>
      </c>
      <c r="Q743" s="37" t="s">
        <v>1871</v>
      </c>
      <c r="R743" s="37" t="s">
        <v>1794</v>
      </c>
      <c r="S743" t="str">
        <f>IFERROR(HYPERLINK("#Main!A"&amp;MATCH(A743,Main!A:A,0),"Open"),HYPERLINK("#Main!A1","Open"))</f>
        <v>Open</v>
      </c>
      <c r="T743" t="str">
        <f>IFERROR(HYPERLINK("#Technical!A"&amp;MATCH(A743,Technical!A:A,0),"Open"),HYPERLINK("#Technical!A1","Open"))</f>
        <v>Open</v>
      </c>
    </row>
    <row r="744" spans="1:21" ht="45" customHeight="1" x14ac:dyDescent="0.25">
      <c r="A744" s="33" t="s">
        <v>667</v>
      </c>
      <c r="B744" s="28">
        <v>17195</v>
      </c>
      <c r="C744" s="55" t="s">
        <v>1140</v>
      </c>
      <c r="D744" s="28" t="s">
        <v>1407</v>
      </c>
      <c r="E744" s="47" t="s">
        <v>388</v>
      </c>
      <c r="F744" s="28" t="s">
        <v>1790</v>
      </c>
      <c r="G744" s="39">
        <v>37</v>
      </c>
      <c r="H744" s="28" t="b">
        <v>0</v>
      </c>
      <c r="I744" s="28" t="s">
        <v>1791</v>
      </c>
      <c r="J744" s="28" t="s">
        <v>1792</v>
      </c>
      <c r="K744" s="56" t="s">
        <v>20</v>
      </c>
      <c r="L744" s="28" t="s">
        <v>890</v>
      </c>
      <c r="M744" s="28" t="s">
        <v>392</v>
      </c>
      <c r="N744" s="28" t="s">
        <v>330</v>
      </c>
      <c r="O744" s="29" t="s">
        <v>2</v>
      </c>
      <c r="P744" s="28">
        <v>4</v>
      </c>
      <c r="Q744" s="28" t="s">
        <v>1872</v>
      </c>
      <c r="R744" s="28" t="s">
        <v>1794</v>
      </c>
      <c r="S744" s="34" t="str">
        <f>IFERROR(HYPERLINK("#Main!A"&amp;MATCH(A744,Main!A:A,0),"Open"),HYPERLINK("#Main!A1","Open"))</f>
        <v>Open</v>
      </c>
      <c r="T744" s="34" t="str">
        <f>IFERROR(HYPERLINK("#Technical!A"&amp;MATCH(A744,Technical!A:A,0),"Open"),HYPERLINK("#Technical!A1","Open"))</f>
        <v>Open</v>
      </c>
      <c r="U744" s="34"/>
    </row>
    <row r="745" spans="1:21" ht="45" customHeight="1" x14ac:dyDescent="0.25">
      <c r="A745" s="30" t="s">
        <v>670</v>
      </c>
      <c r="B745" s="37">
        <v>21591</v>
      </c>
      <c r="C745" s="55" t="s">
        <v>1142</v>
      </c>
      <c r="D745" s="37" t="s">
        <v>1407</v>
      </c>
      <c r="E745" s="47" t="s">
        <v>388</v>
      </c>
      <c r="F745" s="37" t="s">
        <v>1790</v>
      </c>
      <c r="G745" s="42">
        <v>37</v>
      </c>
      <c r="H745" s="37" t="b">
        <v>0</v>
      </c>
      <c r="I745" s="37" t="s">
        <v>1791</v>
      </c>
      <c r="J745" s="37" t="s">
        <v>1792</v>
      </c>
      <c r="K745" s="57" t="s">
        <v>20</v>
      </c>
      <c r="L745" s="37" t="s">
        <v>890</v>
      </c>
      <c r="M745" s="37" t="s">
        <v>392</v>
      </c>
      <c r="N745" s="37" t="s">
        <v>330</v>
      </c>
      <c r="O745" s="29" t="s">
        <v>2</v>
      </c>
      <c r="P745" s="37">
        <v>4</v>
      </c>
      <c r="Q745" s="37" t="s">
        <v>1873</v>
      </c>
      <c r="R745" s="37" t="s">
        <v>1794</v>
      </c>
      <c r="S745" t="str">
        <f>IFERROR(HYPERLINK("#Main!A"&amp;MATCH(A745,Main!A:A,0),"Open"),HYPERLINK("#Main!A1","Open"))</f>
        <v>Open</v>
      </c>
      <c r="T745" t="str">
        <f>IFERROR(HYPERLINK("#Technical!A"&amp;MATCH(A745,Technical!A:A,0),"Open"),HYPERLINK("#Technical!A1","Open"))</f>
        <v>Open</v>
      </c>
    </row>
    <row r="746" spans="1:21" ht="45" customHeight="1" x14ac:dyDescent="0.25">
      <c r="A746" s="33" t="s">
        <v>673</v>
      </c>
      <c r="B746" s="28">
        <v>7916</v>
      </c>
      <c r="C746" s="55" t="s">
        <v>1144</v>
      </c>
      <c r="D746" s="28" t="s">
        <v>1407</v>
      </c>
      <c r="E746" s="47" t="s">
        <v>388</v>
      </c>
      <c r="F746" s="28" t="s">
        <v>1790</v>
      </c>
      <c r="G746" s="39">
        <v>37</v>
      </c>
      <c r="H746" s="28" t="b">
        <v>0</v>
      </c>
      <c r="I746" s="28" t="s">
        <v>1791</v>
      </c>
      <c r="J746" s="28" t="s">
        <v>1792</v>
      </c>
      <c r="K746" s="56" t="s">
        <v>20</v>
      </c>
      <c r="L746" s="28" t="s">
        <v>890</v>
      </c>
      <c r="M746" s="28" t="s">
        <v>392</v>
      </c>
      <c r="N746" s="28" t="s">
        <v>330</v>
      </c>
      <c r="O746" s="29" t="s">
        <v>2</v>
      </c>
      <c r="P746" s="28">
        <v>4</v>
      </c>
      <c r="Q746" s="28" t="s">
        <v>1874</v>
      </c>
      <c r="R746" s="28" t="s">
        <v>1794</v>
      </c>
      <c r="S746" s="34" t="str">
        <f>IFERROR(HYPERLINK("#Main!A"&amp;MATCH(A746,Main!A:A,0),"Open"),HYPERLINK("#Main!A1","Open"))</f>
        <v>Open</v>
      </c>
      <c r="T746" s="34" t="str">
        <f>IFERROR(HYPERLINK("#Technical!A"&amp;MATCH(A746,Technical!A:A,0),"Open"),HYPERLINK("#Technical!A1","Open"))</f>
        <v>Open</v>
      </c>
      <c r="U746" s="34"/>
    </row>
    <row r="747" spans="1:21" ht="45" customHeight="1" x14ac:dyDescent="0.25">
      <c r="A747" s="30" t="s">
        <v>677</v>
      </c>
      <c r="B747" s="37">
        <v>17000</v>
      </c>
      <c r="C747" s="55" t="s">
        <v>1146</v>
      </c>
      <c r="D747" s="37" t="s">
        <v>1407</v>
      </c>
      <c r="E747" s="47" t="s">
        <v>388</v>
      </c>
      <c r="F747" s="37" t="s">
        <v>1790</v>
      </c>
      <c r="G747" s="42">
        <v>37</v>
      </c>
      <c r="H747" s="37" t="b">
        <v>0</v>
      </c>
      <c r="I747" s="37" t="s">
        <v>1791</v>
      </c>
      <c r="J747" s="37" t="s">
        <v>1792</v>
      </c>
      <c r="K747" s="57" t="s">
        <v>20</v>
      </c>
      <c r="L747" s="37" t="s">
        <v>890</v>
      </c>
      <c r="M747" s="37" t="s">
        <v>392</v>
      </c>
      <c r="N747" s="37" t="s">
        <v>330</v>
      </c>
      <c r="O747" s="29" t="s">
        <v>2</v>
      </c>
      <c r="P747" s="37">
        <v>4</v>
      </c>
      <c r="Q747" s="37" t="s">
        <v>1875</v>
      </c>
      <c r="R747" s="37" t="s">
        <v>1794</v>
      </c>
      <c r="S747" t="str">
        <f>IFERROR(HYPERLINK("#Main!A"&amp;MATCH(A747,Main!A:A,0),"Open"),HYPERLINK("#Main!A1","Open"))</f>
        <v>Open</v>
      </c>
      <c r="T747" t="str">
        <f>IFERROR(HYPERLINK("#Technical!A"&amp;MATCH(A747,Technical!A:A,0),"Open"),HYPERLINK("#Technical!A1","Open"))</f>
        <v>Open</v>
      </c>
    </row>
    <row r="748" spans="1:21" ht="45" customHeight="1" x14ac:dyDescent="0.25">
      <c r="A748" s="33" t="s">
        <v>680</v>
      </c>
      <c r="B748" s="28">
        <v>17196</v>
      </c>
      <c r="C748" s="55" t="s">
        <v>1148</v>
      </c>
      <c r="D748" s="28" t="s">
        <v>1407</v>
      </c>
      <c r="E748" s="47" t="s">
        <v>388</v>
      </c>
      <c r="F748" s="28" t="s">
        <v>1790</v>
      </c>
      <c r="G748" s="39">
        <v>37</v>
      </c>
      <c r="H748" s="28" t="b">
        <v>0</v>
      </c>
      <c r="I748" s="28" t="s">
        <v>1791</v>
      </c>
      <c r="J748" s="28" t="s">
        <v>1792</v>
      </c>
      <c r="K748" s="56" t="s">
        <v>20</v>
      </c>
      <c r="L748" s="28" t="s">
        <v>890</v>
      </c>
      <c r="M748" s="28" t="s">
        <v>392</v>
      </c>
      <c r="N748" s="28" t="s">
        <v>330</v>
      </c>
      <c r="O748" s="29" t="s">
        <v>2</v>
      </c>
      <c r="P748" s="28">
        <v>4</v>
      </c>
      <c r="Q748" s="28" t="s">
        <v>1876</v>
      </c>
      <c r="R748" s="28" t="s">
        <v>1794</v>
      </c>
      <c r="S748" s="34" t="str">
        <f>IFERROR(HYPERLINK("#Main!A"&amp;MATCH(A748,Main!A:A,0),"Open"),HYPERLINK("#Main!A1","Open"))</f>
        <v>Open</v>
      </c>
      <c r="T748" s="34" t="str">
        <f>IFERROR(HYPERLINK("#Technical!A"&amp;MATCH(A748,Technical!A:A,0),"Open"),HYPERLINK("#Technical!A1","Open"))</f>
        <v>Open</v>
      </c>
      <c r="U748" s="34"/>
    </row>
    <row r="749" spans="1:21" ht="45" customHeight="1" x14ac:dyDescent="0.25">
      <c r="A749" s="30" t="s">
        <v>683</v>
      </c>
      <c r="B749" s="37">
        <v>4909</v>
      </c>
      <c r="C749" s="55" t="s">
        <v>1150</v>
      </c>
      <c r="D749" s="37" t="s">
        <v>1407</v>
      </c>
      <c r="E749" s="47" t="s">
        <v>388</v>
      </c>
      <c r="F749" s="37" t="s">
        <v>1790</v>
      </c>
      <c r="G749" s="42">
        <v>37</v>
      </c>
      <c r="H749" s="37" t="b">
        <v>0</v>
      </c>
      <c r="I749" s="37" t="s">
        <v>1791</v>
      </c>
      <c r="J749" s="37" t="s">
        <v>1792</v>
      </c>
      <c r="K749" s="57" t="s">
        <v>20</v>
      </c>
      <c r="L749" s="37" t="s">
        <v>890</v>
      </c>
      <c r="M749" s="37" t="s">
        <v>392</v>
      </c>
      <c r="N749" s="37" t="s">
        <v>330</v>
      </c>
      <c r="O749" s="29" t="s">
        <v>2</v>
      </c>
      <c r="P749" s="37">
        <v>4</v>
      </c>
      <c r="Q749" s="37" t="s">
        <v>1877</v>
      </c>
      <c r="R749" s="37" t="s">
        <v>1794</v>
      </c>
      <c r="S749" t="str">
        <f>IFERROR(HYPERLINK("#Main!A"&amp;MATCH(A749,Main!A:A,0),"Open"),HYPERLINK("#Main!A1","Open"))</f>
        <v>Open</v>
      </c>
      <c r="T749" t="str">
        <f>IFERROR(HYPERLINK("#Technical!A"&amp;MATCH(A749,Technical!A:A,0),"Open"),HYPERLINK("#Technical!A1","Open"))</f>
        <v>Open</v>
      </c>
    </row>
    <row r="750" spans="1:21" ht="45" customHeight="1" x14ac:dyDescent="0.25">
      <c r="A750" s="33" t="s">
        <v>686</v>
      </c>
      <c r="B750" s="28">
        <v>5290</v>
      </c>
      <c r="C750" s="55" t="s">
        <v>1152</v>
      </c>
      <c r="D750" s="28" t="s">
        <v>1407</v>
      </c>
      <c r="E750" s="47" t="s">
        <v>388</v>
      </c>
      <c r="F750" s="28" t="s">
        <v>1790</v>
      </c>
      <c r="G750" s="39">
        <v>37</v>
      </c>
      <c r="H750" s="28" t="b">
        <v>0</v>
      </c>
      <c r="I750" s="28" t="s">
        <v>1791</v>
      </c>
      <c r="J750" s="28" t="s">
        <v>1792</v>
      </c>
      <c r="K750" s="56" t="s">
        <v>20</v>
      </c>
      <c r="L750" s="28" t="s">
        <v>890</v>
      </c>
      <c r="M750" s="28" t="s">
        <v>392</v>
      </c>
      <c r="N750" s="28" t="s">
        <v>330</v>
      </c>
      <c r="O750" s="29" t="s">
        <v>2</v>
      </c>
      <c r="P750" s="28">
        <v>4</v>
      </c>
      <c r="Q750" s="28" t="s">
        <v>1878</v>
      </c>
      <c r="R750" s="28" t="s">
        <v>1794</v>
      </c>
      <c r="S750" s="34" t="str">
        <f>IFERROR(HYPERLINK("#Main!A"&amp;MATCH(A750,Main!A:A,0),"Open"),HYPERLINK("#Main!A1","Open"))</f>
        <v>Open</v>
      </c>
      <c r="T750" s="34" t="str">
        <f>IFERROR(HYPERLINK("#Technical!A"&amp;MATCH(A750,Technical!A:A,0),"Open"),HYPERLINK("#Technical!A1","Open"))</f>
        <v>Open</v>
      </c>
      <c r="U750" s="34"/>
    </row>
    <row r="751" spans="1:21" ht="30" customHeight="1" x14ac:dyDescent="0.25">
      <c r="A751" s="30" t="s">
        <v>127</v>
      </c>
      <c r="B751" s="37">
        <v>8</v>
      </c>
      <c r="C751" s="55" t="s">
        <v>988</v>
      </c>
      <c r="D751" s="37" t="s">
        <v>433</v>
      </c>
      <c r="E751" s="47" t="s">
        <v>388</v>
      </c>
      <c r="F751" s="37" t="s">
        <v>1879</v>
      </c>
      <c r="G751" s="42">
        <v>37</v>
      </c>
      <c r="H751" s="37">
        <v>66</v>
      </c>
      <c r="I751" s="37" t="s">
        <v>1498</v>
      </c>
      <c r="J751" s="37" t="s">
        <v>1880</v>
      </c>
      <c r="K751" s="57" t="s">
        <v>12</v>
      </c>
      <c r="L751" s="37" t="s">
        <v>433</v>
      </c>
      <c r="M751" s="37" t="s">
        <v>392</v>
      </c>
      <c r="N751" s="37" t="s">
        <v>330</v>
      </c>
      <c r="O751" s="29" t="s">
        <v>2</v>
      </c>
      <c r="P751" s="37">
        <v>4</v>
      </c>
      <c r="Q751" s="37" t="s">
        <v>1881</v>
      </c>
      <c r="R751" s="37" t="s">
        <v>1882</v>
      </c>
      <c r="S751" t="str">
        <f>IFERROR(HYPERLINK("#Main!A"&amp;MATCH(A751,Main!A:A,0),"Open"),HYPERLINK("#Main!A1","Open"))</f>
        <v>Open</v>
      </c>
      <c r="T751" t="str">
        <f>IFERROR(HYPERLINK("#Technical!A"&amp;MATCH(A751,Technical!A:A,0),"Open"),HYPERLINK("#Technical!A1","Open"))</f>
        <v>Open</v>
      </c>
    </row>
    <row r="752" spans="1:21" ht="30" customHeight="1" x14ac:dyDescent="0.25">
      <c r="A752" s="33" t="s">
        <v>135</v>
      </c>
      <c r="B752" s="28">
        <v>84</v>
      </c>
      <c r="C752" s="55" t="s">
        <v>992</v>
      </c>
      <c r="D752" s="28" t="s">
        <v>433</v>
      </c>
      <c r="E752" s="47" t="s">
        <v>388</v>
      </c>
      <c r="F752" s="28" t="s">
        <v>1879</v>
      </c>
      <c r="G752" s="39">
        <v>37</v>
      </c>
      <c r="H752" s="28">
        <v>107</v>
      </c>
      <c r="I752" s="28" t="s">
        <v>1498</v>
      </c>
      <c r="J752" s="28" t="s">
        <v>1880</v>
      </c>
      <c r="K752" s="56" t="s">
        <v>12</v>
      </c>
      <c r="L752" s="28" t="s">
        <v>433</v>
      </c>
      <c r="M752" s="28" t="s">
        <v>392</v>
      </c>
      <c r="N752" s="28" t="s">
        <v>330</v>
      </c>
      <c r="O752" s="29" t="s">
        <v>2</v>
      </c>
      <c r="P752" s="28">
        <v>4</v>
      </c>
      <c r="Q752" s="28" t="s">
        <v>1883</v>
      </c>
      <c r="R752" s="28" t="s">
        <v>1882</v>
      </c>
      <c r="S752" s="34" t="str">
        <f>IFERROR(HYPERLINK("#Main!A"&amp;MATCH(A752,Main!A:A,0),"Open"),HYPERLINK("#Main!A1","Open"))</f>
        <v>Open</v>
      </c>
      <c r="T752" s="34" t="str">
        <f>IFERROR(HYPERLINK("#Technical!A"&amp;MATCH(A752,Technical!A:A,0),"Open"),HYPERLINK("#Technical!A1","Open"))</f>
        <v>Open</v>
      </c>
      <c r="U752" s="34"/>
    </row>
    <row r="753" spans="1:21" ht="30" customHeight="1" x14ac:dyDescent="0.25">
      <c r="A753" s="30" t="s">
        <v>144</v>
      </c>
      <c r="B753" s="37">
        <v>28165</v>
      </c>
      <c r="C753" s="55" t="s">
        <v>994</v>
      </c>
      <c r="D753" s="37" t="s">
        <v>433</v>
      </c>
      <c r="E753" s="47" t="s">
        <v>388</v>
      </c>
      <c r="F753" s="37" t="s">
        <v>1879</v>
      </c>
      <c r="G753" s="42">
        <v>37</v>
      </c>
      <c r="H753" s="37">
        <v>81</v>
      </c>
      <c r="I753" s="37" t="s">
        <v>1498</v>
      </c>
      <c r="J753" s="37" t="s">
        <v>1880</v>
      </c>
      <c r="K753" s="57" t="s">
        <v>12</v>
      </c>
      <c r="L753" s="37" t="s">
        <v>433</v>
      </c>
      <c r="M753" s="37" t="s">
        <v>392</v>
      </c>
      <c r="N753" s="37" t="s">
        <v>330</v>
      </c>
      <c r="O753" s="29" t="s">
        <v>2</v>
      </c>
      <c r="P753" s="37">
        <v>4</v>
      </c>
      <c r="Q753" s="37" t="s">
        <v>1884</v>
      </c>
      <c r="R753" s="37" t="s">
        <v>1882</v>
      </c>
      <c r="S753" t="str">
        <f>IFERROR(HYPERLINK("#Main!A"&amp;MATCH(A753,Main!A:A,0),"Open"),HYPERLINK("#Main!A1","Open"))</f>
        <v>Open</v>
      </c>
      <c r="T753" t="str">
        <f>IFERROR(HYPERLINK("#Technical!A"&amp;MATCH(A753,Technical!A:A,0),"Open"),HYPERLINK("#Technical!A1","Open"))</f>
        <v>Open</v>
      </c>
    </row>
    <row r="754" spans="1:21" ht="30" customHeight="1" x14ac:dyDescent="0.25">
      <c r="A754" s="33" t="s">
        <v>169</v>
      </c>
      <c r="B754" s="28">
        <v>5619</v>
      </c>
      <c r="C754" s="55" t="s">
        <v>1000</v>
      </c>
      <c r="D754" s="28" t="s">
        <v>433</v>
      </c>
      <c r="E754" s="47" t="s">
        <v>388</v>
      </c>
      <c r="F754" s="28" t="s">
        <v>1879</v>
      </c>
      <c r="G754" s="39">
        <v>37</v>
      </c>
      <c r="H754" s="28">
        <v>66</v>
      </c>
      <c r="I754" s="28" t="s">
        <v>1498</v>
      </c>
      <c r="J754" s="28" t="s">
        <v>1880</v>
      </c>
      <c r="K754" s="56" t="s">
        <v>12</v>
      </c>
      <c r="L754" s="28" t="s">
        <v>433</v>
      </c>
      <c r="M754" s="28" t="s">
        <v>392</v>
      </c>
      <c r="N754" s="28" t="s">
        <v>330</v>
      </c>
      <c r="O754" s="29" t="s">
        <v>2</v>
      </c>
      <c r="P754" s="28">
        <v>4</v>
      </c>
      <c r="Q754" s="28" t="s">
        <v>1885</v>
      </c>
      <c r="R754" s="28" t="s">
        <v>1882</v>
      </c>
      <c r="S754" s="34" t="str">
        <f>IFERROR(HYPERLINK("#Main!A"&amp;MATCH(A754,Main!A:A,0),"Open"),HYPERLINK("#Main!A1","Open"))</f>
        <v>Open</v>
      </c>
      <c r="T754" s="34" t="str">
        <f>IFERROR(HYPERLINK("#Technical!A"&amp;MATCH(A754,Technical!A:A,0),"Open"),HYPERLINK("#Technical!A1","Open"))</f>
        <v>Open</v>
      </c>
      <c r="U754" s="34"/>
    </row>
    <row r="755" spans="1:21" ht="30" customHeight="1" x14ac:dyDescent="0.25">
      <c r="A755" s="30" t="s">
        <v>177</v>
      </c>
      <c r="B755" s="37">
        <v>4941</v>
      </c>
      <c r="C755" s="55" t="s">
        <v>1002</v>
      </c>
      <c r="D755" s="37" t="s">
        <v>433</v>
      </c>
      <c r="E755" s="47" t="s">
        <v>388</v>
      </c>
      <c r="F755" s="37" t="s">
        <v>1879</v>
      </c>
      <c r="G755" s="42">
        <v>37</v>
      </c>
      <c r="H755" s="37">
        <v>65</v>
      </c>
      <c r="I755" s="37" t="s">
        <v>1498</v>
      </c>
      <c r="J755" s="37" t="s">
        <v>1880</v>
      </c>
      <c r="K755" s="57" t="s">
        <v>12</v>
      </c>
      <c r="L755" s="37" t="s">
        <v>433</v>
      </c>
      <c r="M755" s="37" t="s">
        <v>392</v>
      </c>
      <c r="N755" s="37" t="s">
        <v>330</v>
      </c>
      <c r="O755" s="29" t="s">
        <v>2</v>
      </c>
      <c r="P755" s="37">
        <v>4</v>
      </c>
      <c r="Q755" s="37" t="s">
        <v>1886</v>
      </c>
      <c r="R755" s="37" t="s">
        <v>1882</v>
      </c>
      <c r="S755" t="str">
        <f>IFERROR(HYPERLINK("#Main!A"&amp;MATCH(A755,Main!A:A,0),"Open"),HYPERLINK("#Main!A1","Open"))</f>
        <v>Open</v>
      </c>
      <c r="T755" t="str">
        <f>IFERROR(HYPERLINK("#Technical!A"&amp;MATCH(A755,Technical!A:A,0),"Open"),HYPERLINK("#Technical!A1","Open"))</f>
        <v>Open</v>
      </c>
    </row>
    <row r="756" spans="1:21" ht="30" customHeight="1" x14ac:dyDescent="0.25">
      <c r="A756" s="33" t="s">
        <v>497</v>
      </c>
      <c r="B756" s="28">
        <v>23710</v>
      </c>
      <c r="C756" s="55" t="s">
        <v>1028</v>
      </c>
      <c r="D756" s="28" t="s">
        <v>433</v>
      </c>
      <c r="E756" s="47" t="s">
        <v>388</v>
      </c>
      <c r="F756" s="28" t="s">
        <v>1887</v>
      </c>
      <c r="G756" s="39">
        <v>37</v>
      </c>
      <c r="H756" s="28">
        <v>19</v>
      </c>
      <c r="I756" s="28" t="s">
        <v>1498</v>
      </c>
      <c r="J756" s="28" t="s">
        <v>1888</v>
      </c>
      <c r="K756" s="56" t="s">
        <v>12</v>
      </c>
      <c r="L756" s="28" t="s">
        <v>433</v>
      </c>
      <c r="M756" s="28" t="s">
        <v>392</v>
      </c>
      <c r="N756" s="28" t="s">
        <v>330</v>
      </c>
      <c r="O756" s="29" t="s">
        <v>2</v>
      </c>
      <c r="P756" s="28">
        <v>4</v>
      </c>
      <c r="Q756" s="28" t="s">
        <v>1889</v>
      </c>
      <c r="R756" s="28" t="s">
        <v>1890</v>
      </c>
      <c r="S756" s="34" t="str">
        <f>IFERROR(HYPERLINK("#Main!A"&amp;MATCH(A756,Main!A:A,0),"Open"),HYPERLINK("#Main!A1","Open"))</f>
        <v>Open</v>
      </c>
      <c r="T756" s="34" t="str">
        <f>IFERROR(HYPERLINK("#Technical!A"&amp;MATCH(A756,Technical!A:A,0),"Open"),HYPERLINK("#Technical!A1","Open"))</f>
        <v>Open</v>
      </c>
      <c r="U756" s="34"/>
    </row>
    <row r="757" spans="1:21" ht="30" customHeight="1" x14ac:dyDescent="0.25">
      <c r="A757" s="30" t="s">
        <v>500</v>
      </c>
      <c r="B757" s="37">
        <v>30257</v>
      </c>
      <c r="C757" s="55" t="s">
        <v>1030</v>
      </c>
      <c r="D757" s="37" t="s">
        <v>433</v>
      </c>
      <c r="E757" s="47" t="s">
        <v>388</v>
      </c>
      <c r="F757" s="37" t="s">
        <v>1879</v>
      </c>
      <c r="G757" s="42">
        <v>37</v>
      </c>
      <c r="H757" s="37">
        <v>64</v>
      </c>
      <c r="I757" s="37" t="s">
        <v>1498</v>
      </c>
      <c r="J757" s="37" t="s">
        <v>1880</v>
      </c>
      <c r="K757" s="57" t="s">
        <v>12</v>
      </c>
      <c r="L757" s="37" t="s">
        <v>433</v>
      </c>
      <c r="M757" s="37" t="s">
        <v>392</v>
      </c>
      <c r="N757" s="37" t="s">
        <v>330</v>
      </c>
      <c r="O757" s="29" t="s">
        <v>2</v>
      </c>
      <c r="P757" s="37">
        <v>4</v>
      </c>
      <c r="Q757" s="37" t="s">
        <v>1891</v>
      </c>
      <c r="R757" s="37" t="s">
        <v>1882</v>
      </c>
      <c r="S757" t="str">
        <f>IFERROR(HYPERLINK("#Main!A"&amp;MATCH(A757,Main!A:A,0),"Open"),HYPERLINK("#Main!A1","Open"))</f>
        <v>Open</v>
      </c>
      <c r="T757" t="str">
        <f>IFERROR(HYPERLINK("#Technical!A"&amp;MATCH(A757,Technical!A:A,0),"Open"),HYPERLINK("#Technical!A1","Open"))</f>
        <v>Open</v>
      </c>
    </row>
    <row r="758" spans="1:21" ht="30" customHeight="1" x14ac:dyDescent="0.25">
      <c r="A758" s="33" t="s">
        <v>506</v>
      </c>
      <c r="B758" s="28">
        <v>33280</v>
      </c>
      <c r="C758" s="55" t="s">
        <v>1034</v>
      </c>
      <c r="D758" s="28" t="s">
        <v>433</v>
      </c>
      <c r="E758" s="47" t="s">
        <v>388</v>
      </c>
      <c r="F758" s="28" t="s">
        <v>1879</v>
      </c>
      <c r="G758" s="39">
        <v>37</v>
      </c>
      <c r="H758" s="28">
        <v>82</v>
      </c>
      <c r="I758" s="28" t="s">
        <v>1498</v>
      </c>
      <c r="J758" s="28" t="s">
        <v>1880</v>
      </c>
      <c r="K758" s="56" t="s">
        <v>12</v>
      </c>
      <c r="L758" s="28" t="s">
        <v>433</v>
      </c>
      <c r="M758" s="28" t="s">
        <v>392</v>
      </c>
      <c r="N758" s="28" t="s">
        <v>330</v>
      </c>
      <c r="O758" s="29" t="s">
        <v>2</v>
      </c>
      <c r="P758" s="28">
        <v>4</v>
      </c>
      <c r="Q758" s="28" t="s">
        <v>1892</v>
      </c>
      <c r="R758" s="28" t="s">
        <v>1882</v>
      </c>
      <c r="S758" s="34" t="str">
        <f>IFERROR(HYPERLINK("#Main!A"&amp;MATCH(A758,Main!A:A,0),"Open"),HYPERLINK("#Main!A1","Open"))</f>
        <v>Open</v>
      </c>
      <c r="T758" s="34" t="str">
        <f>IFERROR(HYPERLINK("#Technical!A"&amp;MATCH(A758,Technical!A:A,0),"Open"),HYPERLINK("#Technical!A1","Open"))</f>
        <v>Open</v>
      </c>
      <c r="U758" s="34"/>
    </row>
    <row r="759" spans="1:21" ht="30" customHeight="1" x14ac:dyDescent="0.25">
      <c r="A759" s="30" t="s">
        <v>509</v>
      </c>
      <c r="B759" s="37">
        <v>22778</v>
      </c>
      <c r="C759" s="55" t="s">
        <v>1036</v>
      </c>
      <c r="D759" s="37" t="s">
        <v>433</v>
      </c>
      <c r="E759" s="47" t="s">
        <v>388</v>
      </c>
      <c r="F759" s="37" t="s">
        <v>1879</v>
      </c>
      <c r="G759" s="42">
        <v>37</v>
      </c>
      <c r="H759" s="37">
        <v>70</v>
      </c>
      <c r="I759" s="37" t="s">
        <v>1498</v>
      </c>
      <c r="J759" s="37" t="s">
        <v>1880</v>
      </c>
      <c r="K759" s="57" t="s">
        <v>12</v>
      </c>
      <c r="L759" s="37" t="s">
        <v>433</v>
      </c>
      <c r="M759" s="37" t="s">
        <v>392</v>
      </c>
      <c r="N759" s="37" t="s">
        <v>330</v>
      </c>
      <c r="O759" s="29" t="s">
        <v>2</v>
      </c>
      <c r="P759" s="37">
        <v>4</v>
      </c>
      <c r="Q759" s="37" t="s">
        <v>1893</v>
      </c>
      <c r="R759" s="37" t="s">
        <v>1882</v>
      </c>
      <c r="S759" t="str">
        <f>IFERROR(HYPERLINK("#Main!A"&amp;MATCH(A759,Main!A:A,0),"Open"),HYPERLINK("#Main!A1","Open"))</f>
        <v>Open</v>
      </c>
      <c r="T759" t="str">
        <f>IFERROR(HYPERLINK("#Technical!A"&amp;MATCH(A759,Technical!A:A,0),"Open"),HYPERLINK("#Technical!A1","Open"))</f>
        <v>Open</v>
      </c>
    </row>
    <row r="760" spans="1:21" ht="30" customHeight="1" x14ac:dyDescent="0.25">
      <c r="A760" s="33" t="s">
        <v>524</v>
      </c>
      <c r="B760" s="28">
        <v>33131</v>
      </c>
      <c r="C760" s="55" t="s">
        <v>1046</v>
      </c>
      <c r="D760" s="28" t="s">
        <v>433</v>
      </c>
      <c r="E760" s="47" t="s">
        <v>388</v>
      </c>
      <c r="F760" s="28" t="s">
        <v>1879</v>
      </c>
      <c r="G760" s="39">
        <v>37</v>
      </c>
      <c r="H760" s="28">
        <v>72</v>
      </c>
      <c r="I760" s="28" t="s">
        <v>1498</v>
      </c>
      <c r="J760" s="28" t="s">
        <v>1880</v>
      </c>
      <c r="K760" s="56" t="s">
        <v>12</v>
      </c>
      <c r="L760" s="28" t="s">
        <v>433</v>
      </c>
      <c r="M760" s="28" t="s">
        <v>392</v>
      </c>
      <c r="N760" s="28" t="s">
        <v>330</v>
      </c>
      <c r="O760" s="29" t="s">
        <v>2</v>
      </c>
      <c r="P760" s="28">
        <v>4</v>
      </c>
      <c r="Q760" s="28" t="s">
        <v>1894</v>
      </c>
      <c r="R760" s="28" t="s">
        <v>1882</v>
      </c>
      <c r="S760" s="34" t="str">
        <f>IFERROR(HYPERLINK("#Main!A"&amp;MATCH(A760,Main!A:A,0),"Open"),HYPERLINK("#Main!A1","Open"))</f>
        <v>Open</v>
      </c>
      <c r="T760" s="34" t="str">
        <f>IFERROR(HYPERLINK("#Technical!A"&amp;MATCH(A760,Technical!A:A,0),"Open"),HYPERLINK("#Technical!A1","Open"))</f>
        <v>Open</v>
      </c>
      <c r="U760" s="34"/>
    </row>
    <row r="761" spans="1:21" ht="45" customHeight="1" x14ac:dyDescent="0.25">
      <c r="A761" s="30" t="s">
        <v>528</v>
      </c>
      <c r="B761" s="37">
        <v>25857</v>
      </c>
      <c r="C761" s="55" t="s">
        <v>1049</v>
      </c>
      <c r="D761" s="37" t="s">
        <v>433</v>
      </c>
      <c r="E761" s="47" t="s">
        <v>388</v>
      </c>
      <c r="F761" s="37" t="s">
        <v>1879</v>
      </c>
      <c r="G761" s="42">
        <v>37</v>
      </c>
      <c r="H761" s="37">
        <v>68</v>
      </c>
      <c r="I761" s="37" t="s">
        <v>1498</v>
      </c>
      <c r="J761" s="37" t="s">
        <v>1880</v>
      </c>
      <c r="K761" s="57" t="s">
        <v>12</v>
      </c>
      <c r="L761" s="37" t="s">
        <v>433</v>
      </c>
      <c r="M761" s="37" t="s">
        <v>392</v>
      </c>
      <c r="N761" s="37" t="s">
        <v>330</v>
      </c>
      <c r="O761" s="29" t="s">
        <v>2</v>
      </c>
      <c r="P761" s="37">
        <v>4</v>
      </c>
      <c r="Q761" s="37" t="s">
        <v>1895</v>
      </c>
      <c r="R761" s="37" t="s">
        <v>1882</v>
      </c>
      <c r="S761" t="str">
        <f>IFERROR(HYPERLINK("#Main!A"&amp;MATCH(A761,Main!A:A,0),"Open"),HYPERLINK("#Main!A1","Open"))</f>
        <v>Open</v>
      </c>
      <c r="T761" t="str">
        <f>IFERROR(HYPERLINK("#Technical!A"&amp;MATCH(A761,Technical!A:A,0),"Open"),HYPERLINK("#Technical!A1","Open"))</f>
        <v>Open</v>
      </c>
    </row>
    <row r="762" spans="1:21" ht="30" customHeight="1" x14ac:dyDescent="0.25">
      <c r="A762" s="33" t="s">
        <v>537</v>
      </c>
      <c r="B762" s="28">
        <v>24882</v>
      </c>
      <c r="C762" s="55" t="s">
        <v>1055</v>
      </c>
      <c r="D762" s="28" t="s">
        <v>433</v>
      </c>
      <c r="E762" s="47" t="s">
        <v>388</v>
      </c>
      <c r="F762" s="28" t="s">
        <v>1887</v>
      </c>
      <c r="G762" s="39">
        <v>37</v>
      </c>
      <c r="H762" s="28">
        <v>26</v>
      </c>
      <c r="I762" s="28" t="s">
        <v>1498</v>
      </c>
      <c r="J762" s="28" t="s">
        <v>1888</v>
      </c>
      <c r="K762" s="56" t="s">
        <v>12</v>
      </c>
      <c r="L762" s="28" t="s">
        <v>433</v>
      </c>
      <c r="M762" s="28" t="s">
        <v>392</v>
      </c>
      <c r="N762" s="28" t="s">
        <v>330</v>
      </c>
      <c r="O762" s="29" t="s">
        <v>2</v>
      </c>
      <c r="P762" s="28">
        <v>4</v>
      </c>
      <c r="Q762" s="28" t="s">
        <v>1896</v>
      </c>
      <c r="R762" s="28" t="s">
        <v>1890</v>
      </c>
      <c r="S762" s="34" t="str">
        <f>IFERROR(HYPERLINK("#Main!A"&amp;MATCH(A762,Main!A:A,0),"Open"),HYPERLINK("#Main!A1","Open"))</f>
        <v>Open</v>
      </c>
      <c r="T762" s="34" t="str">
        <f>IFERROR(HYPERLINK("#Technical!A"&amp;MATCH(A762,Technical!A:A,0),"Open"),HYPERLINK("#Technical!A1","Open"))</f>
        <v>Open</v>
      </c>
      <c r="U762" s="34"/>
    </row>
    <row r="763" spans="1:21" ht="45" customHeight="1" x14ac:dyDescent="0.25">
      <c r="A763" s="30" t="s">
        <v>540</v>
      </c>
      <c r="B763" s="37">
        <v>22595</v>
      </c>
      <c r="C763" s="55" t="s">
        <v>1057</v>
      </c>
      <c r="D763" s="37" t="s">
        <v>433</v>
      </c>
      <c r="E763" s="47" t="s">
        <v>388</v>
      </c>
      <c r="F763" s="37" t="s">
        <v>1879</v>
      </c>
      <c r="G763" s="42">
        <v>37</v>
      </c>
      <c r="H763" s="37">
        <v>65</v>
      </c>
      <c r="I763" s="37" t="s">
        <v>1498</v>
      </c>
      <c r="J763" s="37" t="s">
        <v>1880</v>
      </c>
      <c r="K763" s="57" t="s">
        <v>12</v>
      </c>
      <c r="L763" s="37" t="s">
        <v>433</v>
      </c>
      <c r="M763" s="37" t="s">
        <v>392</v>
      </c>
      <c r="N763" s="37" t="s">
        <v>330</v>
      </c>
      <c r="O763" s="29" t="s">
        <v>2</v>
      </c>
      <c r="P763" s="37">
        <v>4</v>
      </c>
      <c r="Q763" s="37" t="s">
        <v>1897</v>
      </c>
      <c r="R763" s="37" t="s">
        <v>1882</v>
      </c>
      <c r="S763" t="str">
        <f>IFERROR(HYPERLINK("#Main!A"&amp;MATCH(A763,Main!A:A,0),"Open"),HYPERLINK("#Main!A1","Open"))</f>
        <v>Open</v>
      </c>
      <c r="T763" t="str">
        <f>IFERROR(HYPERLINK("#Technical!A"&amp;MATCH(A763,Technical!A:A,0),"Open"),HYPERLINK("#Technical!A1","Open"))</f>
        <v>Open</v>
      </c>
    </row>
    <row r="764" spans="1:21" ht="30" customHeight="1" x14ac:dyDescent="0.25">
      <c r="A764" s="33" t="s">
        <v>557</v>
      </c>
      <c r="B764" s="28">
        <v>6822</v>
      </c>
      <c r="C764" s="55" t="s">
        <v>1069</v>
      </c>
      <c r="D764" s="28" t="s">
        <v>433</v>
      </c>
      <c r="E764" s="47" t="s">
        <v>388</v>
      </c>
      <c r="F764" s="28" t="s">
        <v>1879</v>
      </c>
      <c r="G764" s="39">
        <v>37</v>
      </c>
      <c r="H764" s="28">
        <v>61</v>
      </c>
      <c r="I764" s="28" t="s">
        <v>1498</v>
      </c>
      <c r="J764" s="28" t="s">
        <v>1880</v>
      </c>
      <c r="K764" s="56" t="s">
        <v>12</v>
      </c>
      <c r="L764" s="28" t="s">
        <v>433</v>
      </c>
      <c r="M764" s="28" t="s">
        <v>392</v>
      </c>
      <c r="N764" s="28" t="s">
        <v>330</v>
      </c>
      <c r="O764" s="29" t="s">
        <v>2</v>
      </c>
      <c r="P764" s="28">
        <v>4</v>
      </c>
      <c r="Q764" s="28" t="s">
        <v>1898</v>
      </c>
      <c r="R764" s="28" t="s">
        <v>1882</v>
      </c>
      <c r="S764" s="34" t="str">
        <f>IFERROR(HYPERLINK("#Main!A"&amp;MATCH(A764,Main!A:A,0),"Open"),HYPERLINK("#Main!A1","Open"))</f>
        <v>Open</v>
      </c>
      <c r="T764" s="34" t="str">
        <f>IFERROR(HYPERLINK("#Technical!A"&amp;MATCH(A764,Technical!A:A,0),"Open"),HYPERLINK("#Technical!A1","Open"))</f>
        <v>Open</v>
      </c>
      <c r="U764" s="34"/>
    </row>
    <row r="765" spans="1:21" ht="30" customHeight="1" x14ac:dyDescent="0.25">
      <c r="A765" s="30" t="s">
        <v>582</v>
      </c>
      <c r="B765" s="37">
        <v>28742</v>
      </c>
      <c r="C765" s="55" t="s">
        <v>1085</v>
      </c>
      <c r="D765" s="37" t="s">
        <v>433</v>
      </c>
      <c r="E765" s="47" t="s">
        <v>388</v>
      </c>
      <c r="F765" s="37" t="s">
        <v>1879</v>
      </c>
      <c r="G765" s="42">
        <v>37</v>
      </c>
      <c r="H765" s="37">
        <v>74</v>
      </c>
      <c r="I765" s="37" t="s">
        <v>1498</v>
      </c>
      <c r="J765" s="37" t="s">
        <v>1880</v>
      </c>
      <c r="K765" s="57" t="s">
        <v>12</v>
      </c>
      <c r="L765" s="37" t="s">
        <v>433</v>
      </c>
      <c r="M765" s="37" t="s">
        <v>392</v>
      </c>
      <c r="N765" s="37" t="s">
        <v>330</v>
      </c>
      <c r="O765" s="29" t="s">
        <v>2</v>
      </c>
      <c r="P765" s="37">
        <v>4</v>
      </c>
      <c r="Q765" s="37" t="s">
        <v>1899</v>
      </c>
      <c r="R765" s="37" t="s">
        <v>1882</v>
      </c>
      <c r="S765" t="str">
        <f>IFERROR(HYPERLINK("#Main!A"&amp;MATCH(A765,Main!A:A,0),"Open"),HYPERLINK("#Main!A1","Open"))</f>
        <v>Open</v>
      </c>
      <c r="T765" t="str">
        <f>IFERROR(HYPERLINK("#Technical!A"&amp;MATCH(A765,Technical!A:A,0),"Open"),HYPERLINK("#Technical!A1","Open"))</f>
        <v>Open</v>
      </c>
    </row>
    <row r="766" spans="1:21" ht="30" customHeight="1" x14ac:dyDescent="0.25">
      <c r="A766" s="33" t="s">
        <v>585</v>
      </c>
      <c r="B766" s="28">
        <v>9075</v>
      </c>
      <c r="C766" s="55" t="s">
        <v>1087</v>
      </c>
      <c r="D766" s="28" t="s">
        <v>433</v>
      </c>
      <c r="E766" s="47" t="s">
        <v>388</v>
      </c>
      <c r="F766" s="28" t="s">
        <v>1879</v>
      </c>
      <c r="G766" s="39">
        <v>37</v>
      </c>
      <c r="H766" s="28">
        <v>63</v>
      </c>
      <c r="I766" s="28" t="s">
        <v>1498</v>
      </c>
      <c r="J766" s="28" t="s">
        <v>1880</v>
      </c>
      <c r="K766" s="56" t="s">
        <v>12</v>
      </c>
      <c r="L766" s="28" t="s">
        <v>433</v>
      </c>
      <c r="M766" s="28" t="s">
        <v>392</v>
      </c>
      <c r="N766" s="28" t="s">
        <v>330</v>
      </c>
      <c r="O766" s="29" t="s">
        <v>2</v>
      </c>
      <c r="P766" s="28">
        <v>4</v>
      </c>
      <c r="Q766" s="28" t="s">
        <v>1900</v>
      </c>
      <c r="R766" s="28" t="s">
        <v>1882</v>
      </c>
      <c r="S766" s="34" t="str">
        <f>IFERROR(HYPERLINK("#Main!A"&amp;MATCH(A766,Main!A:A,0),"Open"),HYPERLINK("#Main!A1","Open"))</f>
        <v>Open</v>
      </c>
      <c r="T766" s="34" t="str">
        <f>IFERROR(HYPERLINK("#Technical!A"&amp;MATCH(A766,Technical!A:A,0),"Open"),HYPERLINK("#Technical!A1","Open"))</f>
        <v>Open</v>
      </c>
      <c r="U766" s="34"/>
    </row>
    <row r="767" spans="1:21" ht="30" customHeight="1" x14ac:dyDescent="0.25">
      <c r="A767" s="30" t="s">
        <v>588</v>
      </c>
      <c r="B767" s="37">
        <v>20001</v>
      </c>
      <c r="C767" s="55" t="s">
        <v>1089</v>
      </c>
      <c r="D767" s="37" t="s">
        <v>433</v>
      </c>
      <c r="E767" s="47" t="s">
        <v>388</v>
      </c>
      <c r="F767" s="37" t="s">
        <v>1879</v>
      </c>
      <c r="G767" s="42">
        <v>37</v>
      </c>
      <c r="H767" s="37">
        <v>82</v>
      </c>
      <c r="I767" s="37" t="s">
        <v>1498</v>
      </c>
      <c r="J767" s="37" t="s">
        <v>1880</v>
      </c>
      <c r="K767" s="57" t="s">
        <v>12</v>
      </c>
      <c r="L767" s="37" t="s">
        <v>433</v>
      </c>
      <c r="M767" s="37" t="s">
        <v>392</v>
      </c>
      <c r="N767" s="37" t="s">
        <v>330</v>
      </c>
      <c r="O767" s="29" t="s">
        <v>2</v>
      </c>
      <c r="P767" s="37">
        <v>4</v>
      </c>
      <c r="Q767" s="37" t="s">
        <v>1901</v>
      </c>
      <c r="R767" s="37" t="s">
        <v>1882</v>
      </c>
      <c r="S767" t="str">
        <f>IFERROR(HYPERLINK("#Main!A"&amp;MATCH(A767,Main!A:A,0),"Open"),HYPERLINK("#Main!A1","Open"))</f>
        <v>Open</v>
      </c>
      <c r="T767" t="str">
        <f>IFERROR(HYPERLINK("#Technical!A"&amp;MATCH(A767,Technical!A:A,0),"Open"),HYPERLINK("#Technical!A1","Open"))</f>
        <v>Open</v>
      </c>
    </row>
    <row r="768" spans="1:21" ht="30" customHeight="1" x14ac:dyDescent="0.25">
      <c r="A768" s="33" t="s">
        <v>591</v>
      </c>
      <c r="B768" s="28">
        <v>19980</v>
      </c>
      <c r="C768" s="55" t="s">
        <v>1091</v>
      </c>
      <c r="D768" s="28" t="s">
        <v>433</v>
      </c>
      <c r="E768" s="47" t="s">
        <v>388</v>
      </c>
      <c r="F768" s="28" t="s">
        <v>1879</v>
      </c>
      <c r="G768" s="39">
        <v>37</v>
      </c>
      <c r="H768" s="28">
        <v>75</v>
      </c>
      <c r="I768" s="28" t="s">
        <v>1498</v>
      </c>
      <c r="J768" s="28" t="s">
        <v>1880</v>
      </c>
      <c r="K768" s="56" t="s">
        <v>12</v>
      </c>
      <c r="L768" s="28" t="s">
        <v>433</v>
      </c>
      <c r="M768" s="28" t="s">
        <v>392</v>
      </c>
      <c r="N768" s="28" t="s">
        <v>330</v>
      </c>
      <c r="O768" s="29" t="s">
        <v>2</v>
      </c>
      <c r="P768" s="28">
        <v>4</v>
      </c>
      <c r="Q768" s="28" t="s">
        <v>1902</v>
      </c>
      <c r="R768" s="28" t="s">
        <v>1882</v>
      </c>
      <c r="S768" s="34" t="str">
        <f>IFERROR(HYPERLINK("#Main!A"&amp;MATCH(A768,Main!A:A,0),"Open"),HYPERLINK("#Main!A1","Open"))</f>
        <v>Open</v>
      </c>
      <c r="T768" s="34" t="str">
        <f>IFERROR(HYPERLINK("#Technical!A"&amp;MATCH(A768,Technical!A:A,0),"Open"),HYPERLINK("#Technical!A1","Open"))</f>
        <v>Open</v>
      </c>
      <c r="U768" s="34"/>
    </row>
    <row r="769" spans="1:21" ht="30" customHeight="1" x14ac:dyDescent="0.25">
      <c r="A769" s="30" t="s">
        <v>594</v>
      </c>
      <c r="B769" s="37">
        <v>10823</v>
      </c>
      <c r="C769" s="55" t="s">
        <v>1093</v>
      </c>
      <c r="D769" s="37" t="s">
        <v>433</v>
      </c>
      <c r="E769" s="47" t="s">
        <v>388</v>
      </c>
      <c r="F769" s="37" t="s">
        <v>1879</v>
      </c>
      <c r="G769" s="42">
        <v>37</v>
      </c>
      <c r="H769" s="37">
        <v>73</v>
      </c>
      <c r="I769" s="37" t="s">
        <v>1498</v>
      </c>
      <c r="J769" s="37" t="s">
        <v>1880</v>
      </c>
      <c r="K769" s="57" t="s">
        <v>12</v>
      </c>
      <c r="L769" s="37" t="s">
        <v>433</v>
      </c>
      <c r="M769" s="37" t="s">
        <v>392</v>
      </c>
      <c r="N769" s="37" t="s">
        <v>330</v>
      </c>
      <c r="O769" s="29" t="s">
        <v>2</v>
      </c>
      <c r="P769" s="37">
        <v>4</v>
      </c>
      <c r="Q769" s="37" t="s">
        <v>1903</v>
      </c>
      <c r="R769" s="37" t="s">
        <v>1882</v>
      </c>
      <c r="S769" t="str">
        <f>IFERROR(HYPERLINK("#Main!A"&amp;MATCH(A769,Main!A:A,0),"Open"),HYPERLINK("#Main!A1","Open"))</f>
        <v>Open</v>
      </c>
      <c r="T769" t="str">
        <f>IFERROR(HYPERLINK("#Technical!A"&amp;MATCH(A769,Technical!A:A,0),"Open"),HYPERLINK("#Technical!A1","Open"))</f>
        <v>Open</v>
      </c>
    </row>
    <row r="770" spans="1:21" ht="30" customHeight="1" x14ac:dyDescent="0.25">
      <c r="A770" s="33" t="s">
        <v>597</v>
      </c>
      <c r="B770" s="28">
        <v>17908</v>
      </c>
      <c r="C770" s="55" t="s">
        <v>975</v>
      </c>
      <c r="D770" s="28" t="s">
        <v>433</v>
      </c>
      <c r="E770" s="47" t="s">
        <v>388</v>
      </c>
      <c r="F770" s="28" t="s">
        <v>1887</v>
      </c>
      <c r="G770" s="39">
        <v>37</v>
      </c>
      <c r="H770" s="28">
        <v>38</v>
      </c>
      <c r="I770" s="28" t="s">
        <v>1498</v>
      </c>
      <c r="J770" s="28" t="s">
        <v>1888</v>
      </c>
      <c r="K770" s="56" t="s">
        <v>12</v>
      </c>
      <c r="L770" s="28" t="s">
        <v>433</v>
      </c>
      <c r="M770" s="28" t="s">
        <v>392</v>
      </c>
      <c r="N770" s="28" t="s">
        <v>330</v>
      </c>
      <c r="O770" s="29" t="s">
        <v>2</v>
      </c>
      <c r="P770" s="28">
        <v>4</v>
      </c>
      <c r="Q770" s="28" t="s">
        <v>1904</v>
      </c>
      <c r="R770" s="28" t="s">
        <v>1890</v>
      </c>
      <c r="S770" s="34" t="str">
        <f>IFERROR(HYPERLINK("#Main!A"&amp;MATCH(A770,Main!A:A,0),"Open"),HYPERLINK("#Main!A1","Open"))</f>
        <v>Open</v>
      </c>
      <c r="T770" s="34" t="str">
        <f>IFERROR(HYPERLINK("#Technical!A"&amp;MATCH(A770,Technical!A:A,0),"Open"),HYPERLINK("#Technical!A1","Open"))</f>
        <v>Open</v>
      </c>
      <c r="U770" s="34"/>
    </row>
    <row r="771" spans="1:21" ht="30" customHeight="1" x14ac:dyDescent="0.25">
      <c r="A771" s="30" t="s">
        <v>601</v>
      </c>
      <c r="B771" s="37">
        <v>24640</v>
      </c>
      <c r="C771" s="55" t="s">
        <v>1096</v>
      </c>
      <c r="D771" s="37" t="s">
        <v>433</v>
      </c>
      <c r="E771" s="47" t="s">
        <v>388</v>
      </c>
      <c r="F771" s="37" t="s">
        <v>1887</v>
      </c>
      <c r="G771" s="42">
        <v>37</v>
      </c>
      <c r="H771" s="37">
        <v>31</v>
      </c>
      <c r="I771" s="37" t="s">
        <v>1498</v>
      </c>
      <c r="J771" s="37" t="s">
        <v>1888</v>
      </c>
      <c r="K771" s="57" t="s">
        <v>12</v>
      </c>
      <c r="L771" s="37" t="s">
        <v>433</v>
      </c>
      <c r="M771" s="37" t="s">
        <v>392</v>
      </c>
      <c r="N771" s="37" t="s">
        <v>330</v>
      </c>
      <c r="O771" s="29" t="s">
        <v>2</v>
      </c>
      <c r="P771" s="37">
        <v>4</v>
      </c>
      <c r="Q771" s="37" t="s">
        <v>1905</v>
      </c>
      <c r="R771" s="37" t="s">
        <v>1890</v>
      </c>
      <c r="S771" t="str">
        <f>IFERROR(HYPERLINK("#Main!A"&amp;MATCH(A771,Main!A:A,0),"Open"),HYPERLINK("#Main!A1","Open"))</f>
        <v>Open</v>
      </c>
      <c r="T771" t="str">
        <f>IFERROR(HYPERLINK("#Technical!A"&amp;MATCH(A771,Technical!A:A,0),"Open"),HYPERLINK("#Technical!A1","Open"))</f>
        <v>Open</v>
      </c>
    </row>
    <row r="772" spans="1:21" ht="30" customHeight="1" x14ac:dyDescent="0.25">
      <c r="A772" s="33" t="s">
        <v>604</v>
      </c>
      <c r="B772" s="28">
        <v>16472</v>
      </c>
      <c r="C772" s="55" t="s">
        <v>1098</v>
      </c>
      <c r="D772" s="28" t="s">
        <v>433</v>
      </c>
      <c r="E772" s="47" t="s">
        <v>388</v>
      </c>
      <c r="F772" s="28" t="s">
        <v>1879</v>
      </c>
      <c r="G772" s="39">
        <v>37</v>
      </c>
      <c r="H772" s="28">
        <v>63</v>
      </c>
      <c r="I772" s="28" t="s">
        <v>1498</v>
      </c>
      <c r="J772" s="28" t="s">
        <v>1880</v>
      </c>
      <c r="K772" s="56" t="s">
        <v>12</v>
      </c>
      <c r="L772" s="28" t="s">
        <v>433</v>
      </c>
      <c r="M772" s="28" t="s">
        <v>392</v>
      </c>
      <c r="N772" s="28" t="s">
        <v>330</v>
      </c>
      <c r="O772" s="29" t="s">
        <v>2</v>
      </c>
      <c r="P772" s="28">
        <v>4</v>
      </c>
      <c r="Q772" s="28" t="s">
        <v>1906</v>
      </c>
      <c r="R772" s="28" t="s">
        <v>1882</v>
      </c>
      <c r="S772" s="34" t="str">
        <f>IFERROR(HYPERLINK("#Main!A"&amp;MATCH(A772,Main!A:A,0),"Open"),HYPERLINK("#Main!A1","Open"))</f>
        <v>Open</v>
      </c>
      <c r="T772" s="34" t="str">
        <f>IFERROR(HYPERLINK("#Technical!A"&amp;MATCH(A772,Technical!A:A,0),"Open"),HYPERLINK("#Technical!A1","Open"))</f>
        <v>Open</v>
      </c>
      <c r="U772" s="34"/>
    </row>
    <row r="773" spans="1:21" ht="30" customHeight="1" x14ac:dyDescent="0.25">
      <c r="A773" s="30" t="s">
        <v>629</v>
      </c>
      <c r="B773" s="37">
        <v>5597</v>
      </c>
      <c r="C773" s="55" t="s">
        <v>1114</v>
      </c>
      <c r="D773" s="37" t="s">
        <v>433</v>
      </c>
      <c r="E773" s="47" t="s">
        <v>388</v>
      </c>
      <c r="F773" s="37" t="s">
        <v>1879</v>
      </c>
      <c r="G773" s="42">
        <v>37</v>
      </c>
      <c r="H773" s="37">
        <v>66</v>
      </c>
      <c r="I773" s="37" t="s">
        <v>1498</v>
      </c>
      <c r="J773" s="37" t="s">
        <v>1880</v>
      </c>
      <c r="K773" s="57" t="s">
        <v>12</v>
      </c>
      <c r="L773" s="37" t="s">
        <v>433</v>
      </c>
      <c r="M773" s="37" t="s">
        <v>392</v>
      </c>
      <c r="N773" s="37" t="s">
        <v>330</v>
      </c>
      <c r="O773" s="29" t="s">
        <v>2</v>
      </c>
      <c r="P773" s="37">
        <v>4</v>
      </c>
      <c r="Q773" s="37" t="s">
        <v>1907</v>
      </c>
      <c r="R773" s="37" t="s">
        <v>1882</v>
      </c>
      <c r="S773" t="str">
        <f>IFERROR(HYPERLINK("#Main!A"&amp;MATCH(A773,Main!A:A,0),"Open"),HYPERLINK("#Main!A1","Open"))</f>
        <v>Open</v>
      </c>
      <c r="T773" t="str">
        <f>IFERROR(HYPERLINK("#Technical!A"&amp;MATCH(A773,Technical!A:A,0),"Open"),HYPERLINK("#Technical!A1","Open"))</f>
        <v>Open</v>
      </c>
    </row>
    <row r="774" spans="1:21" ht="30" customHeight="1" x14ac:dyDescent="0.25">
      <c r="A774" s="33" t="s">
        <v>632</v>
      </c>
      <c r="B774" s="28">
        <v>33050</v>
      </c>
      <c r="C774" s="55" t="s">
        <v>1116</v>
      </c>
      <c r="D774" s="28" t="s">
        <v>433</v>
      </c>
      <c r="E774" s="47" t="s">
        <v>388</v>
      </c>
      <c r="F774" s="28" t="s">
        <v>1879</v>
      </c>
      <c r="G774" s="39">
        <v>37</v>
      </c>
      <c r="H774" s="28">
        <v>66</v>
      </c>
      <c r="I774" s="28" t="s">
        <v>1498</v>
      </c>
      <c r="J774" s="28" t="s">
        <v>1880</v>
      </c>
      <c r="K774" s="56" t="s">
        <v>12</v>
      </c>
      <c r="L774" s="28" t="s">
        <v>433</v>
      </c>
      <c r="M774" s="28" t="s">
        <v>392</v>
      </c>
      <c r="N774" s="28" t="s">
        <v>330</v>
      </c>
      <c r="O774" s="29" t="s">
        <v>2</v>
      </c>
      <c r="P774" s="28">
        <v>4</v>
      </c>
      <c r="Q774" s="28" t="s">
        <v>1908</v>
      </c>
      <c r="R774" s="28" t="s">
        <v>1882</v>
      </c>
      <c r="S774" s="34" t="str">
        <f>IFERROR(HYPERLINK("#Main!A"&amp;MATCH(A774,Main!A:A,0),"Open"),HYPERLINK("#Main!A1","Open"))</f>
        <v>Open</v>
      </c>
      <c r="T774" s="34" t="str">
        <f>IFERROR(HYPERLINK("#Technical!A"&amp;MATCH(A774,Technical!A:A,0),"Open"),HYPERLINK("#Technical!A1","Open"))</f>
        <v>Open</v>
      </c>
      <c r="U774" s="34"/>
    </row>
    <row r="775" spans="1:21" ht="30" customHeight="1" x14ac:dyDescent="0.25">
      <c r="A775" s="30" t="s">
        <v>652</v>
      </c>
      <c r="B775" s="37">
        <v>21962</v>
      </c>
      <c r="C775" s="55" t="s">
        <v>1130</v>
      </c>
      <c r="D775" s="37" t="s">
        <v>433</v>
      </c>
      <c r="E775" s="47" t="s">
        <v>388</v>
      </c>
      <c r="F775" s="37" t="s">
        <v>1887</v>
      </c>
      <c r="G775" s="42">
        <v>37</v>
      </c>
      <c r="H775" s="37">
        <v>34</v>
      </c>
      <c r="I775" s="37" t="s">
        <v>1498</v>
      </c>
      <c r="J775" s="37" t="s">
        <v>1888</v>
      </c>
      <c r="K775" s="57" t="s">
        <v>12</v>
      </c>
      <c r="L775" s="37" t="s">
        <v>433</v>
      </c>
      <c r="M775" s="37" t="s">
        <v>392</v>
      </c>
      <c r="N775" s="37" t="s">
        <v>330</v>
      </c>
      <c r="O775" s="29" t="s">
        <v>2</v>
      </c>
      <c r="P775" s="37">
        <v>4</v>
      </c>
      <c r="Q775" s="37" t="s">
        <v>1909</v>
      </c>
      <c r="R775" s="37" t="s">
        <v>1890</v>
      </c>
      <c r="S775" t="str">
        <f>IFERROR(HYPERLINK("#Main!A"&amp;MATCH(A775,Main!A:A,0),"Open"),HYPERLINK("#Main!A1","Open"))</f>
        <v>Open</v>
      </c>
      <c r="T775" t="str">
        <f>IFERROR(HYPERLINK("#Technical!A"&amp;MATCH(A775,Technical!A:A,0),"Open"),HYPERLINK("#Technical!A1","Open"))</f>
        <v>Open</v>
      </c>
    </row>
    <row r="776" spans="1:21" ht="30" customHeight="1" x14ac:dyDescent="0.25">
      <c r="A776" s="33" t="s">
        <v>667</v>
      </c>
      <c r="B776" s="28">
        <v>17195</v>
      </c>
      <c r="C776" s="55" t="s">
        <v>1140</v>
      </c>
      <c r="D776" s="28" t="s">
        <v>433</v>
      </c>
      <c r="E776" s="47" t="s">
        <v>388</v>
      </c>
      <c r="F776" s="28" t="s">
        <v>1879</v>
      </c>
      <c r="G776" s="39">
        <v>37</v>
      </c>
      <c r="H776" s="28">
        <v>78</v>
      </c>
      <c r="I776" s="28" t="s">
        <v>1498</v>
      </c>
      <c r="J776" s="28" t="s">
        <v>1880</v>
      </c>
      <c r="K776" s="56" t="s">
        <v>12</v>
      </c>
      <c r="L776" s="28" t="s">
        <v>433</v>
      </c>
      <c r="M776" s="28" t="s">
        <v>392</v>
      </c>
      <c r="N776" s="28" t="s">
        <v>330</v>
      </c>
      <c r="O776" s="29" t="s">
        <v>2</v>
      </c>
      <c r="P776" s="28">
        <v>4</v>
      </c>
      <c r="Q776" s="28" t="s">
        <v>1910</v>
      </c>
      <c r="R776" s="28" t="s">
        <v>1882</v>
      </c>
      <c r="S776" s="34" t="str">
        <f>IFERROR(HYPERLINK("#Main!A"&amp;MATCH(A776,Main!A:A,0),"Open"),HYPERLINK("#Main!A1","Open"))</f>
        <v>Open</v>
      </c>
      <c r="T776" s="34" t="str">
        <f>IFERROR(HYPERLINK("#Technical!A"&amp;MATCH(A776,Technical!A:A,0),"Open"),HYPERLINK("#Technical!A1","Open"))</f>
        <v>Open</v>
      </c>
      <c r="U776" s="34"/>
    </row>
    <row r="777" spans="1:21" ht="30" customHeight="1" x14ac:dyDescent="0.25">
      <c r="A777" s="30" t="s">
        <v>670</v>
      </c>
      <c r="B777" s="37">
        <v>21591</v>
      </c>
      <c r="C777" s="55" t="s">
        <v>1142</v>
      </c>
      <c r="D777" s="37" t="s">
        <v>433</v>
      </c>
      <c r="E777" s="47" t="s">
        <v>388</v>
      </c>
      <c r="F777" s="37" t="s">
        <v>1879</v>
      </c>
      <c r="G777" s="42">
        <v>37</v>
      </c>
      <c r="H777" s="37">
        <v>84</v>
      </c>
      <c r="I777" s="37" t="s">
        <v>1498</v>
      </c>
      <c r="J777" s="37" t="s">
        <v>1880</v>
      </c>
      <c r="K777" s="57" t="s">
        <v>12</v>
      </c>
      <c r="L777" s="37" t="s">
        <v>433</v>
      </c>
      <c r="M777" s="37" t="s">
        <v>392</v>
      </c>
      <c r="N777" s="37" t="s">
        <v>330</v>
      </c>
      <c r="O777" s="29" t="s">
        <v>2</v>
      </c>
      <c r="P777" s="37">
        <v>4</v>
      </c>
      <c r="Q777" s="37" t="s">
        <v>1911</v>
      </c>
      <c r="R777" s="37" t="s">
        <v>1882</v>
      </c>
      <c r="S777" t="str">
        <f>IFERROR(HYPERLINK("#Main!A"&amp;MATCH(A777,Main!A:A,0),"Open"),HYPERLINK("#Main!A1","Open"))</f>
        <v>Open</v>
      </c>
      <c r="T777" t="str">
        <f>IFERROR(HYPERLINK("#Technical!A"&amp;MATCH(A777,Technical!A:A,0),"Open"),HYPERLINK("#Technical!A1","Open"))</f>
        <v>Open</v>
      </c>
    </row>
    <row r="778" spans="1:21" ht="30" customHeight="1" x14ac:dyDescent="0.25">
      <c r="A778" s="33" t="s">
        <v>677</v>
      </c>
      <c r="B778" s="28">
        <v>17000</v>
      </c>
      <c r="C778" s="55" t="s">
        <v>1146</v>
      </c>
      <c r="D778" s="28" t="s">
        <v>433</v>
      </c>
      <c r="E778" s="47" t="s">
        <v>388</v>
      </c>
      <c r="F778" s="28" t="s">
        <v>1879</v>
      </c>
      <c r="G778" s="39">
        <v>37</v>
      </c>
      <c r="H778" s="28">
        <v>67</v>
      </c>
      <c r="I778" s="28" t="s">
        <v>1498</v>
      </c>
      <c r="J778" s="28" t="s">
        <v>1880</v>
      </c>
      <c r="K778" s="56" t="s">
        <v>12</v>
      </c>
      <c r="L778" s="28" t="s">
        <v>433</v>
      </c>
      <c r="M778" s="28" t="s">
        <v>392</v>
      </c>
      <c r="N778" s="28" t="s">
        <v>330</v>
      </c>
      <c r="O778" s="29" t="s">
        <v>2</v>
      </c>
      <c r="P778" s="28">
        <v>4</v>
      </c>
      <c r="Q778" s="28" t="s">
        <v>1912</v>
      </c>
      <c r="R778" s="28" t="s">
        <v>1882</v>
      </c>
      <c r="S778" s="34" t="str">
        <f>IFERROR(HYPERLINK("#Main!A"&amp;MATCH(A778,Main!A:A,0),"Open"),HYPERLINK("#Main!A1","Open"))</f>
        <v>Open</v>
      </c>
      <c r="T778" s="34" t="str">
        <f>IFERROR(HYPERLINK("#Technical!A"&amp;MATCH(A778,Technical!A:A,0),"Open"),HYPERLINK("#Technical!A1","Open"))</f>
        <v>Open</v>
      </c>
      <c r="U778" s="34"/>
    </row>
    <row r="779" spans="1:21" ht="30" customHeight="1" x14ac:dyDescent="0.25">
      <c r="A779" s="30" t="s">
        <v>680</v>
      </c>
      <c r="B779" s="37">
        <v>17196</v>
      </c>
      <c r="C779" s="55" t="s">
        <v>1148</v>
      </c>
      <c r="D779" s="37" t="s">
        <v>433</v>
      </c>
      <c r="E779" s="47" t="s">
        <v>388</v>
      </c>
      <c r="F779" s="37" t="s">
        <v>1879</v>
      </c>
      <c r="G779" s="42">
        <v>37</v>
      </c>
      <c r="H779" s="37">
        <v>67</v>
      </c>
      <c r="I779" s="37" t="s">
        <v>1498</v>
      </c>
      <c r="J779" s="37" t="s">
        <v>1880</v>
      </c>
      <c r="K779" s="57" t="s">
        <v>12</v>
      </c>
      <c r="L779" s="37" t="s">
        <v>433</v>
      </c>
      <c r="M779" s="37" t="s">
        <v>392</v>
      </c>
      <c r="N779" s="37" t="s">
        <v>330</v>
      </c>
      <c r="O779" s="29" t="s">
        <v>2</v>
      </c>
      <c r="P779" s="37">
        <v>4</v>
      </c>
      <c r="Q779" s="37" t="s">
        <v>1913</v>
      </c>
      <c r="R779" s="37" t="s">
        <v>1882</v>
      </c>
      <c r="S779" t="str">
        <f>IFERROR(HYPERLINK("#Main!A"&amp;MATCH(A779,Main!A:A,0),"Open"),HYPERLINK("#Main!A1","Open"))</f>
        <v>Open</v>
      </c>
      <c r="T779" t="str">
        <f>IFERROR(HYPERLINK("#Technical!A"&amp;MATCH(A779,Technical!A:A,0),"Open"),HYPERLINK("#Technical!A1","Open"))</f>
        <v>Open</v>
      </c>
    </row>
  </sheetData>
  <autoFilter ref="A1:U779" xr:uid="{00000000-0009-0000-0000-00000E000000}"/>
  <conditionalFormatting sqref="G2:G779">
    <cfRule type="cellIs" dxfId="23" priority="1" operator="greaterThanOrEqual">
      <formula>85</formula>
    </cfRule>
    <cfRule type="cellIs" dxfId="22" priority="2" operator="between">
      <formula>65</formula>
      <formula>84</formula>
    </cfRule>
  </conditionalFormatting>
  <conditionalFormatting sqref="M2:M779">
    <cfRule type="expression" dxfId="21" priority="3" stopIfTrue="1">
      <formula>LOWER(M2)="yes"</formula>
    </cfRule>
    <cfRule type="expression" dxfId="20" priority="4" stopIfTrue="1">
      <formula>LOWER(M2)="no"</formula>
    </cfRule>
  </conditionalFormatting>
  <conditionalFormatting sqref="O2:O779">
    <cfRule type="expression" dxfId="19" priority="5" stopIfTrue="1">
      <formula>LOWER(O2)="done"</formula>
    </cfRule>
    <cfRule type="expression" dxfId="18" priority="6" stopIfTrue="1">
      <formula>OR(LOWER(O2)="to do",LOWER(O2)="in progress",LOWER(O2)="in review")</formula>
    </cfRule>
  </conditionalFormatting>
  <dataValidations count="24">
    <dataValidation type="list" allowBlank="1" sqref="O2:O779" xr:uid="{00000000-0002-0000-0E00-000000000000}">
      <formula1>"To Do,In Progress,Fixed"</formula1>
    </dataValidation>
    <dataValidation type="custom" allowBlank="1" showInputMessage="1" promptTitle="URL" prompt="URL. Use this URL to inspect the page directly or jump to related tabs." sqref="A1" xr:uid="{00000000-0002-0000-0E00-000001000000}">
      <formula1>TRUE</formula1>
    </dataValidation>
    <dataValidation type="custom" allowBlank="1" showInputMessage="1" promptTitle="WordPress Post ID" prompt="WordPress Post ID. Review this metric to identify risk, then use linked tabs for details and remediation." sqref="B1" xr:uid="{00000000-0002-0000-0E00-000002000000}">
      <formula1>TRUE</formula1>
    </dataValidation>
    <dataValidation type="custom" allowBlank="1" showInputMessage="1" promptTitle="Direct Edit Link" prompt="Link quality and crawl-path metric. Fix: repair broken links and improve internal linking relevance." sqref="C1" xr:uid="{00000000-0002-0000-0E00-000003000000}">
      <formula1>TRUE</formula1>
    </dataValidation>
    <dataValidation type="custom" allowBlank="1" showInputMessage="1" promptTitle="AIOSEO Panel" prompt="AIOSEO Panel. Review this metric to identify risk, then use linked tabs for details and remediation." sqref="D1" xr:uid="{00000000-0002-0000-0E00-000004000000}">
      <formula1>TRUE</formula1>
    </dataValidation>
    <dataValidation type="custom" allowBlank="1" showInputMessage="1" promptTitle="Severity" prompt="Issue impact level. Fix: Resolve Critical first, then Warning, then improvement opportunities." sqref="E1" xr:uid="{00000000-0002-0000-0E00-000005000000}">
      <formula1>TRUE</formula1>
    </dataValidation>
    <dataValidation type="custom" allowBlank="1" showInputMessage="1" promptTitle="Issue" prompt="Issue. Review this metric to identify risk, then use linked tabs for details and remediation." sqref="F1" xr:uid="{00000000-0002-0000-0E00-000006000000}">
      <formula1>TRUE</formula1>
    </dataValidation>
    <dataValidation type="custom" allowBlank="1" showInputMessage="1" promptTitle="Priority Score" prompt="Execution priority score combining impact and effort. Fix: Start from highest scores." sqref="G1" xr:uid="{00000000-0002-0000-0E00-000007000000}">
      <formula1>TRUE</formula1>
    </dataValidation>
    <dataValidation type="custom" allowBlank="1" showInputMessage="1" promptTitle="Current Value" prompt="Current Value. Review this metric to identify risk, then use linked tabs for details and remediation." sqref="H1" xr:uid="{00000000-0002-0000-0E00-000008000000}">
      <formula1>TRUE</formula1>
    </dataValidation>
    <dataValidation type="custom" allowBlank="1" showInputMessage="1" promptTitle="Recommended Target" prompt="Recommended Target. Review this metric to identify risk, then use linked tabs for details and remediation." sqref="I1" xr:uid="{00000000-0002-0000-0E00-000009000000}">
      <formula1>TRUE</formula1>
    </dataValidation>
    <dataValidation type="custom" allowBlank="1" showInputMessage="1" promptTitle="How to Fix in AIOSEO" prompt="How to Fix in AIOSEO. Review this metric to identify risk, then use linked tabs for details and remediation." sqref="J1" xr:uid="{00000000-0002-0000-0E00-00000A000000}">
      <formula1>TRUE</formula1>
    </dataValidation>
    <dataValidation type="custom" allowBlank="1" showInputMessage="1" promptTitle="Reference Tab" prompt="Summary grouping/navigation field. Use with hyperlinks to jump into detailed tabs." sqref="K1" xr:uid="{00000000-0002-0000-0E00-00000B000000}">
      <formula1>TRUE</formula1>
    </dataValidation>
    <dataValidation type="custom" allowBlank="1" showInputMessage="1" promptTitle="Reference Field" prompt="Reference Field. Review this metric to identify risk, then use linked tabs for details and remediation." sqref="L1" xr:uid="{00000000-0002-0000-0E00-00000C000000}">
      <formula1>TRUE</formula1>
    </dataValidation>
    <dataValidation type="custom" allowBlank="1" showInputMessage="1" promptTitle="Action Needed" prompt="Action Needed. Review this metric to identify risk, then use linked tabs for details and remediation." sqref="M1" xr:uid="{00000000-0002-0000-0E00-00000D000000}">
      <formula1>TRUE</formula1>
    </dataValidation>
    <dataValidation type="custom" allowBlank="1" showInputMessage="1" promptTitle="Owner" prompt="Workflow management field for planning and tracking remediation progress." sqref="N1" xr:uid="{00000000-0002-0000-0E00-00000E000000}">
      <formula1>TRUE</formula1>
    </dataValidation>
    <dataValidation type="custom" allowBlank="1" showInputMessage="1" promptTitle="Status" prompt="Workflow management field for planning and tracking remediation progress." sqref="O1" xr:uid="{00000000-0002-0000-0E00-00000F000000}">
      <formula1>TRUE</formula1>
    </dataValidation>
    <dataValidation type="custom" allowBlank="1" showInputMessage="1" promptTitle="Est. Hours" prompt="Est. Hours. Review this metric to identify risk, then use linked tabs for details and remediation." sqref="P1" xr:uid="{00000000-0002-0000-0E00-000010000000}">
      <formula1>TRUE</formula1>
    </dataValidation>
    <dataValidation type="custom" allowBlank="1" showInputMessage="1" promptTitle="Stable Issue ID" prompt="Stable Issue ID. Review this metric to identify risk, then use linked tabs for details and remediation." sqref="Q1" xr:uid="{00000000-0002-0000-0E00-000011000000}">
      <formula1>TRUE</formula1>
    </dataValidation>
    <dataValidation type="custom" allowBlank="1" showInputMessage="1" promptTitle="Why It Matters" prompt="Why It Matters. Review this metric to identify risk, then use linked tabs for details and remediation." sqref="R1" xr:uid="{00000000-0002-0000-0E00-000012000000}">
      <formula1>TRUE</formula1>
    </dataValidation>
    <dataValidation type="custom" allowBlank="1" showInputMessage="1" promptTitle="Open in Main" prompt="Navigation helper. Click to jump directly to the related record in another tab." sqref="S1" xr:uid="{00000000-0002-0000-0E00-000013000000}">
      <formula1>TRUE</formula1>
    </dataValidation>
    <dataValidation type="custom" allowBlank="1" showInputMessage="1" promptTitle="Open in Technical" prompt="Open in Technical. Review this metric to identify risk, then use linked tabs for details and remediation." sqref="T1" xr:uid="{00000000-0002-0000-0E00-000014000000}">
      <formula1>TRUE</formula1>
    </dataValidation>
    <dataValidation type="custom" allowBlank="1" showInputMessage="1" promptTitle="BACK TO DASHBOARD" prompt="BACK TO DASHBOARD. Review this metric to identify risk, then use linked tabs for details and remediation." sqref="U1" xr:uid="{00000000-0002-0000-0E00-000015000000}">
      <formula1>TRUE</formula1>
    </dataValidation>
    <dataValidation type="custom" allowBlank="1" showInputMessage="1" promptTitle="Priority Score" prompt="Issue priority score for execution order. Fix: Start with the highest values to reduce risk fastest." sqref="G1" xr:uid="{00000000-0002-0000-0E00-000016000000}">
      <formula1>TRUE</formula1>
    </dataValidation>
    <dataValidation type="custom" allowBlank="1" showInputMessage="1" promptTitle="Severity" prompt="Impact level of the issue. Fix: Resolve Critical first, then Warning, then Observation opportunities." sqref="E1" xr:uid="{00000000-0002-0000-0E00-000017000000}">
      <formula1>TRUE</formula1>
    </dataValidation>
  </dataValidations>
  <hyperlinks>
    <hyperlink ref="U1" location="Dashboard!A1" display="BACK TO DASHBOARD" xr:uid="{00000000-0004-0000-0E00-000000000000}"/>
    <hyperlink ref="A2" r:id="rId1" xr:uid="{00000000-0004-0000-0E00-000001000000}"/>
    <hyperlink ref="C2" r:id="rId2" xr:uid="{00000000-0004-0000-0E00-000002000000}"/>
    <hyperlink ref="K2" location="Indexability!A1" display="Indexability" xr:uid="{00000000-0004-0000-0E00-000003000000}"/>
    <hyperlink ref="A3" r:id="rId3" xr:uid="{00000000-0004-0000-0E00-000004000000}"/>
    <hyperlink ref="K3" location="Technical!A1" display="Technical" xr:uid="{00000000-0004-0000-0E00-000005000000}"/>
    <hyperlink ref="A4" r:id="rId4" xr:uid="{00000000-0004-0000-0E00-000006000000}"/>
    <hyperlink ref="K4" location="Technical!A1" display="Technical" xr:uid="{00000000-0004-0000-0E00-000007000000}"/>
    <hyperlink ref="A5" r:id="rId5" xr:uid="{00000000-0004-0000-0E00-000008000000}"/>
    <hyperlink ref="C5" r:id="rId6" xr:uid="{00000000-0004-0000-0E00-000009000000}"/>
    <hyperlink ref="K5" location="Links!A1" display="Links" xr:uid="{00000000-0004-0000-0E00-00000A000000}"/>
    <hyperlink ref="A6" r:id="rId7" xr:uid="{00000000-0004-0000-0E00-00000B000000}"/>
    <hyperlink ref="C6" r:id="rId8" xr:uid="{00000000-0004-0000-0E00-00000C000000}"/>
    <hyperlink ref="K6" location="Links!A1" display="Links" xr:uid="{00000000-0004-0000-0E00-00000D000000}"/>
    <hyperlink ref="A7" r:id="rId9" xr:uid="{00000000-0004-0000-0E00-00000E000000}"/>
    <hyperlink ref="C7" r:id="rId10" xr:uid="{00000000-0004-0000-0E00-00000F000000}"/>
    <hyperlink ref="K7" location="Links!A1" display="Links" xr:uid="{00000000-0004-0000-0E00-000010000000}"/>
    <hyperlink ref="A8" r:id="rId11" xr:uid="{00000000-0004-0000-0E00-000011000000}"/>
    <hyperlink ref="C8" r:id="rId12" xr:uid="{00000000-0004-0000-0E00-000012000000}"/>
    <hyperlink ref="K8" location="Links!A1" display="Links" xr:uid="{00000000-0004-0000-0E00-000013000000}"/>
    <hyperlink ref="A9" r:id="rId13" xr:uid="{00000000-0004-0000-0E00-000014000000}"/>
    <hyperlink ref="C9" r:id="rId14" xr:uid="{00000000-0004-0000-0E00-000015000000}"/>
    <hyperlink ref="K9" location="Links!A1" display="Links" xr:uid="{00000000-0004-0000-0E00-000016000000}"/>
    <hyperlink ref="A10" r:id="rId15" xr:uid="{00000000-0004-0000-0E00-000017000000}"/>
    <hyperlink ref="C10" r:id="rId16" xr:uid="{00000000-0004-0000-0E00-000018000000}"/>
    <hyperlink ref="K10" location="Links!A1" display="Links" xr:uid="{00000000-0004-0000-0E00-000019000000}"/>
    <hyperlink ref="A11" r:id="rId17" xr:uid="{00000000-0004-0000-0E00-00001A000000}"/>
    <hyperlink ref="C11" r:id="rId18" xr:uid="{00000000-0004-0000-0E00-00001B000000}"/>
    <hyperlink ref="K11" location="Links!A1" display="Links" xr:uid="{00000000-0004-0000-0E00-00001C000000}"/>
    <hyperlink ref="A12" r:id="rId19" xr:uid="{00000000-0004-0000-0E00-00001D000000}"/>
    <hyperlink ref="C12" r:id="rId20" xr:uid="{00000000-0004-0000-0E00-00001E000000}"/>
    <hyperlink ref="K12" location="Links!A1" display="Links" xr:uid="{00000000-0004-0000-0E00-00001F000000}"/>
    <hyperlink ref="A13" r:id="rId21" xr:uid="{00000000-0004-0000-0E00-000020000000}"/>
    <hyperlink ref="C13" r:id="rId22" xr:uid="{00000000-0004-0000-0E00-000021000000}"/>
    <hyperlink ref="K13" location="Links!A1" display="Links" xr:uid="{00000000-0004-0000-0E00-000022000000}"/>
    <hyperlink ref="A14" r:id="rId23" xr:uid="{00000000-0004-0000-0E00-000023000000}"/>
    <hyperlink ref="C14" r:id="rId24" xr:uid="{00000000-0004-0000-0E00-000024000000}"/>
    <hyperlink ref="K14" location="Links!A1" display="Links" xr:uid="{00000000-0004-0000-0E00-000025000000}"/>
    <hyperlink ref="A15" r:id="rId25" xr:uid="{00000000-0004-0000-0E00-000026000000}"/>
    <hyperlink ref="C15" r:id="rId26" xr:uid="{00000000-0004-0000-0E00-000027000000}"/>
    <hyperlink ref="K15" location="Links!A1" display="Links" xr:uid="{00000000-0004-0000-0E00-000028000000}"/>
    <hyperlink ref="A16" r:id="rId27" xr:uid="{00000000-0004-0000-0E00-000029000000}"/>
    <hyperlink ref="C16" r:id="rId28" xr:uid="{00000000-0004-0000-0E00-00002A000000}"/>
    <hyperlink ref="K16" location="Links!A1" display="Links" xr:uid="{00000000-0004-0000-0E00-00002B000000}"/>
    <hyperlink ref="A17" r:id="rId29" xr:uid="{00000000-0004-0000-0E00-00002C000000}"/>
    <hyperlink ref="C17" r:id="rId30" xr:uid="{00000000-0004-0000-0E00-00002D000000}"/>
    <hyperlink ref="K17" location="Links!A1" display="Links" xr:uid="{00000000-0004-0000-0E00-00002E000000}"/>
    <hyperlink ref="A18" r:id="rId31" xr:uid="{00000000-0004-0000-0E00-00002F000000}"/>
    <hyperlink ref="C18" r:id="rId32" xr:uid="{00000000-0004-0000-0E00-000030000000}"/>
    <hyperlink ref="K18" location="Links!A1" display="Links" xr:uid="{00000000-0004-0000-0E00-000031000000}"/>
    <hyperlink ref="A19" r:id="rId33" xr:uid="{00000000-0004-0000-0E00-000032000000}"/>
    <hyperlink ref="C19" r:id="rId34" xr:uid="{00000000-0004-0000-0E00-000033000000}"/>
    <hyperlink ref="K19" location="Links!A1" display="Links" xr:uid="{00000000-0004-0000-0E00-000034000000}"/>
    <hyperlink ref="A20" r:id="rId35" xr:uid="{00000000-0004-0000-0E00-000035000000}"/>
    <hyperlink ref="C20" r:id="rId36" xr:uid="{00000000-0004-0000-0E00-000036000000}"/>
    <hyperlink ref="K20" location="Links!A1" display="Links" xr:uid="{00000000-0004-0000-0E00-000037000000}"/>
    <hyperlink ref="A21" r:id="rId37" xr:uid="{00000000-0004-0000-0E00-000038000000}"/>
    <hyperlink ref="C21" r:id="rId38" xr:uid="{00000000-0004-0000-0E00-000039000000}"/>
    <hyperlink ref="K21" location="Links!A1" display="Links" xr:uid="{00000000-0004-0000-0E00-00003A000000}"/>
    <hyperlink ref="A22" r:id="rId39" xr:uid="{00000000-0004-0000-0E00-00003B000000}"/>
    <hyperlink ref="C22" r:id="rId40" xr:uid="{00000000-0004-0000-0E00-00003C000000}"/>
    <hyperlink ref="K22" location="Links!A1" display="Links" xr:uid="{00000000-0004-0000-0E00-00003D000000}"/>
    <hyperlink ref="A23" r:id="rId41" xr:uid="{00000000-0004-0000-0E00-00003E000000}"/>
    <hyperlink ref="C23" r:id="rId42" xr:uid="{00000000-0004-0000-0E00-00003F000000}"/>
    <hyperlink ref="K23" location="Links!A1" display="Links" xr:uid="{00000000-0004-0000-0E00-000040000000}"/>
    <hyperlink ref="A24" r:id="rId43" xr:uid="{00000000-0004-0000-0E00-000041000000}"/>
    <hyperlink ref="C24" r:id="rId44" xr:uid="{00000000-0004-0000-0E00-000042000000}"/>
    <hyperlink ref="K24" location="Links!A1" display="Links" xr:uid="{00000000-0004-0000-0E00-000043000000}"/>
    <hyperlink ref="A25" r:id="rId45" xr:uid="{00000000-0004-0000-0E00-000044000000}"/>
    <hyperlink ref="C25" r:id="rId46" xr:uid="{00000000-0004-0000-0E00-000045000000}"/>
    <hyperlink ref="K25" location="Links!A1" display="Links" xr:uid="{00000000-0004-0000-0E00-000046000000}"/>
    <hyperlink ref="A26" r:id="rId47" xr:uid="{00000000-0004-0000-0E00-000047000000}"/>
    <hyperlink ref="C26" r:id="rId48" xr:uid="{00000000-0004-0000-0E00-000048000000}"/>
    <hyperlink ref="K26" location="Links!A1" display="Links" xr:uid="{00000000-0004-0000-0E00-000049000000}"/>
    <hyperlink ref="A27" r:id="rId49" xr:uid="{00000000-0004-0000-0E00-00004A000000}"/>
    <hyperlink ref="C27" r:id="rId50" xr:uid="{00000000-0004-0000-0E00-00004B000000}"/>
    <hyperlink ref="K27" location="Links!A1" display="Links" xr:uid="{00000000-0004-0000-0E00-00004C000000}"/>
    <hyperlink ref="A28" r:id="rId51" xr:uid="{00000000-0004-0000-0E00-00004D000000}"/>
    <hyperlink ref="C28" r:id="rId52" xr:uid="{00000000-0004-0000-0E00-00004E000000}"/>
    <hyperlink ref="K28" location="Links!A1" display="Links" xr:uid="{00000000-0004-0000-0E00-00004F000000}"/>
    <hyperlink ref="A29" r:id="rId53" xr:uid="{00000000-0004-0000-0E00-000050000000}"/>
    <hyperlink ref="C29" r:id="rId54" xr:uid="{00000000-0004-0000-0E00-000051000000}"/>
    <hyperlink ref="K29" location="Links!A1" display="Links" xr:uid="{00000000-0004-0000-0E00-000052000000}"/>
    <hyperlink ref="A30" r:id="rId55" xr:uid="{00000000-0004-0000-0E00-000053000000}"/>
    <hyperlink ref="C30" r:id="rId56" xr:uid="{00000000-0004-0000-0E00-000054000000}"/>
    <hyperlink ref="K30" location="Links!A1" display="Links" xr:uid="{00000000-0004-0000-0E00-000055000000}"/>
    <hyperlink ref="A31" r:id="rId57" xr:uid="{00000000-0004-0000-0E00-000056000000}"/>
    <hyperlink ref="C31" r:id="rId58" xr:uid="{00000000-0004-0000-0E00-000057000000}"/>
    <hyperlink ref="K31" location="Links!A1" display="Links" xr:uid="{00000000-0004-0000-0E00-000058000000}"/>
    <hyperlink ref="A32" r:id="rId59" xr:uid="{00000000-0004-0000-0E00-000059000000}"/>
    <hyperlink ref="C32" r:id="rId60" xr:uid="{00000000-0004-0000-0E00-00005A000000}"/>
    <hyperlink ref="K32" location="Links!A1" display="Links" xr:uid="{00000000-0004-0000-0E00-00005B000000}"/>
    <hyperlink ref="A33" r:id="rId61" xr:uid="{00000000-0004-0000-0E00-00005C000000}"/>
    <hyperlink ref="C33" r:id="rId62" xr:uid="{00000000-0004-0000-0E00-00005D000000}"/>
    <hyperlink ref="K33" location="Links!A1" display="Links" xr:uid="{00000000-0004-0000-0E00-00005E000000}"/>
    <hyperlink ref="A34" r:id="rId63" xr:uid="{00000000-0004-0000-0E00-00005F000000}"/>
    <hyperlink ref="C34" r:id="rId64" xr:uid="{00000000-0004-0000-0E00-000060000000}"/>
    <hyperlink ref="K34" location="Links!A1" display="Links" xr:uid="{00000000-0004-0000-0E00-000061000000}"/>
    <hyperlink ref="A35" r:id="rId65" xr:uid="{00000000-0004-0000-0E00-000062000000}"/>
    <hyperlink ref="C35" r:id="rId66" xr:uid="{00000000-0004-0000-0E00-000063000000}"/>
    <hyperlink ref="K35" location="Links!A1" display="Links" xr:uid="{00000000-0004-0000-0E00-000064000000}"/>
    <hyperlink ref="A36" r:id="rId67" xr:uid="{00000000-0004-0000-0E00-000065000000}"/>
    <hyperlink ref="C36" r:id="rId68" xr:uid="{00000000-0004-0000-0E00-000066000000}"/>
    <hyperlink ref="K36" location="Links!A1" display="Links" xr:uid="{00000000-0004-0000-0E00-000067000000}"/>
    <hyperlink ref="A37" r:id="rId69" xr:uid="{00000000-0004-0000-0E00-000068000000}"/>
    <hyperlink ref="C37" r:id="rId70" xr:uid="{00000000-0004-0000-0E00-000069000000}"/>
    <hyperlink ref="K37" location="Links!A1" display="Links" xr:uid="{00000000-0004-0000-0E00-00006A000000}"/>
    <hyperlink ref="A38" r:id="rId71" xr:uid="{00000000-0004-0000-0E00-00006B000000}"/>
    <hyperlink ref="C38" r:id="rId72" xr:uid="{00000000-0004-0000-0E00-00006C000000}"/>
    <hyperlink ref="K38" location="Links!A1" display="Links" xr:uid="{00000000-0004-0000-0E00-00006D000000}"/>
    <hyperlink ref="A39" r:id="rId73" xr:uid="{00000000-0004-0000-0E00-00006E000000}"/>
    <hyperlink ref="C39" r:id="rId74" xr:uid="{00000000-0004-0000-0E00-00006F000000}"/>
    <hyperlink ref="K39" location="Links!A1" display="Links" xr:uid="{00000000-0004-0000-0E00-000070000000}"/>
    <hyperlink ref="A40" r:id="rId75" xr:uid="{00000000-0004-0000-0E00-000071000000}"/>
    <hyperlink ref="C40" r:id="rId76" xr:uid="{00000000-0004-0000-0E00-000072000000}"/>
    <hyperlink ref="K40" location="Links!A1" display="Links" xr:uid="{00000000-0004-0000-0E00-000073000000}"/>
    <hyperlink ref="A41" r:id="rId77" xr:uid="{00000000-0004-0000-0E00-000074000000}"/>
    <hyperlink ref="C41" r:id="rId78" xr:uid="{00000000-0004-0000-0E00-000075000000}"/>
    <hyperlink ref="K41" location="Links!A1" display="Links" xr:uid="{00000000-0004-0000-0E00-000076000000}"/>
    <hyperlink ref="A42" r:id="rId79" xr:uid="{00000000-0004-0000-0E00-000077000000}"/>
    <hyperlink ref="C42" r:id="rId80" xr:uid="{00000000-0004-0000-0E00-000078000000}"/>
    <hyperlink ref="K42" location="Links!A1" display="Links" xr:uid="{00000000-0004-0000-0E00-000079000000}"/>
    <hyperlink ref="A43" r:id="rId81" xr:uid="{00000000-0004-0000-0E00-00007A000000}"/>
    <hyperlink ref="C43" r:id="rId82" xr:uid="{00000000-0004-0000-0E00-00007B000000}"/>
    <hyperlink ref="K43" location="Links!A1" display="Links" xr:uid="{00000000-0004-0000-0E00-00007C000000}"/>
    <hyperlink ref="A44" r:id="rId83" xr:uid="{00000000-0004-0000-0E00-00007D000000}"/>
    <hyperlink ref="C44" r:id="rId84" xr:uid="{00000000-0004-0000-0E00-00007E000000}"/>
    <hyperlink ref="K44" location="Links!A1" display="Links" xr:uid="{00000000-0004-0000-0E00-00007F000000}"/>
    <hyperlink ref="A45" r:id="rId85" xr:uid="{00000000-0004-0000-0E00-000080000000}"/>
    <hyperlink ref="C45" r:id="rId86" xr:uid="{00000000-0004-0000-0E00-000081000000}"/>
    <hyperlink ref="K45" location="Links!A1" display="Links" xr:uid="{00000000-0004-0000-0E00-000082000000}"/>
    <hyperlink ref="A46" r:id="rId87" xr:uid="{00000000-0004-0000-0E00-000083000000}"/>
    <hyperlink ref="C46" r:id="rId88" xr:uid="{00000000-0004-0000-0E00-000084000000}"/>
    <hyperlink ref="K46" location="Links!A1" display="Links" xr:uid="{00000000-0004-0000-0E00-000085000000}"/>
    <hyperlink ref="A47" r:id="rId89" xr:uid="{00000000-0004-0000-0E00-000086000000}"/>
    <hyperlink ref="C47" r:id="rId90" xr:uid="{00000000-0004-0000-0E00-000087000000}"/>
    <hyperlink ref="K47" location="Links!A1" display="Links" xr:uid="{00000000-0004-0000-0E00-000088000000}"/>
    <hyperlink ref="A48" r:id="rId91" xr:uid="{00000000-0004-0000-0E00-000089000000}"/>
    <hyperlink ref="C48" r:id="rId92" xr:uid="{00000000-0004-0000-0E00-00008A000000}"/>
    <hyperlink ref="K48" location="Links!A1" display="Links" xr:uid="{00000000-0004-0000-0E00-00008B000000}"/>
    <hyperlink ref="A49" r:id="rId93" xr:uid="{00000000-0004-0000-0E00-00008C000000}"/>
    <hyperlink ref="C49" r:id="rId94" xr:uid="{00000000-0004-0000-0E00-00008D000000}"/>
    <hyperlink ref="K49" location="Links!A1" display="Links" xr:uid="{00000000-0004-0000-0E00-00008E000000}"/>
    <hyperlink ref="A50" r:id="rId95" xr:uid="{00000000-0004-0000-0E00-00008F000000}"/>
    <hyperlink ref="C50" r:id="rId96" xr:uid="{00000000-0004-0000-0E00-000090000000}"/>
    <hyperlink ref="K50" location="Links!A1" display="Links" xr:uid="{00000000-0004-0000-0E00-000091000000}"/>
    <hyperlink ref="A51" r:id="rId97" xr:uid="{00000000-0004-0000-0E00-000092000000}"/>
    <hyperlink ref="C51" r:id="rId98" xr:uid="{00000000-0004-0000-0E00-000093000000}"/>
    <hyperlink ref="K51" location="Links!A1" display="Links" xr:uid="{00000000-0004-0000-0E00-000094000000}"/>
    <hyperlink ref="A52" r:id="rId99" xr:uid="{00000000-0004-0000-0E00-000095000000}"/>
    <hyperlink ref="C52" r:id="rId100" xr:uid="{00000000-0004-0000-0E00-000096000000}"/>
    <hyperlink ref="K52" location="Links!A1" display="Links" xr:uid="{00000000-0004-0000-0E00-000097000000}"/>
    <hyperlink ref="A53" r:id="rId101" xr:uid="{00000000-0004-0000-0E00-000098000000}"/>
    <hyperlink ref="C53" r:id="rId102" xr:uid="{00000000-0004-0000-0E00-000099000000}"/>
    <hyperlink ref="K53" location="Links!A1" display="Links" xr:uid="{00000000-0004-0000-0E00-00009A000000}"/>
    <hyperlink ref="A54" r:id="rId103" xr:uid="{00000000-0004-0000-0E00-00009B000000}"/>
    <hyperlink ref="C54" r:id="rId104" xr:uid="{00000000-0004-0000-0E00-00009C000000}"/>
    <hyperlink ref="K54" location="Links!A1" display="Links" xr:uid="{00000000-0004-0000-0E00-00009D000000}"/>
    <hyperlink ref="A55" r:id="rId105" xr:uid="{00000000-0004-0000-0E00-00009E000000}"/>
    <hyperlink ref="C55" r:id="rId106" xr:uid="{00000000-0004-0000-0E00-00009F000000}"/>
    <hyperlink ref="K55" location="Links!A1" display="Links" xr:uid="{00000000-0004-0000-0E00-0000A0000000}"/>
    <hyperlink ref="A56" r:id="rId107" xr:uid="{00000000-0004-0000-0E00-0000A1000000}"/>
    <hyperlink ref="C56" r:id="rId108" xr:uid="{00000000-0004-0000-0E00-0000A2000000}"/>
    <hyperlink ref="K56" location="Links!A1" display="Links" xr:uid="{00000000-0004-0000-0E00-0000A3000000}"/>
    <hyperlink ref="A57" r:id="rId109" xr:uid="{00000000-0004-0000-0E00-0000A4000000}"/>
    <hyperlink ref="C57" r:id="rId110" xr:uid="{00000000-0004-0000-0E00-0000A5000000}"/>
    <hyperlink ref="K57" location="Links!A1" display="Links" xr:uid="{00000000-0004-0000-0E00-0000A6000000}"/>
    <hyperlink ref="A58" r:id="rId111" xr:uid="{00000000-0004-0000-0E00-0000A7000000}"/>
    <hyperlink ref="C58" r:id="rId112" xr:uid="{00000000-0004-0000-0E00-0000A8000000}"/>
    <hyperlink ref="K58" location="Links!A1" display="Links" xr:uid="{00000000-0004-0000-0E00-0000A9000000}"/>
    <hyperlink ref="A59" r:id="rId113" xr:uid="{00000000-0004-0000-0E00-0000AA000000}"/>
    <hyperlink ref="C59" r:id="rId114" xr:uid="{00000000-0004-0000-0E00-0000AB000000}"/>
    <hyperlink ref="K59" location="Links!A1" display="Links" xr:uid="{00000000-0004-0000-0E00-0000AC000000}"/>
    <hyperlink ref="A60" r:id="rId115" xr:uid="{00000000-0004-0000-0E00-0000AD000000}"/>
    <hyperlink ref="C60" r:id="rId116" xr:uid="{00000000-0004-0000-0E00-0000AE000000}"/>
    <hyperlink ref="K60" location="Links!A1" display="Links" xr:uid="{00000000-0004-0000-0E00-0000AF000000}"/>
    <hyperlink ref="A61" r:id="rId117" xr:uid="{00000000-0004-0000-0E00-0000B0000000}"/>
    <hyperlink ref="C61" r:id="rId118" xr:uid="{00000000-0004-0000-0E00-0000B1000000}"/>
    <hyperlink ref="K61" location="Links!A1" display="Links" xr:uid="{00000000-0004-0000-0E00-0000B2000000}"/>
    <hyperlink ref="A62" r:id="rId119" xr:uid="{00000000-0004-0000-0E00-0000B3000000}"/>
    <hyperlink ref="C62" r:id="rId120" xr:uid="{00000000-0004-0000-0E00-0000B4000000}"/>
    <hyperlink ref="K62" location="Links!A1" display="Links" xr:uid="{00000000-0004-0000-0E00-0000B5000000}"/>
    <hyperlink ref="A63" r:id="rId121" xr:uid="{00000000-0004-0000-0E00-0000B6000000}"/>
    <hyperlink ref="C63" r:id="rId122" xr:uid="{00000000-0004-0000-0E00-0000B7000000}"/>
    <hyperlink ref="K63" location="Links!A1" display="Links" xr:uid="{00000000-0004-0000-0E00-0000B8000000}"/>
    <hyperlink ref="A64" r:id="rId123" xr:uid="{00000000-0004-0000-0E00-0000B9000000}"/>
    <hyperlink ref="C64" r:id="rId124" xr:uid="{00000000-0004-0000-0E00-0000BA000000}"/>
    <hyperlink ref="K64" location="Links!A1" display="Links" xr:uid="{00000000-0004-0000-0E00-0000BB000000}"/>
    <hyperlink ref="A65" r:id="rId125" xr:uid="{00000000-0004-0000-0E00-0000BC000000}"/>
    <hyperlink ref="C65" r:id="rId126" xr:uid="{00000000-0004-0000-0E00-0000BD000000}"/>
    <hyperlink ref="K65" location="Links!A1" display="Links" xr:uid="{00000000-0004-0000-0E00-0000BE000000}"/>
    <hyperlink ref="A66" r:id="rId127" xr:uid="{00000000-0004-0000-0E00-0000BF000000}"/>
    <hyperlink ref="C66" r:id="rId128" xr:uid="{00000000-0004-0000-0E00-0000C0000000}"/>
    <hyperlink ref="K66" location="Links!A1" display="Links" xr:uid="{00000000-0004-0000-0E00-0000C1000000}"/>
    <hyperlink ref="A67" r:id="rId129" xr:uid="{00000000-0004-0000-0E00-0000C2000000}"/>
    <hyperlink ref="C67" r:id="rId130" xr:uid="{00000000-0004-0000-0E00-0000C3000000}"/>
    <hyperlink ref="K67" location="Links!A1" display="Links" xr:uid="{00000000-0004-0000-0E00-0000C4000000}"/>
    <hyperlink ref="A68" r:id="rId131" xr:uid="{00000000-0004-0000-0E00-0000C5000000}"/>
    <hyperlink ref="C68" r:id="rId132" xr:uid="{00000000-0004-0000-0E00-0000C6000000}"/>
    <hyperlink ref="K68" location="Links!A1" display="Links" xr:uid="{00000000-0004-0000-0E00-0000C7000000}"/>
    <hyperlink ref="A69" r:id="rId133" xr:uid="{00000000-0004-0000-0E00-0000C8000000}"/>
    <hyperlink ref="C69" r:id="rId134" xr:uid="{00000000-0004-0000-0E00-0000C9000000}"/>
    <hyperlink ref="K69" location="Links!A1" display="Links" xr:uid="{00000000-0004-0000-0E00-0000CA000000}"/>
    <hyperlink ref="A70" r:id="rId135" xr:uid="{00000000-0004-0000-0E00-0000CB000000}"/>
    <hyperlink ref="C70" r:id="rId136" xr:uid="{00000000-0004-0000-0E00-0000CC000000}"/>
    <hyperlink ref="K70" location="Links!A1" display="Links" xr:uid="{00000000-0004-0000-0E00-0000CD000000}"/>
    <hyperlink ref="A71" r:id="rId137" xr:uid="{00000000-0004-0000-0E00-0000CE000000}"/>
    <hyperlink ref="C71" r:id="rId138" xr:uid="{00000000-0004-0000-0E00-0000CF000000}"/>
    <hyperlink ref="K71" location="Links!A1" display="Links" xr:uid="{00000000-0004-0000-0E00-0000D0000000}"/>
    <hyperlink ref="A72" r:id="rId139" xr:uid="{00000000-0004-0000-0E00-0000D1000000}"/>
    <hyperlink ref="C72" r:id="rId140" xr:uid="{00000000-0004-0000-0E00-0000D2000000}"/>
    <hyperlink ref="K72" location="Links!A1" display="Links" xr:uid="{00000000-0004-0000-0E00-0000D3000000}"/>
    <hyperlink ref="A73" r:id="rId141" xr:uid="{00000000-0004-0000-0E00-0000D4000000}"/>
    <hyperlink ref="C73" r:id="rId142" xr:uid="{00000000-0004-0000-0E00-0000D5000000}"/>
    <hyperlink ref="K73" location="Links!A1" display="Links" xr:uid="{00000000-0004-0000-0E00-0000D6000000}"/>
    <hyperlink ref="A74" r:id="rId143" xr:uid="{00000000-0004-0000-0E00-0000D7000000}"/>
    <hyperlink ref="C74" r:id="rId144" xr:uid="{00000000-0004-0000-0E00-0000D8000000}"/>
    <hyperlink ref="K74" location="Links!A1" display="Links" xr:uid="{00000000-0004-0000-0E00-0000D9000000}"/>
    <hyperlink ref="A75" r:id="rId145" xr:uid="{00000000-0004-0000-0E00-0000DA000000}"/>
    <hyperlink ref="C75" r:id="rId146" xr:uid="{00000000-0004-0000-0E00-0000DB000000}"/>
    <hyperlink ref="K75" location="Links!A1" display="Links" xr:uid="{00000000-0004-0000-0E00-0000DC000000}"/>
    <hyperlink ref="A76" r:id="rId147" xr:uid="{00000000-0004-0000-0E00-0000DD000000}"/>
    <hyperlink ref="C76" r:id="rId148" xr:uid="{00000000-0004-0000-0E00-0000DE000000}"/>
    <hyperlink ref="K76" location="Links!A1" display="Links" xr:uid="{00000000-0004-0000-0E00-0000DF000000}"/>
    <hyperlink ref="A77" r:id="rId149" xr:uid="{00000000-0004-0000-0E00-0000E0000000}"/>
    <hyperlink ref="C77" r:id="rId150" xr:uid="{00000000-0004-0000-0E00-0000E1000000}"/>
    <hyperlink ref="K77" location="Links!A1" display="Links" xr:uid="{00000000-0004-0000-0E00-0000E2000000}"/>
    <hyperlink ref="A78" r:id="rId151" xr:uid="{00000000-0004-0000-0E00-0000E3000000}"/>
    <hyperlink ref="C78" r:id="rId152" xr:uid="{00000000-0004-0000-0E00-0000E4000000}"/>
    <hyperlink ref="K78" location="Links!A1" display="Links" xr:uid="{00000000-0004-0000-0E00-0000E5000000}"/>
    <hyperlink ref="A79" r:id="rId153" xr:uid="{00000000-0004-0000-0E00-0000E6000000}"/>
    <hyperlink ref="C79" r:id="rId154" xr:uid="{00000000-0004-0000-0E00-0000E7000000}"/>
    <hyperlink ref="K79" location="Links!A1" display="Links" xr:uid="{00000000-0004-0000-0E00-0000E8000000}"/>
    <hyperlink ref="A80" r:id="rId155" xr:uid="{00000000-0004-0000-0E00-0000E9000000}"/>
    <hyperlink ref="C80" r:id="rId156" xr:uid="{00000000-0004-0000-0E00-0000EA000000}"/>
    <hyperlink ref="K80" location="Links!A1" display="Links" xr:uid="{00000000-0004-0000-0E00-0000EB000000}"/>
    <hyperlink ref="A81" r:id="rId157" xr:uid="{00000000-0004-0000-0E00-0000EC000000}"/>
    <hyperlink ref="C81" r:id="rId158" xr:uid="{00000000-0004-0000-0E00-0000ED000000}"/>
    <hyperlink ref="K81" location="Links!A1" display="Links" xr:uid="{00000000-0004-0000-0E00-0000EE000000}"/>
    <hyperlink ref="A82" r:id="rId159" xr:uid="{00000000-0004-0000-0E00-0000EF000000}"/>
    <hyperlink ref="C82" r:id="rId160" xr:uid="{00000000-0004-0000-0E00-0000F0000000}"/>
    <hyperlink ref="K82" location="Links!A1" display="Links" xr:uid="{00000000-0004-0000-0E00-0000F1000000}"/>
    <hyperlink ref="A83" r:id="rId161" xr:uid="{00000000-0004-0000-0E00-0000F2000000}"/>
    <hyperlink ref="C83" r:id="rId162" xr:uid="{00000000-0004-0000-0E00-0000F3000000}"/>
    <hyperlink ref="K83" location="Links!A1" display="Links" xr:uid="{00000000-0004-0000-0E00-0000F4000000}"/>
    <hyperlink ref="A84" r:id="rId163" xr:uid="{00000000-0004-0000-0E00-0000F5000000}"/>
    <hyperlink ref="C84" r:id="rId164" xr:uid="{00000000-0004-0000-0E00-0000F6000000}"/>
    <hyperlink ref="K84" location="Links!A1" display="Links" xr:uid="{00000000-0004-0000-0E00-0000F7000000}"/>
    <hyperlink ref="A85" r:id="rId165" xr:uid="{00000000-0004-0000-0E00-0000F8000000}"/>
    <hyperlink ref="C85" r:id="rId166" xr:uid="{00000000-0004-0000-0E00-0000F9000000}"/>
    <hyperlink ref="K85" location="Links!A1" display="Links" xr:uid="{00000000-0004-0000-0E00-0000FA000000}"/>
    <hyperlink ref="A86" r:id="rId167" xr:uid="{00000000-0004-0000-0E00-0000FB000000}"/>
    <hyperlink ref="C86" r:id="rId168" xr:uid="{00000000-0004-0000-0E00-0000FC000000}"/>
    <hyperlink ref="K86" location="Links!A1" display="Links" xr:uid="{00000000-0004-0000-0E00-0000FD000000}"/>
    <hyperlink ref="A87" r:id="rId169" xr:uid="{00000000-0004-0000-0E00-0000FE000000}"/>
    <hyperlink ref="C87" r:id="rId170" xr:uid="{00000000-0004-0000-0E00-0000FF000000}"/>
    <hyperlink ref="K87" location="Links!A1" display="Links" xr:uid="{00000000-0004-0000-0E00-000000010000}"/>
    <hyperlink ref="A88" r:id="rId171" xr:uid="{00000000-0004-0000-0E00-000001010000}"/>
    <hyperlink ref="C88" r:id="rId172" xr:uid="{00000000-0004-0000-0E00-000002010000}"/>
    <hyperlink ref="K88" location="Main!A1" display="Main" xr:uid="{00000000-0004-0000-0E00-000003010000}"/>
    <hyperlink ref="A89" r:id="rId173" xr:uid="{00000000-0004-0000-0E00-000004010000}"/>
    <hyperlink ref="K89" location="Main!A1" display="Main" xr:uid="{00000000-0004-0000-0E00-000005010000}"/>
    <hyperlink ref="A90" r:id="rId174" xr:uid="{00000000-0004-0000-0E00-000006010000}"/>
    <hyperlink ref="K90" location="Main!A1" display="Main" xr:uid="{00000000-0004-0000-0E00-000007010000}"/>
    <hyperlink ref="A91" r:id="rId175" xr:uid="{00000000-0004-0000-0E00-000008010000}"/>
    <hyperlink ref="C91" r:id="rId176" xr:uid="{00000000-0004-0000-0E00-000009010000}"/>
    <hyperlink ref="K91" location="Main!A1" display="Main" xr:uid="{00000000-0004-0000-0E00-00000A010000}"/>
    <hyperlink ref="A92" r:id="rId177" xr:uid="{00000000-0004-0000-0E00-00000B010000}"/>
    <hyperlink ref="C92" r:id="rId178" xr:uid="{00000000-0004-0000-0E00-00000C010000}"/>
    <hyperlink ref="K92" location="Main!A1" display="Main" xr:uid="{00000000-0004-0000-0E00-00000D010000}"/>
    <hyperlink ref="A93" r:id="rId179" xr:uid="{00000000-0004-0000-0E00-00000E010000}"/>
    <hyperlink ref="C93" r:id="rId180" xr:uid="{00000000-0004-0000-0E00-00000F010000}"/>
    <hyperlink ref="K93" location="AEO!A1" display="AEO" xr:uid="{00000000-0004-0000-0E00-000010010000}"/>
    <hyperlink ref="A94" r:id="rId181" xr:uid="{00000000-0004-0000-0E00-000011010000}"/>
    <hyperlink ref="C94" r:id="rId182" xr:uid="{00000000-0004-0000-0E00-000012010000}"/>
    <hyperlink ref="K94" location="AEO!A1" display="AEO" xr:uid="{00000000-0004-0000-0E00-000013010000}"/>
    <hyperlink ref="A95" r:id="rId183" xr:uid="{00000000-0004-0000-0E00-000014010000}"/>
    <hyperlink ref="C95" r:id="rId184" xr:uid="{00000000-0004-0000-0E00-000015010000}"/>
    <hyperlink ref="K95" location="AEO!A1" display="AEO" xr:uid="{00000000-0004-0000-0E00-000016010000}"/>
    <hyperlink ref="A96" r:id="rId185" xr:uid="{00000000-0004-0000-0E00-000017010000}"/>
    <hyperlink ref="C96" r:id="rId186" xr:uid="{00000000-0004-0000-0E00-000018010000}"/>
    <hyperlink ref="K96" location="AEO!A1" display="AEO" xr:uid="{00000000-0004-0000-0E00-000019010000}"/>
    <hyperlink ref="A97" r:id="rId187" xr:uid="{00000000-0004-0000-0E00-00001A010000}"/>
    <hyperlink ref="C97" r:id="rId188" xr:uid="{00000000-0004-0000-0E00-00001B010000}"/>
    <hyperlink ref="K97" location="AEO!A1" display="AEO" xr:uid="{00000000-0004-0000-0E00-00001C010000}"/>
    <hyperlink ref="A98" r:id="rId189" xr:uid="{00000000-0004-0000-0E00-00001D010000}"/>
    <hyperlink ref="C98" r:id="rId190" xr:uid="{00000000-0004-0000-0E00-00001E010000}"/>
    <hyperlink ref="K98" location="AEO!A1" display="AEO" xr:uid="{00000000-0004-0000-0E00-00001F010000}"/>
    <hyperlink ref="A99" r:id="rId191" xr:uid="{00000000-0004-0000-0E00-000020010000}"/>
    <hyperlink ref="C99" r:id="rId192" xr:uid="{00000000-0004-0000-0E00-000021010000}"/>
    <hyperlink ref="K99" location="AEO!A1" display="AEO" xr:uid="{00000000-0004-0000-0E00-000022010000}"/>
    <hyperlink ref="A100" r:id="rId193" xr:uid="{00000000-0004-0000-0E00-000023010000}"/>
    <hyperlink ref="C100" r:id="rId194" xr:uid="{00000000-0004-0000-0E00-000024010000}"/>
    <hyperlink ref="K100" location="AEO!A1" display="AEO" xr:uid="{00000000-0004-0000-0E00-000025010000}"/>
    <hyperlink ref="A101" r:id="rId195" xr:uid="{00000000-0004-0000-0E00-000026010000}"/>
    <hyperlink ref="C101" r:id="rId196" xr:uid="{00000000-0004-0000-0E00-000027010000}"/>
    <hyperlink ref="K101" location="AEO!A1" display="AEO" xr:uid="{00000000-0004-0000-0E00-000028010000}"/>
    <hyperlink ref="A102" r:id="rId197" xr:uid="{00000000-0004-0000-0E00-000029010000}"/>
    <hyperlink ref="C102" r:id="rId198" xr:uid="{00000000-0004-0000-0E00-00002A010000}"/>
    <hyperlink ref="K102" location="AEO!A1" display="AEO" xr:uid="{00000000-0004-0000-0E00-00002B010000}"/>
    <hyperlink ref="A103" r:id="rId199" xr:uid="{00000000-0004-0000-0E00-00002C010000}"/>
    <hyperlink ref="C103" r:id="rId200" xr:uid="{00000000-0004-0000-0E00-00002D010000}"/>
    <hyperlink ref="K103" location="AEO!A1" display="AEO" xr:uid="{00000000-0004-0000-0E00-00002E010000}"/>
    <hyperlink ref="A104" r:id="rId201" xr:uid="{00000000-0004-0000-0E00-00002F010000}"/>
    <hyperlink ref="C104" r:id="rId202" xr:uid="{00000000-0004-0000-0E00-000030010000}"/>
    <hyperlink ref="K104" location="AEO!A1" display="AEO" xr:uid="{00000000-0004-0000-0E00-000031010000}"/>
    <hyperlink ref="A105" r:id="rId203" xr:uid="{00000000-0004-0000-0E00-000032010000}"/>
    <hyperlink ref="C105" r:id="rId204" xr:uid="{00000000-0004-0000-0E00-000033010000}"/>
    <hyperlink ref="K105" location="AEO!A1" display="AEO" xr:uid="{00000000-0004-0000-0E00-000034010000}"/>
    <hyperlink ref="A106" r:id="rId205" xr:uid="{00000000-0004-0000-0E00-000035010000}"/>
    <hyperlink ref="C106" r:id="rId206" xr:uid="{00000000-0004-0000-0E00-000036010000}"/>
    <hyperlink ref="K106" location="AEO!A1" display="AEO" xr:uid="{00000000-0004-0000-0E00-000037010000}"/>
    <hyperlink ref="A107" r:id="rId207" xr:uid="{00000000-0004-0000-0E00-000038010000}"/>
    <hyperlink ref="C107" r:id="rId208" xr:uid="{00000000-0004-0000-0E00-000039010000}"/>
    <hyperlink ref="K107" location="AEO!A1" display="AEO" xr:uid="{00000000-0004-0000-0E00-00003A010000}"/>
    <hyperlink ref="A108" r:id="rId209" xr:uid="{00000000-0004-0000-0E00-00003B010000}"/>
    <hyperlink ref="C108" r:id="rId210" xr:uid="{00000000-0004-0000-0E00-00003C010000}"/>
    <hyperlink ref="K108" location="AEO!A1" display="AEO" xr:uid="{00000000-0004-0000-0E00-00003D010000}"/>
    <hyperlink ref="A109" r:id="rId211" xr:uid="{00000000-0004-0000-0E00-00003E010000}"/>
    <hyperlink ref="C109" r:id="rId212" xr:uid="{00000000-0004-0000-0E00-00003F010000}"/>
    <hyperlink ref="K109" location="AEO!A1" display="AEO" xr:uid="{00000000-0004-0000-0E00-000040010000}"/>
    <hyperlink ref="A110" r:id="rId213" xr:uid="{00000000-0004-0000-0E00-000041010000}"/>
    <hyperlink ref="C110" r:id="rId214" xr:uid="{00000000-0004-0000-0E00-000042010000}"/>
    <hyperlink ref="K110" location="AEO!A1" display="AEO" xr:uid="{00000000-0004-0000-0E00-000043010000}"/>
    <hyperlink ref="A111" r:id="rId215" xr:uid="{00000000-0004-0000-0E00-000044010000}"/>
    <hyperlink ref="C111" r:id="rId216" xr:uid="{00000000-0004-0000-0E00-000045010000}"/>
    <hyperlink ref="K111" location="AEO!A1" display="AEO" xr:uid="{00000000-0004-0000-0E00-000046010000}"/>
    <hyperlink ref="A112" r:id="rId217" xr:uid="{00000000-0004-0000-0E00-000047010000}"/>
    <hyperlink ref="C112" r:id="rId218" xr:uid="{00000000-0004-0000-0E00-000048010000}"/>
    <hyperlink ref="K112" location="AEO!A1" display="AEO" xr:uid="{00000000-0004-0000-0E00-000049010000}"/>
    <hyperlink ref="A113" r:id="rId219" xr:uid="{00000000-0004-0000-0E00-00004A010000}"/>
    <hyperlink ref="C113" r:id="rId220" xr:uid="{00000000-0004-0000-0E00-00004B010000}"/>
    <hyperlink ref="K113" location="AEO!A1" display="AEO" xr:uid="{00000000-0004-0000-0E00-00004C010000}"/>
    <hyperlink ref="A114" r:id="rId221" xr:uid="{00000000-0004-0000-0E00-00004D010000}"/>
    <hyperlink ref="C114" r:id="rId222" xr:uid="{00000000-0004-0000-0E00-00004E010000}"/>
    <hyperlink ref="K114" location="AEO!A1" display="AEO" xr:uid="{00000000-0004-0000-0E00-00004F010000}"/>
    <hyperlink ref="A115" r:id="rId223" xr:uid="{00000000-0004-0000-0E00-000050010000}"/>
    <hyperlink ref="C115" r:id="rId224" xr:uid="{00000000-0004-0000-0E00-000051010000}"/>
    <hyperlink ref="K115" location="AEO!A1" display="AEO" xr:uid="{00000000-0004-0000-0E00-000052010000}"/>
    <hyperlink ref="A116" r:id="rId225" xr:uid="{00000000-0004-0000-0E00-000053010000}"/>
    <hyperlink ref="C116" r:id="rId226" xr:uid="{00000000-0004-0000-0E00-000054010000}"/>
    <hyperlink ref="K116" location="AEO!A1" display="AEO" xr:uid="{00000000-0004-0000-0E00-000055010000}"/>
    <hyperlink ref="A117" r:id="rId227" xr:uid="{00000000-0004-0000-0E00-000056010000}"/>
    <hyperlink ref="C117" r:id="rId228" xr:uid="{00000000-0004-0000-0E00-000057010000}"/>
    <hyperlink ref="K117" location="AEO!A1" display="AEO" xr:uid="{00000000-0004-0000-0E00-000058010000}"/>
    <hyperlink ref="A118" r:id="rId229" xr:uid="{00000000-0004-0000-0E00-000059010000}"/>
    <hyperlink ref="K118" location="AEO!A1" display="AEO" xr:uid="{00000000-0004-0000-0E00-00005A010000}"/>
    <hyperlink ref="A119" r:id="rId230" xr:uid="{00000000-0004-0000-0E00-00005B010000}"/>
    <hyperlink ref="C119" r:id="rId231" xr:uid="{00000000-0004-0000-0E00-00005C010000}"/>
    <hyperlink ref="K119" location="AEO!A1" display="AEO" xr:uid="{00000000-0004-0000-0E00-00005D010000}"/>
    <hyperlink ref="A120" r:id="rId232" xr:uid="{00000000-0004-0000-0E00-00005E010000}"/>
    <hyperlink ref="C120" r:id="rId233" xr:uid="{00000000-0004-0000-0E00-00005F010000}"/>
    <hyperlink ref="K120" location="AEO!A1" display="AEO" xr:uid="{00000000-0004-0000-0E00-000060010000}"/>
    <hyperlink ref="A121" r:id="rId234" xr:uid="{00000000-0004-0000-0E00-000061010000}"/>
    <hyperlink ref="C121" r:id="rId235" xr:uid="{00000000-0004-0000-0E00-000062010000}"/>
    <hyperlink ref="K121" location="AEO!A1" display="AEO" xr:uid="{00000000-0004-0000-0E00-000063010000}"/>
    <hyperlink ref="A122" r:id="rId236" xr:uid="{00000000-0004-0000-0E00-000064010000}"/>
    <hyperlink ref="C122" r:id="rId237" xr:uid="{00000000-0004-0000-0E00-000065010000}"/>
    <hyperlink ref="K122" location="AEO!A1" display="AEO" xr:uid="{00000000-0004-0000-0E00-000066010000}"/>
    <hyperlink ref="A123" r:id="rId238" xr:uid="{00000000-0004-0000-0E00-000067010000}"/>
    <hyperlink ref="C123" r:id="rId239" xr:uid="{00000000-0004-0000-0E00-000068010000}"/>
    <hyperlink ref="K123" location="AEO!A1" display="AEO" xr:uid="{00000000-0004-0000-0E00-000069010000}"/>
    <hyperlink ref="A124" r:id="rId240" xr:uid="{00000000-0004-0000-0E00-00006A010000}"/>
    <hyperlink ref="C124" r:id="rId241" xr:uid="{00000000-0004-0000-0E00-00006B010000}"/>
    <hyperlink ref="K124" location="AEO!A1" display="AEO" xr:uid="{00000000-0004-0000-0E00-00006C010000}"/>
    <hyperlink ref="A125" r:id="rId242" xr:uid="{00000000-0004-0000-0E00-00006D010000}"/>
    <hyperlink ref="C125" r:id="rId243" xr:uid="{00000000-0004-0000-0E00-00006E010000}"/>
    <hyperlink ref="K125" location="AEO!A1" display="AEO" xr:uid="{00000000-0004-0000-0E00-00006F010000}"/>
    <hyperlink ref="A126" r:id="rId244" xr:uid="{00000000-0004-0000-0E00-000070010000}"/>
    <hyperlink ref="C126" r:id="rId245" xr:uid="{00000000-0004-0000-0E00-000071010000}"/>
    <hyperlink ref="K126" location="AEO!A1" display="AEO" xr:uid="{00000000-0004-0000-0E00-000072010000}"/>
    <hyperlink ref="A127" r:id="rId246" xr:uid="{00000000-0004-0000-0E00-000073010000}"/>
    <hyperlink ref="C127" r:id="rId247" xr:uid="{00000000-0004-0000-0E00-000074010000}"/>
    <hyperlink ref="K127" location="AEO!A1" display="AEO" xr:uid="{00000000-0004-0000-0E00-000075010000}"/>
    <hyperlink ref="A128" r:id="rId248" xr:uid="{00000000-0004-0000-0E00-000076010000}"/>
    <hyperlink ref="C128" r:id="rId249" xr:uid="{00000000-0004-0000-0E00-000077010000}"/>
    <hyperlink ref="K128" location="AEO!A1" display="AEO" xr:uid="{00000000-0004-0000-0E00-000078010000}"/>
    <hyperlink ref="A129" r:id="rId250" xr:uid="{00000000-0004-0000-0E00-000079010000}"/>
    <hyperlink ref="C129" r:id="rId251" xr:uid="{00000000-0004-0000-0E00-00007A010000}"/>
    <hyperlink ref="K129" location="AEO!A1" display="AEO" xr:uid="{00000000-0004-0000-0E00-00007B010000}"/>
    <hyperlink ref="A130" r:id="rId252" xr:uid="{00000000-0004-0000-0E00-00007C010000}"/>
    <hyperlink ref="C130" r:id="rId253" xr:uid="{00000000-0004-0000-0E00-00007D010000}"/>
    <hyperlink ref="K130" location="AEO!A1" display="AEO" xr:uid="{00000000-0004-0000-0E00-00007E010000}"/>
    <hyperlink ref="A131" r:id="rId254" xr:uid="{00000000-0004-0000-0E00-00007F010000}"/>
    <hyperlink ref="K131" location="AEO!A1" display="AEO" xr:uid="{00000000-0004-0000-0E00-000080010000}"/>
    <hyperlink ref="A132" r:id="rId255" xr:uid="{00000000-0004-0000-0E00-000081010000}"/>
    <hyperlink ref="C132" r:id="rId256" xr:uid="{00000000-0004-0000-0E00-000082010000}"/>
    <hyperlink ref="K132" location="AEO!A1" display="AEO" xr:uid="{00000000-0004-0000-0E00-000083010000}"/>
    <hyperlink ref="A133" r:id="rId257" xr:uid="{00000000-0004-0000-0E00-000084010000}"/>
    <hyperlink ref="C133" r:id="rId258" xr:uid="{00000000-0004-0000-0E00-000085010000}"/>
    <hyperlink ref="K133" location="AEO!A1" display="AEO" xr:uid="{00000000-0004-0000-0E00-000086010000}"/>
    <hyperlink ref="A134" r:id="rId259" xr:uid="{00000000-0004-0000-0E00-000087010000}"/>
    <hyperlink ref="C134" r:id="rId260" xr:uid="{00000000-0004-0000-0E00-000088010000}"/>
    <hyperlink ref="K134" location="AEO!A1" display="AEO" xr:uid="{00000000-0004-0000-0E00-000089010000}"/>
    <hyperlink ref="A135" r:id="rId261" xr:uid="{00000000-0004-0000-0E00-00008A010000}"/>
    <hyperlink ref="C135" r:id="rId262" xr:uid="{00000000-0004-0000-0E00-00008B010000}"/>
    <hyperlink ref="K135" location="AEO!A1" display="AEO" xr:uid="{00000000-0004-0000-0E00-00008C010000}"/>
    <hyperlink ref="A136" r:id="rId263" xr:uid="{00000000-0004-0000-0E00-00008D010000}"/>
    <hyperlink ref="C136" r:id="rId264" xr:uid="{00000000-0004-0000-0E00-00008E010000}"/>
    <hyperlink ref="K136" location="AEO!A1" display="AEO" xr:uid="{00000000-0004-0000-0E00-00008F010000}"/>
    <hyperlink ref="A137" r:id="rId265" xr:uid="{00000000-0004-0000-0E00-000090010000}"/>
    <hyperlink ref="C137" r:id="rId266" xr:uid="{00000000-0004-0000-0E00-000091010000}"/>
    <hyperlink ref="K137" location="AEO!A1" display="AEO" xr:uid="{00000000-0004-0000-0E00-000092010000}"/>
    <hyperlink ref="A138" r:id="rId267" xr:uid="{00000000-0004-0000-0E00-000093010000}"/>
    <hyperlink ref="C138" r:id="rId268" xr:uid="{00000000-0004-0000-0E00-000094010000}"/>
    <hyperlink ref="K138" location="AEO!A1" display="AEO" xr:uid="{00000000-0004-0000-0E00-000095010000}"/>
    <hyperlink ref="A139" r:id="rId269" xr:uid="{00000000-0004-0000-0E00-000096010000}"/>
    <hyperlink ref="C139" r:id="rId270" xr:uid="{00000000-0004-0000-0E00-000097010000}"/>
    <hyperlink ref="K139" location="AEO!A1" display="AEO" xr:uid="{00000000-0004-0000-0E00-000098010000}"/>
    <hyperlink ref="A140" r:id="rId271" xr:uid="{00000000-0004-0000-0E00-000099010000}"/>
    <hyperlink ref="C140" r:id="rId272" xr:uid="{00000000-0004-0000-0E00-00009A010000}"/>
    <hyperlink ref="K140" location="AEO!A1" display="AEO" xr:uid="{00000000-0004-0000-0E00-00009B010000}"/>
    <hyperlink ref="A141" r:id="rId273" xr:uid="{00000000-0004-0000-0E00-00009C010000}"/>
    <hyperlink ref="C141" r:id="rId274" xr:uid="{00000000-0004-0000-0E00-00009D010000}"/>
    <hyperlink ref="K141" location="AEO!A1" display="AEO" xr:uid="{00000000-0004-0000-0E00-00009E010000}"/>
    <hyperlink ref="A142" r:id="rId275" xr:uid="{00000000-0004-0000-0E00-00009F010000}"/>
    <hyperlink ref="C142" r:id="rId276" xr:uid="{00000000-0004-0000-0E00-0000A0010000}"/>
    <hyperlink ref="K142" location="AEO!A1" display="AEO" xr:uid="{00000000-0004-0000-0E00-0000A1010000}"/>
    <hyperlink ref="A143" r:id="rId277" xr:uid="{00000000-0004-0000-0E00-0000A2010000}"/>
    <hyperlink ref="C143" r:id="rId278" xr:uid="{00000000-0004-0000-0E00-0000A3010000}"/>
    <hyperlink ref="K143" location="AEO!A1" display="AEO" xr:uid="{00000000-0004-0000-0E00-0000A4010000}"/>
    <hyperlink ref="A144" r:id="rId279" xr:uid="{00000000-0004-0000-0E00-0000A5010000}"/>
    <hyperlink ref="C144" r:id="rId280" xr:uid="{00000000-0004-0000-0E00-0000A6010000}"/>
    <hyperlink ref="K144" location="AEO!A1" display="AEO" xr:uid="{00000000-0004-0000-0E00-0000A7010000}"/>
    <hyperlink ref="A145" r:id="rId281" xr:uid="{00000000-0004-0000-0E00-0000A8010000}"/>
    <hyperlink ref="C145" r:id="rId282" xr:uid="{00000000-0004-0000-0E00-0000A9010000}"/>
    <hyperlink ref="K145" location="AEO!A1" display="AEO" xr:uid="{00000000-0004-0000-0E00-0000AA010000}"/>
    <hyperlink ref="A146" r:id="rId283" xr:uid="{00000000-0004-0000-0E00-0000AB010000}"/>
    <hyperlink ref="C146" r:id="rId284" xr:uid="{00000000-0004-0000-0E00-0000AC010000}"/>
    <hyperlink ref="K146" location="AEO!A1" display="AEO" xr:uid="{00000000-0004-0000-0E00-0000AD010000}"/>
    <hyperlink ref="A147" r:id="rId285" xr:uid="{00000000-0004-0000-0E00-0000AE010000}"/>
    <hyperlink ref="C147" r:id="rId286" xr:uid="{00000000-0004-0000-0E00-0000AF010000}"/>
    <hyperlink ref="K147" location="AEO!A1" display="AEO" xr:uid="{00000000-0004-0000-0E00-0000B0010000}"/>
    <hyperlink ref="A148" r:id="rId287" xr:uid="{00000000-0004-0000-0E00-0000B1010000}"/>
    <hyperlink ref="C148" r:id="rId288" xr:uid="{00000000-0004-0000-0E00-0000B2010000}"/>
    <hyperlink ref="K148" location="AEO!A1" display="AEO" xr:uid="{00000000-0004-0000-0E00-0000B3010000}"/>
    <hyperlink ref="A149" r:id="rId289" xr:uid="{00000000-0004-0000-0E00-0000B4010000}"/>
    <hyperlink ref="C149" r:id="rId290" xr:uid="{00000000-0004-0000-0E00-0000B5010000}"/>
    <hyperlink ref="K149" location="AEO!A1" display="AEO" xr:uid="{00000000-0004-0000-0E00-0000B6010000}"/>
    <hyperlink ref="A150" r:id="rId291" xr:uid="{00000000-0004-0000-0E00-0000B7010000}"/>
    <hyperlink ref="C150" r:id="rId292" xr:uid="{00000000-0004-0000-0E00-0000B8010000}"/>
    <hyperlink ref="K150" location="AEO!A1" display="AEO" xr:uid="{00000000-0004-0000-0E00-0000B9010000}"/>
    <hyperlink ref="A151" r:id="rId293" xr:uid="{00000000-0004-0000-0E00-0000BA010000}"/>
    <hyperlink ref="C151" r:id="rId294" xr:uid="{00000000-0004-0000-0E00-0000BB010000}"/>
    <hyperlink ref="K151" location="AEO!A1" display="AEO" xr:uid="{00000000-0004-0000-0E00-0000BC010000}"/>
    <hyperlink ref="A152" r:id="rId295" xr:uid="{00000000-0004-0000-0E00-0000BD010000}"/>
    <hyperlink ref="C152" r:id="rId296" xr:uid="{00000000-0004-0000-0E00-0000BE010000}"/>
    <hyperlink ref="K152" location="AEO!A1" display="AEO" xr:uid="{00000000-0004-0000-0E00-0000BF010000}"/>
    <hyperlink ref="A153" r:id="rId297" xr:uid="{00000000-0004-0000-0E00-0000C0010000}"/>
    <hyperlink ref="C153" r:id="rId298" xr:uid="{00000000-0004-0000-0E00-0000C1010000}"/>
    <hyperlink ref="K153" location="AEO!A1" display="AEO" xr:uid="{00000000-0004-0000-0E00-0000C2010000}"/>
    <hyperlink ref="A154" r:id="rId299" xr:uid="{00000000-0004-0000-0E00-0000C3010000}"/>
    <hyperlink ref="C154" r:id="rId300" xr:uid="{00000000-0004-0000-0E00-0000C4010000}"/>
    <hyperlink ref="K154" location="AEO!A1" display="AEO" xr:uid="{00000000-0004-0000-0E00-0000C5010000}"/>
    <hyperlink ref="A155" r:id="rId301" xr:uid="{00000000-0004-0000-0E00-0000C6010000}"/>
    <hyperlink ref="C155" r:id="rId302" xr:uid="{00000000-0004-0000-0E00-0000C7010000}"/>
    <hyperlink ref="K155" location="AEO!A1" display="AEO" xr:uid="{00000000-0004-0000-0E00-0000C8010000}"/>
    <hyperlink ref="A156" r:id="rId303" xr:uid="{00000000-0004-0000-0E00-0000C9010000}"/>
    <hyperlink ref="C156" r:id="rId304" xr:uid="{00000000-0004-0000-0E00-0000CA010000}"/>
    <hyperlink ref="K156" location="AEO!A1" display="AEO" xr:uid="{00000000-0004-0000-0E00-0000CB010000}"/>
    <hyperlink ref="A157" r:id="rId305" xr:uid="{00000000-0004-0000-0E00-0000CC010000}"/>
    <hyperlink ref="C157" r:id="rId306" xr:uid="{00000000-0004-0000-0E00-0000CD010000}"/>
    <hyperlink ref="K157" location="AEO!A1" display="AEO" xr:uid="{00000000-0004-0000-0E00-0000CE010000}"/>
    <hyperlink ref="A158" r:id="rId307" xr:uid="{00000000-0004-0000-0E00-0000CF010000}"/>
    <hyperlink ref="C158" r:id="rId308" xr:uid="{00000000-0004-0000-0E00-0000D0010000}"/>
    <hyperlink ref="K158" location="AEO!A1" display="AEO" xr:uid="{00000000-0004-0000-0E00-0000D1010000}"/>
    <hyperlink ref="A159" r:id="rId309" xr:uid="{00000000-0004-0000-0E00-0000D2010000}"/>
    <hyperlink ref="C159" r:id="rId310" xr:uid="{00000000-0004-0000-0E00-0000D3010000}"/>
    <hyperlink ref="K159" location="AEO!A1" display="AEO" xr:uid="{00000000-0004-0000-0E00-0000D4010000}"/>
    <hyperlink ref="A160" r:id="rId311" xr:uid="{00000000-0004-0000-0E00-0000D5010000}"/>
    <hyperlink ref="C160" r:id="rId312" xr:uid="{00000000-0004-0000-0E00-0000D6010000}"/>
    <hyperlink ref="K160" location="AEO!A1" display="AEO" xr:uid="{00000000-0004-0000-0E00-0000D7010000}"/>
    <hyperlink ref="A161" r:id="rId313" xr:uid="{00000000-0004-0000-0E00-0000D8010000}"/>
    <hyperlink ref="C161" r:id="rId314" xr:uid="{00000000-0004-0000-0E00-0000D9010000}"/>
    <hyperlink ref="K161" location="AEO!A1" display="AEO" xr:uid="{00000000-0004-0000-0E00-0000DA010000}"/>
    <hyperlink ref="A162" r:id="rId315" xr:uid="{00000000-0004-0000-0E00-0000DB010000}"/>
    <hyperlink ref="C162" r:id="rId316" xr:uid="{00000000-0004-0000-0E00-0000DC010000}"/>
    <hyperlink ref="K162" location="AEO!A1" display="AEO" xr:uid="{00000000-0004-0000-0E00-0000DD010000}"/>
    <hyperlink ref="A163" r:id="rId317" xr:uid="{00000000-0004-0000-0E00-0000DE010000}"/>
    <hyperlink ref="C163" r:id="rId318" xr:uid="{00000000-0004-0000-0E00-0000DF010000}"/>
    <hyperlink ref="K163" location="AEO!A1" display="AEO" xr:uid="{00000000-0004-0000-0E00-0000E0010000}"/>
    <hyperlink ref="A164" r:id="rId319" xr:uid="{00000000-0004-0000-0E00-0000E1010000}"/>
    <hyperlink ref="C164" r:id="rId320" xr:uid="{00000000-0004-0000-0E00-0000E2010000}"/>
    <hyperlink ref="K164" location="AEO!A1" display="AEO" xr:uid="{00000000-0004-0000-0E00-0000E3010000}"/>
    <hyperlink ref="A165" r:id="rId321" xr:uid="{00000000-0004-0000-0E00-0000E4010000}"/>
    <hyperlink ref="C165" r:id="rId322" xr:uid="{00000000-0004-0000-0E00-0000E5010000}"/>
    <hyperlink ref="K165" location="AEO!A1" display="AEO" xr:uid="{00000000-0004-0000-0E00-0000E6010000}"/>
    <hyperlink ref="A166" r:id="rId323" xr:uid="{00000000-0004-0000-0E00-0000E7010000}"/>
    <hyperlink ref="C166" r:id="rId324" xr:uid="{00000000-0004-0000-0E00-0000E8010000}"/>
    <hyperlink ref="K166" location="AEO!A1" display="AEO" xr:uid="{00000000-0004-0000-0E00-0000E9010000}"/>
    <hyperlink ref="A167" r:id="rId325" xr:uid="{00000000-0004-0000-0E00-0000EA010000}"/>
    <hyperlink ref="C167" r:id="rId326" xr:uid="{00000000-0004-0000-0E00-0000EB010000}"/>
    <hyperlink ref="K167" location="AEO!A1" display="AEO" xr:uid="{00000000-0004-0000-0E00-0000EC010000}"/>
    <hyperlink ref="A168" r:id="rId327" xr:uid="{00000000-0004-0000-0E00-0000ED010000}"/>
    <hyperlink ref="C168" r:id="rId328" xr:uid="{00000000-0004-0000-0E00-0000EE010000}"/>
    <hyperlink ref="K168" location="AEO!A1" display="AEO" xr:uid="{00000000-0004-0000-0E00-0000EF010000}"/>
    <hyperlink ref="A169" r:id="rId329" xr:uid="{00000000-0004-0000-0E00-0000F0010000}"/>
    <hyperlink ref="C169" r:id="rId330" xr:uid="{00000000-0004-0000-0E00-0000F1010000}"/>
    <hyperlink ref="K169" location="AEO!A1" display="AEO" xr:uid="{00000000-0004-0000-0E00-0000F2010000}"/>
    <hyperlink ref="A170" r:id="rId331" xr:uid="{00000000-0004-0000-0E00-0000F3010000}"/>
    <hyperlink ref="C170" r:id="rId332" xr:uid="{00000000-0004-0000-0E00-0000F4010000}"/>
    <hyperlink ref="K170" location="AEO!A1" display="AEO" xr:uid="{00000000-0004-0000-0E00-0000F5010000}"/>
    <hyperlink ref="A171" r:id="rId333" xr:uid="{00000000-0004-0000-0E00-0000F6010000}"/>
    <hyperlink ref="C171" r:id="rId334" xr:uid="{00000000-0004-0000-0E00-0000F7010000}"/>
    <hyperlink ref="K171" location="AEO!A1" display="AEO" xr:uid="{00000000-0004-0000-0E00-0000F8010000}"/>
    <hyperlink ref="A172" r:id="rId335" xr:uid="{00000000-0004-0000-0E00-0000F9010000}"/>
    <hyperlink ref="C172" r:id="rId336" xr:uid="{00000000-0004-0000-0E00-0000FA010000}"/>
    <hyperlink ref="K172" location="AEO!A1" display="AEO" xr:uid="{00000000-0004-0000-0E00-0000FB010000}"/>
    <hyperlink ref="A173" r:id="rId337" xr:uid="{00000000-0004-0000-0E00-0000FC010000}"/>
    <hyperlink ref="C173" r:id="rId338" xr:uid="{00000000-0004-0000-0E00-0000FD010000}"/>
    <hyperlink ref="K173" location="AEO!A1" display="AEO" xr:uid="{00000000-0004-0000-0E00-0000FE010000}"/>
    <hyperlink ref="A174" r:id="rId339" xr:uid="{00000000-0004-0000-0E00-0000FF010000}"/>
    <hyperlink ref="C174" r:id="rId340" xr:uid="{00000000-0004-0000-0E00-000000020000}"/>
    <hyperlink ref="K174" location="AEO!A1" display="AEO" xr:uid="{00000000-0004-0000-0E00-000001020000}"/>
    <hyperlink ref="A175" r:id="rId341" xr:uid="{00000000-0004-0000-0E00-000002020000}"/>
    <hyperlink ref="C175" r:id="rId342" xr:uid="{00000000-0004-0000-0E00-000003020000}"/>
    <hyperlink ref="K175" location="AEO!A1" display="AEO" xr:uid="{00000000-0004-0000-0E00-000004020000}"/>
    <hyperlink ref="A176" r:id="rId343" xr:uid="{00000000-0004-0000-0E00-000005020000}"/>
    <hyperlink ref="C176" r:id="rId344" xr:uid="{00000000-0004-0000-0E00-000006020000}"/>
    <hyperlink ref="K176" location="AEO!A1" display="AEO" xr:uid="{00000000-0004-0000-0E00-000007020000}"/>
    <hyperlink ref="A177" r:id="rId345" xr:uid="{00000000-0004-0000-0E00-000008020000}"/>
    <hyperlink ref="C177" r:id="rId346" xr:uid="{00000000-0004-0000-0E00-000009020000}"/>
    <hyperlink ref="K177" location="AEO!A1" display="AEO" xr:uid="{00000000-0004-0000-0E00-00000A020000}"/>
    <hyperlink ref="A178" r:id="rId347" xr:uid="{00000000-0004-0000-0E00-00000B020000}"/>
    <hyperlink ref="C178" r:id="rId348" xr:uid="{00000000-0004-0000-0E00-00000C020000}"/>
    <hyperlink ref="K178" location="Media!A1" display="Media" xr:uid="{00000000-0004-0000-0E00-00000D020000}"/>
    <hyperlink ref="A179" r:id="rId349" xr:uid="{00000000-0004-0000-0E00-00000E020000}"/>
    <hyperlink ref="C179" r:id="rId350" xr:uid="{00000000-0004-0000-0E00-00000F020000}"/>
    <hyperlink ref="K179" location="Content!A1" display="Content" xr:uid="{00000000-0004-0000-0E00-000010020000}"/>
    <hyperlink ref="A180" r:id="rId351" xr:uid="{00000000-0004-0000-0E00-000011020000}"/>
    <hyperlink ref="C180" r:id="rId352" xr:uid="{00000000-0004-0000-0E00-000012020000}"/>
    <hyperlink ref="K180" location="Media!A1" display="Media" xr:uid="{00000000-0004-0000-0E00-000013020000}"/>
    <hyperlink ref="A181" r:id="rId353" xr:uid="{00000000-0004-0000-0E00-000014020000}"/>
    <hyperlink ref="C181" r:id="rId354" xr:uid="{00000000-0004-0000-0E00-000015020000}"/>
    <hyperlink ref="K181" location="Content!A1" display="Content" xr:uid="{00000000-0004-0000-0E00-000016020000}"/>
    <hyperlink ref="A182" r:id="rId355" xr:uid="{00000000-0004-0000-0E00-000017020000}"/>
    <hyperlink ref="C182" r:id="rId356" xr:uid="{00000000-0004-0000-0E00-000018020000}"/>
    <hyperlink ref="K182" location="Media!A1" display="Media" xr:uid="{00000000-0004-0000-0E00-000019020000}"/>
    <hyperlink ref="A183" r:id="rId357" xr:uid="{00000000-0004-0000-0E00-00001A020000}"/>
    <hyperlink ref="C183" r:id="rId358" xr:uid="{00000000-0004-0000-0E00-00001B020000}"/>
    <hyperlink ref="K183" location="Media!A1" display="Media" xr:uid="{00000000-0004-0000-0E00-00001C020000}"/>
    <hyperlink ref="A184" r:id="rId359" xr:uid="{00000000-0004-0000-0E00-00001D020000}"/>
    <hyperlink ref="C184" r:id="rId360" xr:uid="{00000000-0004-0000-0E00-00001E020000}"/>
    <hyperlink ref="K184" location="Content!A1" display="Content" xr:uid="{00000000-0004-0000-0E00-00001F020000}"/>
    <hyperlink ref="A185" r:id="rId361" xr:uid="{00000000-0004-0000-0E00-000020020000}"/>
    <hyperlink ref="C185" r:id="rId362" xr:uid="{00000000-0004-0000-0E00-000021020000}"/>
    <hyperlink ref="K185" location="Content!A1" display="Content" xr:uid="{00000000-0004-0000-0E00-000022020000}"/>
    <hyperlink ref="A186" r:id="rId363" xr:uid="{00000000-0004-0000-0E00-000023020000}"/>
    <hyperlink ref="C186" r:id="rId364" xr:uid="{00000000-0004-0000-0E00-000024020000}"/>
    <hyperlink ref="K186" location="Media!A1" display="Media" xr:uid="{00000000-0004-0000-0E00-000025020000}"/>
    <hyperlink ref="A187" r:id="rId365" xr:uid="{00000000-0004-0000-0E00-000026020000}"/>
    <hyperlink ref="C187" r:id="rId366" xr:uid="{00000000-0004-0000-0E00-000027020000}"/>
    <hyperlink ref="K187" location="Content!A1" display="Content" xr:uid="{00000000-0004-0000-0E00-000028020000}"/>
    <hyperlink ref="A188" r:id="rId367" xr:uid="{00000000-0004-0000-0E00-000029020000}"/>
    <hyperlink ref="C188" r:id="rId368" xr:uid="{00000000-0004-0000-0E00-00002A020000}"/>
    <hyperlink ref="K188" location="Content!A1" display="Content" xr:uid="{00000000-0004-0000-0E00-00002B020000}"/>
    <hyperlink ref="A189" r:id="rId369" xr:uid="{00000000-0004-0000-0E00-00002C020000}"/>
    <hyperlink ref="C189" r:id="rId370" xr:uid="{00000000-0004-0000-0E00-00002D020000}"/>
    <hyperlink ref="K189" location="Media!A1" display="Media" xr:uid="{00000000-0004-0000-0E00-00002E020000}"/>
    <hyperlink ref="A190" r:id="rId371" xr:uid="{00000000-0004-0000-0E00-00002F020000}"/>
    <hyperlink ref="C190" r:id="rId372" xr:uid="{00000000-0004-0000-0E00-000030020000}"/>
    <hyperlink ref="K190" location="Content!A1" display="Content" xr:uid="{00000000-0004-0000-0E00-000031020000}"/>
    <hyperlink ref="A191" r:id="rId373" xr:uid="{00000000-0004-0000-0E00-000032020000}"/>
    <hyperlink ref="C191" r:id="rId374" xr:uid="{00000000-0004-0000-0E00-000033020000}"/>
    <hyperlink ref="K191" location="Media!A1" display="Media" xr:uid="{00000000-0004-0000-0E00-000034020000}"/>
    <hyperlink ref="A192" r:id="rId375" xr:uid="{00000000-0004-0000-0E00-000035020000}"/>
    <hyperlink ref="C192" r:id="rId376" xr:uid="{00000000-0004-0000-0E00-000036020000}"/>
    <hyperlink ref="K192" location="Media!A1" display="Media" xr:uid="{00000000-0004-0000-0E00-000037020000}"/>
    <hyperlink ref="A193" r:id="rId377" xr:uid="{00000000-0004-0000-0E00-000038020000}"/>
    <hyperlink ref="C193" r:id="rId378" xr:uid="{00000000-0004-0000-0E00-000039020000}"/>
    <hyperlink ref="K193" location="Media!A1" display="Media" xr:uid="{00000000-0004-0000-0E00-00003A020000}"/>
    <hyperlink ref="A194" r:id="rId379" xr:uid="{00000000-0004-0000-0E00-00003B020000}"/>
    <hyperlink ref="C194" r:id="rId380" xr:uid="{00000000-0004-0000-0E00-00003C020000}"/>
    <hyperlink ref="K194" location="Content!A1" display="Content" xr:uid="{00000000-0004-0000-0E00-00003D020000}"/>
    <hyperlink ref="A195" r:id="rId381" xr:uid="{00000000-0004-0000-0E00-00003E020000}"/>
    <hyperlink ref="C195" r:id="rId382" xr:uid="{00000000-0004-0000-0E00-00003F020000}"/>
    <hyperlink ref="K195" location="Content!A1" display="Content" xr:uid="{00000000-0004-0000-0E00-000040020000}"/>
    <hyperlink ref="A196" r:id="rId383" xr:uid="{00000000-0004-0000-0E00-000041020000}"/>
    <hyperlink ref="C196" r:id="rId384" xr:uid="{00000000-0004-0000-0E00-000042020000}"/>
    <hyperlink ref="K196" location="Media!A1" display="Media" xr:uid="{00000000-0004-0000-0E00-000043020000}"/>
    <hyperlink ref="A197" r:id="rId385" xr:uid="{00000000-0004-0000-0E00-000044020000}"/>
    <hyperlink ref="C197" r:id="rId386" xr:uid="{00000000-0004-0000-0E00-000045020000}"/>
    <hyperlink ref="K197" location="Content!A1" display="Content" xr:uid="{00000000-0004-0000-0E00-000046020000}"/>
    <hyperlink ref="A198" r:id="rId387" xr:uid="{00000000-0004-0000-0E00-000047020000}"/>
    <hyperlink ref="C198" r:id="rId388" xr:uid="{00000000-0004-0000-0E00-000048020000}"/>
    <hyperlink ref="K198" location="Content!A1" display="Content" xr:uid="{00000000-0004-0000-0E00-000049020000}"/>
    <hyperlink ref="A199" r:id="rId389" xr:uid="{00000000-0004-0000-0E00-00004A020000}"/>
    <hyperlink ref="C199" r:id="rId390" xr:uid="{00000000-0004-0000-0E00-00004B020000}"/>
    <hyperlink ref="K199" location="Content!A1" display="Content" xr:uid="{00000000-0004-0000-0E00-00004C020000}"/>
    <hyperlink ref="A200" r:id="rId391" xr:uid="{00000000-0004-0000-0E00-00004D020000}"/>
    <hyperlink ref="C200" r:id="rId392" xr:uid="{00000000-0004-0000-0E00-00004E020000}"/>
    <hyperlink ref="K200" location="Media!A1" display="Media" xr:uid="{00000000-0004-0000-0E00-00004F020000}"/>
    <hyperlink ref="A201" r:id="rId393" xr:uid="{00000000-0004-0000-0E00-000050020000}"/>
    <hyperlink ref="C201" r:id="rId394" xr:uid="{00000000-0004-0000-0E00-000051020000}"/>
    <hyperlink ref="K201" location="Content!A1" display="Content" xr:uid="{00000000-0004-0000-0E00-000052020000}"/>
    <hyperlink ref="A202" r:id="rId395" xr:uid="{00000000-0004-0000-0E00-000053020000}"/>
    <hyperlink ref="C202" r:id="rId396" xr:uid="{00000000-0004-0000-0E00-000054020000}"/>
    <hyperlink ref="K202" location="Media!A1" display="Media" xr:uid="{00000000-0004-0000-0E00-000055020000}"/>
    <hyperlink ref="A203" r:id="rId397" xr:uid="{00000000-0004-0000-0E00-000056020000}"/>
    <hyperlink ref="C203" r:id="rId398" xr:uid="{00000000-0004-0000-0E00-000057020000}"/>
    <hyperlink ref="K203" location="Content!A1" display="Content" xr:uid="{00000000-0004-0000-0E00-000058020000}"/>
    <hyperlink ref="A204" r:id="rId399" xr:uid="{00000000-0004-0000-0E00-000059020000}"/>
    <hyperlink ref="C204" r:id="rId400" xr:uid="{00000000-0004-0000-0E00-00005A020000}"/>
    <hyperlink ref="K204" location="Media!A1" display="Media" xr:uid="{00000000-0004-0000-0E00-00005B020000}"/>
    <hyperlink ref="A205" r:id="rId401" xr:uid="{00000000-0004-0000-0E00-00005C020000}"/>
    <hyperlink ref="C205" r:id="rId402" xr:uid="{00000000-0004-0000-0E00-00005D020000}"/>
    <hyperlink ref="K205" location="Content!A1" display="Content" xr:uid="{00000000-0004-0000-0E00-00005E020000}"/>
    <hyperlink ref="A206" r:id="rId403" xr:uid="{00000000-0004-0000-0E00-00005F020000}"/>
    <hyperlink ref="C206" r:id="rId404" xr:uid="{00000000-0004-0000-0E00-000060020000}"/>
    <hyperlink ref="K206" location="Media!A1" display="Media" xr:uid="{00000000-0004-0000-0E00-000061020000}"/>
    <hyperlink ref="A207" r:id="rId405" xr:uid="{00000000-0004-0000-0E00-000062020000}"/>
    <hyperlink ref="C207" r:id="rId406" xr:uid="{00000000-0004-0000-0E00-000063020000}"/>
    <hyperlink ref="K207" location="Content!A1" display="Content" xr:uid="{00000000-0004-0000-0E00-000064020000}"/>
    <hyperlink ref="A208" r:id="rId407" xr:uid="{00000000-0004-0000-0E00-000065020000}"/>
    <hyperlink ref="C208" r:id="rId408" xr:uid="{00000000-0004-0000-0E00-000066020000}"/>
    <hyperlink ref="K208" location="Media!A1" display="Media" xr:uid="{00000000-0004-0000-0E00-000067020000}"/>
    <hyperlink ref="A209" r:id="rId409" xr:uid="{00000000-0004-0000-0E00-000068020000}"/>
    <hyperlink ref="C209" r:id="rId410" xr:uid="{00000000-0004-0000-0E00-000069020000}"/>
    <hyperlink ref="K209" location="Content!A1" display="Content" xr:uid="{00000000-0004-0000-0E00-00006A020000}"/>
    <hyperlink ref="A210" r:id="rId411" xr:uid="{00000000-0004-0000-0E00-00006B020000}"/>
    <hyperlink ref="C210" r:id="rId412" xr:uid="{00000000-0004-0000-0E00-00006C020000}"/>
    <hyperlink ref="K210" location="Media!A1" display="Media" xr:uid="{00000000-0004-0000-0E00-00006D020000}"/>
    <hyperlink ref="A211" r:id="rId413" xr:uid="{00000000-0004-0000-0E00-00006E020000}"/>
    <hyperlink ref="C211" r:id="rId414" xr:uid="{00000000-0004-0000-0E00-00006F020000}"/>
    <hyperlink ref="K211" location="Media!A1" display="Media" xr:uid="{00000000-0004-0000-0E00-000070020000}"/>
    <hyperlink ref="A212" r:id="rId415" xr:uid="{00000000-0004-0000-0E00-000071020000}"/>
    <hyperlink ref="C212" r:id="rId416" xr:uid="{00000000-0004-0000-0E00-000072020000}"/>
    <hyperlink ref="K212" location="Media!A1" display="Media" xr:uid="{00000000-0004-0000-0E00-000073020000}"/>
    <hyperlink ref="A213" r:id="rId417" xr:uid="{00000000-0004-0000-0E00-000074020000}"/>
    <hyperlink ref="C213" r:id="rId418" xr:uid="{00000000-0004-0000-0E00-000075020000}"/>
    <hyperlink ref="K213" location="Media!A1" display="Media" xr:uid="{00000000-0004-0000-0E00-000076020000}"/>
    <hyperlink ref="A214" r:id="rId419" xr:uid="{00000000-0004-0000-0E00-000077020000}"/>
    <hyperlink ref="C214" r:id="rId420" xr:uid="{00000000-0004-0000-0E00-000078020000}"/>
    <hyperlink ref="K214" location="Content!A1" display="Content" xr:uid="{00000000-0004-0000-0E00-000079020000}"/>
    <hyperlink ref="A215" r:id="rId421" xr:uid="{00000000-0004-0000-0E00-00007A020000}"/>
    <hyperlink ref="C215" r:id="rId422" xr:uid="{00000000-0004-0000-0E00-00007B020000}"/>
    <hyperlink ref="K215" location="Media!A1" display="Media" xr:uid="{00000000-0004-0000-0E00-00007C020000}"/>
    <hyperlink ref="A216" r:id="rId423" xr:uid="{00000000-0004-0000-0E00-00007D020000}"/>
    <hyperlink ref="C216" r:id="rId424" xr:uid="{00000000-0004-0000-0E00-00007E020000}"/>
    <hyperlink ref="K216" location="Content!A1" display="Content" xr:uid="{00000000-0004-0000-0E00-00007F020000}"/>
    <hyperlink ref="A217" r:id="rId425" xr:uid="{00000000-0004-0000-0E00-000080020000}"/>
    <hyperlink ref="C217" r:id="rId426" xr:uid="{00000000-0004-0000-0E00-000081020000}"/>
    <hyperlink ref="K217" location="Media!A1" display="Media" xr:uid="{00000000-0004-0000-0E00-000082020000}"/>
    <hyperlink ref="A218" r:id="rId427" xr:uid="{00000000-0004-0000-0E00-000083020000}"/>
    <hyperlink ref="C218" r:id="rId428" xr:uid="{00000000-0004-0000-0E00-000084020000}"/>
    <hyperlink ref="K218" location="Content!A1" display="Content" xr:uid="{00000000-0004-0000-0E00-000085020000}"/>
    <hyperlink ref="A219" r:id="rId429" xr:uid="{00000000-0004-0000-0E00-000086020000}"/>
    <hyperlink ref="K219" location="Content!A1" display="Content" xr:uid="{00000000-0004-0000-0E00-000087020000}"/>
    <hyperlink ref="A220" r:id="rId430" xr:uid="{00000000-0004-0000-0E00-000088020000}"/>
    <hyperlink ref="C220" r:id="rId431" xr:uid="{00000000-0004-0000-0E00-000089020000}"/>
    <hyperlink ref="K220" location="Media!A1" display="Media" xr:uid="{00000000-0004-0000-0E00-00008A020000}"/>
    <hyperlink ref="A221" r:id="rId432" xr:uid="{00000000-0004-0000-0E00-00008B020000}"/>
    <hyperlink ref="C221" r:id="rId433" xr:uid="{00000000-0004-0000-0E00-00008C020000}"/>
    <hyperlink ref="K221" location="Content!A1" display="Content" xr:uid="{00000000-0004-0000-0E00-00008D020000}"/>
    <hyperlink ref="A222" r:id="rId434" xr:uid="{00000000-0004-0000-0E00-00008E020000}"/>
    <hyperlink ref="C222" r:id="rId435" xr:uid="{00000000-0004-0000-0E00-00008F020000}"/>
    <hyperlink ref="K222" location="Content!A1" display="Content" xr:uid="{00000000-0004-0000-0E00-000090020000}"/>
    <hyperlink ref="A223" r:id="rId436" xr:uid="{00000000-0004-0000-0E00-000091020000}"/>
    <hyperlink ref="C223" r:id="rId437" xr:uid="{00000000-0004-0000-0E00-000092020000}"/>
    <hyperlink ref="K223" location="Media!A1" display="Media" xr:uid="{00000000-0004-0000-0E00-000093020000}"/>
    <hyperlink ref="A224" r:id="rId438" xr:uid="{00000000-0004-0000-0E00-000094020000}"/>
    <hyperlink ref="C224" r:id="rId439" xr:uid="{00000000-0004-0000-0E00-000095020000}"/>
    <hyperlink ref="K224" location="Content!A1" display="Content" xr:uid="{00000000-0004-0000-0E00-000096020000}"/>
    <hyperlink ref="A225" r:id="rId440" xr:uid="{00000000-0004-0000-0E00-000097020000}"/>
    <hyperlink ref="C225" r:id="rId441" xr:uid="{00000000-0004-0000-0E00-000098020000}"/>
    <hyperlink ref="K225" location="Content!A1" display="Content" xr:uid="{00000000-0004-0000-0E00-000099020000}"/>
    <hyperlink ref="A226" r:id="rId442" xr:uid="{00000000-0004-0000-0E00-00009A020000}"/>
    <hyperlink ref="C226" r:id="rId443" xr:uid="{00000000-0004-0000-0E00-00009B020000}"/>
    <hyperlink ref="K226" location="Media!A1" display="Media" xr:uid="{00000000-0004-0000-0E00-00009C020000}"/>
    <hyperlink ref="A227" r:id="rId444" xr:uid="{00000000-0004-0000-0E00-00009D020000}"/>
    <hyperlink ref="C227" r:id="rId445" xr:uid="{00000000-0004-0000-0E00-00009E020000}"/>
    <hyperlink ref="K227" location="Content!A1" display="Content" xr:uid="{00000000-0004-0000-0E00-00009F020000}"/>
    <hyperlink ref="A228" r:id="rId446" xr:uid="{00000000-0004-0000-0E00-0000A0020000}"/>
    <hyperlink ref="C228" r:id="rId447" xr:uid="{00000000-0004-0000-0E00-0000A1020000}"/>
    <hyperlink ref="K228" location="Content!A1" display="Content" xr:uid="{00000000-0004-0000-0E00-0000A2020000}"/>
    <hyperlink ref="A229" r:id="rId448" xr:uid="{00000000-0004-0000-0E00-0000A3020000}"/>
    <hyperlink ref="C229" r:id="rId449" xr:uid="{00000000-0004-0000-0E00-0000A4020000}"/>
    <hyperlink ref="K229" location="Media!A1" display="Media" xr:uid="{00000000-0004-0000-0E00-0000A5020000}"/>
    <hyperlink ref="A230" r:id="rId450" xr:uid="{00000000-0004-0000-0E00-0000A6020000}"/>
    <hyperlink ref="K230" location="Content!A1" display="Content" xr:uid="{00000000-0004-0000-0E00-0000A7020000}"/>
    <hyperlink ref="A231" r:id="rId451" xr:uid="{00000000-0004-0000-0E00-0000A8020000}"/>
    <hyperlink ref="C231" r:id="rId452" xr:uid="{00000000-0004-0000-0E00-0000A9020000}"/>
    <hyperlink ref="K231" location="Media!A1" display="Media" xr:uid="{00000000-0004-0000-0E00-0000AA020000}"/>
    <hyperlink ref="A232" r:id="rId453" xr:uid="{00000000-0004-0000-0E00-0000AB020000}"/>
    <hyperlink ref="C232" r:id="rId454" xr:uid="{00000000-0004-0000-0E00-0000AC020000}"/>
    <hyperlink ref="K232" location="Content!A1" display="Content" xr:uid="{00000000-0004-0000-0E00-0000AD020000}"/>
    <hyperlink ref="A233" r:id="rId455" xr:uid="{00000000-0004-0000-0E00-0000AE020000}"/>
    <hyperlink ref="C233" r:id="rId456" xr:uid="{00000000-0004-0000-0E00-0000AF020000}"/>
    <hyperlink ref="K233" location="Media!A1" display="Media" xr:uid="{00000000-0004-0000-0E00-0000B0020000}"/>
    <hyperlink ref="A234" r:id="rId457" xr:uid="{00000000-0004-0000-0E00-0000B1020000}"/>
    <hyperlink ref="C234" r:id="rId458" xr:uid="{00000000-0004-0000-0E00-0000B2020000}"/>
    <hyperlink ref="K234" location="Content!A1" display="Content" xr:uid="{00000000-0004-0000-0E00-0000B3020000}"/>
    <hyperlink ref="A235" r:id="rId459" xr:uid="{00000000-0004-0000-0E00-0000B4020000}"/>
    <hyperlink ref="C235" r:id="rId460" xr:uid="{00000000-0004-0000-0E00-0000B5020000}"/>
    <hyperlink ref="K235" location="Content!A1" display="Content" xr:uid="{00000000-0004-0000-0E00-0000B6020000}"/>
    <hyperlink ref="A236" r:id="rId461" xr:uid="{00000000-0004-0000-0E00-0000B7020000}"/>
    <hyperlink ref="C236" r:id="rId462" xr:uid="{00000000-0004-0000-0E00-0000B8020000}"/>
    <hyperlink ref="K236" location="Media!A1" display="Media" xr:uid="{00000000-0004-0000-0E00-0000B9020000}"/>
    <hyperlink ref="A237" r:id="rId463" xr:uid="{00000000-0004-0000-0E00-0000BA020000}"/>
    <hyperlink ref="C237" r:id="rId464" xr:uid="{00000000-0004-0000-0E00-0000BB020000}"/>
    <hyperlink ref="K237" location="Content!A1" display="Content" xr:uid="{00000000-0004-0000-0E00-0000BC020000}"/>
    <hyperlink ref="A238" r:id="rId465" xr:uid="{00000000-0004-0000-0E00-0000BD020000}"/>
    <hyperlink ref="C238" r:id="rId466" xr:uid="{00000000-0004-0000-0E00-0000BE020000}"/>
    <hyperlink ref="K238" location="Content!A1" display="Content" xr:uid="{00000000-0004-0000-0E00-0000BF020000}"/>
    <hyperlink ref="A239" r:id="rId467" xr:uid="{00000000-0004-0000-0E00-0000C0020000}"/>
    <hyperlink ref="C239" r:id="rId468" xr:uid="{00000000-0004-0000-0E00-0000C1020000}"/>
    <hyperlink ref="K239" location="Content!A1" display="Content" xr:uid="{00000000-0004-0000-0E00-0000C2020000}"/>
    <hyperlink ref="A240" r:id="rId469" xr:uid="{00000000-0004-0000-0E00-0000C3020000}"/>
    <hyperlink ref="C240" r:id="rId470" xr:uid="{00000000-0004-0000-0E00-0000C4020000}"/>
    <hyperlink ref="K240" location="Content!A1" display="Content" xr:uid="{00000000-0004-0000-0E00-0000C5020000}"/>
    <hyperlink ref="A241" r:id="rId471" xr:uid="{00000000-0004-0000-0E00-0000C6020000}"/>
    <hyperlink ref="C241" r:id="rId472" xr:uid="{00000000-0004-0000-0E00-0000C7020000}"/>
    <hyperlink ref="K241" location="Content!A1" display="Content" xr:uid="{00000000-0004-0000-0E00-0000C8020000}"/>
    <hyperlink ref="A242" r:id="rId473" xr:uid="{00000000-0004-0000-0E00-0000C9020000}"/>
    <hyperlink ref="C242" r:id="rId474" xr:uid="{00000000-0004-0000-0E00-0000CA020000}"/>
    <hyperlink ref="K242" location="Media!A1" display="Media" xr:uid="{00000000-0004-0000-0E00-0000CB020000}"/>
    <hyperlink ref="A243" r:id="rId475" xr:uid="{00000000-0004-0000-0E00-0000CC020000}"/>
    <hyperlink ref="C243" r:id="rId476" xr:uid="{00000000-0004-0000-0E00-0000CD020000}"/>
    <hyperlink ref="K243" location="Media!A1" display="Media" xr:uid="{00000000-0004-0000-0E00-0000CE020000}"/>
    <hyperlink ref="A244" r:id="rId477" xr:uid="{00000000-0004-0000-0E00-0000CF020000}"/>
    <hyperlink ref="C244" r:id="rId478" xr:uid="{00000000-0004-0000-0E00-0000D0020000}"/>
    <hyperlink ref="K244" location="Media!A1" display="Media" xr:uid="{00000000-0004-0000-0E00-0000D1020000}"/>
    <hyperlink ref="A245" r:id="rId479" xr:uid="{00000000-0004-0000-0E00-0000D2020000}"/>
    <hyperlink ref="C245" r:id="rId480" xr:uid="{00000000-0004-0000-0E00-0000D3020000}"/>
    <hyperlink ref="K245" location="Media!A1" display="Media" xr:uid="{00000000-0004-0000-0E00-0000D4020000}"/>
    <hyperlink ref="A246" r:id="rId481" xr:uid="{00000000-0004-0000-0E00-0000D5020000}"/>
    <hyperlink ref="C246" r:id="rId482" xr:uid="{00000000-0004-0000-0E00-0000D6020000}"/>
    <hyperlink ref="K246" location="Media!A1" display="Media" xr:uid="{00000000-0004-0000-0E00-0000D7020000}"/>
    <hyperlink ref="A247" r:id="rId483" xr:uid="{00000000-0004-0000-0E00-0000D8020000}"/>
    <hyperlink ref="C247" r:id="rId484" xr:uid="{00000000-0004-0000-0E00-0000D9020000}"/>
    <hyperlink ref="K247" location="Media!A1" display="Media" xr:uid="{00000000-0004-0000-0E00-0000DA020000}"/>
    <hyperlink ref="A248" r:id="rId485" xr:uid="{00000000-0004-0000-0E00-0000DB020000}"/>
    <hyperlink ref="C248" r:id="rId486" xr:uid="{00000000-0004-0000-0E00-0000DC020000}"/>
    <hyperlink ref="K248" location="Media!A1" display="Media" xr:uid="{00000000-0004-0000-0E00-0000DD020000}"/>
    <hyperlink ref="A249" r:id="rId487" xr:uid="{00000000-0004-0000-0E00-0000DE020000}"/>
    <hyperlink ref="C249" r:id="rId488" xr:uid="{00000000-0004-0000-0E00-0000DF020000}"/>
    <hyperlink ref="K249" location="Content!A1" display="Content" xr:uid="{00000000-0004-0000-0E00-0000E0020000}"/>
    <hyperlink ref="A250" r:id="rId489" xr:uid="{00000000-0004-0000-0E00-0000E1020000}"/>
    <hyperlink ref="C250" r:id="rId490" xr:uid="{00000000-0004-0000-0E00-0000E2020000}"/>
    <hyperlink ref="K250" location="Media!A1" display="Media" xr:uid="{00000000-0004-0000-0E00-0000E3020000}"/>
    <hyperlink ref="A251" r:id="rId491" xr:uid="{00000000-0004-0000-0E00-0000E4020000}"/>
    <hyperlink ref="C251" r:id="rId492" xr:uid="{00000000-0004-0000-0E00-0000E5020000}"/>
    <hyperlink ref="K251" location="Content!A1" display="Content" xr:uid="{00000000-0004-0000-0E00-0000E6020000}"/>
    <hyperlink ref="A252" r:id="rId493" xr:uid="{00000000-0004-0000-0E00-0000E7020000}"/>
    <hyperlink ref="C252" r:id="rId494" xr:uid="{00000000-0004-0000-0E00-0000E8020000}"/>
    <hyperlink ref="K252" location="Content!A1" display="Content" xr:uid="{00000000-0004-0000-0E00-0000E9020000}"/>
    <hyperlink ref="A253" r:id="rId495" xr:uid="{00000000-0004-0000-0E00-0000EA020000}"/>
    <hyperlink ref="C253" r:id="rId496" xr:uid="{00000000-0004-0000-0E00-0000EB020000}"/>
    <hyperlink ref="K253" location="Media!A1" display="Media" xr:uid="{00000000-0004-0000-0E00-0000EC020000}"/>
    <hyperlink ref="A254" r:id="rId497" xr:uid="{00000000-0004-0000-0E00-0000ED020000}"/>
    <hyperlink ref="C254" r:id="rId498" xr:uid="{00000000-0004-0000-0E00-0000EE020000}"/>
    <hyperlink ref="K254" location="Content!A1" display="Content" xr:uid="{00000000-0004-0000-0E00-0000EF020000}"/>
    <hyperlink ref="A255" r:id="rId499" xr:uid="{00000000-0004-0000-0E00-0000F0020000}"/>
    <hyperlink ref="C255" r:id="rId500" xr:uid="{00000000-0004-0000-0E00-0000F1020000}"/>
    <hyperlink ref="K255" location="Content!A1" display="Content" xr:uid="{00000000-0004-0000-0E00-0000F2020000}"/>
    <hyperlink ref="A256" r:id="rId501" xr:uid="{00000000-0004-0000-0E00-0000F3020000}"/>
    <hyperlink ref="C256" r:id="rId502" xr:uid="{00000000-0004-0000-0E00-0000F4020000}"/>
    <hyperlink ref="K256" location="Media!A1" display="Media" xr:uid="{00000000-0004-0000-0E00-0000F5020000}"/>
    <hyperlink ref="A257" r:id="rId503" xr:uid="{00000000-0004-0000-0E00-0000F6020000}"/>
    <hyperlink ref="C257" r:id="rId504" xr:uid="{00000000-0004-0000-0E00-0000F7020000}"/>
    <hyperlink ref="K257" location="Content!A1" display="Content" xr:uid="{00000000-0004-0000-0E00-0000F8020000}"/>
    <hyperlink ref="A258" r:id="rId505" xr:uid="{00000000-0004-0000-0E00-0000F9020000}"/>
    <hyperlink ref="C258" r:id="rId506" xr:uid="{00000000-0004-0000-0E00-0000FA020000}"/>
    <hyperlink ref="K258" location="Content!A1" display="Content" xr:uid="{00000000-0004-0000-0E00-0000FB020000}"/>
    <hyperlink ref="A259" r:id="rId507" xr:uid="{00000000-0004-0000-0E00-0000FC020000}"/>
    <hyperlink ref="C259" r:id="rId508" xr:uid="{00000000-0004-0000-0E00-0000FD020000}"/>
    <hyperlink ref="K259" location="Media!A1" display="Media" xr:uid="{00000000-0004-0000-0E00-0000FE020000}"/>
    <hyperlink ref="A260" r:id="rId509" xr:uid="{00000000-0004-0000-0E00-0000FF020000}"/>
    <hyperlink ref="C260" r:id="rId510" xr:uid="{00000000-0004-0000-0E00-000000030000}"/>
    <hyperlink ref="K260" location="Media!A1" display="Media" xr:uid="{00000000-0004-0000-0E00-000001030000}"/>
    <hyperlink ref="A261" r:id="rId511" xr:uid="{00000000-0004-0000-0E00-000002030000}"/>
    <hyperlink ref="C261" r:id="rId512" xr:uid="{00000000-0004-0000-0E00-000003030000}"/>
    <hyperlink ref="K261" location="Media!A1" display="Media" xr:uid="{00000000-0004-0000-0E00-000004030000}"/>
    <hyperlink ref="A262" r:id="rId513" xr:uid="{00000000-0004-0000-0E00-000005030000}"/>
    <hyperlink ref="C262" r:id="rId514" xr:uid="{00000000-0004-0000-0E00-000006030000}"/>
    <hyperlink ref="K262" location="Content!A1" display="Content" xr:uid="{00000000-0004-0000-0E00-000007030000}"/>
    <hyperlink ref="A263" r:id="rId515" xr:uid="{00000000-0004-0000-0E00-000008030000}"/>
    <hyperlink ref="C263" r:id="rId516" xr:uid="{00000000-0004-0000-0E00-000009030000}"/>
    <hyperlink ref="K263" location="Content!A1" display="Content" xr:uid="{00000000-0004-0000-0E00-00000A030000}"/>
    <hyperlink ref="A264" r:id="rId517" xr:uid="{00000000-0004-0000-0E00-00000B030000}"/>
    <hyperlink ref="C264" r:id="rId518" xr:uid="{00000000-0004-0000-0E00-00000C030000}"/>
    <hyperlink ref="K264" location="Media!A1" display="Media" xr:uid="{00000000-0004-0000-0E00-00000D030000}"/>
    <hyperlink ref="A265" r:id="rId519" xr:uid="{00000000-0004-0000-0E00-00000E030000}"/>
    <hyperlink ref="C265" r:id="rId520" xr:uid="{00000000-0004-0000-0E00-00000F030000}"/>
    <hyperlink ref="K265" location="Content!A1" display="Content" xr:uid="{00000000-0004-0000-0E00-000010030000}"/>
    <hyperlink ref="A266" r:id="rId521" xr:uid="{00000000-0004-0000-0E00-000011030000}"/>
    <hyperlink ref="C266" r:id="rId522" xr:uid="{00000000-0004-0000-0E00-000012030000}"/>
    <hyperlink ref="K266" location="Content!A1" display="Content" xr:uid="{00000000-0004-0000-0E00-000013030000}"/>
    <hyperlink ref="A267" r:id="rId523" xr:uid="{00000000-0004-0000-0E00-000014030000}"/>
    <hyperlink ref="C267" r:id="rId524" xr:uid="{00000000-0004-0000-0E00-000015030000}"/>
    <hyperlink ref="K267" location="Media!A1" display="Media" xr:uid="{00000000-0004-0000-0E00-000016030000}"/>
    <hyperlink ref="A268" r:id="rId525" xr:uid="{00000000-0004-0000-0E00-000017030000}"/>
    <hyperlink ref="C268" r:id="rId526" xr:uid="{00000000-0004-0000-0E00-000018030000}"/>
    <hyperlink ref="K268" location="Content!A1" display="Content" xr:uid="{00000000-0004-0000-0E00-000019030000}"/>
    <hyperlink ref="A269" r:id="rId527" xr:uid="{00000000-0004-0000-0E00-00001A030000}"/>
    <hyperlink ref="C269" r:id="rId528" xr:uid="{00000000-0004-0000-0E00-00001B030000}"/>
    <hyperlink ref="K269" location="Media!A1" display="Media" xr:uid="{00000000-0004-0000-0E00-00001C030000}"/>
    <hyperlink ref="A270" r:id="rId529" xr:uid="{00000000-0004-0000-0E00-00001D030000}"/>
    <hyperlink ref="C270" r:id="rId530" xr:uid="{00000000-0004-0000-0E00-00001E030000}"/>
    <hyperlink ref="K270" location="Content!A1" display="Content" xr:uid="{00000000-0004-0000-0E00-00001F030000}"/>
    <hyperlink ref="A271" r:id="rId531" xr:uid="{00000000-0004-0000-0E00-000020030000}"/>
    <hyperlink ref="C271" r:id="rId532" xr:uid="{00000000-0004-0000-0E00-000021030000}"/>
    <hyperlink ref="K271" location="Content!A1" display="Content" xr:uid="{00000000-0004-0000-0E00-000022030000}"/>
    <hyperlink ref="A272" r:id="rId533" xr:uid="{00000000-0004-0000-0E00-000023030000}"/>
    <hyperlink ref="C272" r:id="rId534" xr:uid="{00000000-0004-0000-0E00-000024030000}"/>
    <hyperlink ref="K272" location="Media!A1" display="Media" xr:uid="{00000000-0004-0000-0E00-000025030000}"/>
    <hyperlink ref="A273" r:id="rId535" xr:uid="{00000000-0004-0000-0E00-000026030000}"/>
    <hyperlink ref="C273" r:id="rId536" xr:uid="{00000000-0004-0000-0E00-000027030000}"/>
    <hyperlink ref="K273" location="Content!A1" display="Content" xr:uid="{00000000-0004-0000-0E00-000028030000}"/>
    <hyperlink ref="A274" r:id="rId537" xr:uid="{00000000-0004-0000-0E00-000029030000}"/>
    <hyperlink ref="C274" r:id="rId538" xr:uid="{00000000-0004-0000-0E00-00002A030000}"/>
    <hyperlink ref="K274" location="Content!A1" display="Content" xr:uid="{00000000-0004-0000-0E00-00002B030000}"/>
    <hyperlink ref="A275" r:id="rId539" xr:uid="{00000000-0004-0000-0E00-00002C030000}"/>
    <hyperlink ref="C275" r:id="rId540" xr:uid="{00000000-0004-0000-0E00-00002D030000}"/>
    <hyperlink ref="K275" location="Media!A1" display="Media" xr:uid="{00000000-0004-0000-0E00-00002E030000}"/>
    <hyperlink ref="A276" r:id="rId541" xr:uid="{00000000-0004-0000-0E00-00002F030000}"/>
    <hyperlink ref="C276" r:id="rId542" xr:uid="{00000000-0004-0000-0E00-000030030000}"/>
    <hyperlink ref="K276" location="Media!A1" display="Media" xr:uid="{00000000-0004-0000-0E00-000031030000}"/>
    <hyperlink ref="A277" r:id="rId543" xr:uid="{00000000-0004-0000-0E00-000032030000}"/>
    <hyperlink ref="C277" r:id="rId544" xr:uid="{00000000-0004-0000-0E00-000033030000}"/>
    <hyperlink ref="K277" location="Content!A1" display="Content" xr:uid="{00000000-0004-0000-0E00-000034030000}"/>
    <hyperlink ref="A278" r:id="rId545" xr:uid="{00000000-0004-0000-0E00-000035030000}"/>
    <hyperlink ref="C278" r:id="rId546" xr:uid="{00000000-0004-0000-0E00-000036030000}"/>
    <hyperlink ref="K278" location="Content!A1" display="Content" xr:uid="{00000000-0004-0000-0E00-000037030000}"/>
    <hyperlink ref="A279" r:id="rId547" xr:uid="{00000000-0004-0000-0E00-000038030000}"/>
    <hyperlink ref="C279" r:id="rId548" xr:uid="{00000000-0004-0000-0E00-000039030000}"/>
    <hyperlink ref="K279" location="Media!A1" display="Media" xr:uid="{00000000-0004-0000-0E00-00003A030000}"/>
    <hyperlink ref="A280" r:id="rId549" xr:uid="{00000000-0004-0000-0E00-00003B030000}"/>
    <hyperlink ref="C280" r:id="rId550" xr:uid="{00000000-0004-0000-0E00-00003C030000}"/>
    <hyperlink ref="K280" location="Content!A1" display="Content" xr:uid="{00000000-0004-0000-0E00-00003D030000}"/>
    <hyperlink ref="A281" r:id="rId551" xr:uid="{00000000-0004-0000-0E00-00003E030000}"/>
    <hyperlink ref="C281" r:id="rId552" xr:uid="{00000000-0004-0000-0E00-00003F030000}"/>
    <hyperlink ref="K281" location="Media!A1" display="Media" xr:uid="{00000000-0004-0000-0E00-000040030000}"/>
    <hyperlink ref="A282" r:id="rId553" xr:uid="{00000000-0004-0000-0E00-000041030000}"/>
    <hyperlink ref="C282" r:id="rId554" xr:uid="{00000000-0004-0000-0E00-000042030000}"/>
    <hyperlink ref="K282" location="Content!A1" display="Content" xr:uid="{00000000-0004-0000-0E00-000043030000}"/>
    <hyperlink ref="A283" r:id="rId555" xr:uid="{00000000-0004-0000-0E00-000044030000}"/>
    <hyperlink ref="C283" r:id="rId556" xr:uid="{00000000-0004-0000-0E00-000045030000}"/>
    <hyperlink ref="K283" location="Media!A1" display="Media" xr:uid="{00000000-0004-0000-0E00-000046030000}"/>
    <hyperlink ref="A284" r:id="rId557" xr:uid="{00000000-0004-0000-0E00-000047030000}"/>
    <hyperlink ref="C284" r:id="rId558" xr:uid="{00000000-0004-0000-0E00-000048030000}"/>
    <hyperlink ref="K284" location="Media!A1" display="Media" xr:uid="{00000000-0004-0000-0E00-000049030000}"/>
    <hyperlink ref="A285" r:id="rId559" xr:uid="{00000000-0004-0000-0E00-00004A030000}"/>
    <hyperlink ref="C285" r:id="rId560" xr:uid="{00000000-0004-0000-0E00-00004B030000}"/>
    <hyperlink ref="K285" location="Content!A1" display="Content" xr:uid="{00000000-0004-0000-0E00-00004C030000}"/>
    <hyperlink ref="A286" r:id="rId561" xr:uid="{00000000-0004-0000-0E00-00004D030000}"/>
    <hyperlink ref="C286" r:id="rId562" xr:uid="{00000000-0004-0000-0E00-00004E030000}"/>
    <hyperlink ref="K286" location="Content!A1" display="Content" xr:uid="{00000000-0004-0000-0E00-00004F030000}"/>
    <hyperlink ref="A287" r:id="rId563" xr:uid="{00000000-0004-0000-0E00-000050030000}"/>
    <hyperlink ref="C287" r:id="rId564" xr:uid="{00000000-0004-0000-0E00-000051030000}"/>
    <hyperlink ref="K287" location="Media!A1" display="Media" xr:uid="{00000000-0004-0000-0E00-000052030000}"/>
    <hyperlink ref="A288" r:id="rId565" xr:uid="{00000000-0004-0000-0E00-000053030000}"/>
    <hyperlink ref="C288" r:id="rId566" xr:uid="{00000000-0004-0000-0E00-000054030000}"/>
    <hyperlink ref="K288" location="Content!A1" display="Content" xr:uid="{00000000-0004-0000-0E00-000055030000}"/>
    <hyperlink ref="A289" r:id="rId567" xr:uid="{00000000-0004-0000-0E00-000056030000}"/>
    <hyperlink ref="C289" r:id="rId568" xr:uid="{00000000-0004-0000-0E00-000057030000}"/>
    <hyperlink ref="K289" location="Media!A1" display="Media" xr:uid="{00000000-0004-0000-0E00-000058030000}"/>
    <hyperlink ref="A290" r:id="rId569" xr:uid="{00000000-0004-0000-0E00-000059030000}"/>
    <hyperlink ref="C290" r:id="rId570" xr:uid="{00000000-0004-0000-0E00-00005A030000}"/>
    <hyperlink ref="K290" location="Content!A1" display="Content" xr:uid="{00000000-0004-0000-0E00-00005B030000}"/>
    <hyperlink ref="A291" r:id="rId571" xr:uid="{00000000-0004-0000-0E00-00005C030000}"/>
    <hyperlink ref="C291" r:id="rId572" xr:uid="{00000000-0004-0000-0E00-00005D030000}"/>
    <hyperlink ref="K291" location="Content!A1" display="Content" xr:uid="{00000000-0004-0000-0E00-00005E030000}"/>
    <hyperlink ref="A292" r:id="rId573" xr:uid="{00000000-0004-0000-0E00-00005F030000}"/>
    <hyperlink ref="C292" r:id="rId574" xr:uid="{00000000-0004-0000-0E00-000060030000}"/>
    <hyperlink ref="K292" location="Media!A1" display="Media" xr:uid="{00000000-0004-0000-0E00-000061030000}"/>
    <hyperlink ref="A293" r:id="rId575" xr:uid="{00000000-0004-0000-0E00-000062030000}"/>
    <hyperlink ref="C293" r:id="rId576" xr:uid="{00000000-0004-0000-0E00-000063030000}"/>
    <hyperlink ref="K293" location="Media!A1" display="Media" xr:uid="{00000000-0004-0000-0E00-000064030000}"/>
    <hyperlink ref="A294" r:id="rId577" xr:uid="{00000000-0004-0000-0E00-000065030000}"/>
    <hyperlink ref="C294" r:id="rId578" xr:uid="{00000000-0004-0000-0E00-000066030000}"/>
    <hyperlink ref="K294" location="Media!A1" display="Media" xr:uid="{00000000-0004-0000-0E00-000067030000}"/>
    <hyperlink ref="A295" r:id="rId579" xr:uid="{00000000-0004-0000-0E00-000068030000}"/>
    <hyperlink ref="C295" r:id="rId580" xr:uid="{00000000-0004-0000-0E00-000069030000}"/>
    <hyperlink ref="K295" location="Content!A1" display="Content" xr:uid="{00000000-0004-0000-0E00-00006A030000}"/>
    <hyperlink ref="A296" r:id="rId581" xr:uid="{00000000-0004-0000-0E00-00006B030000}"/>
    <hyperlink ref="C296" r:id="rId582" xr:uid="{00000000-0004-0000-0E00-00006C030000}"/>
    <hyperlink ref="K296" location="Content!A1" display="Content" xr:uid="{00000000-0004-0000-0E00-00006D030000}"/>
    <hyperlink ref="A297" r:id="rId583" xr:uid="{00000000-0004-0000-0E00-00006E030000}"/>
    <hyperlink ref="C297" r:id="rId584" xr:uid="{00000000-0004-0000-0E00-00006F030000}"/>
    <hyperlink ref="K297" location="Content!A1" display="Content" xr:uid="{00000000-0004-0000-0E00-000070030000}"/>
    <hyperlink ref="A298" r:id="rId585" xr:uid="{00000000-0004-0000-0E00-000071030000}"/>
    <hyperlink ref="C298" r:id="rId586" xr:uid="{00000000-0004-0000-0E00-000072030000}"/>
    <hyperlink ref="K298" location="Media!A1" display="Media" xr:uid="{00000000-0004-0000-0E00-000073030000}"/>
    <hyperlink ref="A299" r:id="rId587" xr:uid="{00000000-0004-0000-0E00-000074030000}"/>
    <hyperlink ref="C299" r:id="rId588" xr:uid="{00000000-0004-0000-0E00-000075030000}"/>
    <hyperlink ref="K299" location="Content!A1" display="Content" xr:uid="{00000000-0004-0000-0E00-000076030000}"/>
    <hyperlink ref="A300" r:id="rId589" xr:uid="{00000000-0004-0000-0E00-000077030000}"/>
    <hyperlink ref="C300" r:id="rId590" xr:uid="{00000000-0004-0000-0E00-000078030000}"/>
    <hyperlink ref="K300" location="Content!A1" display="Content" xr:uid="{00000000-0004-0000-0E00-000079030000}"/>
    <hyperlink ref="A301" r:id="rId591" xr:uid="{00000000-0004-0000-0E00-00007A030000}"/>
    <hyperlink ref="C301" r:id="rId592" xr:uid="{00000000-0004-0000-0E00-00007B030000}"/>
    <hyperlink ref="K301" location="Content!A1" display="Content" xr:uid="{00000000-0004-0000-0E00-00007C030000}"/>
    <hyperlink ref="A302" r:id="rId593" xr:uid="{00000000-0004-0000-0E00-00007D030000}"/>
    <hyperlink ref="C302" r:id="rId594" xr:uid="{00000000-0004-0000-0E00-00007E030000}"/>
    <hyperlink ref="K302" location="Content!A1" display="Content" xr:uid="{00000000-0004-0000-0E00-00007F030000}"/>
    <hyperlink ref="A303" r:id="rId595" xr:uid="{00000000-0004-0000-0E00-000080030000}"/>
    <hyperlink ref="C303" r:id="rId596" xr:uid="{00000000-0004-0000-0E00-000081030000}"/>
    <hyperlink ref="K303" location="Content!A1" display="Content" xr:uid="{00000000-0004-0000-0E00-000082030000}"/>
    <hyperlink ref="A304" r:id="rId597" xr:uid="{00000000-0004-0000-0E00-000083030000}"/>
    <hyperlink ref="C304" r:id="rId598" xr:uid="{00000000-0004-0000-0E00-000084030000}"/>
    <hyperlink ref="K304" location="Content!A1" display="Content" xr:uid="{00000000-0004-0000-0E00-000085030000}"/>
    <hyperlink ref="A305" r:id="rId599" xr:uid="{00000000-0004-0000-0E00-000086030000}"/>
    <hyperlink ref="C305" r:id="rId600" xr:uid="{00000000-0004-0000-0E00-000087030000}"/>
    <hyperlink ref="K305" location="Media!A1" display="Media" xr:uid="{00000000-0004-0000-0E00-000088030000}"/>
    <hyperlink ref="A306" r:id="rId601" xr:uid="{00000000-0004-0000-0E00-000089030000}"/>
    <hyperlink ref="C306" r:id="rId602" xr:uid="{00000000-0004-0000-0E00-00008A030000}"/>
    <hyperlink ref="K306" location="Content!A1" display="Content" xr:uid="{00000000-0004-0000-0E00-00008B030000}"/>
    <hyperlink ref="A307" r:id="rId603" xr:uid="{00000000-0004-0000-0E00-00008C030000}"/>
    <hyperlink ref="C307" r:id="rId604" xr:uid="{00000000-0004-0000-0E00-00008D030000}"/>
    <hyperlink ref="K307" location="Content!A1" display="Content" xr:uid="{00000000-0004-0000-0E00-00008E030000}"/>
    <hyperlink ref="A308" r:id="rId605" xr:uid="{00000000-0004-0000-0E00-00008F030000}"/>
    <hyperlink ref="C308" r:id="rId606" xr:uid="{00000000-0004-0000-0E00-000090030000}"/>
    <hyperlink ref="K308" location="Content!A1" display="Content" xr:uid="{00000000-0004-0000-0E00-000091030000}"/>
    <hyperlink ref="A309" r:id="rId607" xr:uid="{00000000-0004-0000-0E00-000092030000}"/>
    <hyperlink ref="C309" r:id="rId608" xr:uid="{00000000-0004-0000-0E00-000093030000}"/>
    <hyperlink ref="K309" location="Content!A1" display="Content" xr:uid="{00000000-0004-0000-0E00-000094030000}"/>
    <hyperlink ref="A310" r:id="rId609" xr:uid="{00000000-0004-0000-0E00-000095030000}"/>
    <hyperlink ref="C310" r:id="rId610" xr:uid="{00000000-0004-0000-0E00-000096030000}"/>
    <hyperlink ref="K310" location="Media!A1" display="Media" xr:uid="{00000000-0004-0000-0E00-000097030000}"/>
    <hyperlink ref="A311" r:id="rId611" xr:uid="{00000000-0004-0000-0E00-000098030000}"/>
    <hyperlink ref="C311" r:id="rId612" xr:uid="{00000000-0004-0000-0E00-000099030000}"/>
    <hyperlink ref="K311" location="Content!A1" display="Content" xr:uid="{00000000-0004-0000-0E00-00009A030000}"/>
    <hyperlink ref="A312" r:id="rId613" xr:uid="{00000000-0004-0000-0E00-00009B030000}"/>
    <hyperlink ref="C312" r:id="rId614" xr:uid="{00000000-0004-0000-0E00-00009C030000}"/>
    <hyperlink ref="K312" location="Content!A1" display="Content" xr:uid="{00000000-0004-0000-0E00-00009D030000}"/>
    <hyperlink ref="A313" r:id="rId615" xr:uid="{00000000-0004-0000-0E00-00009E030000}"/>
    <hyperlink ref="C313" r:id="rId616" xr:uid="{00000000-0004-0000-0E00-00009F030000}"/>
    <hyperlink ref="K313" location="Media!A1" display="Media" xr:uid="{00000000-0004-0000-0E00-0000A0030000}"/>
    <hyperlink ref="A314" r:id="rId617" xr:uid="{00000000-0004-0000-0E00-0000A1030000}"/>
    <hyperlink ref="C314" r:id="rId618" xr:uid="{00000000-0004-0000-0E00-0000A2030000}"/>
    <hyperlink ref="K314" location="Content!A1" display="Content" xr:uid="{00000000-0004-0000-0E00-0000A3030000}"/>
    <hyperlink ref="A315" r:id="rId619" xr:uid="{00000000-0004-0000-0E00-0000A4030000}"/>
    <hyperlink ref="C315" r:id="rId620" xr:uid="{00000000-0004-0000-0E00-0000A5030000}"/>
    <hyperlink ref="K315" location="Content!A1" display="Content" xr:uid="{00000000-0004-0000-0E00-0000A6030000}"/>
    <hyperlink ref="A316" r:id="rId621" xr:uid="{00000000-0004-0000-0E00-0000A7030000}"/>
    <hyperlink ref="C316" r:id="rId622" xr:uid="{00000000-0004-0000-0E00-0000A8030000}"/>
    <hyperlink ref="K316" location="Media!A1" display="Media" xr:uid="{00000000-0004-0000-0E00-0000A9030000}"/>
    <hyperlink ref="A317" r:id="rId623" xr:uid="{00000000-0004-0000-0E00-0000AA030000}"/>
    <hyperlink ref="C317" r:id="rId624" xr:uid="{00000000-0004-0000-0E00-0000AB030000}"/>
    <hyperlink ref="K317" location="Content!A1" display="Content" xr:uid="{00000000-0004-0000-0E00-0000AC030000}"/>
    <hyperlink ref="A318" r:id="rId625" xr:uid="{00000000-0004-0000-0E00-0000AD030000}"/>
    <hyperlink ref="C318" r:id="rId626" xr:uid="{00000000-0004-0000-0E00-0000AE030000}"/>
    <hyperlink ref="K318" location="Schema &amp; Metadata!A1" display="Schema &amp; Metadata" xr:uid="{00000000-0004-0000-0E00-0000AF030000}"/>
    <hyperlink ref="A319" r:id="rId627" xr:uid="{00000000-0004-0000-0E00-0000B0030000}"/>
    <hyperlink ref="C319" r:id="rId628" xr:uid="{00000000-0004-0000-0E00-0000B1030000}"/>
    <hyperlink ref="K319" location="Schema &amp; Metadata!A1" display="Schema &amp; Metadata" xr:uid="{00000000-0004-0000-0E00-0000B2030000}"/>
    <hyperlink ref="A320" r:id="rId629" xr:uid="{00000000-0004-0000-0E00-0000B3030000}"/>
    <hyperlink ref="C320" r:id="rId630" xr:uid="{00000000-0004-0000-0E00-0000B4030000}"/>
    <hyperlink ref="K320" location="Schema &amp; Metadata!A1" display="Schema &amp; Metadata" xr:uid="{00000000-0004-0000-0E00-0000B5030000}"/>
    <hyperlink ref="A321" r:id="rId631" xr:uid="{00000000-0004-0000-0E00-0000B6030000}"/>
    <hyperlink ref="C321" r:id="rId632" xr:uid="{00000000-0004-0000-0E00-0000B7030000}"/>
    <hyperlink ref="K321" location="Schema &amp; Metadata!A1" display="Schema &amp; Metadata" xr:uid="{00000000-0004-0000-0E00-0000B8030000}"/>
    <hyperlink ref="A322" r:id="rId633" xr:uid="{00000000-0004-0000-0E00-0000B9030000}"/>
    <hyperlink ref="C322" r:id="rId634" xr:uid="{00000000-0004-0000-0E00-0000BA030000}"/>
    <hyperlink ref="K322" location="Schema &amp; Metadata!A1" display="Schema &amp; Metadata" xr:uid="{00000000-0004-0000-0E00-0000BB030000}"/>
    <hyperlink ref="A323" r:id="rId635" xr:uid="{00000000-0004-0000-0E00-0000BC030000}"/>
    <hyperlink ref="C323" r:id="rId636" xr:uid="{00000000-0004-0000-0E00-0000BD030000}"/>
    <hyperlink ref="K323" location="Schema &amp; Metadata!A1" display="Schema &amp; Metadata" xr:uid="{00000000-0004-0000-0E00-0000BE030000}"/>
    <hyperlink ref="A324" r:id="rId637" xr:uid="{00000000-0004-0000-0E00-0000BF030000}"/>
    <hyperlink ref="C324" r:id="rId638" xr:uid="{00000000-0004-0000-0E00-0000C0030000}"/>
    <hyperlink ref="K324" location="Schema &amp; Metadata!A1" display="Schema &amp; Metadata" xr:uid="{00000000-0004-0000-0E00-0000C1030000}"/>
    <hyperlink ref="A325" r:id="rId639" xr:uid="{00000000-0004-0000-0E00-0000C2030000}"/>
    <hyperlink ref="C325" r:id="rId640" xr:uid="{00000000-0004-0000-0E00-0000C3030000}"/>
    <hyperlink ref="K325" location="Schema &amp; Metadata!A1" display="Schema &amp; Metadata" xr:uid="{00000000-0004-0000-0E00-0000C4030000}"/>
    <hyperlink ref="A326" r:id="rId641" xr:uid="{00000000-0004-0000-0E00-0000C5030000}"/>
    <hyperlink ref="C326" r:id="rId642" xr:uid="{00000000-0004-0000-0E00-0000C6030000}"/>
    <hyperlink ref="K326" location="Schema &amp; Metadata!A1" display="Schema &amp; Metadata" xr:uid="{00000000-0004-0000-0E00-0000C7030000}"/>
    <hyperlink ref="A327" r:id="rId643" xr:uid="{00000000-0004-0000-0E00-0000C8030000}"/>
    <hyperlink ref="C327" r:id="rId644" xr:uid="{00000000-0004-0000-0E00-0000C9030000}"/>
    <hyperlink ref="K327" location="Schema &amp; Metadata!A1" display="Schema &amp; Metadata" xr:uid="{00000000-0004-0000-0E00-0000CA030000}"/>
    <hyperlink ref="A328" r:id="rId645" xr:uid="{00000000-0004-0000-0E00-0000CB030000}"/>
    <hyperlink ref="C328" r:id="rId646" xr:uid="{00000000-0004-0000-0E00-0000CC030000}"/>
    <hyperlink ref="K328" location="Schema &amp; Metadata!A1" display="Schema &amp; Metadata" xr:uid="{00000000-0004-0000-0E00-0000CD030000}"/>
    <hyperlink ref="A329" r:id="rId647" xr:uid="{00000000-0004-0000-0E00-0000CE030000}"/>
    <hyperlink ref="C329" r:id="rId648" xr:uid="{00000000-0004-0000-0E00-0000CF030000}"/>
    <hyperlink ref="K329" location="Schema &amp; Metadata!A1" display="Schema &amp; Metadata" xr:uid="{00000000-0004-0000-0E00-0000D0030000}"/>
    <hyperlink ref="A330" r:id="rId649" xr:uid="{00000000-0004-0000-0E00-0000D1030000}"/>
    <hyperlink ref="C330" r:id="rId650" xr:uid="{00000000-0004-0000-0E00-0000D2030000}"/>
    <hyperlink ref="K330" location="Schema &amp; Metadata!A1" display="Schema &amp; Metadata" xr:uid="{00000000-0004-0000-0E00-0000D3030000}"/>
    <hyperlink ref="A331" r:id="rId651" xr:uid="{00000000-0004-0000-0E00-0000D4030000}"/>
    <hyperlink ref="C331" r:id="rId652" xr:uid="{00000000-0004-0000-0E00-0000D5030000}"/>
    <hyperlink ref="K331" location="Schema &amp; Metadata!A1" display="Schema &amp; Metadata" xr:uid="{00000000-0004-0000-0E00-0000D6030000}"/>
    <hyperlink ref="A332" r:id="rId653" xr:uid="{00000000-0004-0000-0E00-0000D7030000}"/>
    <hyperlink ref="C332" r:id="rId654" xr:uid="{00000000-0004-0000-0E00-0000D8030000}"/>
    <hyperlink ref="K332" location="Schema &amp; Metadata!A1" display="Schema &amp; Metadata" xr:uid="{00000000-0004-0000-0E00-0000D9030000}"/>
    <hyperlink ref="A333" r:id="rId655" xr:uid="{00000000-0004-0000-0E00-0000DA030000}"/>
    <hyperlink ref="C333" r:id="rId656" xr:uid="{00000000-0004-0000-0E00-0000DB030000}"/>
    <hyperlink ref="K333" location="Schema &amp; Metadata!A1" display="Schema &amp; Metadata" xr:uid="{00000000-0004-0000-0E00-0000DC030000}"/>
    <hyperlink ref="A334" r:id="rId657" xr:uid="{00000000-0004-0000-0E00-0000DD030000}"/>
    <hyperlink ref="C334" r:id="rId658" xr:uid="{00000000-0004-0000-0E00-0000DE030000}"/>
    <hyperlink ref="K334" location="Schema &amp; Metadata!A1" display="Schema &amp; Metadata" xr:uid="{00000000-0004-0000-0E00-0000DF030000}"/>
    <hyperlink ref="A335" r:id="rId659" xr:uid="{00000000-0004-0000-0E00-0000E0030000}"/>
    <hyperlink ref="C335" r:id="rId660" xr:uid="{00000000-0004-0000-0E00-0000E1030000}"/>
    <hyperlink ref="K335" location="Schema &amp; Metadata!A1" display="Schema &amp; Metadata" xr:uid="{00000000-0004-0000-0E00-0000E2030000}"/>
    <hyperlink ref="A336" r:id="rId661" xr:uid="{00000000-0004-0000-0E00-0000E3030000}"/>
    <hyperlink ref="C336" r:id="rId662" xr:uid="{00000000-0004-0000-0E00-0000E4030000}"/>
    <hyperlink ref="K336" location="Schema &amp; Metadata!A1" display="Schema &amp; Metadata" xr:uid="{00000000-0004-0000-0E00-0000E5030000}"/>
    <hyperlink ref="A337" r:id="rId663" xr:uid="{00000000-0004-0000-0E00-0000E6030000}"/>
    <hyperlink ref="C337" r:id="rId664" xr:uid="{00000000-0004-0000-0E00-0000E7030000}"/>
    <hyperlink ref="K337" location="Schema &amp; Metadata!A1" display="Schema &amp; Metadata" xr:uid="{00000000-0004-0000-0E00-0000E8030000}"/>
    <hyperlink ref="A338" r:id="rId665" xr:uid="{00000000-0004-0000-0E00-0000E9030000}"/>
    <hyperlink ref="C338" r:id="rId666" xr:uid="{00000000-0004-0000-0E00-0000EA030000}"/>
    <hyperlink ref="K338" location="Schema &amp; Metadata!A1" display="Schema &amp; Metadata" xr:uid="{00000000-0004-0000-0E00-0000EB030000}"/>
    <hyperlink ref="A339" r:id="rId667" xr:uid="{00000000-0004-0000-0E00-0000EC030000}"/>
    <hyperlink ref="C339" r:id="rId668" xr:uid="{00000000-0004-0000-0E00-0000ED030000}"/>
    <hyperlink ref="K339" location="Schema &amp; Metadata!A1" display="Schema &amp; Metadata" xr:uid="{00000000-0004-0000-0E00-0000EE030000}"/>
    <hyperlink ref="A340" r:id="rId669" xr:uid="{00000000-0004-0000-0E00-0000EF030000}"/>
    <hyperlink ref="C340" r:id="rId670" xr:uid="{00000000-0004-0000-0E00-0000F0030000}"/>
    <hyperlink ref="K340" location="Schema &amp; Metadata!A1" display="Schema &amp; Metadata" xr:uid="{00000000-0004-0000-0E00-0000F1030000}"/>
    <hyperlink ref="A341" r:id="rId671" xr:uid="{00000000-0004-0000-0E00-0000F2030000}"/>
    <hyperlink ref="C341" r:id="rId672" xr:uid="{00000000-0004-0000-0E00-0000F3030000}"/>
    <hyperlink ref="K341" location="Schema &amp; Metadata!A1" display="Schema &amp; Metadata" xr:uid="{00000000-0004-0000-0E00-0000F4030000}"/>
    <hyperlink ref="A342" r:id="rId673" xr:uid="{00000000-0004-0000-0E00-0000F5030000}"/>
    <hyperlink ref="C342" r:id="rId674" xr:uid="{00000000-0004-0000-0E00-0000F6030000}"/>
    <hyperlink ref="K342" location="Schema &amp; Metadata!A1" display="Schema &amp; Metadata" xr:uid="{00000000-0004-0000-0E00-0000F7030000}"/>
    <hyperlink ref="A343" r:id="rId675" xr:uid="{00000000-0004-0000-0E00-0000F8030000}"/>
    <hyperlink ref="K343" location="Schema &amp; Metadata!A1" display="Schema &amp; Metadata" xr:uid="{00000000-0004-0000-0E00-0000F9030000}"/>
    <hyperlink ref="A344" r:id="rId676" xr:uid="{00000000-0004-0000-0E00-0000FA030000}"/>
    <hyperlink ref="C344" r:id="rId677" xr:uid="{00000000-0004-0000-0E00-0000FB030000}"/>
    <hyperlink ref="K344" location="Schema &amp; Metadata!A1" display="Schema &amp; Metadata" xr:uid="{00000000-0004-0000-0E00-0000FC030000}"/>
    <hyperlink ref="A345" r:id="rId678" xr:uid="{00000000-0004-0000-0E00-0000FD030000}"/>
    <hyperlink ref="C345" r:id="rId679" xr:uid="{00000000-0004-0000-0E00-0000FE030000}"/>
    <hyperlink ref="K345" location="Schema &amp; Metadata!A1" display="Schema &amp; Metadata" xr:uid="{00000000-0004-0000-0E00-0000FF030000}"/>
    <hyperlink ref="A346" r:id="rId680" xr:uid="{00000000-0004-0000-0E00-000000040000}"/>
    <hyperlink ref="C346" r:id="rId681" xr:uid="{00000000-0004-0000-0E00-000001040000}"/>
    <hyperlink ref="K346" location="Schema &amp; Metadata!A1" display="Schema &amp; Metadata" xr:uid="{00000000-0004-0000-0E00-000002040000}"/>
    <hyperlink ref="A347" r:id="rId682" xr:uid="{00000000-0004-0000-0E00-000003040000}"/>
    <hyperlink ref="C347" r:id="rId683" xr:uid="{00000000-0004-0000-0E00-000004040000}"/>
    <hyperlink ref="K347" location="Schema &amp; Metadata!A1" display="Schema &amp; Metadata" xr:uid="{00000000-0004-0000-0E00-000005040000}"/>
    <hyperlink ref="A348" r:id="rId684" xr:uid="{00000000-0004-0000-0E00-000006040000}"/>
    <hyperlink ref="C348" r:id="rId685" xr:uid="{00000000-0004-0000-0E00-000007040000}"/>
    <hyperlink ref="K348" location="Schema &amp; Metadata!A1" display="Schema &amp; Metadata" xr:uid="{00000000-0004-0000-0E00-000008040000}"/>
    <hyperlink ref="A349" r:id="rId686" xr:uid="{00000000-0004-0000-0E00-000009040000}"/>
    <hyperlink ref="C349" r:id="rId687" xr:uid="{00000000-0004-0000-0E00-00000A040000}"/>
    <hyperlink ref="K349" location="Schema &amp; Metadata!A1" display="Schema &amp; Metadata" xr:uid="{00000000-0004-0000-0E00-00000B040000}"/>
    <hyperlink ref="A350" r:id="rId688" xr:uid="{00000000-0004-0000-0E00-00000C040000}"/>
    <hyperlink ref="C350" r:id="rId689" xr:uid="{00000000-0004-0000-0E00-00000D040000}"/>
    <hyperlink ref="K350" location="Schema &amp; Metadata!A1" display="Schema &amp; Metadata" xr:uid="{00000000-0004-0000-0E00-00000E040000}"/>
    <hyperlink ref="A351" r:id="rId690" xr:uid="{00000000-0004-0000-0E00-00000F040000}"/>
    <hyperlink ref="C351" r:id="rId691" xr:uid="{00000000-0004-0000-0E00-000010040000}"/>
    <hyperlink ref="K351" location="Schema &amp; Metadata!A1" display="Schema &amp; Metadata" xr:uid="{00000000-0004-0000-0E00-000011040000}"/>
    <hyperlink ref="A352" r:id="rId692" xr:uid="{00000000-0004-0000-0E00-000012040000}"/>
    <hyperlink ref="C352" r:id="rId693" xr:uid="{00000000-0004-0000-0E00-000013040000}"/>
    <hyperlink ref="K352" location="Schema &amp; Metadata!A1" display="Schema &amp; Metadata" xr:uid="{00000000-0004-0000-0E00-000014040000}"/>
    <hyperlink ref="A353" r:id="rId694" xr:uid="{00000000-0004-0000-0E00-000015040000}"/>
    <hyperlink ref="C353" r:id="rId695" xr:uid="{00000000-0004-0000-0E00-000016040000}"/>
    <hyperlink ref="K353" location="Schema &amp; Metadata!A1" display="Schema &amp; Metadata" xr:uid="{00000000-0004-0000-0E00-000017040000}"/>
    <hyperlink ref="A354" r:id="rId696" xr:uid="{00000000-0004-0000-0E00-000018040000}"/>
    <hyperlink ref="C354" r:id="rId697" xr:uid="{00000000-0004-0000-0E00-000019040000}"/>
    <hyperlink ref="K354" location="Schema &amp; Metadata!A1" display="Schema &amp; Metadata" xr:uid="{00000000-0004-0000-0E00-00001A040000}"/>
    <hyperlink ref="A355" r:id="rId698" xr:uid="{00000000-0004-0000-0E00-00001B040000}"/>
    <hyperlink ref="C355" r:id="rId699" xr:uid="{00000000-0004-0000-0E00-00001C040000}"/>
    <hyperlink ref="K355" location="Schema &amp; Metadata!A1" display="Schema &amp; Metadata" xr:uid="{00000000-0004-0000-0E00-00001D040000}"/>
    <hyperlink ref="A356" r:id="rId700" xr:uid="{00000000-0004-0000-0E00-00001E040000}"/>
    <hyperlink ref="K356" location="Schema &amp; Metadata!A1" display="Schema &amp; Metadata" xr:uid="{00000000-0004-0000-0E00-00001F040000}"/>
    <hyperlink ref="A357" r:id="rId701" xr:uid="{00000000-0004-0000-0E00-000020040000}"/>
    <hyperlink ref="C357" r:id="rId702" xr:uid="{00000000-0004-0000-0E00-000021040000}"/>
    <hyperlink ref="K357" location="Schema &amp; Metadata!A1" display="Schema &amp; Metadata" xr:uid="{00000000-0004-0000-0E00-000022040000}"/>
    <hyperlink ref="A358" r:id="rId703" xr:uid="{00000000-0004-0000-0E00-000023040000}"/>
    <hyperlink ref="C358" r:id="rId704" xr:uid="{00000000-0004-0000-0E00-000024040000}"/>
    <hyperlink ref="K358" location="Schema &amp; Metadata!A1" display="Schema &amp; Metadata" xr:uid="{00000000-0004-0000-0E00-000025040000}"/>
    <hyperlink ref="A359" r:id="rId705" xr:uid="{00000000-0004-0000-0E00-000026040000}"/>
    <hyperlink ref="C359" r:id="rId706" xr:uid="{00000000-0004-0000-0E00-000027040000}"/>
    <hyperlink ref="K359" location="Schema &amp; Metadata!A1" display="Schema &amp; Metadata" xr:uid="{00000000-0004-0000-0E00-000028040000}"/>
    <hyperlink ref="A360" r:id="rId707" xr:uid="{00000000-0004-0000-0E00-000029040000}"/>
    <hyperlink ref="C360" r:id="rId708" xr:uid="{00000000-0004-0000-0E00-00002A040000}"/>
    <hyperlink ref="K360" location="Schema &amp; Metadata!A1" display="Schema &amp; Metadata" xr:uid="{00000000-0004-0000-0E00-00002B040000}"/>
    <hyperlink ref="A361" r:id="rId709" xr:uid="{00000000-0004-0000-0E00-00002C040000}"/>
    <hyperlink ref="C361" r:id="rId710" xr:uid="{00000000-0004-0000-0E00-00002D040000}"/>
    <hyperlink ref="K361" location="Schema &amp; Metadata!A1" display="Schema &amp; Metadata" xr:uid="{00000000-0004-0000-0E00-00002E040000}"/>
    <hyperlink ref="A362" r:id="rId711" xr:uid="{00000000-0004-0000-0E00-00002F040000}"/>
    <hyperlink ref="C362" r:id="rId712" xr:uid="{00000000-0004-0000-0E00-000030040000}"/>
    <hyperlink ref="K362" location="Schema &amp; Metadata!A1" display="Schema &amp; Metadata" xr:uid="{00000000-0004-0000-0E00-000031040000}"/>
    <hyperlink ref="A363" r:id="rId713" xr:uid="{00000000-0004-0000-0E00-000032040000}"/>
    <hyperlink ref="C363" r:id="rId714" xr:uid="{00000000-0004-0000-0E00-000033040000}"/>
    <hyperlink ref="K363" location="Schema &amp; Metadata!A1" display="Schema &amp; Metadata" xr:uid="{00000000-0004-0000-0E00-000034040000}"/>
    <hyperlink ref="A364" r:id="rId715" xr:uid="{00000000-0004-0000-0E00-000035040000}"/>
    <hyperlink ref="C364" r:id="rId716" xr:uid="{00000000-0004-0000-0E00-000036040000}"/>
    <hyperlink ref="K364" location="Schema &amp; Metadata!A1" display="Schema &amp; Metadata" xr:uid="{00000000-0004-0000-0E00-000037040000}"/>
    <hyperlink ref="A365" r:id="rId717" xr:uid="{00000000-0004-0000-0E00-000038040000}"/>
    <hyperlink ref="C365" r:id="rId718" xr:uid="{00000000-0004-0000-0E00-000039040000}"/>
    <hyperlink ref="K365" location="Schema &amp; Metadata!A1" display="Schema &amp; Metadata" xr:uid="{00000000-0004-0000-0E00-00003A040000}"/>
    <hyperlink ref="A366" r:id="rId719" xr:uid="{00000000-0004-0000-0E00-00003B040000}"/>
    <hyperlink ref="C366" r:id="rId720" xr:uid="{00000000-0004-0000-0E00-00003C040000}"/>
    <hyperlink ref="K366" location="Schema &amp; Metadata!A1" display="Schema &amp; Metadata" xr:uid="{00000000-0004-0000-0E00-00003D040000}"/>
    <hyperlink ref="A367" r:id="rId721" xr:uid="{00000000-0004-0000-0E00-00003E040000}"/>
    <hyperlink ref="C367" r:id="rId722" xr:uid="{00000000-0004-0000-0E00-00003F040000}"/>
    <hyperlink ref="K367" location="Schema &amp; Metadata!A1" display="Schema &amp; Metadata" xr:uid="{00000000-0004-0000-0E00-000040040000}"/>
    <hyperlink ref="A368" r:id="rId723" xr:uid="{00000000-0004-0000-0E00-000041040000}"/>
    <hyperlink ref="C368" r:id="rId724" xr:uid="{00000000-0004-0000-0E00-000042040000}"/>
    <hyperlink ref="K368" location="Schema &amp; Metadata!A1" display="Schema &amp; Metadata" xr:uid="{00000000-0004-0000-0E00-000043040000}"/>
    <hyperlink ref="A369" r:id="rId725" xr:uid="{00000000-0004-0000-0E00-000044040000}"/>
    <hyperlink ref="C369" r:id="rId726" xr:uid="{00000000-0004-0000-0E00-000045040000}"/>
    <hyperlink ref="K369" location="Schema &amp; Metadata!A1" display="Schema &amp; Metadata" xr:uid="{00000000-0004-0000-0E00-000046040000}"/>
    <hyperlink ref="A370" r:id="rId727" xr:uid="{00000000-0004-0000-0E00-000047040000}"/>
    <hyperlink ref="C370" r:id="rId728" xr:uid="{00000000-0004-0000-0E00-000048040000}"/>
    <hyperlink ref="K370" location="Schema &amp; Metadata!A1" display="Schema &amp; Metadata" xr:uid="{00000000-0004-0000-0E00-000049040000}"/>
    <hyperlink ref="A371" r:id="rId729" xr:uid="{00000000-0004-0000-0E00-00004A040000}"/>
    <hyperlink ref="C371" r:id="rId730" xr:uid="{00000000-0004-0000-0E00-00004B040000}"/>
    <hyperlink ref="K371" location="Schema &amp; Metadata!A1" display="Schema &amp; Metadata" xr:uid="{00000000-0004-0000-0E00-00004C040000}"/>
    <hyperlink ref="A372" r:id="rId731" xr:uid="{00000000-0004-0000-0E00-00004D040000}"/>
    <hyperlink ref="C372" r:id="rId732" xr:uid="{00000000-0004-0000-0E00-00004E040000}"/>
    <hyperlink ref="K372" location="Schema &amp; Metadata!A1" display="Schema &amp; Metadata" xr:uid="{00000000-0004-0000-0E00-00004F040000}"/>
    <hyperlink ref="A373" r:id="rId733" xr:uid="{00000000-0004-0000-0E00-000050040000}"/>
    <hyperlink ref="C373" r:id="rId734" xr:uid="{00000000-0004-0000-0E00-000051040000}"/>
    <hyperlink ref="K373" location="Schema &amp; Metadata!A1" display="Schema &amp; Metadata" xr:uid="{00000000-0004-0000-0E00-000052040000}"/>
    <hyperlink ref="A374" r:id="rId735" xr:uid="{00000000-0004-0000-0E00-000053040000}"/>
    <hyperlink ref="C374" r:id="rId736" xr:uid="{00000000-0004-0000-0E00-000054040000}"/>
    <hyperlink ref="K374" location="Schema &amp; Metadata!A1" display="Schema &amp; Metadata" xr:uid="{00000000-0004-0000-0E00-000055040000}"/>
    <hyperlink ref="A375" r:id="rId737" xr:uid="{00000000-0004-0000-0E00-000056040000}"/>
    <hyperlink ref="C375" r:id="rId738" xr:uid="{00000000-0004-0000-0E00-000057040000}"/>
    <hyperlink ref="K375" location="Schema &amp; Metadata!A1" display="Schema &amp; Metadata" xr:uid="{00000000-0004-0000-0E00-000058040000}"/>
    <hyperlink ref="A376" r:id="rId739" xr:uid="{00000000-0004-0000-0E00-000059040000}"/>
    <hyperlink ref="C376" r:id="rId740" xr:uid="{00000000-0004-0000-0E00-00005A040000}"/>
    <hyperlink ref="K376" location="Schema &amp; Metadata!A1" display="Schema &amp; Metadata" xr:uid="{00000000-0004-0000-0E00-00005B040000}"/>
    <hyperlink ref="A377" r:id="rId741" xr:uid="{00000000-0004-0000-0E00-00005C040000}"/>
    <hyperlink ref="C377" r:id="rId742" xr:uid="{00000000-0004-0000-0E00-00005D040000}"/>
    <hyperlink ref="K377" location="Schema &amp; Metadata!A1" display="Schema &amp; Metadata" xr:uid="{00000000-0004-0000-0E00-00005E040000}"/>
    <hyperlink ref="A378" r:id="rId743" xr:uid="{00000000-0004-0000-0E00-00005F040000}"/>
    <hyperlink ref="C378" r:id="rId744" xr:uid="{00000000-0004-0000-0E00-000060040000}"/>
    <hyperlink ref="K378" location="Schema &amp; Metadata!A1" display="Schema &amp; Metadata" xr:uid="{00000000-0004-0000-0E00-000061040000}"/>
    <hyperlink ref="A379" r:id="rId745" xr:uid="{00000000-0004-0000-0E00-000062040000}"/>
    <hyperlink ref="C379" r:id="rId746" xr:uid="{00000000-0004-0000-0E00-000063040000}"/>
    <hyperlink ref="K379" location="Schema &amp; Metadata!A1" display="Schema &amp; Metadata" xr:uid="{00000000-0004-0000-0E00-000064040000}"/>
    <hyperlink ref="A380" r:id="rId747" xr:uid="{00000000-0004-0000-0E00-000065040000}"/>
    <hyperlink ref="C380" r:id="rId748" xr:uid="{00000000-0004-0000-0E00-000066040000}"/>
    <hyperlink ref="K380" location="Schema &amp; Metadata!A1" display="Schema &amp; Metadata" xr:uid="{00000000-0004-0000-0E00-000067040000}"/>
    <hyperlink ref="A381" r:id="rId749" xr:uid="{00000000-0004-0000-0E00-000068040000}"/>
    <hyperlink ref="C381" r:id="rId750" xr:uid="{00000000-0004-0000-0E00-000069040000}"/>
    <hyperlink ref="K381" location="Schema &amp; Metadata!A1" display="Schema &amp; Metadata" xr:uid="{00000000-0004-0000-0E00-00006A040000}"/>
    <hyperlink ref="A382" r:id="rId751" xr:uid="{00000000-0004-0000-0E00-00006B040000}"/>
    <hyperlink ref="C382" r:id="rId752" xr:uid="{00000000-0004-0000-0E00-00006C040000}"/>
    <hyperlink ref="K382" location="Schema &amp; Metadata!A1" display="Schema &amp; Metadata" xr:uid="{00000000-0004-0000-0E00-00006D040000}"/>
    <hyperlink ref="A383" r:id="rId753" xr:uid="{00000000-0004-0000-0E00-00006E040000}"/>
    <hyperlink ref="C383" r:id="rId754" xr:uid="{00000000-0004-0000-0E00-00006F040000}"/>
    <hyperlink ref="K383" location="Schema &amp; Metadata!A1" display="Schema &amp; Metadata" xr:uid="{00000000-0004-0000-0E00-000070040000}"/>
    <hyperlink ref="A384" r:id="rId755" xr:uid="{00000000-0004-0000-0E00-000071040000}"/>
    <hyperlink ref="C384" r:id="rId756" xr:uid="{00000000-0004-0000-0E00-000072040000}"/>
    <hyperlink ref="K384" location="Schema &amp; Metadata!A1" display="Schema &amp; Metadata" xr:uid="{00000000-0004-0000-0E00-000073040000}"/>
    <hyperlink ref="A385" r:id="rId757" xr:uid="{00000000-0004-0000-0E00-000074040000}"/>
    <hyperlink ref="C385" r:id="rId758" xr:uid="{00000000-0004-0000-0E00-000075040000}"/>
    <hyperlink ref="K385" location="Schema &amp; Metadata!A1" display="Schema &amp; Metadata" xr:uid="{00000000-0004-0000-0E00-000076040000}"/>
    <hyperlink ref="A386" r:id="rId759" xr:uid="{00000000-0004-0000-0E00-000077040000}"/>
    <hyperlink ref="C386" r:id="rId760" xr:uid="{00000000-0004-0000-0E00-000078040000}"/>
    <hyperlink ref="K386" location="Schema &amp; Metadata!A1" display="Schema &amp; Metadata" xr:uid="{00000000-0004-0000-0E00-000079040000}"/>
    <hyperlink ref="A387" r:id="rId761" xr:uid="{00000000-0004-0000-0E00-00007A040000}"/>
    <hyperlink ref="C387" r:id="rId762" xr:uid="{00000000-0004-0000-0E00-00007B040000}"/>
    <hyperlink ref="K387" location="Schema &amp; Metadata!A1" display="Schema &amp; Metadata" xr:uid="{00000000-0004-0000-0E00-00007C040000}"/>
    <hyperlink ref="A388" r:id="rId763" xr:uid="{00000000-0004-0000-0E00-00007D040000}"/>
    <hyperlink ref="C388" r:id="rId764" xr:uid="{00000000-0004-0000-0E00-00007E040000}"/>
    <hyperlink ref="K388" location="Schema &amp; Metadata!A1" display="Schema &amp; Metadata" xr:uid="{00000000-0004-0000-0E00-00007F040000}"/>
    <hyperlink ref="A389" r:id="rId765" xr:uid="{00000000-0004-0000-0E00-000080040000}"/>
    <hyperlink ref="C389" r:id="rId766" xr:uid="{00000000-0004-0000-0E00-000081040000}"/>
    <hyperlink ref="K389" location="Schema &amp; Metadata!A1" display="Schema &amp; Metadata" xr:uid="{00000000-0004-0000-0E00-000082040000}"/>
    <hyperlink ref="A390" r:id="rId767" xr:uid="{00000000-0004-0000-0E00-000083040000}"/>
    <hyperlink ref="C390" r:id="rId768" xr:uid="{00000000-0004-0000-0E00-000084040000}"/>
    <hyperlink ref="K390" location="Schema &amp; Metadata!A1" display="Schema &amp; Metadata" xr:uid="{00000000-0004-0000-0E00-000085040000}"/>
    <hyperlink ref="A391" r:id="rId769" xr:uid="{00000000-0004-0000-0E00-000086040000}"/>
    <hyperlink ref="C391" r:id="rId770" xr:uid="{00000000-0004-0000-0E00-000087040000}"/>
    <hyperlink ref="K391" location="Schema &amp; Metadata!A1" display="Schema &amp; Metadata" xr:uid="{00000000-0004-0000-0E00-000088040000}"/>
    <hyperlink ref="A392" r:id="rId771" xr:uid="{00000000-0004-0000-0E00-000089040000}"/>
    <hyperlink ref="C392" r:id="rId772" xr:uid="{00000000-0004-0000-0E00-00008A040000}"/>
    <hyperlink ref="K392" location="Schema &amp; Metadata!A1" display="Schema &amp; Metadata" xr:uid="{00000000-0004-0000-0E00-00008B040000}"/>
    <hyperlink ref="A393" r:id="rId773" xr:uid="{00000000-0004-0000-0E00-00008C040000}"/>
    <hyperlink ref="C393" r:id="rId774" xr:uid="{00000000-0004-0000-0E00-00008D040000}"/>
    <hyperlink ref="K393" location="Schema &amp; Metadata!A1" display="Schema &amp; Metadata" xr:uid="{00000000-0004-0000-0E00-00008E040000}"/>
    <hyperlink ref="A394" r:id="rId775" xr:uid="{00000000-0004-0000-0E00-00008F040000}"/>
    <hyperlink ref="C394" r:id="rId776" xr:uid="{00000000-0004-0000-0E00-000090040000}"/>
    <hyperlink ref="K394" location="Schema &amp; Metadata!A1" display="Schema &amp; Metadata" xr:uid="{00000000-0004-0000-0E00-000091040000}"/>
    <hyperlink ref="A395" r:id="rId777" xr:uid="{00000000-0004-0000-0E00-000092040000}"/>
    <hyperlink ref="C395" r:id="rId778" xr:uid="{00000000-0004-0000-0E00-000093040000}"/>
    <hyperlink ref="K395" location="Schema &amp; Metadata!A1" display="Schema &amp; Metadata" xr:uid="{00000000-0004-0000-0E00-000094040000}"/>
    <hyperlink ref="A396" r:id="rId779" xr:uid="{00000000-0004-0000-0E00-000095040000}"/>
    <hyperlink ref="C396" r:id="rId780" xr:uid="{00000000-0004-0000-0E00-000096040000}"/>
    <hyperlink ref="K396" location="Schema &amp; Metadata!A1" display="Schema &amp; Metadata" xr:uid="{00000000-0004-0000-0E00-000097040000}"/>
    <hyperlink ref="A397" r:id="rId781" xr:uid="{00000000-0004-0000-0E00-000098040000}"/>
    <hyperlink ref="C397" r:id="rId782" xr:uid="{00000000-0004-0000-0E00-000099040000}"/>
    <hyperlink ref="K397" location="Schema &amp; Metadata!A1" display="Schema &amp; Metadata" xr:uid="{00000000-0004-0000-0E00-00009A040000}"/>
    <hyperlink ref="A398" r:id="rId783" xr:uid="{00000000-0004-0000-0E00-00009B040000}"/>
    <hyperlink ref="C398" r:id="rId784" xr:uid="{00000000-0004-0000-0E00-00009C040000}"/>
    <hyperlink ref="K398" location="Schema &amp; Metadata!A1" display="Schema &amp; Metadata" xr:uid="{00000000-0004-0000-0E00-00009D040000}"/>
    <hyperlink ref="A399" r:id="rId785" xr:uid="{00000000-0004-0000-0E00-00009E040000}"/>
    <hyperlink ref="C399" r:id="rId786" xr:uid="{00000000-0004-0000-0E00-00009F040000}"/>
    <hyperlink ref="K399" location="Schema &amp; Metadata!A1" display="Schema &amp; Metadata" xr:uid="{00000000-0004-0000-0E00-0000A0040000}"/>
    <hyperlink ref="A400" r:id="rId787" xr:uid="{00000000-0004-0000-0E00-0000A1040000}"/>
    <hyperlink ref="C400" r:id="rId788" xr:uid="{00000000-0004-0000-0E00-0000A2040000}"/>
    <hyperlink ref="K400" location="Schema &amp; Metadata!A1" display="Schema &amp; Metadata" xr:uid="{00000000-0004-0000-0E00-0000A3040000}"/>
    <hyperlink ref="A401" r:id="rId789" xr:uid="{00000000-0004-0000-0E00-0000A4040000}"/>
    <hyperlink ref="C401" r:id="rId790" xr:uid="{00000000-0004-0000-0E00-0000A5040000}"/>
    <hyperlink ref="K401" location="Schema &amp; Metadata!A1" display="Schema &amp; Metadata" xr:uid="{00000000-0004-0000-0E00-0000A6040000}"/>
    <hyperlink ref="A402" r:id="rId791" xr:uid="{00000000-0004-0000-0E00-0000A7040000}"/>
    <hyperlink ref="C402" r:id="rId792" xr:uid="{00000000-0004-0000-0E00-0000A8040000}"/>
    <hyperlink ref="K402" location="Schema &amp; Metadata!A1" display="Schema &amp; Metadata" xr:uid="{00000000-0004-0000-0E00-0000A9040000}"/>
    <hyperlink ref="A403" r:id="rId793" xr:uid="{00000000-0004-0000-0E00-0000AA040000}"/>
    <hyperlink ref="K403" location="Main!A1" display="Main" xr:uid="{00000000-0004-0000-0E00-0000AB040000}"/>
    <hyperlink ref="A404" r:id="rId794" xr:uid="{00000000-0004-0000-0E00-0000AC040000}"/>
    <hyperlink ref="K404" location="Main!A1" display="Main" xr:uid="{00000000-0004-0000-0E00-0000AD040000}"/>
    <hyperlink ref="A405" r:id="rId795" xr:uid="{00000000-0004-0000-0E00-0000AE040000}"/>
    <hyperlink ref="C405" r:id="rId796" xr:uid="{00000000-0004-0000-0E00-0000AF040000}"/>
    <hyperlink ref="K405" location="Main!A1" display="Main" xr:uid="{00000000-0004-0000-0E00-0000B0040000}"/>
    <hyperlink ref="A406" r:id="rId797" xr:uid="{00000000-0004-0000-0E00-0000B1040000}"/>
    <hyperlink ref="C406" r:id="rId798" xr:uid="{00000000-0004-0000-0E00-0000B2040000}"/>
    <hyperlink ref="K406" location="Main!A1" display="Main" xr:uid="{00000000-0004-0000-0E00-0000B3040000}"/>
    <hyperlink ref="A407" r:id="rId799" xr:uid="{00000000-0004-0000-0E00-0000B4040000}"/>
    <hyperlink ref="C407" r:id="rId800" xr:uid="{00000000-0004-0000-0E00-0000B5040000}"/>
    <hyperlink ref="K407" location="Main!A1" display="Main" xr:uid="{00000000-0004-0000-0E00-0000B6040000}"/>
    <hyperlink ref="A408" r:id="rId801" xr:uid="{00000000-0004-0000-0E00-0000B7040000}"/>
    <hyperlink ref="C408" r:id="rId802" xr:uid="{00000000-0004-0000-0E00-0000B8040000}"/>
    <hyperlink ref="K408" location="Main!A1" display="Main" xr:uid="{00000000-0004-0000-0E00-0000B9040000}"/>
    <hyperlink ref="A409" r:id="rId803" xr:uid="{00000000-0004-0000-0E00-0000BA040000}"/>
    <hyperlink ref="C409" r:id="rId804" xr:uid="{00000000-0004-0000-0E00-0000BB040000}"/>
    <hyperlink ref="K409" location="Main!A1" display="Main" xr:uid="{00000000-0004-0000-0E00-0000BC040000}"/>
    <hyperlink ref="A410" r:id="rId805" xr:uid="{00000000-0004-0000-0E00-0000BD040000}"/>
    <hyperlink ref="C410" r:id="rId806" xr:uid="{00000000-0004-0000-0E00-0000BE040000}"/>
    <hyperlink ref="K410" location="Main!A1" display="Main" xr:uid="{00000000-0004-0000-0E00-0000BF040000}"/>
    <hyperlink ref="A411" r:id="rId807" xr:uid="{00000000-0004-0000-0E00-0000C0040000}"/>
    <hyperlink ref="C411" r:id="rId808" xr:uid="{00000000-0004-0000-0E00-0000C1040000}"/>
    <hyperlink ref="K411" location="Main!A1" display="Main" xr:uid="{00000000-0004-0000-0E00-0000C2040000}"/>
    <hyperlink ref="A412" r:id="rId809" xr:uid="{00000000-0004-0000-0E00-0000C3040000}"/>
    <hyperlink ref="C412" r:id="rId810" xr:uid="{00000000-0004-0000-0E00-0000C4040000}"/>
    <hyperlink ref="K412" location="Main!A1" display="Main" xr:uid="{00000000-0004-0000-0E00-0000C5040000}"/>
    <hyperlink ref="A413" r:id="rId811" xr:uid="{00000000-0004-0000-0E00-0000C6040000}"/>
    <hyperlink ref="C413" r:id="rId812" xr:uid="{00000000-0004-0000-0E00-0000C7040000}"/>
    <hyperlink ref="K413" location="Main!A1" display="Main" xr:uid="{00000000-0004-0000-0E00-0000C8040000}"/>
    <hyperlink ref="A414" r:id="rId813" xr:uid="{00000000-0004-0000-0E00-0000C9040000}"/>
    <hyperlink ref="C414" r:id="rId814" xr:uid="{00000000-0004-0000-0E00-0000CA040000}"/>
    <hyperlink ref="K414" location="Main!A1" display="Main" xr:uid="{00000000-0004-0000-0E00-0000CB040000}"/>
    <hyperlink ref="A415" r:id="rId815" xr:uid="{00000000-0004-0000-0E00-0000CC040000}"/>
    <hyperlink ref="C415" r:id="rId816" xr:uid="{00000000-0004-0000-0E00-0000CD040000}"/>
    <hyperlink ref="K415" location="Main!A1" display="Main" xr:uid="{00000000-0004-0000-0E00-0000CE040000}"/>
    <hyperlink ref="A416" r:id="rId817" xr:uid="{00000000-0004-0000-0E00-0000CF040000}"/>
    <hyperlink ref="C416" r:id="rId818" xr:uid="{00000000-0004-0000-0E00-0000D0040000}"/>
    <hyperlink ref="K416" location="Main!A1" display="Main" xr:uid="{00000000-0004-0000-0E00-0000D1040000}"/>
    <hyperlink ref="A417" r:id="rId819" xr:uid="{00000000-0004-0000-0E00-0000D2040000}"/>
    <hyperlink ref="C417" r:id="rId820" xr:uid="{00000000-0004-0000-0E00-0000D3040000}"/>
    <hyperlink ref="K417" location="Main!A1" display="Main" xr:uid="{00000000-0004-0000-0E00-0000D4040000}"/>
    <hyperlink ref="A418" r:id="rId821" xr:uid="{00000000-0004-0000-0E00-0000D5040000}"/>
    <hyperlink ref="C418" r:id="rId822" xr:uid="{00000000-0004-0000-0E00-0000D6040000}"/>
    <hyperlink ref="K418" location="Main!A1" display="Main" xr:uid="{00000000-0004-0000-0E00-0000D7040000}"/>
    <hyperlink ref="A419" r:id="rId823" xr:uid="{00000000-0004-0000-0E00-0000D8040000}"/>
    <hyperlink ref="C419" r:id="rId824" xr:uid="{00000000-0004-0000-0E00-0000D9040000}"/>
    <hyperlink ref="K419" location="Main!A1" display="Main" xr:uid="{00000000-0004-0000-0E00-0000DA040000}"/>
    <hyperlink ref="A420" r:id="rId825" xr:uid="{00000000-0004-0000-0E00-0000DB040000}"/>
    <hyperlink ref="C420" r:id="rId826" xr:uid="{00000000-0004-0000-0E00-0000DC040000}"/>
    <hyperlink ref="K420" location="Main!A1" display="Main" xr:uid="{00000000-0004-0000-0E00-0000DD040000}"/>
    <hyperlink ref="A421" r:id="rId827" xr:uid="{00000000-0004-0000-0E00-0000DE040000}"/>
    <hyperlink ref="C421" r:id="rId828" xr:uid="{00000000-0004-0000-0E00-0000DF040000}"/>
    <hyperlink ref="K421" location="Main!A1" display="Main" xr:uid="{00000000-0004-0000-0E00-0000E0040000}"/>
    <hyperlink ref="A422" r:id="rId829" xr:uid="{00000000-0004-0000-0E00-0000E1040000}"/>
    <hyperlink ref="C422" r:id="rId830" xr:uid="{00000000-0004-0000-0E00-0000E2040000}"/>
    <hyperlink ref="K422" location="Main!A1" display="Main" xr:uid="{00000000-0004-0000-0E00-0000E3040000}"/>
    <hyperlink ref="A423" r:id="rId831" xr:uid="{00000000-0004-0000-0E00-0000E4040000}"/>
    <hyperlink ref="C423" r:id="rId832" xr:uid="{00000000-0004-0000-0E00-0000E5040000}"/>
    <hyperlink ref="K423" location="Main!A1" display="Main" xr:uid="{00000000-0004-0000-0E00-0000E6040000}"/>
    <hyperlink ref="A424" r:id="rId833" xr:uid="{00000000-0004-0000-0E00-0000E7040000}"/>
    <hyperlink ref="C424" r:id="rId834" xr:uid="{00000000-0004-0000-0E00-0000E8040000}"/>
    <hyperlink ref="K424" location="Main!A1" display="Main" xr:uid="{00000000-0004-0000-0E00-0000E9040000}"/>
    <hyperlink ref="A425" r:id="rId835" xr:uid="{00000000-0004-0000-0E00-0000EA040000}"/>
    <hyperlink ref="C425" r:id="rId836" xr:uid="{00000000-0004-0000-0E00-0000EB040000}"/>
    <hyperlink ref="K425" location="Main!A1" display="Main" xr:uid="{00000000-0004-0000-0E00-0000EC040000}"/>
    <hyperlink ref="A426" r:id="rId837" xr:uid="{00000000-0004-0000-0E00-0000ED040000}"/>
    <hyperlink ref="C426" r:id="rId838" xr:uid="{00000000-0004-0000-0E00-0000EE040000}"/>
    <hyperlink ref="K426" location="Main!A1" display="Main" xr:uid="{00000000-0004-0000-0E00-0000EF040000}"/>
    <hyperlink ref="A427" r:id="rId839" xr:uid="{00000000-0004-0000-0E00-0000F0040000}"/>
    <hyperlink ref="K427" location="Links!A1" display="Links" xr:uid="{00000000-0004-0000-0E00-0000F1040000}"/>
    <hyperlink ref="A428" r:id="rId840" xr:uid="{00000000-0004-0000-0E00-0000F2040000}"/>
    <hyperlink ref="C428" r:id="rId841" xr:uid="{00000000-0004-0000-0E00-0000F3040000}"/>
    <hyperlink ref="K428" location="Main!A1" display="Main" xr:uid="{00000000-0004-0000-0E00-0000F4040000}"/>
    <hyperlink ref="A429" r:id="rId842" xr:uid="{00000000-0004-0000-0E00-0000F5040000}"/>
    <hyperlink ref="C429" r:id="rId843" xr:uid="{00000000-0004-0000-0E00-0000F6040000}"/>
    <hyperlink ref="K429" location="Main!A1" display="Main" xr:uid="{00000000-0004-0000-0E00-0000F7040000}"/>
    <hyperlink ref="A430" r:id="rId844" xr:uid="{00000000-0004-0000-0E00-0000F8040000}"/>
    <hyperlink ref="C430" r:id="rId845" xr:uid="{00000000-0004-0000-0E00-0000F9040000}"/>
    <hyperlink ref="K430" location="Main!A1" display="Main" xr:uid="{00000000-0004-0000-0E00-0000FA040000}"/>
    <hyperlink ref="A431" r:id="rId846" xr:uid="{00000000-0004-0000-0E00-0000FB040000}"/>
    <hyperlink ref="C431" r:id="rId847" xr:uid="{00000000-0004-0000-0E00-0000FC040000}"/>
    <hyperlink ref="K431" location="Main!A1" display="Main" xr:uid="{00000000-0004-0000-0E00-0000FD040000}"/>
    <hyperlink ref="A432" r:id="rId848" xr:uid="{00000000-0004-0000-0E00-0000FE040000}"/>
    <hyperlink ref="C432" r:id="rId849" xr:uid="{00000000-0004-0000-0E00-0000FF040000}"/>
    <hyperlink ref="K432" location="Main!A1" display="Main" xr:uid="{00000000-0004-0000-0E00-000000050000}"/>
    <hyperlink ref="A433" r:id="rId850" xr:uid="{00000000-0004-0000-0E00-000001050000}"/>
    <hyperlink ref="C433" r:id="rId851" xr:uid="{00000000-0004-0000-0E00-000002050000}"/>
    <hyperlink ref="K433" location="Main!A1" display="Main" xr:uid="{00000000-0004-0000-0E00-000003050000}"/>
    <hyperlink ref="A434" r:id="rId852" xr:uid="{00000000-0004-0000-0E00-000004050000}"/>
    <hyperlink ref="C434" r:id="rId853" xr:uid="{00000000-0004-0000-0E00-000005050000}"/>
    <hyperlink ref="K434" location="Main!A1" display="Main" xr:uid="{00000000-0004-0000-0E00-000006050000}"/>
    <hyperlink ref="A435" r:id="rId854" xr:uid="{00000000-0004-0000-0E00-000007050000}"/>
    <hyperlink ref="C435" r:id="rId855" xr:uid="{00000000-0004-0000-0E00-000008050000}"/>
    <hyperlink ref="K435" location="Main!A1" display="Main" xr:uid="{00000000-0004-0000-0E00-000009050000}"/>
    <hyperlink ref="A436" r:id="rId856" xr:uid="{00000000-0004-0000-0E00-00000A050000}"/>
    <hyperlink ref="C436" r:id="rId857" xr:uid="{00000000-0004-0000-0E00-00000B050000}"/>
    <hyperlink ref="K436" location="Main!A1" display="Main" xr:uid="{00000000-0004-0000-0E00-00000C050000}"/>
    <hyperlink ref="A437" r:id="rId858" xr:uid="{00000000-0004-0000-0E00-00000D050000}"/>
    <hyperlink ref="C437" r:id="rId859" xr:uid="{00000000-0004-0000-0E00-00000E050000}"/>
    <hyperlink ref="K437" location="Main!A1" display="Main" xr:uid="{00000000-0004-0000-0E00-00000F050000}"/>
    <hyperlink ref="A438" r:id="rId860" xr:uid="{00000000-0004-0000-0E00-000010050000}"/>
    <hyperlink ref="C438" r:id="rId861" xr:uid="{00000000-0004-0000-0E00-000011050000}"/>
    <hyperlink ref="K438" location="Main!A1" display="Main" xr:uid="{00000000-0004-0000-0E00-000012050000}"/>
    <hyperlink ref="A439" r:id="rId862" xr:uid="{00000000-0004-0000-0E00-000013050000}"/>
    <hyperlink ref="K439" location="Links!A1" display="Links" xr:uid="{00000000-0004-0000-0E00-000014050000}"/>
    <hyperlink ref="A440" r:id="rId863" xr:uid="{00000000-0004-0000-0E00-000015050000}"/>
    <hyperlink ref="C440" r:id="rId864" xr:uid="{00000000-0004-0000-0E00-000016050000}"/>
    <hyperlink ref="K440" location="Main!A1" display="Main" xr:uid="{00000000-0004-0000-0E00-000017050000}"/>
    <hyperlink ref="A441" r:id="rId865" xr:uid="{00000000-0004-0000-0E00-000018050000}"/>
    <hyperlink ref="C441" r:id="rId866" xr:uid="{00000000-0004-0000-0E00-000019050000}"/>
    <hyperlink ref="K441" location="Main!A1" display="Main" xr:uid="{00000000-0004-0000-0E00-00001A050000}"/>
    <hyperlink ref="A442" r:id="rId867" xr:uid="{00000000-0004-0000-0E00-00001B050000}"/>
    <hyperlink ref="C442" r:id="rId868" xr:uid="{00000000-0004-0000-0E00-00001C050000}"/>
    <hyperlink ref="K442" location="Main!A1" display="Main" xr:uid="{00000000-0004-0000-0E00-00001D050000}"/>
    <hyperlink ref="A443" r:id="rId869" xr:uid="{00000000-0004-0000-0E00-00001E050000}"/>
    <hyperlink ref="C443" r:id="rId870" xr:uid="{00000000-0004-0000-0E00-00001F050000}"/>
    <hyperlink ref="K443" location="Main!A1" display="Main" xr:uid="{00000000-0004-0000-0E00-000020050000}"/>
    <hyperlink ref="A444" r:id="rId871" xr:uid="{00000000-0004-0000-0E00-000021050000}"/>
    <hyperlink ref="C444" r:id="rId872" xr:uid="{00000000-0004-0000-0E00-000022050000}"/>
    <hyperlink ref="K444" location="Main!A1" display="Main" xr:uid="{00000000-0004-0000-0E00-000023050000}"/>
    <hyperlink ref="A445" r:id="rId873" xr:uid="{00000000-0004-0000-0E00-000024050000}"/>
    <hyperlink ref="C445" r:id="rId874" xr:uid="{00000000-0004-0000-0E00-000025050000}"/>
    <hyperlink ref="K445" location="Main!A1" display="Main" xr:uid="{00000000-0004-0000-0E00-000026050000}"/>
    <hyperlink ref="A446" r:id="rId875" xr:uid="{00000000-0004-0000-0E00-000027050000}"/>
    <hyperlink ref="C446" r:id="rId876" xr:uid="{00000000-0004-0000-0E00-000028050000}"/>
    <hyperlink ref="K446" location="Main!A1" display="Main" xr:uid="{00000000-0004-0000-0E00-000029050000}"/>
    <hyperlink ref="A447" r:id="rId877" xr:uid="{00000000-0004-0000-0E00-00002A050000}"/>
    <hyperlink ref="C447" r:id="rId878" xr:uid="{00000000-0004-0000-0E00-00002B050000}"/>
    <hyperlink ref="K447" location="Main!A1" display="Main" xr:uid="{00000000-0004-0000-0E00-00002C050000}"/>
    <hyperlink ref="A448" r:id="rId879" xr:uid="{00000000-0004-0000-0E00-00002D050000}"/>
    <hyperlink ref="C448" r:id="rId880" xr:uid="{00000000-0004-0000-0E00-00002E050000}"/>
    <hyperlink ref="K448" location="Main!A1" display="Main" xr:uid="{00000000-0004-0000-0E00-00002F050000}"/>
    <hyperlink ref="A449" r:id="rId881" xr:uid="{00000000-0004-0000-0E00-000030050000}"/>
    <hyperlink ref="C449" r:id="rId882" xr:uid="{00000000-0004-0000-0E00-000031050000}"/>
    <hyperlink ref="K449" location="Main!A1" display="Main" xr:uid="{00000000-0004-0000-0E00-000032050000}"/>
    <hyperlink ref="A450" r:id="rId883" xr:uid="{00000000-0004-0000-0E00-000033050000}"/>
    <hyperlink ref="C450" r:id="rId884" xr:uid="{00000000-0004-0000-0E00-000034050000}"/>
    <hyperlink ref="K450" location="Main!A1" display="Main" xr:uid="{00000000-0004-0000-0E00-000035050000}"/>
    <hyperlink ref="A451" r:id="rId885" xr:uid="{00000000-0004-0000-0E00-000036050000}"/>
    <hyperlink ref="C451" r:id="rId886" xr:uid="{00000000-0004-0000-0E00-000037050000}"/>
    <hyperlink ref="K451" location="Main!A1" display="Main" xr:uid="{00000000-0004-0000-0E00-000038050000}"/>
    <hyperlink ref="A452" r:id="rId887" xr:uid="{00000000-0004-0000-0E00-000039050000}"/>
    <hyperlink ref="C452" r:id="rId888" xr:uid="{00000000-0004-0000-0E00-00003A050000}"/>
    <hyperlink ref="K452" location="Main!A1" display="Main" xr:uid="{00000000-0004-0000-0E00-00003B050000}"/>
    <hyperlink ref="A453" r:id="rId889" xr:uid="{00000000-0004-0000-0E00-00003C050000}"/>
    <hyperlink ref="C453" r:id="rId890" xr:uid="{00000000-0004-0000-0E00-00003D050000}"/>
    <hyperlink ref="K453" location="Main!A1" display="Main" xr:uid="{00000000-0004-0000-0E00-00003E050000}"/>
    <hyperlink ref="A454" r:id="rId891" xr:uid="{00000000-0004-0000-0E00-00003F050000}"/>
    <hyperlink ref="C454" r:id="rId892" xr:uid="{00000000-0004-0000-0E00-000040050000}"/>
    <hyperlink ref="K454" location="Main!A1" display="Main" xr:uid="{00000000-0004-0000-0E00-000041050000}"/>
    <hyperlink ref="A455" r:id="rId893" xr:uid="{00000000-0004-0000-0E00-000042050000}"/>
    <hyperlink ref="C455" r:id="rId894" xr:uid="{00000000-0004-0000-0E00-000043050000}"/>
    <hyperlink ref="K455" location="Main!A1" display="Main" xr:uid="{00000000-0004-0000-0E00-000044050000}"/>
    <hyperlink ref="A456" r:id="rId895" xr:uid="{00000000-0004-0000-0E00-000045050000}"/>
    <hyperlink ref="C456" r:id="rId896" xr:uid="{00000000-0004-0000-0E00-000046050000}"/>
    <hyperlink ref="K456" location="Main!A1" display="Main" xr:uid="{00000000-0004-0000-0E00-000047050000}"/>
    <hyperlink ref="A457" r:id="rId897" xr:uid="{00000000-0004-0000-0E00-000048050000}"/>
    <hyperlink ref="C457" r:id="rId898" xr:uid="{00000000-0004-0000-0E00-000049050000}"/>
    <hyperlink ref="K457" location="Main!A1" display="Main" xr:uid="{00000000-0004-0000-0E00-00004A050000}"/>
    <hyperlink ref="A458" r:id="rId899" xr:uid="{00000000-0004-0000-0E00-00004B050000}"/>
    <hyperlink ref="C458" r:id="rId900" xr:uid="{00000000-0004-0000-0E00-00004C050000}"/>
    <hyperlink ref="K458" location="Main!A1" display="Main" xr:uid="{00000000-0004-0000-0E00-00004D050000}"/>
    <hyperlink ref="A459" r:id="rId901" xr:uid="{00000000-0004-0000-0E00-00004E050000}"/>
    <hyperlink ref="C459" r:id="rId902" xr:uid="{00000000-0004-0000-0E00-00004F050000}"/>
    <hyperlink ref="K459" location="Main!A1" display="Main" xr:uid="{00000000-0004-0000-0E00-000050050000}"/>
    <hyperlink ref="A460" r:id="rId903" xr:uid="{00000000-0004-0000-0E00-000051050000}"/>
    <hyperlink ref="C460" r:id="rId904" xr:uid="{00000000-0004-0000-0E00-000052050000}"/>
    <hyperlink ref="K460" location="Main!A1" display="Main" xr:uid="{00000000-0004-0000-0E00-000053050000}"/>
    <hyperlink ref="A461" r:id="rId905" xr:uid="{00000000-0004-0000-0E00-000054050000}"/>
    <hyperlink ref="C461" r:id="rId906" xr:uid="{00000000-0004-0000-0E00-000055050000}"/>
    <hyperlink ref="K461" location="Main!A1" display="Main" xr:uid="{00000000-0004-0000-0E00-000056050000}"/>
    <hyperlink ref="A462" r:id="rId907" xr:uid="{00000000-0004-0000-0E00-000057050000}"/>
    <hyperlink ref="C462" r:id="rId908" xr:uid="{00000000-0004-0000-0E00-000058050000}"/>
    <hyperlink ref="K462" location="Main!A1" display="Main" xr:uid="{00000000-0004-0000-0E00-000059050000}"/>
    <hyperlink ref="A463" r:id="rId909" xr:uid="{00000000-0004-0000-0E00-00005A050000}"/>
    <hyperlink ref="C463" r:id="rId910" xr:uid="{00000000-0004-0000-0E00-00005B050000}"/>
    <hyperlink ref="K463" location="Main!A1" display="Main" xr:uid="{00000000-0004-0000-0E00-00005C050000}"/>
    <hyperlink ref="A464" r:id="rId911" xr:uid="{00000000-0004-0000-0E00-00005D050000}"/>
    <hyperlink ref="C464" r:id="rId912" xr:uid="{00000000-0004-0000-0E00-00005E050000}"/>
    <hyperlink ref="K464" location="Main!A1" display="Main" xr:uid="{00000000-0004-0000-0E00-00005F050000}"/>
    <hyperlink ref="A465" r:id="rId913" xr:uid="{00000000-0004-0000-0E00-000060050000}"/>
    <hyperlink ref="C465" r:id="rId914" xr:uid="{00000000-0004-0000-0E00-000061050000}"/>
    <hyperlink ref="K465" location="Main!A1" display="Main" xr:uid="{00000000-0004-0000-0E00-000062050000}"/>
    <hyperlink ref="A466" r:id="rId915" xr:uid="{00000000-0004-0000-0E00-000063050000}"/>
    <hyperlink ref="C466" r:id="rId916" xr:uid="{00000000-0004-0000-0E00-000064050000}"/>
    <hyperlink ref="K466" location="Main!A1" display="Main" xr:uid="{00000000-0004-0000-0E00-000065050000}"/>
    <hyperlink ref="A467" r:id="rId917" xr:uid="{00000000-0004-0000-0E00-000066050000}"/>
    <hyperlink ref="C467" r:id="rId918" xr:uid="{00000000-0004-0000-0E00-000067050000}"/>
    <hyperlink ref="K467" location="Main!A1" display="Main" xr:uid="{00000000-0004-0000-0E00-000068050000}"/>
    <hyperlink ref="A468" r:id="rId919" xr:uid="{00000000-0004-0000-0E00-000069050000}"/>
    <hyperlink ref="C468" r:id="rId920" xr:uid="{00000000-0004-0000-0E00-00006A050000}"/>
    <hyperlink ref="K468" location="Main!A1" display="Main" xr:uid="{00000000-0004-0000-0E00-00006B050000}"/>
    <hyperlink ref="A469" r:id="rId921" xr:uid="{00000000-0004-0000-0E00-00006C050000}"/>
    <hyperlink ref="C469" r:id="rId922" xr:uid="{00000000-0004-0000-0E00-00006D050000}"/>
    <hyperlink ref="K469" location="Main!A1" display="Main" xr:uid="{00000000-0004-0000-0E00-00006E050000}"/>
    <hyperlink ref="A470" r:id="rId923" xr:uid="{00000000-0004-0000-0E00-00006F050000}"/>
    <hyperlink ref="C470" r:id="rId924" xr:uid="{00000000-0004-0000-0E00-000070050000}"/>
    <hyperlink ref="K470" location="Main!A1" display="Main" xr:uid="{00000000-0004-0000-0E00-000071050000}"/>
    <hyperlink ref="A471" r:id="rId925" xr:uid="{00000000-0004-0000-0E00-000072050000}"/>
    <hyperlink ref="C471" r:id="rId926" xr:uid="{00000000-0004-0000-0E00-000073050000}"/>
    <hyperlink ref="K471" location="Main!A1" display="Main" xr:uid="{00000000-0004-0000-0E00-000074050000}"/>
    <hyperlink ref="A472" r:id="rId927" xr:uid="{00000000-0004-0000-0E00-000075050000}"/>
    <hyperlink ref="C472" r:id="rId928" xr:uid="{00000000-0004-0000-0E00-000076050000}"/>
    <hyperlink ref="K472" location="Main!A1" display="Main" xr:uid="{00000000-0004-0000-0E00-000077050000}"/>
    <hyperlink ref="A473" r:id="rId929" xr:uid="{00000000-0004-0000-0E00-000078050000}"/>
    <hyperlink ref="C473" r:id="rId930" xr:uid="{00000000-0004-0000-0E00-000079050000}"/>
    <hyperlink ref="K473" location="Main!A1" display="Main" xr:uid="{00000000-0004-0000-0E00-00007A050000}"/>
    <hyperlink ref="A474" r:id="rId931" xr:uid="{00000000-0004-0000-0E00-00007B050000}"/>
    <hyperlink ref="C474" r:id="rId932" xr:uid="{00000000-0004-0000-0E00-00007C050000}"/>
    <hyperlink ref="K474" location="Main!A1" display="Main" xr:uid="{00000000-0004-0000-0E00-00007D050000}"/>
    <hyperlink ref="A475" r:id="rId933" xr:uid="{00000000-0004-0000-0E00-00007E050000}"/>
    <hyperlink ref="C475" r:id="rId934" xr:uid="{00000000-0004-0000-0E00-00007F050000}"/>
    <hyperlink ref="K475" location="Main!A1" display="Main" xr:uid="{00000000-0004-0000-0E00-000080050000}"/>
    <hyperlink ref="A476" r:id="rId935" xr:uid="{00000000-0004-0000-0E00-000081050000}"/>
    <hyperlink ref="C476" r:id="rId936" xr:uid="{00000000-0004-0000-0E00-000082050000}"/>
    <hyperlink ref="K476" location="AEO!A1" display="AEO" xr:uid="{00000000-0004-0000-0E00-000083050000}"/>
    <hyperlink ref="A477" r:id="rId937" xr:uid="{00000000-0004-0000-0E00-000084050000}"/>
    <hyperlink ref="C477" r:id="rId938" xr:uid="{00000000-0004-0000-0E00-000085050000}"/>
    <hyperlink ref="K477" location="AEO!A1" display="AEO" xr:uid="{00000000-0004-0000-0E00-000086050000}"/>
    <hyperlink ref="A478" r:id="rId939" xr:uid="{00000000-0004-0000-0E00-000087050000}"/>
    <hyperlink ref="C478" r:id="rId940" xr:uid="{00000000-0004-0000-0E00-000088050000}"/>
    <hyperlink ref="K478" location="AEO!A1" display="AEO" xr:uid="{00000000-0004-0000-0E00-000089050000}"/>
    <hyperlink ref="A479" r:id="rId941" xr:uid="{00000000-0004-0000-0E00-00008A050000}"/>
    <hyperlink ref="C479" r:id="rId942" xr:uid="{00000000-0004-0000-0E00-00008B050000}"/>
    <hyperlink ref="K479" location="AEO!A1" display="AEO" xr:uid="{00000000-0004-0000-0E00-00008C050000}"/>
    <hyperlink ref="A480" r:id="rId943" xr:uid="{00000000-0004-0000-0E00-00008D050000}"/>
    <hyperlink ref="C480" r:id="rId944" xr:uid="{00000000-0004-0000-0E00-00008E050000}"/>
    <hyperlink ref="K480" location="AEO!A1" display="AEO" xr:uid="{00000000-0004-0000-0E00-00008F050000}"/>
    <hyperlink ref="A481" r:id="rId945" xr:uid="{00000000-0004-0000-0E00-000090050000}"/>
    <hyperlink ref="C481" r:id="rId946" xr:uid="{00000000-0004-0000-0E00-000091050000}"/>
    <hyperlink ref="K481" location="AEO!A1" display="AEO" xr:uid="{00000000-0004-0000-0E00-000092050000}"/>
    <hyperlink ref="A482" r:id="rId947" xr:uid="{00000000-0004-0000-0E00-000093050000}"/>
    <hyperlink ref="C482" r:id="rId948" xr:uid="{00000000-0004-0000-0E00-000094050000}"/>
    <hyperlink ref="K482" location="AEO!A1" display="AEO" xr:uid="{00000000-0004-0000-0E00-000095050000}"/>
    <hyperlink ref="A483" r:id="rId949" xr:uid="{00000000-0004-0000-0E00-000096050000}"/>
    <hyperlink ref="C483" r:id="rId950" xr:uid="{00000000-0004-0000-0E00-000097050000}"/>
    <hyperlink ref="K483" location="AEO!A1" display="AEO" xr:uid="{00000000-0004-0000-0E00-000098050000}"/>
    <hyperlink ref="A484" r:id="rId951" xr:uid="{00000000-0004-0000-0E00-000099050000}"/>
    <hyperlink ref="C484" r:id="rId952" xr:uid="{00000000-0004-0000-0E00-00009A050000}"/>
    <hyperlink ref="K484" location="AEO!A1" display="AEO" xr:uid="{00000000-0004-0000-0E00-00009B050000}"/>
    <hyperlink ref="A485" r:id="rId953" xr:uid="{00000000-0004-0000-0E00-00009C050000}"/>
    <hyperlink ref="C485" r:id="rId954" xr:uid="{00000000-0004-0000-0E00-00009D050000}"/>
    <hyperlink ref="K485" location="AEO!A1" display="AEO" xr:uid="{00000000-0004-0000-0E00-00009E050000}"/>
    <hyperlink ref="A486" r:id="rId955" xr:uid="{00000000-0004-0000-0E00-00009F050000}"/>
    <hyperlink ref="C486" r:id="rId956" xr:uid="{00000000-0004-0000-0E00-0000A0050000}"/>
    <hyperlink ref="K486" location="AEO!A1" display="AEO" xr:uid="{00000000-0004-0000-0E00-0000A1050000}"/>
    <hyperlink ref="A487" r:id="rId957" xr:uid="{00000000-0004-0000-0E00-0000A2050000}"/>
    <hyperlink ref="C487" r:id="rId958" xr:uid="{00000000-0004-0000-0E00-0000A3050000}"/>
    <hyperlink ref="K487" location="AEO!A1" display="AEO" xr:uid="{00000000-0004-0000-0E00-0000A4050000}"/>
    <hyperlink ref="A488" r:id="rId959" xr:uid="{00000000-0004-0000-0E00-0000A5050000}"/>
    <hyperlink ref="C488" r:id="rId960" xr:uid="{00000000-0004-0000-0E00-0000A6050000}"/>
    <hyperlink ref="K488" location="AEO!A1" display="AEO" xr:uid="{00000000-0004-0000-0E00-0000A7050000}"/>
    <hyperlink ref="A489" r:id="rId961" xr:uid="{00000000-0004-0000-0E00-0000A8050000}"/>
    <hyperlink ref="C489" r:id="rId962" xr:uid="{00000000-0004-0000-0E00-0000A9050000}"/>
    <hyperlink ref="K489" location="AEO!A1" display="AEO" xr:uid="{00000000-0004-0000-0E00-0000AA050000}"/>
    <hyperlink ref="A490" r:id="rId963" xr:uid="{00000000-0004-0000-0E00-0000AB050000}"/>
    <hyperlink ref="C490" r:id="rId964" xr:uid="{00000000-0004-0000-0E00-0000AC050000}"/>
    <hyperlink ref="K490" location="AEO!A1" display="AEO" xr:uid="{00000000-0004-0000-0E00-0000AD050000}"/>
    <hyperlink ref="A491" r:id="rId965" xr:uid="{00000000-0004-0000-0E00-0000AE050000}"/>
    <hyperlink ref="C491" r:id="rId966" xr:uid="{00000000-0004-0000-0E00-0000AF050000}"/>
    <hyperlink ref="K491" location="AEO!A1" display="AEO" xr:uid="{00000000-0004-0000-0E00-0000B0050000}"/>
    <hyperlink ref="A492" r:id="rId967" xr:uid="{00000000-0004-0000-0E00-0000B1050000}"/>
    <hyperlink ref="C492" r:id="rId968" xr:uid="{00000000-0004-0000-0E00-0000B2050000}"/>
    <hyperlink ref="K492" location="AEO!A1" display="AEO" xr:uid="{00000000-0004-0000-0E00-0000B3050000}"/>
    <hyperlink ref="A493" r:id="rId969" xr:uid="{00000000-0004-0000-0E00-0000B4050000}"/>
    <hyperlink ref="C493" r:id="rId970" xr:uid="{00000000-0004-0000-0E00-0000B5050000}"/>
    <hyperlink ref="K493" location="AEO!A1" display="AEO" xr:uid="{00000000-0004-0000-0E00-0000B6050000}"/>
    <hyperlink ref="A494" r:id="rId971" xr:uid="{00000000-0004-0000-0E00-0000B7050000}"/>
    <hyperlink ref="C494" r:id="rId972" xr:uid="{00000000-0004-0000-0E00-0000B8050000}"/>
    <hyperlink ref="K494" location="AEO!A1" display="AEO" xr:uid="{00000000-0004-0000-0E00-0000B9050000}"/>
    <hyperlink ref="A495" r:id="rId973" xr:uid="{00000000-0004-0000-0E00-0000BA050000}"/>
    <hyperlink ref="C495" r:id="rId974" xr:uid="{00000000-0004-0000-0E00-0000BB050000}"/>
    <hyperlink ref="K495" location="AEO!A1" display="AEO" xr:uid="{00000000-0004-0000-0E00-0000BC050000}"/>
    <hyperlink ref="A496" r:id="rId975" xr:uid="{00000000-0004-0000-0E00-0000BD050000}"/>
    <hyperlink ref="C496" r:id="rId976" xr:uid="{00000000-0004-0000-0E00-0000BE050000}"/>
    <hyperlink ref="K496" location="AEO!A1" display="AEO" xr:uid="{00000000-0004-0000-0E00-0000BF050000}"/>
    <hyperlink ref="A497" r:id="rId977" xr:uid="{00000000-0004-0000-0E00-0000C0050000}"/>
    <hyperlink ref="C497" r:id="rId978" xr:uid="{00000000-0004-0000-0E00-0000C1050000}"/>
    <hyperlink ref="K497" location="AEO!A1" display="AEO" xr:uid="{00000000-0004-0000-0E00-0000C2050000}"/>
    <hyperlink ref="A498" r:id="rId979" xr:uid="{00000000-0004-0000-0E00-0000C3050000}"/>
    <hyperlink ref="C498" r:id="rId980" xr:uid="{00000000-0004-0000-0E00-0000C4050000}"/>
    <hyperlink ref="K498" location="AEO!A1" display="AEO" xr:uid="{00000000-0004-0000-0E00-0000C5050000}"/>
    <hyperlink ref="A499" r:id="rId981" xr:uid="{00000000-0004-0000-0E00-0000C6050000}"/>
    <hyperlink ref="C499" r:id="rId982" xr:uid="{00000000-0004-0000-0E00-0000C7050000}"/>
    <hyperlink ref="K499" location="AEO!A1" display="AEO" xr:uid="{00000000-0004-0000-0E00-0000C8050000}"/>
    <hyperlink ref="A500" r:id="rId983" xr:uid="{00000000-0004-0000-0E00-0000C9050000}"/>
    <hyperlink ref="C500" r:id="rId984" xr:uid="{00000000-0004-0000-0E00-0000CA050000}"/>
    <hyperlink ref="K500" location="AEO!A1" display="AEO" xr:uid="{00000000-0004-0000-0E00-0000CB050000}"/>
    <hyperlink ref="A501" r:id="rId985" xr:uid="{00000000-0004-0000-0E00-0000CC050000}"/>
    <hyperlink ref="K501" location="AEO!A1" display="AEO" xr:uid="{00000000-0004-0000-0E00-0000CD050000}"/>
    <hyperlink ref="A502" r:id="rId986" xr:uid="{00000000-0004-0000-0E00-0000CE050000}"/>
    <hyperlink ref="C502" r:id="rId987" xr:uid="{00000000-0004-0000-0E00-0000CF050000}"/>
    <hyperlink ref="K502" location="AEO!A1" display="AEO" xr:uid="{00000000-0004-0000-0E00-0000D0050000}"/>
    <hyperlink ref="A503" r:id="rId988" xr:uid="{00000000-0004-0000-0E00-0000D1050000}"/>
    <hyperlink ref="C503" r:id="rId989" xr:uid="{00000000-0004-0000-0E00-0000D2050000}"/>
    <hyperlink ref="K503" location="AEO!A1" display="AEO" xr:uid="{00000000-0004-0000-0E00-0000D3050000}"/>
    <hyperlink ref="A504" r:id="rId990" xr:uid="{00000000-0004-0000-0E00-0000D4050000}"/>
    <hyperlink ref="C504" r:id="rId991" xr:uid="{00000000-0004-0000-0E00-0000D5050000}"/>
    <hyperlink ref="K504" location="AEO!A1" display="AEO" xr:uid="{00000000-0004-0000-0E00-0000D6050000}"/>
    <hyperlink ref="A505" r:id="rId992" xr:uid="{00000000-0004-0000-0E00-0000D7050000}"/>
    <hyperlink ref="C505" r:id="rId993" xr:uid="{00000000-0004-0000-0E00-0000D8050000}"/>
    <hyperlink ref="K505" location="AEO!A1" display="AEO" xr:uid="{00000000-0004-0000-0E00-0000D9050000}"/>
    <hyperlink ref="A506" r:id="rId994" xr:uid="{00000000-0004-0000-0E00-0000DA050000}"/>
    <hyperlink ref="C506" r:id="rId995" xr:uid="{00000000-0004-0000-0E00-0000DB050000}"/>
    <hyperlink ref="K506" location="AEO!A1" display="AEO" xr:uid="{00000000-0004-0000-0E00-0000DC050000}"/>
    <hyperlink ref="A507" r:id="rId996" xr:uid="{00000000-0004-0000-0E00-0000DD050000}"/>
    <hyperlink ref="C507" r:id="rId997" xr:uid="{00000000-0004-0000-0E00-0000DE050000}"/>
    <hyperlink ref="K507" location="AEO!A1" display="AEO" xr:uid="{00000000-0004-0000-0E00-0000DF050000}"/>
    <hyperlink ref="A508" r:id="rId998" xr:uid="{00000000-0004-0000-0E00-0000E0050000}"/>
    <hyperlink ref="C508" r:id="rId999" xr:uid="{00000000-0004-0000-0E00-0000E1050000}"/>
    <hyperlink ref="K508" location="AEO!A1" display="AEO" xr:uid="{00000000-0004-0000-0E00-0000E2050000}"/>
    <hyperlink ref="A509" r:id="rId1000" xr:uid="{00000000-0004-0000-0E00-0000E3050000}"/>
    <hyperlink ref="C509" r:id="rId1001" xr:uid="{00000000-0004-0000-0E00-0000E4050000}"/>
    <hyperlink ref="K509" location="AEO!A1" display="AEO" xr:uid="{00000000-0004-0000-0E00-0000E5050000}"/>
    <hyperlink ref="A510" r:id="rId1002" xr:uid="{00000000-0004-0000-0E00-0000E6050000}"/>
    <hyperlink ref="C510" r:id="rId1003" xr:uid="{00000000-0004-0000-0E00-0000E7050000}"/>
    <hyperlink ref="K510" location="AEO!A1" display="AEO" xr:uid="{00000000-0004-0000-0E00-0000E8050000}"/>
    <hyperlink ref="A511" r:id="rId1004" xr:uid="{00000000-0004-0000-0E00-0000E9050000}"/>
    <hyperlink ref="C511" r:id="rId1005" xr:uid="{00000000-0004-0000-0E00-0000EA050000}"/>
    <hyperlink ref="K511" location="AEO!A1" display="AEO" xr:uid="{00000000-0004-0000-0E00-0000EB050000}"/>
    <hyperlink ref="A512" r:id="rId1006" xr:uid="{00000000-0004-0000-0E00-0000EC050000}"/>
    <hyperlink ref="C512" r:id="rId1007" xr:uid="{00000000-0004-0000-0E00-0000ED050000}"/>
    <hyperlink ref="K512" location="AEO!A1" display="AEO" xr:uid="{00000000-0004-0000-0E00-0000EE050000}"/>
    <hyperlink ref="A513" r:id="rId1008" xr:uid="{00000000-0004-0000-0E00-0000EF050000}"/>
    <hyperlink ref="C513" r:id="rId1009" xr:uid="{00000000-0004-0000-0E00-0000F0050000}"/>
    <hyperlink ref="K513" location="AEO!A1" display="AEO" xr:uid="{00000000-0004-0000-0E00-0000F1050000}"/>
    <hyperlink ref="A514" r:id="rId1010" xr:uid="{00000000-0004-0000-0E00-0000F2050000}"/>
    <hyperlink ref="K514" location="AEO!A1" display="AEO" xr:uid="{00000000-0004-0000-0E00-0000F3050000}"/>
    <hyperlink ref="A515" r:id="rId1011" xr:uid="{00000000-0004-0000-0E00-0000F4050000}"/>
    <hyperlink ref="C515" r:id="rId1012" xr:uid="{00000000-0004-0000-0E00-0000F5050000}"/>
    <hyperlink ref="K515" location="AEO!A1" display="AEO" xr:uid="{00000000-0004-0000-0E00-0000F6050000}"/>
    <hyperlink ref="A516" r:id="rId1013" xr:uid="{00000000-0004-0000-0E00-0000F7050000}"/>
    <hyperlink ref="C516" r:id="rId1014" xr:uid="{00000000-0004-0000-0E00-0000F8050000}"/>
    <hyperlink ref="K516" location="AEO!A1" display="AEO" xr:uid="{00000000-0004-0000-0E00-0000F9050000}"/>
    <hyperlink ref="A517" r:id="rId1015" xr:uid="{00000000-0004-0000-0E00-0000FA050000}"/>
    <hyperlink ref="C517" r:id="rId1016" xr:uid="{00000000-0004-0000-0E00-0000FB050000}"/>
    <hyperlink ref="K517" location="AEO!A1" display="AEO" xr:uid="{00000000-0004-0000-0E00-0000FC050000}"/>
    <hyperlink ref="A518" r:id="rId1017" xr:uid="{00000000-0004-0000-0E00-0000FD050000}"/>
    <hyperlink ref="C518" r:id="rId1018" xr:uid="{00000000-0004-0000-0E00-0000FE050000}"/>
    <hyperlink ref="K518" location="AEO!A1" display="AEO" xr:uid="{00000000-0004-0000-0E00-0000FF050000}"/>
    <hyperlink ref="A519" r:id="rId1019" xr:uid="{00000000-0004-0000-0E00-000000060000}"/>
    <hyperlink ref="C519" r:id="rId1020" xr:uid="{00000000-0004-0000-0E00-000001060000}"/>
    <hyperlink ref="K519" location="AEO!A1" display="AEO" xr:uid="{00000000-0004-0000-0E00-000002060000}"/>
    <hyperlink ref="A520" r:id="rId1021" xr:uid="{00000000-0004-0000-0E00-000003060000}"/>
    <hyperlink ref="C520" r:id="rId1022" xr:uid="{00000000-0004-0000-0E00-000004060000}"/>
    <hyperlink ref="K520" location="AEO!A1" display="AEO" xr:uid="{00000000-0004-0000-0E00-000005060000}"/>
    <hyperlink ref="A521" r:id="rId1023" xr:uid="{00000000-0004-0000-0E00-000006060000}"/>
    <hyperlink ref="C521" r:id="rId1024" xr:uid="{00000000-0004-0000-0E00-000007060000}"/>
    <hyperlink ref="K521" location="AEO!A1" display="AEO" xr:uid="{00000000-0004-0000-0E00-000008060000}"/>
    <hyperlink ref="A522" r:id="rId1025" xr:uid="{00000000-0004-0000-0E00-000009060000}"/>
    <hyperlink ref="C522" r:id="rId1026" xr:uid="{00000000-0004-0000-0E00-00000A060000}"/>
    <hyperlink ref="K522" location="AEO!A1" display="AEO" xr:uid="{00000000-0004-0000-0E00-00000B060000}"/>
    <hyperlink ref="A523" r:id="rId1027" xr:uid="{00000000-0004-0000-0E00-00000C060000}"/>
    <hyperlink ref="C523" r:id="rId1028" xr:uid="{00000000-0004-0000-0E00-00000D060000}"/>
    <hyperlink ref="K523" location="AEO!A1" display="AEO" xr:uid="{00000000-0004-0000-0E00-00000E060000}"/>
    <hyperlink ref="A524" r:id="rId1029" xr:uid="{00000000-0004-0000-0E00-00000F060000}"/>
    <hyperlink ref="C524" r:id="rId1030" xr:uid="{00000000-0004-0000-0E00-000010060000}"/>
    <hyperlink ref="K524" location="AEO!A1" display="AEO" xr:uid="{00000000-0004-0000-0E00-000011060000}"/>
    <hyperlink ref="A525" r:id="rId1031" xr:uid="{00000000-0004-0000-0E00-000012060000}"/>
    <hyperlink ref="C525" r:id="rId1032" xr:uid="{00000000-0004-0000-0E00-000013060000}"/>
    <hyperlink ref="K525" location="AEO!A1" display="AEO" xr:uid="{00000000-0004-0000-0E00-000014060000}"/>
    <hyperlink ref="A526" r:id="rId1033" xr:uid="{00000000-0004-0000-0E00-000015060000}"/>
    <hyperlink ref="C526" r:id="rId1034" xr:uid="{00000000-0004-0000-0E00-000016060000}"/>
    <hyperlink ref="K526" location="AEO!A1" display="AEO" xr:uid="{00000000-0004-0000-0E00-000017060000}"/>
    <hyperlink ref="A527" r:id="rId1035" xr:uid="{00000000-0004-0000-0E00-000018060000}"/>
    <hyperlink ref="C527" r:id="rId1036" xr:uid="{00000000-0004-0000-0E00-000019060000}"/>
    <hyperlink ref="K527" location="AEO!A1" display="AEO" xr:uid="{00000000-0004-0000-0E00-00001A060000}"/>
    <hyperlink ref="A528" r:id="rId1037" xr:uid="{00000000-0004-0000-0E00-00001B060000}"/>
    <hyperlink ref="C528" r:id="rId1038" xr:uid="{00000000-0004-0000-0E00-00001C060000}"/>
    <hyperlink ref="K528" location="AEO!A1" display="AEO" xr:uid="{00000000-0004-0000-0E00-00001D060000}"/>
    <hyperlink ref="A529" r:id="rId1039" xr:uid="{00000000-0004-0000-0E00-00001E060000}"/>
    <hyperlink ref="C529" r:id="rId1040" xr:uid="{00000000-0004-0000-0E00-00001F060000}"/>
    <hyperlink ref="K529" location="AEO!A1" display="AEO" xr:uid="{00000000-0004-0000-0E00-000020060000}"/>
    <hyperlink ref="A530" r:id="rId1041" xr:uid="{00000000-0004-0000-0E00-000021060000}"/>
    <hyperlink ref="C530" r:id="rId1042" xr:uid="{00000000-0004-0000-0E00-000022060000}"/>
    <hyperlink ref="K530" location="AEO!A1" display="AEO" xr:uid="{00000000-0004-0000-0E00-000023060000}"/>
    <hyperlink ref="A531" r:id="rId1043" xr:uid="{00000000-0004-0000-0E00-000024060000}"/>
    <hyperlink ref="C531" r:id="rId1044" xr:uid="{00000000-0004-0000-0E00-000025060000}"/>
    <hyperlink ref="K531" location="AEO!A1" display="AEO" xr:uid="{00000000-0004-0000-0E00-000026060000}"/>
    <hyperlink ref="A532" r:id="rId1045" xr:uid="{00000000-0004-0000-0E00-000027060000}"/>
    <hyperlink ref="C532" r:id="rId1046" xr:uid="{00000000-0004-0000-0E00-000028060000}"/>
    <hyperlink ref="K532" location="AEO!A1" display="AEO" xr:uid="{00000000-0004-0000-0E00-000029060000}"/>
    <hyperlink ref="A533" r:id="rId1047" xr:uid="{00000000-0004-0000-0E00-00002A060000}"/>
    <hyperlink ref="C533" r:id="rId1048" xr:uid="{00000000-0004-0000-0E00-00002B060000}"/>
    <hyperlink ref="K533" location="AEO!A1" display="AEO" xr:uid="{00000000-0004-0000-0E00-00002C060000}"/>
    <hyperlink ref="A534" r:id="rId1049" xr:uid="{00000000-0004-0000-0E00-00002D060000}"/>
    <hyperlink ref="C534" r:id="rId1050" xr:uid="{00000000-0004-0000-0E00-00002E060000}"/>
    <hyperlink ref="K534" location="AEO!A1" display="AEO" xr:uid="{00000000-0004-0000-0E00-00002F060000}"/>
    <hyperlink ref="A535" r:id="rId1051" xr:uid="{00000000-0004-0000-0E00-000030060000}"/>
    <hyperlink ref="C535" r:id="rId1052" xr:uid="{00000000-0004-0000-0E00-000031060000}"/>
    <hyperlink ref="K535" location="AEO!A1" display="AEO" xr:uid="{00000000-0004-0000-0E00-000032060000}"/>
    <hyperlink ref="A536" r:id="rId1053" xr:uid="{00000000-0004-0000-0E00-000033060000}"/>
    <hyperlink ref="C536" r:id="rId1054" xr:uid="{00000000-0004-0000-0E00-000034060000}"/>
    <hyperlink ref="K536" location="AEO!A1" display="AEO" xr:uid="{00000000-0004-0000-0E00-000035060000}"/>
    <hyperlink ref="A537" r:id="rId1055" xr:uid="{00000000-0004-0000-0E00-000036060000}"/>
    <hyperlink ref="C537" r:id="rId1056" xr:uid="{00000000-0004-0000-0E00-000037060000}"/>
    <hyperlink ref="K537" location="AEO!A1" display="AEO" xr:uid="{00000000-0004-0000-0E00-000038060000}"/>
    <hyperlink ref="A538" r:id="rId1057" xr:uid="{00000000-0004-0000-0E00-000039060000}"/>
    <hyperlink ref="C538" r:id="rId1058" xr:uid="{00000000-0004-0000-0E00-00003A060000}"/>
    <hyperlink ref="K538" location="AEO!A1" display="AEO" xr:uid="{00000000-0004-0000-0E00-00003B060000}"/>
    <hyperlink ref="A539" r:id="rId1059" xr:uid="{00000000-0004-0000-0E00-00003C060000}"/>
    <hyperlink ref="C539" r:id="rId1060" xr:uid="{00000000-0004-0000-0E00-00003D060000}"/>
    <hyperlink ref="K539" location="AEO!A1" display="AEO" xr:uid="{00000000-0004-0000-0E00-00003E060000}"/>
    <hyperlink ref="A540" r:id="rId1061" xr:uid="{00000000-0004-0000-0E00-00003F060000}"/>
    <hyperlink ref="C540" r:id="rId1062" xr:uid="{00000000-0004-0000-0E00-000040060000}"/>
    <hyperlink ref="K540" location="AEO!A1" display="AEO" xr:uid="{00000000-0004-0000-0E00-000041060000}"/>
    <hyperlink ref="A541" r:id="rId1063" xr:uid="{00000000-0004-0000-0E00-000042060000}"/>
    <hyperlink ref="C541" r:id="rId1064" xr:uid="{00000000-0004-0000-0E00-000043060000}"/>
    <hyperlink ref="K541" location="AEO!A1" display="AEO" xr:uid="{00000000-0004-0000-0E00-000044060000}"/>
    <hyperlink ref="A542" r:id="rId1065" xr:uid="{00000000-0004-0000-0E00-000045060000}"/>
    <hyperlink ref="C542" r:id="rId1066" xr:uid="{00000000-0004-0000-0E00-000046060000}"/>
    <hyperlink ref="K542" location="AEO!A1" display="AEO" xr:uid="{00000000-0004-0000-0E00-000047060000}"/>
    <hyperlink ref="A543" r:id="rId1067" xr:uid="{00000000-0004-0000-0E00-000048060000}"/>
    <hyperlink ref="C543" r:id="rId1068" xr:uid="{00000000-0004-0000-0E00-000049060000}"/>
    <hyperlink ref="K543" location="AEO!A1" display="AEO" xr:uid="{00000000-0004-0000-0E00-00004A060000}"/>
    <hyperlink ref="A544" r:id="rId1069" xr:uid="{00000000-0004-0000-0E00-00004B060000}"/>
    <hyperlink ref="C544" r:id="rId1070" xr:uid="{00000000-0004-0000-0E00-00004C060000}"/>
    <hyperlink ref="K544" location="AEO!A1" display="AEO" xr:uid="{00000000-0004-0000-0E00-00004D060000}"/>
    <hyperlink ref="A545" r:id="rId1071" xr:uid="{00000000-0004-0000-0E00-00004E060000}"/>
    <hyperlink ref="C545" r:id="rId1072" xr:uid="{00000000-0004-0000-0E00-00004F060000}"/>
    <hyperlink ref="K545" location="AEO!A1" display="AEO" xr:uid="{00000000-0004-0000-0E00-000050060000}"/>
    <hyperlink ref="A546" r:id="rId1073" xr:uid="{00000000-0004-0000-0E00-000051060000}"/>
    <hyperlink ref="C546" r:id="rId1074" xr:uid="{00000000-0004-0000-0E00-000052060000}"/>
    <hyperlink ref="K546" location="AEO!A1" display="AEO" xr:uid="{00000000-0004-0000-0E00-000053060000}"/>
    <hyperlink ref="A547" r:id="rId1075" xr:uid="{00000000-0004-0000-0E00-000054060000}"/>
    <hyperlink ref="C547" r:id="rId1076" xr:uid="{00000000-0004-0000-0E00-000055060000}"/>
    <hyperlink ref="K547" location="AEO!A1" display="AEO" xr:uid="{00000000-0004-0000-0E00-000056060000}"/>
    <hyperlink ref="A548" r:id="rId1077" xr:uid="{00000000-0004-0000-0E00-000057060000}"/>
    <hyperlink ref="C548" r:id="rId1078" xr:uid="{00000000-0004-0000-0E00-000058060000}"/>
    <hyperlink ref="K548" location="AEO!A1" display="AEO" xr:uid="{00000000-0004-0000-0E00-000059060000}"/>
    <hyperlink ref="A549" r:id="rId1079" xr:uid="{00000000-0004-0000-0E00-00005A060000}"/>
    <hyperlink ref="C549" r:id="rId1080" xr:uid="{00000000-0004-0000-0E00-00005B060000}"/>
    <hyperlink ref="K549" location="AEO!A1" display="AEO" xr:uid="{00000000-0004-0000-0E00-00005C060000}"/>
    <hyperlink ref="A550" r:id="rId1081" xr:uid="{00000000-0004-0000-0E00-00005D060000}"/>
    <hyperlink ref="C550" r:id="rId1082" xr:uid="{00000000-0004-0000-0E00-00005E060000}"/>
    <hyperlink ref="K550" location="AEO!A1" display="AEO" xr:uid="{00000000-0004-0000-0E00-00005F060000}"/>
    <hyperlink ref="A551" r:id="rId1083" xr:uid="{00000000-0004-0000-0E00-000060060000}"/>
    <hyperlink ref="C551" r:id="rId1084" xr:uid="{00000000-0004-0000-0E00-000061060000}"/>
    <hyperlink ref="K551" location="AEO!A1" display="AEO" xr:uid="{00000000-0004-0000-0E00-000062060000}"/>
    <hyperlink ref="A552" r:id="rId1085" xr:uid="{00000000-0004-0000-0E00-000063060000}"/>
    <hyperlink ref="C552" r:id="rId1086" xr:uid="{00000000-0004-0000-0E00-000064060000}"/>
    <hyperlink ref="K552" location="AEO!A1" display="AEO" xr:uid="{00000000-0004-0000-0E00-000065060000}"/>
    <hyperlink ref="A553" r:id="rId1087" xr:uid="{00000000-0004-0000-0E00-000066060000}"/>
    <hyperlink ref="C553" r:id="rId1088" xr:uid="{00000000-0004-0000-0E00-000067060000}"/>
    <hyperlink ref="K553" location="AEO!A1" display="AEO" xr:uid="{00000000-0004-0000-0E00-000068060000}"/>
    <hyperlink ref="A554" r:id="rId1089" xr:uid="{00000000-0004-0000-0E00-000069060000}"/>
    <hyperlink ref="C554" r:id="rId1090" xr:uid="{00000000-0004-0000-0E00-00006A060000}"/>
    <hyperlink ref="K554" location="AEO!A1" display="AEO" xr:uid="{00000000-0004-0000-0E00-00006B060000}"/>
    <hyperlink ref="A555" r:id="rId1091" xr:uid="{00000000-0004-0000-0E00-00006C060000}"/>
    <hyperlink ref="C555" r:id="rId1092" xr:uid="{00000000-0004-0000-0E00-00006D060000}"/>
    <hyperlink ref="K555" location="AEO!A1" display="AEO" xr:uid="{00000000-0004-0000-0E00-00006E060000}"/>
    <hyperlink ref="A556" r:id="rId1093" xr:uid="{00000000-0004-0000-0E00-00006F060000}"/>
    <hyperlink ref="C556" r:id="rId1094" xr:uid="{00000000-0004-0000-0E00-000070060000}"/>
    <hyperlink ref="K556" location="AEO!A1" display="AEO" xr:uid="{00000000-0004-0000-0E00-000071060000}"/>
    <hyperlink ref="A557" r:id="rId1095" xr:uid="{00000000-0004-0000-0E00-000072060000}"/>
    <hyperlink ref="C557" r:id="rId1096" xr:uid="{00000000-0004-0000-0E00-000073060000}"/>
    <hyperlink ref="K557" location="AEO!A1" display="AEO" xr:uid="{00000000-0004-0000-0E00-000074060000}"/>
    <hyperlink ref="A558" r:id="rId1097" xr:uid="{00000000-0004-0000-0E00-000075060000}"/>
    <hyperlink ref="C558" r:id="rId1098" xr:uid="{00000000-0004-0000-0E00-000076060000}"/>
    <hyperlink ref="K558" location="AEO!A1" display="AEO" xr:uid="{00000000-0004-0000-0E00-000077060000}"/>
    <hyperlink ref="A559" r:id="rId1099" xr:uid="{00000000-0004-0000-0E00-000078060000}"/>
    <hyperlink ref="C559" r:id="rId1100" xr:uid="{00000000-0004-0000-0E00-000079060000}"/>
    <hyperlink ref="K559" location="AEO!A1" display="AEO" xr:uid="{00000000-0004-0000-0E00-00007A060000}"/>
    <hyperlink ref="A560" r:id="rId1101" xr:uid="{00000000-0004-0000-0E00-00007B060000}"/>
    <hyperlink ref="C560" r:id="rId1102" xr:uid="{00000000-0004-0000-0E00-00007C060000}"/>
    <hyperlink ref="K560" location="AEO!A1" display="AEO" xr:uid="{00000000-0004-0000-0E00-00007D060000}"/>
    <hyperlink ref="A561" r:id="rId1103" xr:uid="{00000000-0004-0000-0E00-00007E060000}"/>
    <hyperlink ref="C561" r:id="rId1104" xr:uid="{00000000-0004-0000-0E00-00007F060000}"/>
    <hyperlink ref="K561" location="Content!A1" display="Content" xr:uid="{00000000-0004-0000-0E00-000080060000}"/>
    <hyperlink ref="A562" r:id="rId1105" xr:uid="{00000000-0004-0000-0E00-000081060000}"/>
    <hyperlink ref="C562" r:id="rId1106" xr:uid="{00000000-0004-0000-0E00-000082060000}"/>
    <hyperlink ref="K562" location="AEO!A1" display="AEO" xr:uid="{00000000-0004-0000-0E00-000083060000}"/>
    <hyperlink ref="A563" r:id="rId1107" xr:uid="{00000000-0004-0000-0E00-000084060000}"/>
    <hyperlink ref="C563" r:id="rId1108" xr:uid="{00000000-0004-0000-0E00-000085060000}"/>
    <hyperlink ref="K563" location="AEO!A1" display="AEO" xr:uid="{00000000-0004-0000-0E00-000086060000}"/>
    <hyperlink ref="A564" r:id="rId1109" xr:uid="{00000000-0004-0000-0E00-000087060000}"/>
    <hyperlink ref="C564" r:id="rId1110" xr:uid="{00000000-0004-0000-0E00-000088060000}"/>
    <hyperlink ref="K564" location="Content!A1" display="Content" xr:uid="{00000000-0004-0000-0E00-000089060000}"/>
    <hyperlink ref="A565" r:id="rId1111" xr:uid="{00000000-0004-0000-0E00-00008A060000}"/>
    <hyperlink ref="C565" r:id="rId1112" xr:uid="{00000000-0004-0000-0E00-00008B060000}"/>
    <hyperlink ref="K565" location="AEO!A1" display="AEO" xr:uid="{00000000-0004-0000-0E00-00008C060000}"/>
    <hyperlink ref="A566" r:id="rId1113" xr:uid="{00000000-0004-0000-0E00-00008D060000}"/>
    <hyperlink ref="C566" r:id="rId1114" xr:uid="{00000000-0004-0000-0E00-00008E060000}"/>
    <hyperlink ref="K566" location="Content!A1" display="Content" xr:uid="{00000000-0004-0000-0E00-00008F060000}"/>
    <hyperlink ref="A567" r:id="rId1115" xr:uid="{00000000-0004-0000-0E00-000090060000}"/>
    <hyperlink ref="C567" r:id="rId1116" xr:uid="{00000000-0004-0000-0E00-000091060000}"/>
    <hyperlink ref="K567" location="AEO!A1" display="AEO" xr:uid="{00000000-0004-0000-0E00-000092060000}"/>
    <hyperlink ref="A568" r:id="rId1117" xr:uid="{00000000-0004-0000-0E00-000093060000}"/>
    <hyperlink ref="C568" r:id="rId1118" xr:uid="{00000000-0004-0000-0E00-000094060000}"/>
    <hyperlink ref="K568" location="AEO!A1" display="AEO" xr:uid="{00000000-0004-0000-0E00-000095060000}"/>
    <hyperlink ref="A569" r:id="rId1119" xr:uid="{00000000-0004-0000-0E00-000096060000}"/>
    <hyperlink ref="C569" r:id="rId1120" xr:uid="{00000000-0004-0000-0E00-000097060000}"/>
    <hyperlink ref="K569" location="AEO!A1" display="AEO" xr:uid="{00000000-0004-0000-0E00-000098060000}"/>
    <hyperlink ref="A570" r:id="rId1121" xr:uid="{00000000-0004-0000-0E00-000099060000}"/>
    <hyperlink ref="C570" r:id="rId1122" xr:uid="{00000000-0004-0000-0E00-00009A060000}"/>
    <hyperlink ref="K570" location="AEO!A1" display="AEO" xr:uid="{00000000-0004-0000-0E00-00009B060000}"/>
    <hyperlink ref="A571" r:id="rId1123" xr:uid="{00000000-0004-0000-0E00-00009C060000}"/>
    <hyperlink ref="C571" r:id="rId1124" xr:uid="{00000000-0004-0000-0E00-00009D060000}"/>
    <hyperlink ref="K571" location="AEO!A1" display="AEO" xr:uid="{00000000-0004-0000-0E00-00009E060000}"/>
    <hyperlink ref="A572" r:id="rId1125" xr:uid="{00000000-0004-0000-0E00-00009F060000}"/>
    <hyperlink ref="C572" r:id="rId1126" xr:uid="{00000000-0004-0000-0E00-0000A0060000}"/>
    <hyperlink ref="K572" location="AEO!A1" display="AEO" xr:uid="{00000000-0004-0000-0E00-0000A1060000}"/>
    <hyperlink ref="A573" r:id="rId1127" xr:uid="{00000000-0004-0000-0E00-0000A2060000}"/>
    <hyperlink ref="C573" r:id="rId1128" xr:uid="{00000000-0004-0000-0E00-0000A3060000}"/>
    <hyperlink ref="K573" location="AEO!A1" display="AEO" xr:uid="{00000000-0004-0000-0E00-0000A4060000}"/>
    <hyperlink ref="A574" r:id="rId1129" xr:uid="{00000000-0004-0000-0E00-0000A5060000}"/>
    <hyperlink ref="C574" r:id="rId1130" xr:uid="{00000000-0004-0000-0E00-0000A6060000}"/>
    <hyperlink ref="K574" location="Content!A1" display="Content" xr:uid="{00000000-0004-0000-0E00-0000A7060000}"/>
    <hyperlink ref="A575" r:id="rId1131" xr:uid="{00000000-0004-0000-0E00-0000A8060000}"/>
    <hyperlink ref="C575" r:id="rId1132" xr:uid="{00000000-0004-0000-0E00-0000A9060000}"/>
    <hyperlink ref="K575" location="AEO!A1" display="AEO" xr:uid="{00000000-0004-0000-0E00-0000AA060000}"/>
    <hyperlink ref="A576" r:id="rId1133" xr:uid="{00000000-0004-0000-0E00-0000AB060000}"/>
    <hyperlink ref="C576" r:id="rId1134" xr:uid="{00000000-0004-0000-0E00-0000AC060000}"/>
    <hyperlink ref="K576" location="AEO!A1" display="AEO" xr:uid="{00000000-0004-0000-0E00-0000AD060000}"/>
    <hyperlink ref="A577" r:id="rId1135" xr:uid="{00000000-0004-0000-0E00-0000AE060000}"/>
    <hyperlink ref="C577" r:id="rId1136" xr:uid="{00000000-0004-0000-0E00-0000AF060000}"/>
    <hyperlink ref="K577" location="AEO!A1" display="AEO" xr:uid="{00000000-0004-0000-0E00-0000B0060000}"/>
    <hyperlink ref="A578" r:id="rId1137" xr:uid="{00000000-0004-0000-0E00-0000B1060000}"/>
    <hyperlink ref="C578" r:id="rId1138" xr:uid="{00000000-0004-0000-0E00-0000B2060000}"/>
    <hyperlink ref="K578" location="AEO!A1" display="AEO" xr:uid="{00000000-0004-0000-0E00-0000B3060000}"/>
    <hyperlink ref="A579" r:id="rId1139" xr:uid="{00000000-0004-0000-0E00-0000B4060000}"/>
    <hyperlink ref="C579" r:id="rId1140" xr:uid="{00000000-0004-0000-0E00-0000B5060000}"/>
    <hyperlink ref="K579" location="AEO!A1" display="AEO" xr:uid="{00000000-0004-0000-0E00-0000B6060000}"/>
    <hyperlink ref="A580" r:id="rId1141" xr:uid="{00000000-0004-0000-0E00-0000B7060000}"/>
    <hyperlink ref="C580" r:id="rId1142" xr:uid="{00000000-0004-0000-0E00-0000B8060000}"/>
    <hyperlink ref="K580" location="AEO!A1" display="AEO" xr:uid="{00000000-0004-0000-0E00-0000B9060000}"/>
    <hyperlink ref="A581" r:id="rId1143" xr:uid="{00000000-0004-0000-0E00-0000BA060000}"/>
    <hyperlink ref="C581" r:id="rId1144" xr:uid="{00000000-0004-0000-0E00-0000BB060000}"/>
    <hyperlink ref="K581" location="AEO!A1" display="AEO" xr:uid="{00000000-0004-0000-0E00-0000BC060000}"/>
    <hyperlink ref="A582" r:id="rId1145" xr:uid="{00000000-0004-0000-0E00-0000BD060000}"/>
    <hyperlink ref="C582" r:id="rId1146" xr:uid="{00000000-0004-0000-0E00-0000BE060000}"/>
    <hyperlink ref="K582" location="Content!A1" display="Content" xr:uid="{00000000-0004-0000-0E00-0000BF060000}"/>
    <hyperlink ref="A583" r:id="rId1147" xr:uid="{00000000-0004-0000-0E00-0000C0060000}"/>
    <hyperlink ref="C583" r:id="rId1148" xr:uid="{00000000-0004-0000-0E00-0000C1060000}"/>
    <hyperlink ref="K583" location="AEO!A1" display="AEO" xr:uid="{00000000-0004-0000-0E00-0000C2060000}"/>
    <hyperlink ref="A584" r:id="rId1149" xr:uid="{00000000-0004-0000-0E00-0000C3060000}"/>
    <hyperlink ref="C584" r:id="rId1150" xr:uid="{00000000-0004-0000-0E00-0000C4060000}"/>
    <hyperlink ref="K584" location="AEO!A1" display="AEO" xr:uid="{00000000-0004-0000-0E00-0000C5060000}"/>
    <hyperlink ref="A585" r:id="rId1151" xr:uid="{00000000-0004-0000-0E00-0000C6060000}"/>
    <hyperlink ref="C585" r:id="rId1152" xr:uid="{00000000-0004-0000-0E00-0000C7060000}"/>
    <hyperlink ref="K585" location="Content!A1" display="Content" xr:uid="{00000000-0004-0000-0E00-0000C8060000}"/>
    <hyperlink ref="A586" r:id="rId1153" xr:uid="{00000000-0004-0000-0E00-0000C9060000}"/>
    <hyperlink ref="C586" r:id="rId1154" xr:uid="{00000000-0004-0000-0E00-0000CA060000}"/>
    <hyperlink ref="K586" location="AEO!A1" display="AEO" xr:uid="{00000000-0004-0000-0E00-0000CB060000}"/>
    <hyperlink ref="A587" r:id="rId1155" xr:uid="{00000000-0004-0000-0E00-0000CC060000}"/>
    <hyperlink ref="C587" r:id="rId1156" xr:uid="{00000000-0004-0000-0E00-0000CD060000}"/>
    <hyperlink ref="K587" location="Content!A1" display="Content" xr:uid="{00000000-0004-0000-0E00-0000CE060000}"/>
    <hyperlink ref="A588" r:id="rId1157" xr:uid="{00000000-0004-0000-0E00-0000CF060000}"/>
    <hyperlink ref="C588" r:id="rId1158" xr:uid="{00000000-0004-0000-0E00-0000D0060000}"/>
    <hyperlink ref="K588" location="AEO!A1" display="AEO" xr:uid="{00000000-0004-0000-0E00-0000D1060000}"/>
    <hyperlink ref="A589" r:id="rId1159" xr:uid="{00000000-0004-0000-0E00-0000D2060000}"/>
    <hyperlink ref="C589" r:id="rId1160" xr:uid="{00000000-0004-0000-0E00-0000D3060000}"/>
    <hyperlink ref="K589" location="AEO!A1" display="AEO" xr:uid="{00000000-0004-0000-0E00-0000D4060000}"/>
    <hyperlink ref="A590" r:id="rId1161" xr:uid="{00000000-0004-0000-0E00-0000D5060000}"/>
    <hyperlink ref="C590" r:id="rId1162" xr:uid="{00000000-0004-0000-0E00-0000D6060000}"/>
    <hyperlink ref="K590" location="Content!A1" display="Content" xr:uid="{00000000-0004-0000-0E00-0000D7060000}"/>
    <hyperlink ref="A591" r:id="rId1163" xr:uid="{00000000-0004-0000-0E00-0000D8060000}"/>
    <hyperlink ref="C591" r:id="rId1164" xr:uid="{00000000-0004-0000-0E00-0000D9060000}"/>
    <hyperlink ref="K591" location="AEO!A1" display="AEO" xr:uid="{00000000-0004-0000-0E00-0000DA060000}"/>
    <hyperlink ref="A592" r:id="rId1165" xr:uid="{00000000-0004-0000-0E00-0000DB060000}"/>
    <hyperlink ref="C592" r:id="rId1166" xr:uid="{00000000-0004-0000-0E00-0000DC060000}"/>
    <hyperlink ref="K592" location="Content!A1" display="Content" xr:uid="{00000000-0004-0000-0E00-0000DD060000}"/>
    <hyperlink ref="A593" r:id="rId1167" xr:uid="{00000000-0004-0000-0E00-0000DE060000}"/>
    <hyperlink ref="C593" r:id="rId1168" xr:uid="{00000000-0004-0000-0E00-0000DF060000}"/>
    <hyperlink ref="K593" location="AEO!A1" display="AEO" xr:uid="{00000000-0004-0000-0E00-0000E0060000}"/>
    <hyperlink ref="A594" r:id="rId1169" xr:uid="{00000000-0004-0000-0E00-0000E1060000}"/>
    <hyperlink ref="C594" r:id="rId1170" xr:uid="{00000000-0004-0000-0E00-0000E2060000}"/>
    <hyperlink ref="K594" location="AEO!A1" display="AEO" xr:uid="{00000000-0004-0000-0E00-0000E3060000}"/>
    <hyperlink ref="A595" r:id="rId1171" xr:uid="{00000000-0004-0000-0E00-0000E4060000}"/>
    <hyperlink ref="K595" location="AEO!A1" display="AEO" xr:uid="{00000000-0004-0000-0E00-0000E5060000}"/>
    <hyperlink ref="A596" r:id="rId1172" xr:uid="{00000000-0004-0000-0E00-0000E6060000}"/>
    <hyperlink ref="C596" r:id="rId1173" xr:uid="{00000000-0004-0000-0E00-0000E7060000}"/>
    <hyperlink ref="K596" location="AEO!A1" display="AEO" xr:uid="{00000000-0004-0000-0E00-0000E8060000}"/>
    <hyperlink ref="A597" r:id="rId1174" xr:uid="{00000000-0004-0000-0E00-0000E9060000}"/>
    <hyperlink ref="C597" r:id="rId1175" xr:uid="{00000000-0004-0000-0E00-0000EA060000}"/>
    <hyperlink ref="K597" location="AEO!A1" display="AEO" xr:uid="{00000000-0004-0000-0E00-0000EB060000}"/>
    <hyperlink ref="A598" r:id="rId1176" xr:uid="{00000000-0004-0000-0E00-0000EC060000}"/>
    <hyperlink ref="C598" r:id="rId1177" xr:uid="{00000000-0004-0000-0E00-0000ED060000}"/>
    <hyperlink ref="K598" location="AEO!A1" display="AEO" xr:uid="{00000000-0004-0000-0E00-0000EE060000}"/>
    <hyperlink ref="A599" r:id="rId1178" xr:uid="{00000000-0004-0000-0E00-0000EF060000}"/>
    <hyperlink ref="C599" r:id="rId1179" xr:uid="{00000000-0004-0000-0E00-0000F0060000}"/>
    <hyperlink ref="K599" location="Content!A1" display="Content" xr:uid="{00000000-0004-0000-0E00-0000F1060000}"/>
    <hyperlink ref="A600" r:id="rId1180" xr:uid="{00000000-0004-0000-0E00-0000F2060000}"/>
    <hyperlink ref="C600" r:id="rId1181" xr:uid="{00000000-0004-0000-0E00-0000F3060000}"/>
    <hyperlink ref="K600" location="AEO!A1" display="AEO" xr:uid="{00000000-0004-0000-0E00-0000F4060000}"/>
    <hyperlink ref="A601" r:id="rId1182" xr:uid="{00000000-0004-0000-0E00-0000F5060000}"/>
    <hyperlink ref="C601" r:id="rId1183" xr:uid="{00000000-0004-0000-0E00-0000F6060000}"/>
    <hyperlink ref="K601" location="AEO!A1" display="AEO" xr:uid="{00000000-0004-0000-0E00-0000F7060000}"/>
    <hyperlink ref="A602" r:id="rId1184" xr:uid="{00000000-0004-0000-0E00-0000F8060000}"/>
    <hyperlink ref="C602" r:id="rId1185" xr:uid="{00000000-0004-0000-0E00-0000F9060000}"/>
    <hyperlink ref="K602" location="AEO!A1" display="AEO" xr:uid="{00000000-0004-0000-0E00-0000FA060000}"/>
    <hyperlink ref="A603" r:id="rId1186" xr:uid="{00000000-0004-0000-0E00-0000FB060000}"/>
    <hyperlink ref="C603" r:id="rId1187" xr:uid="{00000000-0004-0000-0E00-0000FC060000}"/>
    <hyperlink ref="K603" location="AEO!A1" display="AEO" xr:uid="{00000000-0004-0000-0E00-0000FD060000}"/>
    <hyperlink ref="A604" r:id="rId1188" xr:uid="{00000000-0004-0000-0E00-0000FE060000}"/>
    <hyperlink ref="C604" r:id="rId1189" xr:uid="{00000000-0004-0000-0E00-0000FF060000}"/>
    <hyperlink ref="K604" location="AEO!A1" display="AEO" xr:uid="{00000000-0004-0000-0E00-000000070000}"/>
    <hyperlink ref="A605" r:id="rId1190" xr:uid="{00000000-0004-0000-0E00-000001070000}"/>
    <hyperlink ref="C605" r:id="rId1191" xr:uid="{00000000-0004-0000-0E00-000002070000}"/>
    <hyperlink ref="K605" location="Content!A1" display="Content" xr:uid="{00000000-0004-0000-0E00-000003070000}"/>
    <hyperlink ref="A606" r:id="rId1192" xr:uid="{00000000-0004-0000-0E00-000004070000}"/>
    <hyperlink ref="C606" r:id="rId1193" xr:uid="{00000000-0004-0000-0E00-000005070000}"/>
    <hyperlink ref="K606" location="AEO!A1" display="AEO" xr:uid="{00000000-0004-0000-0E00-000006070000}"/>
    <hyperlink ref="A607" r:id="rId1194" xr:uid="{00000000-0004-0000-0E00-000007070000}"/>
    <hyperlink ref="C607" r:id="rId1195" xr:uid="{00000000-0004-0000-0E00-000008070000}"/>
    <hyperlink ref="K607" location="Content!A1" display="Content" xr:uid="{00000000-0004-0000-0E00-000009070000}"/>
    <hyperlink ref="A608" r:id="rId1196" xr:uid="{00000000-0004-0000-0E00-00000A070000}"/>
    <hyperlink ref="C608" r:id="rId1197" xr:uid="{00000000-0004-0000-0E00-00000B070000}"/>
    <hyperlink ref="K608" location="AEO!A1" display="AEO" xr:uid="{00000000-0004-0000-0E00-00000C070000}"/>
    <hyperlink ref="A609" r:id="rId1198" xr:uid="{00000000-0004-0000-0E00-00000D070000}"/>
    <hyperlink ref="C609" r:id="rId1199" xr:uid="{00000000-0004-0000-0E00-00000E070000}"/>
    <hyperlink ref="K609" location="AEO!A1" display="AEO" xr:uid="{00000000-0004-0000-0E00-00000F070000}"/>
    <hyperlink ref="A610" r:id="rId1200" xr:uid="{00000000-0004-0000-0E00-000010070000}"/>
    <hyperlink ref="C610" r:id="rId1201" xr:uid="{00000000-0004-0000-0E00-000011070000}"/>
    <hyperlink ref="K610" location="AEO!A1" display="AEO" xr:uid="{00000000-0004-0000-0E00-000012070000}"/>
    <hyperlink ref="A611" r:id="rId1202" xr:uid="{00000000-0004-0000-0E00-000013070000}"/>
    <hyperlink ref="K611" location="AEO!A1" display="AEO" xr:uid="{00000000-0004-0000-0E00-000014070000}"/>
    <hyperlink ref="A612" r:id="rId1203" xr:uid="{00000000-0004-0000-0E00-000015070000}"/>
    <hyperlink ref="C612" r:id="rId1204" xr:uid="{00000000-0004-0000-0E00-000016070000}"/>
    <hyperlink ref="K612" location="Content!A1" display="Content" xr:uid="{00000000-0004-0000-0E00-000017070000}"/>
    <hyperlink ref="A613" r:id="rId1205" xr:uid="{00000000-0004-0000-0E00-000018070000}"/>
    <hyperlink ref="C613" r:id="rId1206" xr:uid="{00000000-0004-0000-0E00-000019070000}"/>
    <hyperlink ref="K613" location="AEO!A1" display="AEO" xr:uid="{00000000-0004-0000-0E00-00001A070000}"/>
    <hyperlink ref="A614" r:id="rId1207" xr:uid="{00000000-0004-0000-0E00-00001B070000}"/>
    <hyperlink ref="C614" r:id="rId1208" xr:uid="{00000000-0004-0000-0E00-00001C070000}"/>
    <hyperlink ref="K614" location="AEO!A1" display="AEO" xr:uid="{00000000-0004-0000-0E00-00001D070000}"/>
    <hyperlink ref="A615" r:id="rId1209" xr:uid="{00000000-0004-0000-0E00-00001E070000}"/>
    <hyperlink ref="C615" r:id="rId1210" xr:uid="{00000000-0004-0000-0E00-00001F070000}"/>
    <hyperlink ref="K615" location="AEO!A1" display="AEO" xr:uid="{00000000-0004-0000-0E00-000020070000}"/>
    <hyperlink ref="A616" r:id="rId1211" xr:uid="{00000000-0004-0000-0E00-000021070000}"/>
    <hyperlink ref="C616" r:id="rId1212" xr:uid="{00000000-0004-0000-0E00-000022070000}"/>
    <hyperlink ref="K616" location="AEO!A1" display="AEO" xr:uid="{00000000-0004-0000-0E00-000023070000}"/>
    <hyperlink ref="A617" r:id="rId1213" xr:uid="{00000000-0004-0000-0E00-000024070000}"/>
    <hyperlink ref="C617" r:id="rId1214" xr:uid="{00000000-0004-0000-0E00-000025070000}"/>
    <hyperlink ref="K617" location="AEO!A1" display="AEO" xr:uid="{00000000-0004-0000-0E00-000026070000}"/>
    <hyperlink ref="A618" r:id="rId1215" xr:uid="{00000000-0004-0000-0E00-000027070000}"/>
    <hyperlink ref="C618" r:id="rId1216" xr:uid="{00000000-0004-0000-0E00-000028070000}"/>
    <hyperlink ref="K618" location="AEO!A1" display="AEO" xr:uid="{00000000-0004-0000-0E00-000029070000}"/>
    <hyperlink ref="A619" r:id="rId1217" xr:uid="{00000000-0004-0000-0E00-00002A070000}"/>
    <hyperlink ref="C619" r:id="rId1218" xr:uid="{00000000-0004-0000-0E00-00002B070000}"/>
    <hyperlink ref="K619" location="AEO!A1" display="AEO" xr:uid="{00000000-0004-0000-0E00-00002C070000}"/>
    <hyperlink ref="A620" r:id="rId1219" xr:uid="{00000000-0004-0000-0E00-00002D070000}"/>
    <hyperlink ref="C620" r:id="rId1220" xr:uid="{00000000-0004-0000-0E00-00002E070000}"/>
    <hyperlink ref="K620" location="AEO!A1" display="AEO" xr:uid="{00000000-0004-0000-0E00-00002F070000}"/>
    <hyperlink ref="A621" r:id="rId1221" xr:uid="{00000000-0004-0000-0E00-000030070000}"/>
    <hyperlink ref="C621" r:id="rId1222" xr:uid="{00000000-0004-0000-0E00-000031070000}"/>
    <hyperlink ref="K621" location="Content!A1" display="Content" xr:uid="{00000000-0004-0000-0E00-000032070000}"/>
    <hyperlink ref="A622" r:id="rId1223" xr:uid="{00000000-0004-0000-0E00-000033070000}"/>
    <hyperlink ref="C622" r:id="rId1224" xr:uid="{00000000-0004-0000-0E00-000034070000}"/>
    <hyperlink ref="K622" location="AEO!A1" display="AEO" xr:uid="{00000000-0004-0000-0E00-000035070000}"/>
    <hyperlink ref="A623" r:id="rId1225" xr:uid="{00000000-0004-0000-0E00-000036070000}"/>
    <hyperlink ref="C623" r:id="rId1226" xr:uid="{00000000-0004-0000-0E00-000037070000}"/>
    <hyperlink ref="K623" location="Content!A1" display="Content" xr:uid="{00000000-0004-0000-0E00-000038070000}"/>
    <hyperlink ref="A624" r:id="rId1227" xr:uid="{00000000-0004-0000-0E00-000039070000}"/>
    <hyperlink ref="C624" r:id="rId1228" xr:uid="{00000000-0004-0000-0E00-00003A070000}"/>
    <hyperlink ref="K624" location="AEO!A1" display="AEO" xr:uid="{00000000-0004-0000-0E00-00003B070000}"/>
    <hyperlink ref="A625" r:id="rId1229" xr:uid="{00000000-0004-0000-0E00-00003C070000}"/>
    <hyperlink ref="C625" r:id="rId1230" xr:uid="{00000000-0004-0000-0E00-00003D070000}"/>
    <hyperlink ref="K625" location="Content!A1" display="Content" xr:uid="{00000000-0004-0000-0E00-00003E070000}"/>
    <hyperlink ref="A626" r:id="rId1231" xr:uid="{00000000-0004-0000-0E00-00003F070000}"/>
    <hyperlink ref="C626" r:id="rId1232" xr:uid="{00000000-0004-0000-0E00-000040070000}"/>
    <hyperlink ref="K626" location="AEO!A1" display="AEO" xr:uid="{00000000-0004-0000-0E00-000041070000}"/>
    <hyperlink ref="A627" r:id="rId1233" xr:uid="{00000000-0004-0000-0E00-000042070000}"/>
    <hyperlink ref="C627" r:id="rId1234" xr:uid="{00000000-0004-0000-0E00-000043070000}"/>
    <hyperlink ref="K627" location="AEO!A1" display="AEO" xr:uid="{00000000-0004-0000-0E00-000044070000}"/>
    <hyperlink ref="A628" r:id="rId1235" xr:uid="{00000000-0004-0000-0E00-000045070000}"/>
    <hyperlink ref="C628" r:id="rId1236" xr:uid="{00000000-0004-0000-0E00-000046070000}"/>
    <hyperlink ref="K628" location="AEO!A1" display="AEO" xr:uid="{00000000-0004-0000-0E00-000047070000}"/>
    <hyperlink ref="A629" r:id="rId1237" xr:uid="{00000000-0004-0000-0E00-000048070000}"/>
    <hyperlink ref="C629" r:id="rId1238" xr:uid="{00000000-0004-0000-0E00-000049070000}"/>
    <hyperlink ref="K629" location="AEO!A1" display="AEO" xr:uid="{00000000-0004-0000-0E00-00004A070000}"/>
    <hyperlink ref="A630" r:id="rId1239" xr:uid="{00000000-0004-0000-0E00-00004B070000}"/>
    <hyperlink ref="C630" r:id="rId1240" xr:uid="{00000000-0004-0000-0E00-00004C070000}"/>
    <hyperlink ref="K630" location="AEO!A1" display="AEO" xr:uid="{00000000-0004-0000-0E00-00004D070000}"/>
    <hyperlink ref="A631" r:id="rId1241" xr:uid="{00000000-0004-0000-0E00-00004E070000}"/>
    <hyperlink ref="C631" r:id="rId1242" xr:uid="{00000000-0004-0000-0E00-00004F070000}"/>
    <hyperlink ref="K631" location="AEO!A1" display="AEO" xr:uid="{00000000-0004-0000-0E00-000050070000}"/>
    <hyperlink ref="A632" r:id="rId1243" xr:uid="{00000000-0004-0000-0E00-000051070000}"/>
    <hyperlink ref="C632" r:id="rId1244" xr:uid="{00000000-0004-0000-0E00-000052070000}"/>
    <hyperlink ref="K632" location="AEO!A1" display="AEO" xr:uid="{00000000-0004-0000-0E00-000053070000}"/>
    <hyperlink ref="A633" r:id="rId1245" xr:uid="{00000000-0004-0000-0E00-000054070000}"/>
    <hyperlink ref="C633" r:id="rId1246" xr:uid="{00000000-0004-0000-0E00-000055070000}"/>
    <hyperlink ref="K633" location="AEO!A1" display="AEO" xr:uid="{00000000-0004-0000-0E00-000056070000}"/>
    <hyperlink ref="A634" r:id="rId1247" xr:uid="{00000000-0004-0000-0E00-000057070000}"/>
    <hyperlink ref="C634" r:id="rId1248" xr:uid="{00000000-0004-0000-0E00-000058070000}"/>
    <hyperlink ref="K634" location="AEO!A1" display="AEO" xr:uid="{00000000-0004-0000-0E00-000059070000}"/>
    <hyperlink ref="A635" r:id="rId1249" xr:uid="{00000000-0004-0000-0E00-00005A070000}"/>
    <hyperlink ref="C635" r:id="rId1250" xr:uid="{00000000-0004-0000-0E00-00005B070000}"/>
    <hyperlink ref="K635" location="Content!A1" display="Content" xr:uid="{00000000-0004-0000-0E00-00005C070000}"/>
    <hyperlink ref="A636" r:id="rId1251" xr:uid="{00000000-0004-0000-0E00-00005D070000}"/>
    <hyperlink ref="C636" r:id="rId1252" xr:uid="{00000000-0004-0000-0E00-00005E070000}"/>
    <hyperlink ref="K636" location="AEO!A1" display="AEO" xr:uid="{00000000-0004-0000-0E00-00005F070000}"/>
    <hyperlink ref="A637" r:id="rId1253" xr:uid="{00000000-0004-0000-0E00-000060070000}"/>
    <hyperlink ref="C637" r:id="rId1254" xr:uid="{00000000-0004-0000-0E00-000061070000}"/>
    <hyperlink ref="K637" location="AEO!A1" display="AEO" xr:uid="{00000000-0004-0000-0E00-000062070000}"/>
    <hyperlink ref="A638" r:id="rId1255" xr:uid="{00000000-0004-0000-0E00-000063070000}"/>
    <hyperlink ref="C638" r:id="rId1256" xr:uid="{00000000-0004-0000-0E00-000064070000}"/>
    <hyperlink ref="K638" location="AEO!A1" display="AEO" xr:uid="{00000000-0004-0000-0E00-000065070000}"/>
    <hyperlink ref="A639" r:id="rId1257" xr:uid="{00000000-0004-0000-0E00-000066070000}"/>
    <hyperlink ref="C639" r:id="rId1258" xr:uid="{00000000-0004-0000-0E00-000067070000}"/>
    <hyperlink ref="K639" location="AEO!A1" display="AEO" xr:uid="{00000000-0004-0000-0E00-000068070000}"/>
    <hyperlink ref="A640" r:id="rId1259" xr:uid="{00000000-0004-0000-0E00-000069070000}"/>
    <hyperlink ref="C640" r:id="rId1260" xr:uid="{00000000-0004-0000-0E00-00006A070000}"/>
    <hyperlink ref="K640" location="AEO!A1" display="AEO" xr:uid="{00000000-0004-0000-0E00-00006B070000}"/>
    <hyperlink ref="A641" r:id="rId1261" xr:uid="{00000000-0004-0000-0E00-00006C070000}"/>
    <hyperlink ref="C641" r:id="rId1262" xr:uid="{00000000-0004-0000-0E00-00006D070000}"/>
    <hyperlink ref="K641" location="AEO!A1" display="AEO" xr:uid="{00000000-0004-0000-0E00-00006E070000}"/>
    <hyperlink ref="A642" r:id="rId1263" xr:uid="{00000000-0004-0000-0E00-00006F070000}"/>
    <hyperlink ref="C642" r:id="rId1264" xr:uid="{00000000-0004-0000-0E00-000070070000}"/>
    <hyperlink ref="K642" location="AEO!A1" display="AEO" xr:uid="{00000000-0004-0000-0E00-000071070000}"/>
    <hyperlink ref="A643" r:id="rId1265" xr:uid="{00000000-0004-0000-0E00-000072070000}"/>
    <hyperlink ref="C643" r:id="rId1266" xr:uid="{00000000-0004-0000-0E00-000073070000}"/>
    <hyperlink ref="K643" location="AEO!A1" display="AEO" xr:uid="{00000000-0004-0000-0E00-000074070000}"/>
    <hyperlink ref="A644" r:id="rId1267" xr:uid="{00000000-0004-0000-0E00-000075070000}"/>
    <hyperlink ref="C644" r:id="rId1268" xr:uid="{00000000-0004-0000-0E00-000076070000}"/>
    <hyperlink ref="K644" location="AEO!A1" display="AEO" xr:uid="{00000000-0004-0000-0E00-000077070000}"/>
    <hyperlink ref="A645" r:id="rId1269" xr:uid="{00000000-0004-0000-0E00-000078070000}"/>
    <hyperlink ref="C645" r:id="rId1270" xr:uid="{00000000-0004-0000-0E00-000079070000}"/>
    <hyperlink ref="K645" location="AEO!A1" display="AEO" xr:uid="{00000000-0004-0000-0E00-00007A070000}"/>
    <hyperlink ref="A646" r:id="rId1271" xr:uid="{00000000-0004-0000-0E00-00007B070000}"/>
    <hyperlink ref="C646" r:id="rId1272" xr:uid="{00000000-0004-0000-0E00-00007C070000}"/>
    <hyperlink ref="K646" location="AEO!A1" display="AEO" xr:uid="{00000000-0004-0000-0E00-00007D070000}"/>
    <hyperlink ref="A647" r:id="rId1273" xr:uid="{00000000-0004-0000-0E00-00007E070000}"/>
    <hyperlink ref="C647" r:id="rId1274" xr:uid="{00000000-0004-0000-0E00-00007F070000}"/>
    <hyperlink ref="K647" location="Content!A1" display="Content" xr:uid="{00000000-0004-0000-0E00-000080070000}"/>
    <hyperlink ref="A648" r:id="rId1275" xr:uid="{00000000-0004-0000-0E00-000081070000}"/>
    <hyperlink ref="C648" r:id="rId1276" xr:uid="{00000000-0004-0000-0E00-000082070000}"/>
    <hyperlink ref="K648" location="AEO!A1" display="AEO" xr:uid="{00000000-0004-0000-0E00-000083070000}"/>
    <hyperlink ref="A649" r:id="rId1277" xr:uid="{00000000-0004-0000-0E00-000084070000}"/>
    <hyperlink ref="C649" r:id="rId1278" xr:uid="{00000000-0004-0000-0E00-000085070000}"/>
    <hyperlink ref="K649" location="AEO!A1" display="AEO" xr:uid="{00000000-0004-0000-0E00-000086070000}"/>
    <hyperlink ref="A650" r:id="rId1279" xr:uid="{00000000-0004-0000-0E00-000087070000}"/>
    <hyperlink ref="C650" r:id="rId1280" xr:uid="{00000000-0004-0000-0E00-000088070000}"/>
    <hyperlink ref="K650" location="AEO!A1" display="AEO" xr:uid="{00000000-0004-0000-0E00-000089070000}"/>
    <hyperlink ref="A651" r:id="rId1281" xr:uid="{00000000-0004-0000-0E00-00008A070000}"/>
    <hyperlink ref="C651" r:id="rId1282" xr:uid="{00000000-0004-0000-0E00-00008B070000}"/>
    <hyperlink ref="K651" location="AEO!A1" display="AEO" xr:uid="{00000000-0004-0000-0E00-00008C070000}"/>
    <hyperlink ref="A652" r:id="rId1283" xr:uid="{00000000-0004-0000-0E00-00008D070000}"/>
    <hyperlink ref="C652" r:id="rId1284" xr:uid="{00000000-0004-0000-0E00-00008E070000}"/>
    <hyperlink ref="K652" location="Content!A1" display="Content" xr:uid="{00000000-0004-0000-0E00-00008F070000}"/>
    <hyperlink ref="A653" r:id="rId1285" xr:uid="{00000000-0004-0000-0E00-000090070000}"/>
    <hyperlink ref="C653" r:id="rId1286" xr:uid="{00000000-0004-0000-0E00-000091070000}"/>
    <hyperlink ref="K653" location="AEO!A1" display="AEO" xr:uid="{00000000-0004-0000-0E00-000092070000}"/>
    <hyperlink ref="A654" r:id="rId1287" xr:uid="{00000000-0004-0000-0E00-000093070000}"/>
    <hyperlink ref="C654" r:id="rId1288" xr:uid="{00000000-0004-0000-0E00-000094070000}"/>
    <hyperlink ref="K654" location="AEO!A1" display="AEO" xr:uid="{00000000-0004-0000-0E00-000095070000}"/>
    <hyperlink ref="A655" r:id="rId1289" xr:uid="{00000000-0004-0000-0E00-000096070000}"/>
    <hyperlink ref="C655" r:id="rId1290" xr:uid="{00000000-0004-0000-0E00-000097070000}"/>
    <hyperlink ref="K655" location="AEO!A1" display="AEO" xr:uid="{00000000-0004-0000-0E00-000098070000}"/>
    <hyperlink ref="A656" r:id="rId1291" xr:uid="{00000000-0004-0000-0E00-000099070000}"/>
    <hyperlink ref="C656" r:id="rId1292" xr:uid="{00000000-0004-0000-0E00-00009A070000}"/>
    <hyperlink ref="K656" location="AEO!A1" display="AEO" xr:uid="{00000000-0004-0000-0E00-00009B070000}"/>
    <hyperlink ref="A657" r:id="rId1293" xr:uid="{00000000-0004-0000-0E00-00009C070000}"/>
    <hyperlink ref="C657" r:id="rId1294" xr:uid="{00000000-0004-0000-0E00-00009D070000}"/>
    <hyperlink ref="K657" location="Content!A1" display="Content" xr:uid="{00000000-0004-0000-0E00-00009E070000}"/>
    <hyperlink ref="A658" r:id="rId1295" xr:uid="{00000000-0004-0000-0E00-00009F070000}"/>
    <hyperlink ref="C658" r:id="rId1296" xr:uid="{00000000-0004-0000-0E00-0000A0070000}"/>
    <hyperlink ref="K658" location="AEO!A1" display="AEO" xr:uid="{00000000-0004-0000-0E00-0000A1070000}"/>
    <hyperlink ref="A659" r:id="rId1297" xr:uid="{00000000-0004-0000-0E00-0000A2070000}"/>
    <hyperlink ref="C659" r:id="rId1298" xr:uid="{00000000-0004-0000-0E00-0000A3070000}"/>
    <hyperlink ref="K659" location="AEO!A1" display="AEO" xr:uid="{00000000-0004-0000-0E00-0000A4070000}"/>
    <hyperlink ref="A660" r:id="rId1299" xr:uid="{00000000-0004-0000-0E00-0000A5070000}"/>
    <hyperlink ref="C660" r:id="rId1300" xr:uid="{00000000-0004-0000-0E00-0000A6070000}"/>
    <hyperlink ref="K660" location="AEO!A1" display="AEO" xr:uid="{00000000-0004-0000-0E00-0000A7070000}"/>
    <hyperlink ref="A661" r:id="rId1301" xr:uid="{00000000-0004-0000-0E00-0000A8070000}"/>
    <hyperlink ref="C661" r:id="rId1302" xr:uid="{00000000-0004-0000-0E00-0000A9070000}"/>
    <hyperlink ref="K661" location="AEO!A1" display="AEO" xr:uid="{00000000-0004-0000-0E00-0000AA070000}"/>
    <hyperlink ref="A662" r:id="rId1303" xr:uid="{00000000-0004-0000-0E00-0000AB070000}"/>
    <hyperlink ref="C662" r:id="rId1304" xr:uid="{00000000-0004-0000-0E00-0000AC070000}"/>
    <hyperlink ref="K662" location="AEO!A1" display="AEO" xr:uid="{00000000-0004-0000-0E00-0000AD070000}"/>
    <hyperlink ref="A663" r:id="rId1305" xr:uid="{00000000-0004-0000-0E00-0000AE070000}"/>
    <hyperlink ref="C663" r:id="rId1306" xr:uid="{00000000-0004-0000-0E00-0000AF070000}"/>
    <hyperlink ref="K663" location="AEO!A1" display="AEO" xr:uid="{00000000-0004-0000-0E00-0000B0070000}"/>
    <hyperlink ref="A664" r:id="rId1307" xr:uid="{00000000-0004-0000-0E00-0000B1070000}"/>
    <hyperlink ref="C664" r:id="rId1308" xr:uid="{00000000-0004-0000-0E00-0000B2070000}"/>
    <hyperlink ref="K664" location="AEO!A1" display="AEO" xr:uid="{00000000-0004-0000-0E00-0000B3070000}"/>
    <hyperlink ref="A665" r:id="rId1309" xr:uid="{00000000-0004-0000-0E00-0000B4070000}"/>
    <hyperlink ref="C665" r:id="rId1310" xr:uid="{00000000-0004-0000-0E00-0000B5070000}"/>
    <hyperlink ref="K665" location="AEO!A1" display="AEO" xr:uid="{00000000-0004-0000-0E00-0000B6070000}"/>
    <hyperlink ref="A666" r:id="rId1311" xr:uid="{00000000-0004-0000-0E00-0000B7070000}"/>
    <hyperlink ref="C666" r:id="rId1312" xr:uid="{00000000-0004-0000-0E00-0000B8070000}"/>
    <hyperlink ref="K666" location="AEO!A1" display="AEO" xr:uid="{00000000-0004-0000-0E00-0000B9070000}"/>
    <hyperlink ref="A667" r:id="rId1313" xr:uid="{00000000-0004-0000-0E00-0000BA070000}"/>
    <hyperlink ref="C667" r:id="rId1314" xr:uid="{00000000-0004-0000-0E00-0000BB070000}"/>
    <hyperlink ref="K667" location="AEO!A1" display="AEO" xr:uid="{00000000-0004-0000-0E00-0000BC070000}"/>
    <hyperlink ref="A668" r:id="rId1315" xr:uid="{00000000-0004-0000-0E00-0000BD070000}"/>
    <hyperlink ref="C668" r:id="rId1316" xr:uid="{00000000-0004-0000-0E00-0000BE070000}"/>
    <hyperlink ref="K668" location="AEO!A1" display="AEO" xr:uid="{00000000-0004-0000-0E00-0000BF070000}"/>
    <hyperlink ref="A669" r:id="rId1317" xr:uid="{00000000-0004-0000-0E00-0000C0070000}"/>
    <hyperlink ref="C669" r:id="rId1318" xr:uid="{00000000-0004-0000-0E00-0000C1070000}"/>
    <hyperlink ref="K669" location="AEO!A1" display="AEO" xr:uid="{00000000-0004-0000-0E00-0000C2070000}"/>
    <hyperlink ref="A670" r:id="rId1319" xr:uid="{00000000-0004-0000-0E00-0000C3070000}"/>
    <hyperlink ref="C670" r:id="rId1320" xr:uid="{00000000-0004-0000-0E00-0000C4070000}"/>
    <hyperlink ref="K670" location="AEO!A1" display="AEO" xr:uid="{00000000-0004-0000-0E00-0000C5070000}"/>
    <hyperlink ref="A671" r:id="rId1321" xr:uid="{00000000-0004-0000-0E00-0000C6070000}"/>
    <hyperlink ref="C671" r:id="rId1322" xr:uid="{00000000-0004-0000-0E00-0000C7070000}"/>
    <hyperlink ref="K671" location="AEO!A1" display="AEO" xr:uid="{00000000-0004-0000-0E00-0000C8070000}"/>
    <hyperlink ref="A672" r:id="rId1323" xr:uid="{00000000-0004-0000-0E00-0000C9070000}"/>
    <hyperlink ref="C672" r:id="rId1324" xr:uid="{00000000-0004-0000-0E00-0000CA070000}"/>
    <hyperlink ref="K672" location="AEO!A1" display="AEO" xr:uid="{00000000-0004-0000-0E00-0000CB070000}"/>
    <hyperlink ref="A673" r:id="rId1325" xr:uid="{00000000-0004-0000-0E00-0000CC070000}"/>
    <hyperlink ref="C673" r:id="rId1326" xr:uid="{00000000-0004-0000-0E00-0000CD070000}"/>
    <hyperlink ref="K673" location="AEO!A1" display="AEO" xr:uid="{00000000-0004-0000-0E00-0000CE070000}"/>
    <hyperlink ref="A674" r:id="rId1327" xr:uid="{00000000-0004-0000-0E00-0000CF070000}"/>
    <hyperlink ref="C674" r:id="rId1328" xr:uid="{00000000-0004-0000-0E00-0000D0070000}"/>
    <hyperlink ref="K674" location="AEO!A1" display="AEO" xr:uid="{00000000-0004-0000-0E00-0000D1070000}"/>
    <hyperlink ref="A675" r:id="rId1329" xr:uid="{00000000-0004-0000-0E00-0000D2070000}"/>
    <hyperlink ref="C675" r:id="rId1330" xr:uid="{00000000-0004-0000-0E00-0000D3070000}"/>
    <hyperlink ref="K675" location="AEO!A1" display="AEO" xr:uid="{00000000-0004-0000-0E00-0000D4070000}"/>
    <hyperlink ref="A676" r:id="rId1331" xr:uid="{00000000-0004-0000-0E00-0000D5070000}"/>
    <hyperlink ref="C676" r:id="rId1332" xr:uid="{00000000-0004-0000-0E00-0000D6070000}"/>
    <hyperlink ref="K676" location="AEO!A1" display="AEO" xr:uid="{00000000-0004-0000-0E00-0000D7070000}"/>
    <hyperlink ref="A677" r:id="rId1333" xr:uid="{00000000-0004-0000-0E00-0000D8070000}"/>
    <hyperlink ref="C677" r:id="rId1334" xr:uid="{00000000-0004-0000-0E00-0000D9070000}"/>
    <hyperlink ref="K677" location="AEO!A1" display="AEO" xr:uid="{00000000-0004-0000-0E00-0000DA070000}"/>
    <hyperlink ref="A678" r:id="rId1335" xr:uid="{00000000-0004-0000-0E00-0000DB070000}"/>
    <hyperlink ref="C678" r:id="rId1336" xr:uid="{00000000-0004-0000-0E00-0000DC070000}"/>
    <hyperlink ref="K678" location="AEO!A1" display="AEO" xr:uid="{00000000-0004-0000-0E00-0000DD070000}"/>
    <hyperlink ref="A679" r:id="rId1337" xr:uid="{00000000-0004-0000-0E00-0000DE070000}"/>
    <hyperlink ref="C679" r:id="rId1338" xr:uid="{00000000-0004-0000-0E00-0000DF070000}"/>
    <hyperlink ref="K679" location="AEO!A1" display="AEO" xr:uid="{00000000-0004-0000-0E00-0000E0070000}"/>
    <hyperlink ref="A680" r:id="rId1339" xr:uid="{00000000-0004-0000-0E00-0000E1070000}"/>
    <hyperlink ref="C680" r:id="rId1340" xr:uid="{00000000-0004-0000-0E00-0000E2070000}"/>
    <hyperlink ref="K680" location="AEO!A1" display="AEO" xr:uid="{00000000-0004-0000-0E00-0000E3070000}"/>
    <hyperlink ref="A681" r:id="rId1341" xr:uid="{00000000-0004-0000-0E00-0000E4070000}"/>
    <hyperlink ref="C681" r:id="rId1342" xr:uid="{00000000-0004-0000-0E00-0000E5070000}"/>
    <hyperlink ref="K681" location="AEO!A1" display="AEO" xr:uid="{00000000-0004-0000-0E00-0000E6070000}"/>
    <hyperlink ref="A682" r:id="rId1343" xr:uid="{00000000-0004-0000-0E00-0000E7070000}"/>
    <hyperlink ref="C682" r:id="rId1344" xr:uid="{00000000-0004-0000-0E00-0000E8070000}"/>
    <hyperlink ref="K682" location="AEO!A1" display="AEO" xr:uid="{00000000-0004-0000-0E00-0000E9070000}"/>
    <hyperlink ref="A683" r:id="rId1345" xr:uid="{00000000-0004-0000-0E00-0000EA070000}"/>
    <hyperlink ref="C683" r:id="rId1346" xr:uid="{00000000-0004-0000-0E00-0000EB070000}"/>
    <hyperlink ref="K683" location="AEO!A1" display="AEO" xr:uid="{00000000-0004-0000-0E00-0000EC070000}"/>
    <hyperlink ref="A684" r:id="rId1347" xr:uid="{00000000-0004-0000-0E00-0000ED070000}"/>
    <hyperlink ref="C684" r:id="rId1348" xr:uid="{00000000-0004-0000-0E00-0000EE070000}"/>
    <hyperlink ref="K684" location="AEO!A1" display="AEO" xr:uid="{00000000-0004-0000-0E00-0000EF070000}"/>
    <hyperlink ref="A685" r:id="rId1349" xr:uid="{00000000-0004-0000-0E00-0000F0070000}"/>
    <hyperlink ref="C685" r:id="rId1350" xr:uid="{00000000-0004-0000-0E00-0000F1070000}"/>
    <hyperlink ref="K685" location="AEO!A1" display="AEO" xr:uid="{00000000-0004-0000-0E00-0000F2070000}"/>
    <hyperlink ref="A686" r:id="rId1351" xr:uid="{00000000-0004-0000-0E00-0000F3070000}"/>
    <hyperlink ref="C686" r:id="rId1352" xr:uid="{00000000-0004-0000-0E00-0000F4070000}"/>
    <hyperlink ref="K686" location="AEO!A1" display="AEO" xr:uid="{00000000-0004-0000-0E00-0000F5070000}"/>
    <hyperlink ref="A687" r:id="rId1353" xr:uid="{00000000-0004-0000-0E00-0000F6070000}"/>
    <hyperlink ref="C687" r:id="rId1354" xr:uid="{00000000-0004-0000-0E00-0000F7070000}"/>
    <hyperlink ref="K687" location="AEO!A1" display="AEO" xr:uid="{00000000-0004-0000-0E00-0000F8070000}"/>
    <hyperlink ref="A688" r:id="rId1355" xr:uid="{00000000-0004-0000-0E00-0000F9070000}"/>
    <hyperlink ref="C688" r:id="rId1356" xr:uid="{00000000-0004-0000-0E00-0000FA070000}"/>
    <hyperlink ref="K688" location="AEO!A1" display="AEO" xr:uid="{00000000-0004-0000-0E00-0000FB070000}"/>
    <hyperlink ref="A689" r:id="rId1357" xr:uid="{00000000-0004-0000-0E00-0000FC070000}"/>
    <hyperlink ref="C689" r:id="rId1358" xr:uid="{00000000-0004-0000-0E00-0000FD070000}"/>
    <hyperlink ref="K689" location="AEO!A1" display="AEO" xr:uid="{00000000-0004-0000-0E00-0000FE070000}"/>
    <hyperlink ref="A690" r:id="rId1359" xr:uid="{00000000-0004-0000-0E00-0000FF070000}"/>
    <hyperlink ref="C690" r:id="rId1360" xr:uid="{00000000-0004-0000-0E00-000000080000}"/>
    <hyperlink ref="K690" location="AEO!A1" display="AEO" xr:uid="{00000000-0004-0000-0E00-000001080000}"/>
    <hyperlink ref="A691" r:id="rId1361" xr:uid="{00000000-0004-0000-0E00-000002080000}"/>
    <hyperlink ref="K691" location="AEO!A1" display="AEO" xr:uid="{00000000-0004-0000-0E00-000003080000}"/>
    <hyperlink ref="A692" r:id="rId1362" xr:uid="{00000000-0004-0000-0E00-000004080000}"/>
    <hyperlink ref="C692" r:id="rId1363" xr:uid="{00000000-0004-0000-0E00-000005080000}"/>
    <hyperlink ref="K692" location="AEO!A1" display="AEO" xr:uid="{00000000-0004-0000-0E00-000006080000}"/>
    <hyperlink ref="A693" r:id="rId1364" xr:uid="{00000000-0004-0000-0E00-000007080000}"/>
    <hyperlink ref="C693" r:id="rId1365" xr:uid="{00000000-0004-0000-0E00-000008080000}"/>
    <hyperlink ref="K693" location="AEO!A1" display="AEO" xr:uid="{00000000-0004-0000-0E00-000009080000}"/>
    <hyperlink ref="A694" r:id="rId1366" xr:uid="{00000000-0004-0000-0E00-00000A080000}"/>
    <hyperlink ref="C694" r:id="rId1367" xr:uid="{00000000-0004-0000-0E00-00000B080000}"/>
    <hyperlink ref="K694" location="AEO!A1" display="AEO" xr:uid="{00000000-0004-0000-0E00-00000C080000}"/>
    <hyperlink ref="A695" r:id="rId1368" xr:uid="{00000000-0004-0000-0E00-00000D080000}"/>
    <hyperlink ref="C695" r:id="rId1369" xr:uid="{00000000-0004-0000-0E00-00000E080000}"/>
    <hyperlink ref="K695" location="AEO!A1" display="AEO" xr:uid="{00000000-0004-0000-0E00-00000F080000}"/>
    <hyperlink ref="A696" r:id="rId1370" xr:uid="{00000000-0004-0000-0E00-000010080000}"/>
    <hyperlink ref="C696" r:id="rId1371" xr:uid="{00000000-0004-0000-0E00-000011080000}"/>
    <hyperlink ref="K696" location="AEO!A1" display="AEO" xr:uid="{00000000-0004-0000-0E00-000012080000}"/>
    <hyperlink ref="A697" r:id="rId1372" xr:uid="{00000000-0004-0000-0E00-000013080000}"/>
    <hyperlink ref="C697" r:id="rId1373" xr:uid="{00000000-0004-0000-0E00-000014080000}"/>
    <hyperlink ref="K697" location="AEO!A1" display="AEO" xr:uid="{00000000-0004-0000-0E00-000015080000}"/>
    <hyperlink ref="A698" r:id="rId1374" xr:uid="{00000000-0004-0000-0E00-000016080000}"/>
    <hyperlink ref="C698" r:id="rId1375" xr:uid="{00000000-0004-0000-0E00-000017080000}"/>
    <hyperlink ref="K698" location="AEO!A1" display="AEO" xr:uid="{00000000-0004-0000-0E00-000018080000}"/>
    <hyperlink ref="A699" r:id="rId1376" xr:uid="{00000000-0004-0000-0E00-000019080000}"/>
    <hyperlink ref="C699" r:id="rId1377" xr:uid="{00000000-0004-0000-0E00-00001A080000}"/>
    <hyperlink ref="K699" location="AEO!A1" display="AEO" xr:uid="{00000000-0004-0000-0E00-00001B080000}"/>
    <hyperlink ref="A700" r:id="rId1378" xr:uid="{00000000-0004-0000-0E00-00001C080000}"/>
    <hyperlink ref="C700" r:id="rId1379" xr:uid="{00000000-0004-0000-0E00-00001D080000}"/>
    <hyperlink ref="K700" location="AEO!A1" display="AEO" xr:uid="{00000000-0004-0000-0E00-00001E080000}"/>
    <hyperlink ref="A701" r:id="rId1380" xr:uid="{00000000-0004-0000-0E00-00001F080000}"/>
    <hyperlink ref="C701" r:id="rId1381" xr:uid="{00000000-0004-0000-0E00-000020080000}"/>
    <hyperlink ref="K701" location="AEO!A1" display="AEO" xr:uid="{00000000-0004-0000-0E00-000021080000}"/>
    <hyperlink ref="A702" r:id="rId1382" xr:uid="{00000000-0004-0000-0E00-000022080000}"/>
    <hyperlink ref="C702" r:id="rId1383" xr:uid="{00000000-0004-0000-0E00-000023080000}"/>
    <hyperlink ref="K702" location="AEO!A1" display="AEO" xr:uid="{00000000-0004-0000-0E00-000024080000}"/>
    <hyperlink ref="A703" r:id="rId1384" xr:uid="{00000000-0004-0000-0E00-000025080000}"/>
    <hyperlink ref="C703" r:id="rId1385" xr:uid="{00000000-0004-0000-0E00-000026080000}"/>
    <hyperlink ref="K703" location="AEO!A1" display="AEO" xr:uid="{00000000-0004-0000-0E00-000027080000}"/>
    <hyperlink ref="A704" r:id="rId1386" xr:uid="{00000000-0004-0000-0E00-000028080000}"/>
    <hyperlink ref="K704" location="AEO!A1" display="AEO" xr:uid="{00000000-0004-0000-0E00-000029080000}"/>
    <hyperlink ref="A705" r:id="rId1387" xr:uid="{00000000-0004-0000-0E00-00002A080000}"/>
    <hyperlink ref="C705" r:id="rId1388" xr:uid="{00000000-0004-0000-0E00-00002B080000}"/>
    <hyperlink ref="K705" location="AEO!A1" display="AEO" xr:uid="{00000000-0004-0000-0E00-00002C080000}"/>
    <hyperlink ref="A706" r:id="rId1389" xr:uid="{00000000-0004-0000-0E00-00002D080000}"/>
    <hyperlink ref="C706" r:id="rId1390" xr:uid="{00000000-0004-0000-0E00-00002E080000}"/>
    <hyperlink ref="K706" location="AEO!A1" display="AEO" xr:uid="{00000000-0004-0000-0E00-00002F080000}"/>
    <hyperlink ref="A707" r:id="rId1391" xr:uid="{00000000-0004-0000-0E00-000030080000}"/>
    <hyperlink ref="C707" r:id="rId1392" xr:uid="{00000000-0004-0000-0E00-000031080000}"/>
    <hyperlink ref="K707" location="AEO!A1" display="AEO" xr:uid="{00000000-0004-0000-0E00-000032080000}"/>
    <hyperlink ref="A708" r:id="rId1393" xr:uid="{00000000-0004-0000-0E00-000033080000}"/>
    <hyperlink ref="C708" r:id="rId1394" xr:uid="{00000000-0004-0000-0E00-000034080000}"/>
    <hyperlink ref="K708" location="AEO!A1" display="AEO" xr:uid="{00000000-0004-0000-0E00-000035080000}"/>
    <hyperlink ref="A709" r:id="rId1395" xr:uid="{00000000-0004-0000-0E00-000036080000}"/>
    <hyperlink ref="C709" r:id="rId1396" xr:uid="{00000000-0004-0000-0E00-000037080000}"/>
    <hyperlink ref="K709" location="AEO!A1" display="AEO" xr:uid="{00000000-0004-0000-0E00-000038080000}"/>
    <hyperlink ref="A710" r:id="rId1397" xr:uid="{00000000-0004-0000-0E00-000039080000}"/>
    <hyperlink ref="C710" r:id="rId1398" xr:uid="{00000000-0004-0000-0E00-00003A080000}"/>
    <hyperlink ref="K710" location="AEO!A1" display="AEO" xr:uid="{00000000-0004-0000-0E00-00003B080000}"/>
    <hyperlink ref="A711" r:id="rId1399" xr:uid="{00000000-0004-0000-0E00-00003C080000}"/>
    <hyperlink ref="C711" r:id="rId1400" xr:uid="{00000000-0004-0000-0E00-00003D080000}"/>
    <hyperlink ref="K711" location="AEO!A1" display="AEO" xr:uid="{00000000-0004-0000-0E00-00003E080000}"/>
    <hyperlink ref="A712" r:id="rId1401" xr:uid="{00000000-0004-0000-0E00-00003F080000}"/>
    <hyperlink ref="C712" r:id="rId1402" xr:uid="{00000000-0004-0000-0E00-000040080000}"/>
    <hyperlink ref="K712" location="AEO!A1" display="AEO" xr:uid="{00000000-0004-0000-0E00-000041080000}"/>
    <hyperlink ref="A713" r:id="rId1403" xr:uid="{00000000-0004-0000-0E00-000042080000}"/>
    <hyperlink ref="C713" r:id="rId1404" xr:uid="{00000000-0004-0000-0E00-000043080000}"/>
    <hyperlink ref="K713" location="AEO!A1" display="AEO" xr:uid="{00000000-0004-0000-0E00-000044080000}"/>
    <hyperlink ref="A714" r:id="rId1405" xr:uid="{00000000-0004-0000-0E00-000045080000}"/>
    <hyperlink ref="C714" r:id="rId1406" xr:uid="{00000000-0004-0000-0E00-000046080000}"/>
    <hyperlink ref="K714" location="AEO!A1" display="AEO" xr:uid="{00000000-0004-0000-0E00-000047080000}"/>
    <hyperlink ref="A715" r:id="rId1407" xr:uid="{00000000-0004-0000-0E00-000048080000}"/>
    <hyperlink ref="C715" r:id="rId1408" xr:uid="{00000000-0004-0000-0E00-000049080000}"/>
    <hyperlink ref="K715" location="AEO!A1" display="AEO" xr:uid="{00000000-0004-0000-0E00-00004A080000}"/>
    <hyperlink ref="A716" r:id="rId1409" xr:uid="{00000000-0004-0000-0E00-00004B080000}"/>
    <hyperlink ref="C716" r:id="rId1410" xr:uid="{00000000-0004-0000-0E00-00004C080000}"/>
    <hyperlink ref="K716" location="AEO!A1" display="AEO" xr:uid="{00000000-0004-0000-0E00-00004D080000}"/>
    <hyperlink ref="A717" r:id="rId1411" xr:uid="{00000000-0004-0000-0E00-00004E080000}"/>
    <hyperlink ref="C717" r:id="rId1412" xr:uid="{00000000-0004-0000-0E00-00004F080000}"/>
    <hyperlink ref="K717" location="AEO!A1" display="AEO" xr:uid="{00000000-0004-0000-0E00-000050080000}"/>
    <hyperlink ref="A718" r:id="rId1413" xr:uid="{00000000-0004-0000-0E00-000051080000}"/>
    <hyperlink ref="C718" r:id="rId1414" xr:uid="{00000000-0004-0000-0E00-000052080000}"/>
    <hyperlink ref="K718" location="AEO!A1" display="AEO" xr:uid="{00000000-0004-0000-0E00-000053080000}"/>
    <hyperlink ref="A719" r:id="rId1415" xr:uid="{00000000-0004-0000-0E00-000054080000}"/>
    <hyperlink ref="C719" r:id="rId1416" xr:uid="{00000000-0004-0000-0E00-000055080000}"/>
    <hyperlink ref="K719" location="AEO!A1" display="AEO" xr:uid="{00000000-0004-0000-0E00-000056080000}"/>
    <hyperlink ref="A720" r:id="rId1417" xr:uid="{00000000-0004-0000-0E00-000057080000}"/>
    <hyperlink ref="C720" r:id="rId1418" xr:uid="{00000000-0004-0000-0E00-000058080000}"/>
    <hyperlink ref="K720" location="AEO!A1" display="AEO" xr:uid="{00000000-0004-0000-0E00-000059080000}"/>
    <hyperlink ref="A721" r:id="rId1419" xr:uid="{00000000-0004-0000-0E00-00005A080000}"/>
    <hyperlink ref="C721" r:id="rId1420" xr:uid="{00000000-0004-0000-0E00-00005B080000}"/>
    <hyperlink ref="K721" location="AEO!A1" display="AEO" xr:uid="{00000000-0004-0000-0E00-00005C080000}"/>
    <hyperlink ref="A722" r:id="rId1421" xr:uid="{00000000-0004-0000-0E00-00005D080000}"/>
    <hyperlink ref="C722" r:id="rId1422" xr:uid="{00000000-0004-0000-0E00-00005E080000}"/>
    <hyperlink ref="K722" location="AEO!A1" display="AEO" xr:uid="{00000000-0004-0000-0E00-00005F080000}"/>
    <hyperlink ref="A723" r:id="rId1423" xr:uid="{00000000-0004-0000-0E00-000060080000}"/>
    <hyperlink ref="C723" r:id="rId1424" xr:uid="{00000000-0004-0000-0E00-000061080000}"/>
    <hyperlink ref="K723" location="AEO!A1" display="AEO" xr:uid="{00000000-0004-0000-0E00-000062080000}"/>
    <hyperlink ref="A724" r:id="rId1425" xr:uid="{00000000-0004-0000-0E00-000063080000}"/>
    <hyperlink ref="C724" r:id="rId1426" xr:uid="{00000000-0004-0000-0E00-000064080000}"/>
    <hyperlink ref="K724" location="AEO!A1" display="AEO" xr:uid="{00000000-0004-0000-0E00-000065080000}"/>
    <hyperlink ref="A725" r:id="rId1427" xr:uid="{00000000-0004-0000-0E00-000066080000}"/>
    <hyperlink ref="C725" r:id="rId1428" xr:uid="{00000000-0004-0000-0E00-000067080000}"/>
    <hyperlink ref="K725" location="AEO!A1" display="AEO" xr:uid="{00000000-0004-0000-0E00-000068080000}"/>
    <hyperlink ref="A726" r:id="rId1429" xr:uid="{00000000-0004-0000-0E00-000069080000}"/>
    <hyperlink ref="C726" r:id="rId1430" xr:uid="{00000000-0004-0000-0E00-00006A080000}"/>
    <hyperlink ref="K726" location="AEO!A1" display="AEO" xr:uid="{00000000-0004-0000-0E00-00006B080000}"/>
    <hyperlink ref="A727" r:id="rId1431" xr:uid="{00000000-0004-0000-0E00-00006C080000}"/>
    <hyperlink ref="C727" r:id="rId1432" xr:uid="{00000000-0004-0000-0E00-00006D080000}"/>
    <hyperlink ref="K727" location="AEO!A1" display="AEO" xr:uid="{00000000-0004-0000-0E00-00006E080000}"/>
    <hyperlink ref="A728" r:id="rId1433" xr:uid="{00000000-0004-0000-0E00-00006F080000}"/>
    <hyperlink ref="C728" r:id="rId1434" xr:uid="{00000000-0004-0000-0E00-000070080000}"/>
    <hyperlink ref="K728" location="AEO!A1" display="AEO" xr:uid="{00000000-0004-0000-0E00-000071080000}"/>
    <hyperlink ref="A729" r:id="rId1435" xr:uid="{00000000-0004-0000-0E00-000072080000}"/>
    <hyperlink ref="C729" r:id="rId1436" xr:uid="{00000000-0004-0000-0E00-000073080000}"/>
    <hyperlink ref="K729" location="AEO!A1" display="AEO" xr:uid="{00000000-0004-0000-0E00-000074080000}"/>
    <hyperlink ref="A730" r:id="rId1437" xr:uid="{00000000-0004-0000-0E00-000075080000}"/>
    <hyperlink ref="C730" r:id="rId1438" xr:uid="{00000000-0004-0000-0E00-000076080000}"/>
    <hyperlink ref="K730" location="AEO!A1" display="AEO" xr:uid="{00000000-0004-0000-0E00-000077080000}"/>
    <hyperlink ref="A731" r:id="rId1439" xr:uid="{00000000-0004-0000-0E00-000078080000}"/>
    <hyperlink ref="C731" r:id="rId1440" xr:uid="{00000000-0004-0000-0E00-000079080000}"/>
    <hyperlink ref="K731" location="AEO!A1" display="AEO" xr:uid="{00000000-0004-0000-0E00-00007A080000}"/>
    <hyperlink ref="A732" r:id="rId1441" xr:uid="{00000000-0004-0000-0E00-00007B080000}"/>
    <hyperlink ref="C732" r:id="rId1442" xr:uid="{00000000-0004-0000-0E00-00007C080000}"/>
    <hyperlink ref="K732" location="AEO!A1" display="AEO" xr:uid="{00000000-0004-0000-0E00-00007D080000}"/>
    <hyperlink ref="A733" r:id="rId1443" xr:uid="{00000000-0004-0000-0E00-00007E080000}"/>
    <hyperlink ref="C733" r:id="rId1444" xr:uid="{00000000-0004-0000-0E00-00007F080000}"/>
    <hyperlink ref="K733" location="AEO!A1" display="AEO" xr:uid="{00000000-0004-0000-0E00-000080080000}"/>
    <hyperlink ref="A734" r:id="rId1445" xr:uid="{00000000-0004-0000-0E00-000081080000}"/>
    <hyperlink ref="C734" r:id="rId1446" xr:uid="{00000000-0004-0000-0E00-000082080000}"/>
    <hyperlink ref="K734" location="AEO!A1" display="AEO" xr:uid="{00000000-0004-0000-0E00-000083080000}"/>
    <hyperlink ref="A735" r:id="rId1447" xr:uid="{00000000-0004-0000-0E00-000084080000}"/>
    <hyperlink ref="C735" r:id="rId1448" xr:uid="{00000000-0004-0000-0E00-000085080000}"/>
    <hyperlink ref="K735" location="AEO!A1" display="AEO" xr:uid="{00000000-0004-0000-0E00-000086080000}"/>
    <hyperlink ref="A736" r:id="rId1449" xr:uid="{00000000-0004-0000-0E00-000087080000}"/>
    <hyperlink ref="C736" r:id="rId1450" xr:uid="{00000000-0004-0000-0E00-000088080000}"/>
    <hyperlink ref="K736" location="AEO!A1" display="AEO" xr:uid="{00000000-0004-0000-0E00-000089080000}"/>
    <hyperlink ref="A737" r:id="rId1451" xr:uid="{00000000-0004-0000-0E00-00008A080000}"/>
    <hyperlink ref="C737" r:id="rId1452" xr:uid="{00000000-0004-0000-0E00-00008B080000}"/>
    <hyperlink ref="K737" location="AEO!A1" display="AEO" xr:uid="{00000000-0004-0000-0E00-00008C080000}"/>
    <hyperlink ref="A738" r:id="rId1453" xr:uid="{00000000-0004-0000-0E00-00008D080000}"/>
    <hyperlink ref="C738" r:id="rId1454" xr:uid="{00000000-0004-0000-0E00-00008E080000}"/>
    <hyperlink ref="K738" location="AEO!A1" display="AEO" xr:uid="{00000000-0004-0000-0E00-00008F080000}"/>
    <hyperlink ref="A739" r:id="rId1455" xr:uid="{00000000-0004-0000-0E00-000090080000}"/>
    <hyperlink ref="C739" r:id="rId1456" xr:uid="{00000000-0004-0000-0E00-000091080000}"/>
    <hyperlink ref="K739" location="AEO!A1" display="AEO" xr:uid="{00000000-0004-0000-0E00-000092080000}"/>
    <hyperlink ref="A740" r:id="rId1457" xr:uid="{00000000-0004-0000-0E00-000093080000}"/>
    <hyperlink ref="C740" r:id="rId1458" xr:uid="{00000000-0004-0000-0E00-000094080000}"/>
    <hyperlink ref="K740" location="AEO!A1" display="AEO" xr:uid="{00000000-0004-0000-0E00-000095080000}"/>
    <hyperlink ref="A741" r:id="rId1459" xr:uid="{00000000-0004-0000-0E00-000096080000}"/>
    <hyperlink ref="C741" r:id="rId1460" xr:uid="{00000000-0004-0000-0E00-000097080000}"/>
    <hyperlink ref="K741" location="AEO!A1" display="AEO" xr:uid="{00000000-0004-0000-0E00-000098080000}"/>
    <hyperlink ref="A742" r:id="rId1461" xr:uid="{00000000-0004-0000-0E00-000099080000}"/>
    <hyperlink ref="C742" r:id="rId1462" xr:uid="{00000000-0004-0000-0E00-00009A080000}"/>
    <hyperlink ref="K742" location="AEO!A1" display="AEO" xr:uid="{00000000-0004-0000-0E00-00009B080000}"/>
    <hyperlink ref="A743" r:id="rId1463" xr:uid="{00000000-0004-0000-0E00-00009C080000}"/>
    <hyperlink ref="C743" r:id="rId1464" xr:uid="{00000000-0004-0000-0E00-00009D080000}"/>
    <hyperlink ref="K743" location="AEO!A1" display="AEO" xr:uid="{00000000-0004-0000-0E00-00009E080000}"/>
    <hyperlink ref="A744" r:id="rId1465" xr:uid="{00000000-0004-0000-0E00-00009F080000}"/>
    <hyperlink ref="C744" r:id="rId1466" xr:uid="{00000000-0004-0000-0E00-0000A0080000}"/>
    <hyperlink ref="K744" location="AEO!A1" display="AEO" xr:uid="{00000000-0004-0000-0E00-0000A1080000}"/>
    <hyperlink ref="A745" r:id="rId1467" xr:uid="{00000000-0004-0000-0E00-0000A2080000}"/>
    <hyperlink ref="C745" r:id="rId1468" xr:uid="{00000000-0004-0000-0E00-0000A3080000}"/>
    <hyperlink ref="K745" location="AEO!A1" display="AEO" xr:uid="{00000000-0004-0000-0E00-0000A4080000}"/>
    <hyperlink ref="A746" r:id="rId1469" xr:uid="{00000000-0004-0000-0E00-0000A5080000}"/>
    <hyperlink ref="C746" r:id="rId1470" xr:uid="{00000000-0004-0000-0E00-0000A6080000}"/>
    <hyperlink ref="K746" location="AEO!A1" display="AEO" xr:uid="{00000000-0004-0000-0E00-0000A7080000}"/>
    <hyperlink ref="A747" r:id="rId1471" xr:uid="{00000000-0004-0000-0E00-0000A8080000}"/>
    <hyperlink ref="C747" r:id="rId1472" xr:uid="{00000000-0004-0000-0E00-0000A9080000}"/>
    <hyperlink ref="K747" location="AEO!A1" display="AEO" xr:uid="{00000000-0004-0000-0E00-0000AA080000}"/>
    <hyperlink ref="A748" r:id="rId1473" xr:uid="{00000000-0004-0000-0E00-0000AB080000}"/>
    <hyperlink ref="C748" r:id="rId1474" xr:uid="{00000000-0004-0000-0E00-0000AC080000}"/>
    <hyperlink ref="K748" location="AEO!A1" display="AEO" xr:uid="{00000000-0004-0000-0E00-0000AD080000}"/>
    <hyperlink ref="A749" r:id="rId1475" xr:uid="{00000000-0004-0000-0E00-0000AE080000}"/>
    <hyperlink ref="C749" r:id="rId1476" xr:uid="{00000000-0004-0000-0E00-0000AF080000}"/>
    <hyperlink ref="K749" location="AEO!A1" display="AEO" xr:uid="{00000000-0004-0000-0E00-0000B0080000}"/>
    <hyperlink ref="A750" r:id="rId1477" xr:uid="{00000000-0004-0000-0E00-0000B1080000}"/>
    <hyperlink ref="C750" r:id="rId1478" xr:uid="{00000000-0004-0000-0E00-0000B2080000}"/>
    <hyperlink ref="K750" location="AEO!A1" display="AEO" xr:uid="{00000000-0004-0000-0E00-0000B3080000}"/>
    <hyperlink ref="A751" r:id="rId1479" xr:uid="{00000000-0004-0000-0E00-0000B4080000}"/>
    <hyperlink ref="C751" r:id="rId1480" xr:uid="{00000000-0004-0000-0E00-0000B5080000}"/>
    <hyperlink ref="K751" location="Main!A1" display="Main" xr:uid="{00000000-0004-0000-0E00-0000B6080000}"/>
    <hyperlink ref="A752" r:id="rId1481" xr:uid="{00000000-0004-0000-0E00-0000B7080000}"/>
    <hyperlink ref="C752" r:id="rId1482" xr:uid="{00000000-0004-0000-0E00-0000B8080000}"/>
    <hyperlink ref="K752" location="Main!A1" display="Main" xr:uid="{00000000-0004-0000-0E00-0000B9080000}"/>
    <hyperlink ref="A753" r:id="rId1483" xr:uid="{00000000-0004-0000-0E00-0000BA080000}"/>
    <hyperlink ref="C753" r:id="rId1484" xr:uid="{00000000-0004-0000-0E00-0000BB080000}"/>
    <hyperlink ref="K753" location="Main!A1" display="Main" xr:uid="{00000000-0004-0000-0E00-0000BC080000}"/>
    <hyperlink ref="A754" r:id="rId1485" xr:uid="{00000000-0004-0000-0E00-0000BD080000}"/>
    <hyperlink ref="C754" r:id="rId1486" xr:uid="{00000000-0004-0000-0E00-0000BE080000}"/>
    <hyperlink ref="K754" location="Main!A1" display="Main" xr:uid="{00000000-0004-0000-0E00-0000BF080000}"/>
    <hyperlink ref="A755" r:id="rId1487" xr:uid="{00000000-0004-0000-0E00-0000C0080000}"/>
    <hyperlink ref="C755" r:id="rId1488" xr:uid="{00000000-0004-0000-0E00-0000C1080000}"/>
    <hyperlink ref="K755" location="Main!A1" display="Main" xr:uid="{00000000-0004-0000-0E00-0000C2080000}"/>
    <hyperlink ref="A756" r:id="rId1489" xr:uid="{00000000-0004-0000-0E00-0000C3080000}"/>
    <hyperlink ref="C756" r:id="rId1490" xr:uid="{00000000-0004-0000-0E00-0000C4080000}"/>
    <hyperlink ref="K756" location="Main!A1" display="Main" xr:uid="{00000000-0004-0000-0E00-0000C5080000}"/>
    <hyperlink ref="A757" r:id="rId1491" xr:uid="{00000000-0004-0000-0E00-0000C6080000}"/>
    <hyperlink ref="C757" r:id="rId1492" xr:uid="{00000000-0004-0000-0E00-0000C7080000}"/>
    <hyperlink ref="K757" location="Main!A1" display="Main" xr:uid="{00000000-0004-0000-0E00-0000C8080000}"/>
    <hyperlink ref="A758" r:id="rId1493" xr:uid="{00000000-0004-0000-0E00-0000C9080000}"/>
    <hyperlink ref="C758" r:id="rId1494" xr:uid="{00000000-0004-0000-0E00-0000CA080000}"/>
    <hyperlink ref="K758" location="Main!A1" display="Main" xr:uid="{00000000-0004-0000-0E00-0000CB080000}"/>
    <hyperlink ref="A759" r:id="rId1495" xr:uid="{00000000-0004-0000-0E00-0000CC080000}"/>
    <hyperlink ref="C759" r:id="rId1496" xr:uid="{00000000-0004-0000-0E00-0000CD080000}"/>
    <hyperlink ref="K759" location="Main!A1" display="Main" xr:uid="{00000000-0004-0000-0E00-0000CE080000}"/>
    <hyperlink ref="A760" r:id="rId1497" xr:uid="{00000000-0004-0000-0E00-0000CF080000}"/>
    <hyperlink ref="C760" r:id="rId1498" xr:uid="{00000000-0004-0000-0E00-0000D0080000}"/>
    <hyperlink ref="K760" location="Main!A1" display="Main" xr:uid="{00000000-0004-0000-0E00-0000D1080000}"/>
    <hyperlink ref="A761" r:id="rId1499" xr:uid="{00000000-0004-0000-0E00-0000D2080000}"/>
    <hyperlink ref="C761" r:id="rId1500" xr:uid="{00000000-0004-0000-0E00-0000D3080000}"/>
    <hyperlink ref="K761" location="Main!A1" display="Main" xr:uid="{00000000-0004-0000-0E00-0000D4080000}"/>
    <hyperlink ref="A762" r:id="rId1501" xr:uid="{00000000-0004-0000-0E00-0000D5080000}"/>
    <hyperlink ref="C762" r:id="rId1502" xr:uid="{00000000-0004-0000-0E00-0000D6080000}"/>
    <hyperlink ref="K762" location="Main!A1" display="Main" xr:uid="{00000000-0004-0000-0E00-0000D7080000}"/>
    <hyperlink ref="A763" r:id="rId1503" xr:uid="{00000000-0004-0000-0E00-0000D8080000}"/>
    <hyperlink ref="C763" r:id="rId1504" xr:uid="{00000000-0004-0000-0E00-0000D9080000}"/>
    <hyperlink ref="K763" location="Main!A1" display="Main" xr:uid="{00000000-0004-0000-0E00-0000DA080000}"/>
    <hyperlink ref="A764" r:id="rId1505" xr:uid="{00000000-0004-0000-0E00-0000DB080000}"/>
    <hyperlink ref="C764" r:id="rId1506" xr:uid="{00000000-0004-0000-0E00-0000DC080000}"/>
    <hyperlink ref="K764" location="Main!A1" display="Main" xr:uid="{00000000-0004-0000-0E00-0000DD080000}"/>
    <hyperlink ref="A765" r:id="rId1507" xr:uid="{00000000-0004-0000-0E00-0000DE080000}"/>
    <hyperlink ref="C765" r:id="rId1508" xr:uid="{00000000-0004-0000-0E00-0000DF080000}"/>
    <hyperlink ref="K765" location="Main!A1" display="Main" xr:uid="{00000000-0004-0000-0E00-0000E0080000}"/>
    <hyperlink ref="A766" r:id="rId1509" xr:uid="{00000000-0004-0000-0E00-0000E1080000}"/>
    <hyperlink ref="C766" r:id="rId1510" xr:uid="{00000000-0004-0000-0E00-0000E2080000}"/>
    <hyperlink ref="K766" location="Main!A1" display="Main" xr:uid="{00000000-0004-0000-0E00-0000E3080000}"/>
    <hyperlink ref="A767" r:id="rId1511" xr:uid="{00000000-0004-0000-0E00-0000E4080000}"/>
    <hyperlink ref="C767" r:id="rId1512" xr:uid="{00000000-0004-0000-0E00-0000E5080000}"/>
    <hyperlink ref="K767" location="Main!A1" display="Main" xr:uid="{00000000-0004-0000-0E00-0000E6080000}"/>
    <hyperlink ref="A768" r:id="rId1513" xr:uid="{00000000-0004-0000-0E00-0000E7080000}"/>
    <hyperlink ref="C768" r:id="rId1514" xr:uid="{00000000-0004-0000-0E00-0000E8080000}"/>
    <hyperlink ref="K768" location="Main!A1" display="Main" xr:uid="{00000000-0004-0000-0E00-0000E9080000}"/>
    <hyperlink ref="A769" r:id="rId1515" xr:uid="{00000000-0004-0000-0E00-0000EA080000}"/>
    <hyperlink ref="C769" r:id="rId1516" xr:uid="{00000000-0004-0000-0E00-0000EB080000}"/>
    <hyperlink ref="K769" location="Main!A1" display="Main" xr:uid="{00000000-0004-0000-0E00-0000EC080000}"/>
    <hyperlink ref="A770" r:id="rId1517" xr:uid="{00000000-0004-0000-0E00-0000ED080000}"/>
    <hyperlink ref="C770" r:id="rId1518" xr:uid="{00000000-0004-0000-0E00-0000EE080000}"/>
    <hyperlink ref="K770" location="Main!A1" display="Main" xr:uid="{00000000-0004-0000-0E00-0000EF080000}"/>
    <hyperlink ref="A771" r:id="rId1519" xr:uid="{00000000-0004-0000-0E00-0000F0080000}"/>
    <hyperlink ref="C771" r:id="rId1520" xr:uid="{00000000-0004-0000-0E00-0000F1080000}"/>
    <hyperlink ref="K771" location="Main!A1" display="Main" xr:uid="{00000000-0004-0000-0E00-0000F2080000}"/>
    <hyperlink ref="A772" r:id="rId1521" xr:uid="{00000000-0004-0000-0E00-0000F3080000}"/>
    <hyperlink ref="C772" r:id="rId1522" xr:uid="{00000000-0004-0000-0E00-0000F4080000}"/>
    <hyperlink ref="K772" location="Main!A1" display="Main" xr:uid="{00000000-0004-0000-0E00-0000F5080000}"/>
    <hyperlink ref="A773" r:id="rId1523" xr:uid="{00000000-0004-0000-0E00-0000F6080000}"/>
    <hyperlink ref="C773" r:id="rId1524" xr:uid="{00000000-0004-0000-0E00-0000F7080000}"/>
    <hyperlink ref="K773" location="Main!A1" display="Main" xr:uid="{00000000-0004-0000-0E00-0000F8080000}"/>
    <hyperlink ref="A774" r:id="rId1525" xr:uid="{00000000-0004-0000-0E00-0000F9080000}"/>
    <hyperlink ref="C774" r:id="rId1526" xr:uid="{00000000-0004-0000-0E00-0000FA080000}"/>
    <hyperlink ref="K774" location="Main!A1" display="Main" xr:uid="{00000000-0004-0000-0E00-0000FB080000}"/>
    <hyperlink ref="A775" r:id="rId1527" xr:uid="{00000000-0004-0000-0E00-0000FC080000}"/>
    <hyperlink ref="C775" r:id="rId1528" xr:uid="{00000000-0004-0000-0E00-0000FD080000}"/>
    <hyperlink ref="K775" location="Main!A1" display="Main" xr:uid="{00000000-0004-0000-0E00-0000FE080000}"/>
    <hyperlink ref="A776" r:id="rId1529" xr:uid="{00000000-0004-0000-0E00-0000FF080000}"/>
    <hyperlink ref="C776" r:id="rId1530" xr:uid="{00000000-0004-0000-0E00-000000090000}"/>
    <hyperlink ref="K776" location="Main!A1" display="Main" xr:uid="{00000000-0004-0000-0E00-000001090000}"/>
    <hyperlink ref="A777" r:id="rId1531" xr:uid="{00000000-0004-0000-0E00-000002090000}"/>
    <hyperlink ref="C777" r:id="rId1532" xr:uid="{00000000-0004-0000-0E00-000003090000}"/>
    <hyperlink ref="K777" location="Main!A1" display="Main" xr:uid="{00000000-0004-0000-0E00-000004090000}"/>
    <hyperlink ref="A778" r:id="rId1533" xr:uid="{00000000-0004-0000-0E00-000005090000}"/>
    <hyperlink ref="C778" r:id="rId1534" xr:uid="{00000000-0004-0000-0E00-000006090000}"/>
    <hyperlink ref="K778" location="Main!A1" display="Main" xr:uid="{00000000-0004-0000-0E00-000007090000}"/>
    <hyperlink ref="A779" r:id="rId1535" xr:uid="{00000000-0004-0000-0E00-000008090000}"/>
    <hyperlink ref="C779" r:id="rId1536" xr:uid="{00000000-0004-0000-0E00-000009090000}"/>
    <hyperlink ref="K779" location="Main!A1" display="Main" xr:uid="{00000000-0004-0000-0E00-00000A09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7" customWidth="1"/>
    <col min="3" max="3" width="25" customWidth="1"/>
    <col min="4" max="4" width="24" customWidth="1"/>
    <col min="5" max="6" width="17" customWidth="1"/>
    <col min="7" max="7" width="20" customWidth="1"/>
    <col min="8" max="9" width="23" customWidth="1"/>
    <col min="10" max="10" width="24" customWidth="1"/>
    <col min="11" max="11" width="23" customWidth="1"/>
  </cols>
  <sheetData>
    <row r="1" spans="1:13" ht="45" x14ac:dyDescent="0.25">
      <c r="A1" s="27" t="s">
        <v>102</v>
      </c>
      <c r="B1" s="27" t="s">
        <v>1914</v>
      </c>
      <c r="C1" s="27" t="s">
        <v>1915</v>
      </c>
      <c r="D1" s="27" t="s">
        <v>1916</v>
      </c>
      <c r="E1" s="27" t="s">
        <v>1917</v>
      </c>
      <c r="F1" s="27" t="s">
        <v>1918</v>
      </c>
      <c r="G1" s="27" t="s">
        <v>1919</v>
      </c>
      <c r="H1" s="27" t="s">
        <v>1920</v>
      </c>
      <c r="I1" s="27" t="s">
        <v>1921</v>
      </c>
      <c r="J1" s="27" t="s">
        <v>1922</v>
      </c>
      <c r="K1" s="27" t="s">
        <v>1923</v>
      </c>
      <c r="L1" s="27" t="s">
        <v>122</v>
      </c>
      <c r="M1" s="36" t="s">
        <v>251</v>
      </c>
    </row>
    <row r="2" spans="1:13" ht="15.75" x14ac:dyDescent="0.25">
      <c r="A2" s="33" t="s">
        <v>127</v>
      </c>
      <c r="B2" s="28"/>
      <c r="C2" s="28"/>
      <c r="D2" s="28"/>
      <c r="E2" s="28"/>
      <c r="F2" s="28"/>
      <c r="G2" s="28"/>
      <c r="H2" s="28"/>
      <c r="I2" s="28"/>
      <c r="J2" s="28"/>
      <c r="K2" s="28"/>
      <c r="L2" s="34" t="str">
        <f>IFERROR(HYPERLINK("#Main!A"&amp;MATCH(A2,Main!A:A,0),"Open"),HYPERLINK("#Main!A1","Open"))</f>
        <v>Open</v>
      </c>
      <c r="M2" s="34"/>
    </row>
    <row r="3" spans="1:13" ht="30" customHeight="1" x14ac:dyDescent="0.25">
      <c r="A3" s="30" t="s">
        <v>135</v>
      </c>
      <c r="B3" s="37"/>
      <c r="C3" s="37"/>
      <c r="D3" s="37"/>
      <c r="E3" s="37"/>
      <c r="F3" s="37"/>
      <c r="G3" s="37"/>
      <c r="H3" s="37"/>
      <c r="I3" s="37"/>
      <c r="J3" s="37"/>
      <c r="K3" s="37"/>
      <c r="L3" t="str">
        <f>IFERROR(HYPERLINK("#Main!A"&amp;MATCH(A3,Main!A:A,0),"Open"),HYPERLINK("#Main!A1","Open"))</f>
        <v>Open</v>
      </c>
    </row>
    <row r="4" spans="1:13" ht="30" customHeight="1" x14ac:dyDescent="0.25">
      <c r="A4" s="33" t="s">
        <v>144</v>
      </c>
      <c r="B4" s="28"/>
      <c r="C4" s="28"/>
      <c r="D4" s="28"/>
      <c r="E4" s="28"/>
      <c r="F4" s="28"/>
      <c r="G4" s="28"/>
      <c r="H4" s="28"/>
      <c r="I4" s="28"/>
      <c r="J4" s="28"/>
      <c r="K4" s="28"/>
      <c r="L4" s="34" t="str">
        <f>IFERROR(HYPERLINK("#Main!A"&amp;MATCH(A4,Main!A:A,0),"Open"),HYPERLINK("#Main!A1","Open"))</f>
        <v>Open</v>
      </c>
      <c r="M4" s="34"/>
    </row>
    <row r="5" spans="1:13" ht="30" customHeight="1" x14ac:dyDescent="0.25">
      <c r="A5" s="30" t="s">
        <v>152</v>
      </c>
      <c r="B5" s="37"/>
      <c r="C5" s="37"/>
      <c r="D5" s="37"/>
      <c r="E5" s="37"/>
      <c r="F5" s="37"/>
      <c r="G5" s="37"/>
      <c r="H5" s="37"/>
      <c r="I5" s="37"/>
      <c r="J5" s="37"/>
      <c r="K5" s="37"/>
      <c r="L5" t="str">
        <f>IFERROR(HYPERLINK("#Main!A"&amp;MATCH(A5,Main!A:A,0),"Open"),HYPERLINK("#Main!A1","Open"))</f>
        <v>Open</v>
      </c>
    </row>
    <row r="6" spans="1:13" ht="30" customHeight="1" x14ac:dyDescent="0.25">
      <c r="A6" s="33" t="s">
        <v>169</v>
      </c>
      <c r="B6" s="28"/>
      <c r="C6" s="28"/>
      <c r="D6" s="28"/>
      <c r="E6" s="28"/>
      <c r="F6" s="28"/>
      <c r="G6" s="28"/>
      <c r="H6" s="28"/>
      <c r="I6" s="28"/>
      <c r="J6" s="28"/>
      <c r="K6" s="28"/>
      <c r="L6" s="34" t="str">
        <f>IFERROR(HYPERLINK("#Main!A"&amp;MATCH(A6,Main!A:A,0),"Open"),HYPERLINK("#Main!A1","Open"))</f>
        <v>Open</v>
      </c>
      <c r="M6" s="34"/>
    </row>
    <row r="7" spans="1:13" ht="30" customHeight="1" x14ac:dyDescent="0.25">
      <c r="A7" s="30" t="s">
        <v>177</v>
      </c>
      <c r="B7" s="37"/>
      <c r="C7" s="37"/>
      <c r="D7" s="37"/>
      <c r="E7" s="37"/>
      <c r="F7" s="37"/>
      <c r="G7" s="37"/>
      <c r="H7" s="37"/>
      <c r="I7" s="37"/>
      <c r="J7" s="37"/>
      <c r="K7" s="37"/>
      <c r="L7" t="str">
        <f>IFERROR(HYPERLINK("#Main!A"&amp;MATCH(A7,Main!A:A,0),"Open"),HYPERLINK("#Main!A1","Open"))</f>
        <v>Open</v>
      </c>
    </row>
    <row r="8" spans="1:13" ht="30" customHeight="1" x14ac:dyDescent="0.25">
      <c r="A8" s="33" t="s">
        <v>161</v>
      </c>
      <c r="B8" s="28"/>
      <c r="C8" s="28"/>
      <c r="D8" s="28"/>
      <c r="E8" s="28"/>
      <c r="F8" s="28"/>
      <c r="G8" s="28"/>
      <c r="H8" s="28"/>
      <c r="I8" s="28"/>
      <c r="J8" s="28"/>
      <c r="K8" s="28"/>
      <c r="L8" s="34" t="str">
        <f>IFERROR(HYPERLINK("#Main!A"&amp;MATCH(A8,Main!A:A,0),"Open"),HYPERLINK("#Main!A1","Open"))</f>
        <v>Open</v>
      </c>
      <c r="M8" s="34"/>
    </row>
    <row r="9" spans="1:13" ht="30" customHeight="1" x14ac:dyDescent="0.25">
      <c r="A9" s="30" t="s">
        <v>185</v>
      </c>
      <c r="B9" s="37"/>
      <c r="C9" s="37"/>
      <c r="D9" s="37"/>
      <c r="E9" s="37"/>
      <c r="F9" s="37"/>
      <c r="G9" s="37"/>
      <c r="H9" s="37"/>
      <c r="I9" s="37"/>
      <c r="J9" s="37"/>
      <c r="K9" s="37"/>
      <c r="L9" t="str">
        <f>IFERROR(HYPERLINK("#Main!A"&amp;MATCH(A9,Main!A:A,0),"Open"),HYPERLINK("#Main!A1","Open"))</f>
        <v>Open</v>
      </c>
    </row>
    <row r="10" spans="1:13" ht="30" customHeight="1" x14ac:dyDescent="0.25">
      <c r="A10" s="33" t="s">
        <v>201</v>
      </c>
      <c r="B10" s="28"/>
      <c r="C10" s="28"/>
      <c r="D10" s="28"/>
      <c r="E10" s="28"/>
      <c r="F10" s="28"/>
      <c r="G10" s="28"/>
      <c r="H10" s="28"/>
      <c r="I10" s="28"/>
      <c r="J10" s="28"/>
      <c r="K10" s="28"/>
      <c r="L10" s="34" t="str">
        <f>IFERROR(HYPERLINK("#Main!A"&amp;MATCH(A10,Main!A:A,0),"Open"),HYPERLINK("#Main!A1","Open"))</f>
        <v>Open</v>
      </c>
      <c r="M10" s="34"/>
    </row>
    <row r="11" spans="1:13" ht="30" customHeight="1" x14ac:dyDescent="0.25">
      <c r="A11" s="30" t="s">
        <v>193</v>
      </c>
      <c r="B11" s="37"/>
      <c r="C11" s="37"/>
      <c r="D11" s="37"/>
      <c r="E11" s="37"/>
      <c r="F11" s="37"/>
      <c r="G11" s="37"/>
      <c r="H11" s="37"/>
      <c r="I11" s="37"/>
      <c r="J11" s="37"/>
      <c r="K11" s="37"/>
      <c r="L11" t="str">
        <f>IFERROR(HYPERLINK("#Main!A"&amp;MATCH(A11,Main!A:A,0),"Open"),HYPERLINK("#Main!A1","Open"))</f>
        <v>Open</v>
      </c>
    </row>
    <row r="12" spans="1:13" ht="30" customHeight="1" x14ac:dyDescent="0.25">
      <c r="A12" s="33" t="s">
        <v>216</v>
      </c>
      <c r="B12" s="28"/>
      <c r="C12" s="28"/>
      <c r="D12" s="28"/>
      <c r="E12" s="28"/>
      <c r="F12" s="28"/>
      <c r="G12" s="28"/>
      <c r="H12" s="28"/>
      <c r="I12" s="28"/>
      <c r="J12" s="28"/>
      <c r="K12" s="28"/>
      <c r="L12" s="34" t="str">
        <f>IFERROR(HYPERLINK("#Main!A"&amp;MATCH(A12,Main!A:A,0),"Open"),HYPERLINK("#Main!A1","Open"))</f>
        <v>Open</v>
      </c>
      <c r="M12" s="34"/>
    </row>
    <row r="13" spans="1:13" ht="30" customHeight="1" x14ac:dyDescent="0.25">
      <c r="A13" s="30" t="s">
        <v>208</v>
      </c>
      <c r="B13" s="37"/>
      <c r="C13" s="37"/>
      <c r="D13" s="37"/>
      <c r="E13" s="37"/>
      <c r="F13" s="37"/>
      <c r="G13" s="37"/>
      <c r="H13" s="37"/>
      <c r="I13" s="37"/>
      <c r="J13" s="37"/>
      <c r="K13" s="37"/>
      <c r="L13" t="str">
        <f>IFERROR(HYPERLINK("#Main!A"&amp;MATCH(A13,Main!A:A,0),"Open"),HYPERLINK("#Main!A1","Open"))</f>
        <v>Open</v>
      </c>
    </row>
    <row r="14" spans="1:13" ht="30" customHeight="1" x14ac:dyDescent="0.25">
      <c r="A14" s="33" t="s">
        <v>224</v>
      </c>
      <c r="B14" s="28"/>
      <c r="C14" s="28"/>
      <c r="D14" s="28"/>
      <c r="E14" s="28"/>
      <c r="F14" s="28"/>
      <c r="G14" s="28"/>
      <c r="H14" s="28"/>
      <c r="I14" s="28"/>
      <c r="J14" s="28"/>
      <c r="K14" s="28"/>
      <c r="L14" s="34" t="str">
        <f>IFERROR(HYPERLINK("#Main!A"&amp;MATCH(A14,Main!A:A,0),"Open"),HYPERLINK("#Main!A1","Open"))</f>
        <v>Open</v>
      </c>
      <c r="M14" s="34"/>
    </row>
    <row r="15" spans="1:13" ht="30" customHeight="1" x14ac:dyDescent="0.25">
      <c r="A15" s="30" t="s">
        <v>233</v>
      </c>
      <c r="B15" s="37"/>
      <c r="C15" s="37"/>
      <c r="D15" s="37"/>
      <c r="E15" s="37"/>
      <c r="F15" s="37"/>
      <c r="G15" s="37"/>
      <c r="H15" s="37"/>
      <c r="I15" s="37"/>
      <c r="J15" s="37"/>
      <c r="K15" s="37"/>
      <c r="L15" t="str">
        <f>IFERROR(HYPERLINK("#Main!A"&amp;MATCH(A15,Main!A:A,0),"Open"),HYPERLINK("#Main!A1","Open"))</f>
        <v>Open</v>
      </c>
    </row>
    <row r="16" spans="1:13" ht="30" customHeight="1" x14ac:dyDescent="0.25">
      <c r="A16" s="33" t="s">
        <v>241</v>
      </c>
      <c r="B16" s="28"/>
      <c r="C16" s="28"/>
      <c r="D16" s="28"/>
      <c r="E16" s="28"/>
      <c r="F16" s="28"/>
      <c r="G16" s="28"/>
      <c r="H16" s="28"/>
      <c r="I16" s="28"/>
      <c r="J16" s="28"/>
      <c r="K16" s="28"/>
      <c r="L16" s="34" t="str">
        <f>IFERROR(HYPERLINK("#Main!A"&amp;MATCH(A16,Main!A:A,0),"Open"),HYPERLINK("#Main!A1","Open"))</f>
        <v>Open</v>
      </c>
      <c r="M16" s="34"/>
    </row>
    <row r="17" spans="1:13" ht="30" customHeight="1" x14ac:dyDescent="0.25">
      <c r="A17" s="30" t="s">
        <v>485</v>
      </c>
      <c r="B17" s="37"/>
      <c r="C17" s="37"/>
      <c r="D17" s="37"/>
      <c r="E17" s="37"/>
      <c r="F17" s="37"/>
      <c r="G17" s="37"/>
      <c r="H17" s="37"/>
      <c r="I17" s="37"/>
      <c r="J17" s="37"/>
      <c r="K17" s="37"/>
      <c r="L17" t="str">
        <f>IFERROR(HYPERLINK("#Main!A"&amp;MATCH(A17,Main!A:A,0),"Open"),HYPERLINK("#Main!A1","Open"))</f>
        <v>Open</v>
      </c>
    </row>
    <row r="18" spans="1:13" ht="30" customHeight="1" x14ac:dyDescent="0.25">
      <c r="A18" s="33" t="s">
        <v>491</v>
      </c>
      <c r="B18" s="28"/>
      <c r="C18" s="28"/>
      <c r="D18" s="28"/>
      <c r="E18" s="28"/>
      <c r="F18" s="28"/>
      <c r="G18" s="28"/>
      <c r="H18" s="28"/>
      <c r="I18" s="28"/>
      <c r="J18" s="28"/>
      <c r="K18" s="28"/>
      <c r="L18" s="34" t="str">
        <f>IFERROR(HYPERLINK("#Main!A"&amp;MATCH(A18,Main!A:A,0),"Open"),HYPERLINK("#Main!A1","Open"))</f>
        <v>Open</v>
      </c>
      <c r="M18" s="34"/>
    </row>
    <row r="19" spans="1:13" ht="30" customHeight="1" x14ac:dyDescent="0.25">
      <c r="A19" s="30" t="s">
        <v>488</v>
      </c>
      <c r="B19" s="37"/>
      <c r="C19" s="37"/>
      <c r="D19" s="37"/>
      <c r="E19" s="37"/>
      <c r="F19" s="37"/>
      <c r="G19" s="37"/>
      <c r="H19" s="37"/>
      <c r="I19" s="37"/>
      <c r="J19" s="37"/>
      <c r="K19" s="37"/>
      <c r="L19" t="str">
        <f>IFERROR(HYPERLINK("#Main!A"&amp;MATCH(A19,Main!A:A,0),"Open"),HYPERLINK("#Main!A1","Open"))</f>
        <v>Open</v>
      </c>
    </row>
    <row r="20" spans="1:13" ht="30" customHeight="1" x14ac:dyDescent="0.25">
      <c r="A20" s="33" t="s">
        <v>494</v>
      </c>
      <c r="B20" s="28"/>
      <c r="C20" s="28"/>
      <c r="D20" s="28"/>
      <c r="E20" s="28"/>
      <c r="F20" s="28"/>
      <c r="G20" s="28"/>
      <c r="H20" s="28"/>
      <c r="I20" s="28"/>
      <c r="J20" s="28"/>
      <c r="K20" s="28"/>
      <c r="L20" s="34" t="str">
        <f>IFERROR(HYPERLINK("#Main!A"&amp;MATCH(A20,Main!A:A,0),"Open"),HYPERLINK("#Main!A1","Open"))</f>
        <v>Open</v>
      </c>
      <c r="M20" s="34"/>
    </row>
    <row r="21" spans="1:13" ht="30" customHeight="1" x14ac:dyDescent="0.25">
      <c r="A21" s="30" t="s">
        <v>500</v>
      </c>
      <c r="B21" s="37"/>
      <c r="C21" s="37"/>
      <c r="D21" s="37"/>
      <c r="E21" s="37"/>
      <c r="F21" s="37"/>
      <c r="G21" s="37"/>
      <c r="H21" s="37"/>
      <c r="I21" s="37"/>
      <c r="J21" s="37"/>
      <c r="K21" s="37"/>
      <c r="L21" t="str">
        <f>IFERROR(HYPERLINK("#Main!A"&amp;MATCH(A21,Main!A:A,0),"Open"),HYPERLINK("#Main!A1","Open"))</f>
        <v>Open</v>
      </c>
    </row>
    <row r="22" spans="1:13" ht="30" customHeight="1" x14ac:dyDescent="0.25">
      <c r="A22" s="33" t="s">
        <v>497</v>
      </c>
      <c r="B22" s="28"/>
      <c r="C22" s="28"/>
      <c r="D22" s="28"/>
      <c r="E22" s="28"/>
      <c r="F22" s="28"/>
      <c r="G22" s="28"/>
      <c r="H22" s="28"/>
      <c r="I22" s="28"/>
      <c r="J22" s="28"/>
      <c r="K22" s="28"/>
      <c r="L22" s="34" t="str">
        <f>IFERROR(HYPERLINK("#Main!A"&amp;MATCH(A22,Main!A:A,0),"Open"),HYPERLINK("#Main!A1","Open"))</f>
        <v>Open</v>
      </c>
      <c r="M22" s="34"/>
    </row>
    <row r="23" spans="1:13" ht="30" customHeight="1" x14ac:dyDescent="0.25">
      <c r="A23" s="30" t="s">
        <v>506</v>
      </c>
      <c r="B23" s="37"/>
      <c r="C23" s="37"/>
      <c r="D23" s="37"/>
      <c r="E23" s="37"/>
      <c r="F23" s="37"/>
      <c r="G23" s="37"/>
      <c r="H23" s="37"/>
      <c r="I23" s="37"/>
      <c r="J23" s="37"/>
      <c r="K23" s="37"/>
      <c r="L23" t="str">
        <f>IFERROR(HYPERLINK("#Main!A"&amp;MATCH(A23,Main!A:A,0),"Open"),HYPERLINK("#Main!A1","Open"))</f>
        <v>Open</v>
      </c>
    </row>
    <row r="24" spans="1:13" ht="30" customHeight="1" x14ac:dyDescent="0.25">
      <c r="A24" s="33" t="s">
        <v>509</v>
      </c>
      <c r="B24" s="28"/>
      <c r="C24" s="28"/>
      <c r="D24" s="28"/>
      <c r="E24" s="28"/>
      <c r="F24" s="28"/>
      <c r="G24" s="28"/>
      <c r="H24" s="28"/>
      <c r="I24" s="28"/>
      <c r="J24" s="28"/>
      <c r="K24" s="28"/>
      <c r="L24" s="34" t="str">
        <f>IFERROR(HYPERLINK("#Main!A"&amp;MATCH(A24,Main!A:A,0),"Open"),HYPERLINK("#Main!A1","Open"))</f>
        <v>Open</v>
      </c>
      <c r="M24" s="34"/>
    </row>
    <row r="25" spans="1:13" ht="30" customHeight="1" x14ac:dyDescent="0.25">
      <c r="A25" s="30" t="s">
        <v>503</v>
      </c>
      <c r="B25" s="37"/>
      <c r="C25" s="37"/>
      <c r="D25" s="37"/>
      <c r="E25" s="37"/>
      <c r="F25" s="37"/>
      <c r="G25" s="37"/>
      <c r="H25" s="37"/>
      <c r="I25" s="37"/>
      <c r="J25" s="37"/>
      <c r="K25" s="37"/>
      <c r="L25" t="str">
        <f>IFERROR(HYPERLINK("#Main!A"&amp;MATCH(A25,Main!A:A,0),"Open"),HYPERLINK("#Main!A1","Open"))</f>
        <v>Open</v>
      </c>
    </row>
    <row r="26" spans="1:13" ht="30" customHeight="1" x14ac:dyDescent="0.25">
      <c r="A26" s="33" t="s">
        <v>476</v>
      </c>
      <c r="B26" s="28"/>
      <c r="C26" s="28"/>
      <c r="D26" s="28"/>
      <c r="E26" s="28"/>
      <c r="F26" s="28"/>
      <c r="G26" s="28"/>
      <c r="H26" s="28"/>
      <c r="I26" s="28"/>
      <c r="J26" s="28"/>
      <c r="K26" s="28"/>
      <c r="L26" s="34" t="str">
        <f>IFERROR(HYPERLINK("#Main!A"&amp;MATCH(A26,Main!A:A,0),"Open"),HYPERLINK("#Main!A1","Open"))</f>
        <v>Open</v>
      </c>
      <c r="M26" s="34"/>
    </row>
    <row r="27" spans="1:13" ht="30" customHeight="1" x14ac:dyDescent="0.25">
      <c r="A27" s="30" t="s">
        <v>512</v>
      </c>
      <c r="B27" s="37"/>
      <c r="C27" s="37"/>
      <c r="D27" s="37"/>
      <c r="E27" s="37"/>
      <c r="F27" s="37"/>
      <c r="G27" s="37"/>
      <c r="H27" s="37"/>
      <c r="I27" s="37"/>
      <c r="J27" s="37"/>
      <c r="K27" s="37"/>
      <c r="L27" t="str">
        <f>IFERROR(HYPERLINK("#Main!A"&amp;MATCH(A27,Main!A:A,0),"Open"),HYPERLINK("#Main!A1","Open"))</f>
        <v>Open</v>
      </c>
    </row>
    <row r="28" spans="1:13" ht="30" customHeight="1" x14ac:dyDescent="0.25">
      <c r="A28" s="33" t="s">
        <v>515</v>
      </c>
      <c r="B28" s="28"/>
      <c r="C28" s="28"/>
      <c r="D28" s="28"/>
      <c r="E28" s="28"/>
      <c r="F28" s="28"/>
      <c r="G28" s="28"/>
      <c r="H28" s="28"/>
      <c r="I28" s="28"/>
      <c r="J28" s="28"/>
      <c r="K28" s="28"/>
      <c r="L28" s="34" t="str">
        <f>IFERROR(HYPERLINK("#Main!A"&amp;MATCH(A28,Main!A:A,0),"Open"),HYPERLINK("#Main!A1","Open"))</f>
        <v>Open</v>
      </c>
      <c r="M28" s="34"/>
    </row>
    <row r="29" spans="1:13" ht="30" customHeight="1" x14ac:dyDescent="0.25">
      <c r="A29" s="30" t="s">
        <v>518</v>
      </c>
      <c r="B29" s="37"/>
      <c r="C29" s="37"/>
      <c r="D29" s="37"/>
      <c r="E29" s="37"/>
      <c r="F29" s="37"/>
      <c r="G29" s="37"/>
      <c r="H29" s="37"/>
      <c r="I29" s="37"/>
      <c r="J29" s="37"/>
      <c r="K29" s="37"/>
      <c r="L29" t="str">
        <f>IFERROR(HYPERLINK("#Main!A"&amp;MATCH(A29,Main!A:A,0),"Open"),HYPERLINK("#Main!A1","Open"))</f>
        <v>Open</v>
      </c>
    </row>
    <row r="30" spans="1:13" ht="30" customHeight="1" x14ac:dyDescent="0.25">
      <c r="A30" s="33" t="s">
        <v>521</v>
      </c>
      <c r="B30" s="28"/>
      <c r="C30" s="28"/>
      <c r="D30" s="28"/>
      <c r="E30" s="28"/>
      <c r="F30" s="28"/>
      <c r="G30" s="28"/>
      <c r="H30" s="28"/>
      <c r="I30" s="28"/>
      <c r="J30" s="28"/>
      <c r="K30" s="28"/>
      <c r="L30" s="34" t="str">
        <f>IFERROR(HYPERLINK("#Main!A"&amp;MATCH(A30,Main!A:A,0),"Open"),HYPERLINK("#Main!A1","Open"))</f>
        <v>Open</v>
      </c>
      <c r="M30" s="34"/>
    </row>
    <row r="31" spans="1:13" ht="30" customHeight="1" x14ac:dyDescent="0.25">
      <c r="A31" s="30" t="s">
        <v>524</v>
      </c>
      <c r="B31" s="37"/>
      <c r="C31" s="37"/>
      <c r="D31" s="37"/>
      <c r="E31" s="37"/>
      <c r="F31" s="37"/>
      <c r="G31" s="37"/>
      <c r="H31" s="37"/>
      <c r="I31" s="37"/>
      <c r="J31" s="37"/>
      <c r="K31" s="37"/>
      <c r="L31" t="str">
        <f>IFERROR(HYPERLINK("#Main!A"&amp;MATCH(A31,Main!A:A,0),"Open"),HYPERLINK("#Main!A1","Open"))</f>
        <v>Open</v>
      </c>
    </row>
    <row r="32" spans="1:13" ht="30" customHeight="1" x14ac:dyDescent="0.25">
      <c r="A32" s="33" t="s">
        <v>527</v>
      </c>
      <c r="B32" s="28"/>
      <c r="C32" s="28"/>
      <c r="D32" s="28"/>
      <c r="E32" s="28"/>
      <c r="F32" s="28"/>
      <c r="G32" s="28"/>
      <c r="H32" s="28"/>
      <c r="I32" s="28"/>
      <c r="J32" s="28"/>
      <c r="K32" s="28"/>
      <c r="L32" s="34" t="str">
        <f>IFERROR(HYPERLINK("#Main!A"&amp;MATCH(A32,Main!A:A,0),"Open"),HYPERLINK("#Main!A1","Open"))</f>
        <v>Open</v>
      </c>
      <c r="M32" s="34"/>
    </row>
    <row r="33" spans="1:13" ht="45" customHeight="1" x14ac:dyDescent="0.25">
      <c r="A33" s="30" t="s">
        <v>528</v>
      </c>
      <c r="B33" s="37"/>
      <c r="C33" s="37"/>
      <c r="D33" s="37"/>
      <c r="E33" s="37"/>
      <c r="F33" s="37"/>
      <c r="G33" s="37"/>
      <c r="H33" s="37"/>
      <c r="I33" s="37"/>
      <c r="J33" s="37"/>
      <c r="K33" s="37"/>
      <c r="L33" t="str">
        <f>IFERROR(HYPERLINK("#Main!A"&amp;MATCH(A33,Main!A:A,0),"Open"),HYPERLINK("#Main!A1","Open"))</f>
        <v>Open</v>
      </c>
    </row>
    <row r="34" spans="1:13" ht="30" customHeight="1" x14ac:dyDescent="0.25">
      <c r="A34" s="33" t="s">
        <v>531</v>
      </c>
      <c r="B34" s="28"/>
      <c r="C34" s="28"/>
      <c r="D34" s="28"/>
      <c r="E34" s="28"/>
      <c r="F34" s="28"/>
      <c r="G34" s="28"/>
      <c r="H34" s="28"/>
      <c r="I34" s="28"/>
      <c r="J34" s="28"/>
      <c r="K34" s="28"/>
      <c r="L34" s="34" t="str">
        <f>IFERROR(HYPERLINK("#Main!A"&amp;MATCH(A34,Main!A:A,0),"Open"),HYPERLINK("#Main!A1","Open"))</f>
        <v>Open</v>
      </c>
      <c r="M34" s="34"/>
    </row>
    <row r="35" spans="1:13" ht="30" customHeight="1" x14ac:dyDescent="0.25">
      <c r="A35" s="30" t="s">
        <v>534</v>
      </c>
      <c r="B35" s="37"/>
      <c r="C35" s="37"/>
      <c r="D35" s="37"/>
      <c r="E35" s="37"/>
      <c r="F35" s="37"/>
      <c r="G35" s="37"/>
      <c r="H35" s="37"/>
      <c r="I35" s="37"/>
      <c r="J35" s="37"/>
      <c r="K35" s="37"/>
      <c r="L35" t="str">
        <f>IFERROR(HYPERLINK("#Main!A"&amp;MATCH(A35,Main!A:A,0),"Open"),HYPERLINK("#Main!A1","Open"))</f>
        <v>Open</v>
      </c>
    </row>
    <row r="36" spans="1:13" ht="30" customHeight="1" x14ac:dyDescent="0.25">
      <c r="A36" s="33" t="s">
        <v>537</v>
      </c>
      <c r="B36" s="28"/>
      <c r="C36" s="28"/>
      <c r="D36" s="28"/>
      <c r="E36" s="28"/>
      <c r="F36" s="28"/>
      <c r="G36" s="28"/>
      <c r="H36" s="28"/>
      <c r="I36" s="28"/>
      <c r="J36" s="28"/>
      <c r="K36" s="28"/>
      <c r="L36" s="34" t="str">
        <f>IFERROR(HYPERLINK("#Main!A"&amp;MATCH(A36,Main!A:A,0),"Open"),HYPERLINK("#Main!A1","Open"))</f>
        <v>Open</v>
      </c>
      <c r="M36" s="34"/>
    </row>
    <row r="37" spans="1:13" ht="45" customHeight="1" x14ac:dyDescent="0.25">
      <c r="A37" s="30" t="s">
        <v>540</v>
      </c>
      <c r="B37" s="37"/>
      <c r="C37" s="37"/>
      <c r="D37" s="37"/>
      <c r="E37" s="37"/>
      <c r="F37" s="37"/>
      <c r="G37" s="37"/>
      <c r="H37" s="37"/>
      <c r="I37" s="37"/>
      <c r="J37" s="37"/>
      <c r="K37" s="37"/>
      <c r="L37" t="str">
        <f>IFERROR(HYPERLINK("#Main!A"&amp;MATCH(A37,Main!A:A,0),"Open"),HYPERLINK("#Main!A1","Open"))</f>
        <v>Open</v>
      </c>
    </row>
    <row r="38" spans="1:13" ht="30" customHeight="1" x14ac:dyDescent="0.25">
      <c r="A38" s="33" t="s">
        <v>543</v>
      </c>
      <c r="B38" s="28"/>
      <c r="C38" s="28"/>
      <c r="D38" s="28"/>
      <c r="E38" s="28"/>
      <c r="F38" s="28"/>
      <c r="G38" s="28"/>
      <c r="H38" s="28"/>
      <c r="I38" s="28"/>
      <c r="J38" s="28"/>
      <c r="K38" s="28"/>
      <c r="L38" s="34" t="str">
        <f>IFERROR(HYPERLINK("#Main!A"&amp;MATCH(A38,Main!A:A,0),"Open"),HYPERLINK("#Main!A1","Open"))</f>
        <v>Open</v>
      </c>
      <c r="M38" s="34"/>
    </row>
    <row r="39" spans="1:13" ht="30" customHeight="1" x14ac:dyDescent="0.25">
      <c r="A39" s="30" t="s">
        <v>483</v>
      </c>
      <c r="B39" s="37"/>
      <c r="C39" s="37"/>
      <c r="D39" s="37"/>
      <c r="E39" s="37"/>
      <c r="F39" s="37"/>
      <c r="G39" s="37"/>
      <c r="H39" s="37"/>
      <c r="I39" s="37"/>
      <c r="J39" s="37"/>
      <c r="K39" s="37"/>
      <c r="L39" t="str">
        <f>IFERROR(HYPERLINK("#Main!A"&amp;MATCH(A39,Main!A:A,0),"Open"),HYPERLINK("#Main!A1","Open"))</f>
        <v>Open</v>
      </c>
    </row>
    <row r="40" spans="1:13" ht="30" customHeight="1" x14ac:dyDescent="0.25">
      <c r="A40" s="33" t="s">
        <v>546</v>
      </c>
      <c r="B40" s="28"/>
      <c r="C40" s="28"/>
      <c r="D40" s="28"/>
      <c r="E40" s="28"/>
      <c r="F40" s="28"/>
      <c r="G40" s="28"/>
      <c r="H40" s="28"/>
      <c r="I40" s="28"/>
      <c r="J40" s="28"/>
      <c r="K40" s="28"/>
      <c r="L40" s="34" t="str">
        <f>IFERROR(HYPERLINK("#Main!A"&amp;MATCH(A40,Main!A:A,0),"Open"),HYPERLINK("#Main!A1","Open"))</f>
        <v>Open</v>
      </c>
      <c r="M40" s="34"/>
    </row>
    <row r="41" spans="1:13" ht="30" customHeight="1" x14ac:dyDescent="0.25">
      <c r="A41" s="30" t="s">
        <v>549</v>
      </c>
      <c r="B41" s="37"/>
      <c r="C41" s="37"/>
      <c r="D41" s="37"/>
      <c r="E41" s="37"/>
      <c r="F41" s="37"/>
      <c r="G41" s="37"/>
      <c r="H41" s="37"/>
      <c r="I41" s="37"/>
      <c r="J41" s="37"/>
      <c r="K41" s="37"/>
      <c r="L41" t="str">
        <f>IFERROR(HYPERLINK("#Main!A"&amp;MATCH(A41,Main!A:A,0),"Open"),HYPERLINK("#Main!A1","Open"))</f>
        <v>Open</v>
      </c>
    </row>
    <row r="42" spans="1:13" ht="30" customHeight="1" x14ac:dyDescent="0.25">
      <c r="A42" s="33" t="s">
        <v>555</v>
      </c>
      <c r="B42" s="28"/>
      <c r="C42" s="28"/>
      <c r="D42" s="28"/>
      <c r="E42" s="28"/>
      <c r="F42" s="28"/>
      <c r="G42" s="28"/>
      <c r="H42" s="28"/>
      <c r="I42" s="28"/>
      <c r="J42" s="28"/>
      <c r="K42" s="28"/>
      <c r="L42" s="34" t="str">
        <f>IFERROR(HYPERLINK("#Main!A"&amp;MATCH(A42,Main!A:A,0),"Open"),HYPERLINK("#Main!A1","Open"))</f>
        <v>Open</v>
      </c>
      <c r="M42" s="34"/>
    </row>
    <row r="43" spans="1:13" ht="30" customHeight="1" x14ac:dyDescent="0.25">
      <c r="A43" s="30" t="s">
        <v>557</v>
      </c>
      <c r="B43" s="37"/>
      <c r="C43" s="37"/>
      <c r="D43" s="37"/>
      <c r="E43" s="37"/>
      <c r="F43" s="37"/>
      <c r="G43" s="37"/>
      <c r="H43" s="37"/>
      <c r="I43" s="37"/>
      <c r="J43" s="37"/>
      <c r="K43" s="37"/>
      <c r="L43" t="str">
        <f>IFERROR(HYPERLINK("#Main!A"&amp;MATCH(A43,Main!A:A,0),"Open"),HYPERLINK("#Main!A1","Open"))</f>
        <v>Open</v>
      </c>
    </row>
    <row r="44" spans="1:13" ht="30" customHeight="1" x14ac:dyDescent="0.25">
      <c r="A44" s="33" t="s">
        <v>552</v>
      </c>
      <c r="B44" s="28"/>
      <c r="C44" s="28"/>
      <c r="D44" s="28"/>
      <c r="E44" s="28"/>
      <c r="F44" s="28"/>
      <c r="G44" s="28"/>
      <c r="H44" s="28"/>
      <c r="I44" s="28"/>
      <c r="J44" s="28"/>
      <c r="K44" s="28"/>
      <c r="L44" s="34" t="str">
        <f>IFERROR(HYPERLINK("#Main!A"&amp;MATCH(A44,Main!A:A,0),"Open"),HYPERLINK("#Main!A1","Open"))</f>
        <v>Open</v>
      </c>
      <c r="M44" s="34"/>
    </row>
    <row r="45" spans="1:13" ht="30" customHeight="1" x14ac:dyDescent="0.25">
      <c r="A45" s="30" t="s">
        <v>560</v>
      </c>
      <c r="B45" s="37"/>
      <c r="C45" s="37"/>
      <c r="D45" s="37"/>
      <c r="E45" s="37"/>
      <c r="F45" s="37"/>
      <c r="G45" s="37"/>
      <c r="H45" s="37"/>
      <c r="I45" s="37"/>
      <c r="J45" s="37"/>
      <c r="K45" s="37"/>
      <c r="L45" t="str">
        <f>IFERROR(HYPERLINK("#Main!A"&amp;MATCH(A45,Main!A:A,0),"Open"),HYPERLINK("#Main!A1","Open"))</f>
        <v>Open</v>
      </c>
    </row>
    <row r="46" spans="1:13" ht="30" customHeight="1" x14ac:dyDescent="0.25">
      <c r="A46" s="33" t="s">
        <v>563</v>
      </c>
      <c r="B46" s="28"/>
      <c r="C46" s="28"/>
      <c r="D46" s="28"/>
      <c r="E46" s="28"/>
      <c r="F46" s="28"/>
      <c r="G46" s="28"/>
      <c r="H46" s="28"/>
      <c r="I46" s="28"/>
      <c r="J46" s="28"/>
      <c r="K46" s="28"/>
      <c r="L46" s="34" t="str">
        <f>IFERROR(HYPERLINK("#Main!A"&amp;MATCH(A46,Main!A:A,0),"Open"),HYPERLINK("#Main!A1","Open"))</f>
        <v>Open</v>
      </c>
      <c r="M46" s="34"/>
    </row>
    <row r="47" spans="1:13" ht="30" customHeight="1" x14ac:dyDescent="0.25">
      <c r="A47" s="30" t="s">
        <v>566</v>
      </c>
      <c r="B47" s="37"/>
      <c r="C47" s="37"/>
      <c r="D47" s="37"/>
      <c r="E47" s="37"/>
      <c r="F47" s="37"/>
      <c r="G47" s="37"/>
      <c r="H47" s="37"/>
      <c r="I47" s="37"/>
      <c r="J47" s="37"/>
      <c r="K47" s="37"/>
      <c r="L47" t="str">
        <f>IFERROR(HYPERLINK("#Main!A"&amp;MATCH(A47,Main!A:A,0),"Open"),HYPERLINK("#Main!A1","Open"))</f>
        <v>Open</v>
      </c>
    </row>
    <row r="48" spans="1:13" ht="30" customHeight="1" x14ac:dyDescent="0.25">
      <c r="A48" s="33" t="s">
        <v>570</v>
      </c>
      <c r="B48" s="28"/>
      <c r="C48" s="28"/>
      <c r="D48" s="28"/>
      <c r="E48" s="28"/>
      <c r="F48" s="28"/>
      <c r="G48" s="28"/>
      <c r="H48" s="28"/>
      <c r="I48" s="28"/>
      <c r="J48" s="28"/>
      <c r="K48" s="28"/>
      <c r="L48" s="34" t="str">
        <f>IFERROR(HYPERLINK("#Main!A"&amp;MATCH(A48,Main!A:A,0),"Open"),HYPERLINK("#Main!A1","Open"))</f>
        <v>Open</v>
      </c>
      <c r="M48" s="34"/>
    </row>
    <row r="49" spans="1:13" ht="30" customHeight="1" x14ac:dyDescent="0.25">
      <c r="A49" s="30" t="s">
        <v>577</v>
      </c>
      <c r="B49" s="37"/>
      <c r="C49" s="37"/>
      <c r="D49" s="37"/>
      <c r="E49" s="37"/>
      <c r="F49" s="37"/>
      <c r="G49" s="37"/>
      <c r="H49" s="37"/>
      <c r="I49" s="37"/>
      <c r="J49" s="37"/>
      <c r="K49" s="37"/>
      <c r="L49" t="str">
        <f>IFERROR(HYPERLINK("#Main!A"&amp;MATCH(A49,Main!A:A,0),"Open"),HYPERLINK("#Main!A1","Open"))</f>
        <v>Open</v>
      </c>
    </row>
    <row r="50" spans="1:13" ht="30" customHeight="1" x14ac:dyDescent="0.25">
      <c r="A50" s="33" t="s">
        <v>579</v>
      </c>
      <c r="B50" s="28"/>
      <c r="C50" s="28"/>
      <c r="D50" s="28"/>
      <c r="E50" s="28"/>
      <c r="F50" s="28"/>
      <c r="G50" s="28"/>
      <c r="H50" s="28"/>
      <c r="I50" s="28"/>
      <c r="J50" s="28"/>
      <c r="K50" s="28"/>
      <c r="L50" s="34" t="str">
        <f>IFERROR(HYPERLINK("#Main!A"&amp;MATCH(A50,Main!A:A,0),"Open"),HYPERLINK("#Main!A1","Open"))</f>
        <v>Open</v>
      </c>
      <c r="M50" s="34"/>
    </row>
    <row r="51" spans="1:13" ht="30" customHeight="1" x14ac:dyDescent="0.25">
      <c r="A51" s="30" t="s">
        <v>573</v>
      </c>
      <c r="B51" s="37"/>
      <c r="C51" s="37"/>
      <c r="D51" s="37"/>
      <c r="E51" s="37"/>
      <c r="F51" s="37"/>
      <c r="G51" s="37"/>
      <c r="H51" s="37"/>
      <c r="I51" s="37"/>
      <c r="J51" s="37"/>
      <c r="K51" s="37"/>
      <c r="L51" t="str">
        <f>IFERROR(HYPERLINK("#Main!A"&amp;MATCH(A51,Main!A:A,0),"Open"),HYPERLINK("#Main!A1","Open"))</f>
        <v>Open</v>
      </c>
    </row>
    <row r="52" spans="1:13" ht="30" customHeight="1" x14ac:dyDescent="0.25">
      <c r="A52" s="33" t="s">
        <v>582</v>
      </c>
      <c r="B52" s="28"/>
      <c r="C52" s="28"/>
      <c r="D52" s="28"/>
      <c r="E52" s="28"/>
      <c r="F52" s="28"/>
      <c r="G52" s="28"/>
      <c r="H52" s="28"/>
      <c r="I52" s="28"/>
      <c r="J52" s="28"/>
      <c r="K52" s="28"/>
      <c r="L52" s="34" t="str">
        <f>IFERROR(HYPERLINK("#Main!A"&amp;MATCH(A52,Main!A:A,0),"Open"),HYPERLINK("#Main!A1","Open"))</f>
        <v>Open</v>
      </c>
      <c r="M52" s="34"/>
    </row>
    <row r="53" spans="1:13" ht="30" customHeight="1" x14ac:dyDescent="0.25">
      <c r="A53" s="30" t="s">
        <v>588</v>
      </c>
      <c r="B53" s="37"/>
      <c r="C53" s="37"/>
      <c r="D53" s="37"/>
      <c r="E53" s="37"/>
      <c r="F53" s="37"/>
      <c r="G53" s="37"/>
      <c r="H53" s="37"/>
      <c r="I53" s="37"/>
      <c r="J53" s="37"/>
      <c r="K53" s="37"/>
      <c r="L53" t="str">
        <f>IFERROR(HYPERLINK("#Main!A"&amp;MATCH(A53,Main!A:A,0),"Open"),HYPERLINK("#Main!A1","Open"))</f>
        <v>Open</v>
      </c>
    </row>
    <row r="54" spans="1:13" ht="30" customHeight="1" x14ac:dyDescent="0.25">
      <c r="A54" s="33" t="s">
        <v>591</v>
      </c>
      <c r="B54" s="28"/>
      <c r="C54" s="28"/>
      <c r="D54" s="28"/>
      <c r="E54" s="28"/>
      <c r="F54" s="28"/>
      <c r="G54" s="28"/>
      <c r="H54" s="28"/>
      <c r="I54" s="28"/>
      <c r="J54" s="28"/>
      <c r="K54" s="28"/>
      <c r="L54" s="34" t="str">
        <f>IFERROR(HYPERLINK("#Main!A"&amp;MATCH(A54,Main!A:A,0),"Open"),HYPERLINK("#Main!A1","Open"))</f>
        <v>Open</v>
      </c>
      <c r="M54" s="34"/>
    </row>
    <row r="55" spans="1:13" ht="30" customHeight="1" x14ac:dyDescent="0.25">
      <c r="A55" s="30" t="s">
        <v>594</v>
      </c>
      <c r="B55" s="37"/>
      <c r="C55" s="37"/>
      <c r="D55" s="37"/>
      <c r="E55" s="37"/>
      <c r="F55" s="37"/>
      <c r="G55" s="37"/>
      <c r="H55" s="37"/>
      <c r="I55" s="37"/>
      <c r="J55" s="37"/>
      <c r="K55" s="37"/>
      <c r="L55" t="str">
        <f>IFERROR(HYPERLINK("#Main!A"&amp;MATCH(A55,Main!A:A,0),"Open"),HYPERLINK("#Main!A1","Open"))</f>
        <v>Open</v>
      </c>
    </row>
    <row r="56" spans="1:13" ht="30" customHeight="1" x14ac:dyDescent="0.25">
      <c r="A56" s="33" t="s">
        <v>585</v>
      </c>
      <c r="B56" s="28"/>
      <c r="C56" s="28"/>
      <c r="D56" s="28"/>
      <c r="E56" s="28"/>
      <c r="F56" s="28"/>
      <c r="G56" s="28"/>
      <c r="H56" s="28"/>
      <c r="I56" s="28"/>
      <c r="J56" s="28"/>
      <c r="K56" s="28"/>
      <c r="L56" s="34" t="str">
        <f>IFERROR(HYPERLINK("#Main!A"&amp;MATCH(A56,Main!A:A,0),"Open"),HYPERLINK("#Main!A1","Open"))</f>
        <v>Open</v>
      </c>
      <c r="M56" s="34"/>
    </row>
    <row r="57" spans="1:13" ht="30" customHeight="1" x14ac:dyDescent="0.25">
      <c r="A57" s="30" t="s">
        <v>597</v>
      </c>
      <c r="B57" s="37"/>
      <c r="C57" s="37"/>
      <c r="D57" s="37"/>
      <c r="E57" s="37"/>
      <c r="F57" s="37"/>
      <c r="G57" s="37"/>
      <c r="H57" s="37"/>
      <c r="I57" s="37"/>
      <c r="J57" s="37"/>
      <c r="K57" s="37"/>
      <c r="L57" t="str">
        <f>IFERROR(HYPERLINK("#Main!A"&amp;MATCH(A57,Main!A:A,0),"Open"),HYPERLINK("#Main!A1","Open"))</f>
        <v>Open</v>
      </c>
    </row>
    <row r="58" spans="1:13" ht="30" customHeight="1" x14ac:dyDescent="0.25">
      <c r="A58" s="33" t="s">
        <v>601</v>
      </c>
      <c r="B58" s="28"/>
      <c r="C58" s="28"/>
      <c r="D58" s="28"/>
      <c r="E58" s="28"/>
      <c r="F58" s="28"/>
      <c r="G58" s="28"/>
      <c r="H58" s="28"/>
      <c r="I58" s="28"/>
      <c r="J58" s="28"/>
      <c r="K58" s="28"/>
      <c r="L58" s="34" t="str">
        <f>IFERROR(HYPERLINK("#Main!A"&amp;MATCH(A58,Main!A:A,0),"Open"),HYPERLINK("#Main!A1","Open"))</f>
        <v>Open</v>
      </c>
      <c r="M58" s="34"/>
    </row>
    <row r="59" spans="1:13" ht="30" customHeight="1" x14ac:dyDescent="0.25">
      <c r="A59" s="30" t="s">
        <v>604</v>
      </c>
      <c r="B59" s="37"/>
      <c r="C59" s="37"/>
      <c r="D59" s="37"/>
      <c r="E59" s="37"/>
      <c r="F59" s="37"/>
      <c r="G59" s="37"/>
      <c r="H59" s="37"/>
      <c r="I59" s="37"/>
      <c r="J59" s="37"/>
      <c r="K59" s="37"/>
      <c r="L59" t="str">
        <f>IFERROR(HYPERLINK("#Main!A"&amp;MATCH(A59,Main!A:A,0),"Open"),HYPERLINK("#Main!A1","Open"))</f>
        <v>Open</v>
      </c>
    </row>
    <row r="60" spans="1:13" ht="30" customHeight="1" x14ac:dyDescent="0.25">
      <c r="A60" s="33" t="s">
        <v>608</v>
      </c>
      <c r="B60" s="28"/>
      <c r="C60" s="28"/>
      <c r="D60" s="28"/>
      <c r="E60" s="28"/>
      <c r="F60" s="28"/>
      <c r="G60" s="28"/>
      <c r="H60" s="28"/>
      <c r="I60" s="28"/>
      <c r="J60" s="28"/>
      <c r="K60" s="28"/>
      <c r="L60" s="34" t="str">
        <f>IFERROR(HYPERLINK("#Main!A"&amp;MATCH(A60,Main!A:A,0),"Open"),HYPERLINK("#Main!A1","Open"))</f>
        <v>Open</v>
      </c>
      <c r="M60" s="34"/>
    </row>
    <row r="61" spans="1:13" ht="30" customHeight="1" x14ac:dyDescent="0.25">
      <c r="A61" s="30" t="s">
        <v>611</v>
      </c>
      <c r="B61" s="37"/>
      <c r="C61" s="37"/>
      <c r="D61" s="37"/>
      <c r="E61" s="37"/>
      <c r="F61" s="37"/>
      <c r="G61" s="37"/>
      <c r="H61" s="37"/>
      <c r="I61" s="37"/>
      <c r="J61" s="37"/>
      <c r="K61" s="37"/>
      <c r="L61" t="str">
        <f>IFERROR(HYPERLINK("#Main!A"&amp;MATCH(A61,Main!A:A,0),"Open"),HYPERLINK("#Main!A1","Open"))</f>
        <v>Open</v>
      </c>
    </row>
    <row r="62" spans="1:13" ht="30" customHeight="1" x14ac:dyDescent="0.25">
      <c r="A62" s="33" t="s">
        <v>615</v>
      </c>
      <c r="B62" s="28"/>
      <c r="C62" s="28"/>
      <c r="D62" s="28"/>
      <c r="E62" s="28"/>
      <c r="F62" s="28"/>
      <c r="G62" s="28"/>
      <c r="H62" s="28"/>
      <c r="I62" s="28"/>
      <c r="J62" s="28"/>
      <c r="K62" s="28"/>
      <c r="L62" s="34" t="str">
        <f>IFERROR(HYPERLINK("#Main!A"&amp;MATCH(A62,Main!A:A,0),"Open"),HYPERLINK("#Main!A1","Open"))</f>
        <v>Open</v>
      </c>
      <c r="M62" s="34"/>
    </row>
    <row r="63" spans="1:13" ht="30" customHeight="1" x14ac:dyDescent="0.25">
      <c r="A63" s="30" t="s">
        <v>618</v>
      </c>
      <c r="B63" s="37"/>
      <c r="C63" s="37"/>
      <c r="D63" s="37"/>
      <c r="E63" s="37"/>
      <c r="F63" s="37"/>
      <c r="G63" s="37"/>
      <c r="H63" s="37"/>
      <c r="I63" s="37"/>
      <c r="J63" s="37"/>
      <c r="K63" s="37"/>
      <c r="L63" t="str">
        <f>IFERROR(HYPERLINK("#Main!A"&amp;MATCH(A63,Main!A:A,0),"Open"),HYPERLINK("#Main!A1","Open"))</f>
        <v>Open</v>
      </c>
    </row>
    <row r="64" spans="1:13" ht="30" customHeight="1" x14ac:dyDescent="0.25">
      <c r="A64" s="33" t="s">
        <v>621</v>
      </c>
      <c r="B64" s="28"/>
      <c r="C64" s="28"/>
      <c r="D64" s="28"/>
      <c r="E64" s="28"/>
      <c r="F64" s="28"/>
      <c r="G64" s="28"/>
      <c r="H64" s="28"/>
      <c r="I64" s="28"/>
      <c r="J64" s="28"/>
      <c r="K64" s="28"/>
      <c r="L64" s="34" t="str">
        <f>IFERROR(HYPERLINK("#Main!A"&amp;MATCH(A64,Main!A:A,0),"Open"),HYPERLINK("#Main!A1","Open"))</f>
        <v>Open</v>
      </c>
      <c r="M64" s="34"/>
    </row>
    <row r="65" spans="1:13" ht="30" customHeight="1" x14ac:dyDescent="0.25">
      <c r="A65" s="30" t="s">
        <v>624</v>
      </c>
      <c r="B65" s="37"/>
      <c r="C65" s="37"/>
      <c r="D65" s="37"/>
      <c r="E65" s="37"/>
      <c r="F65" s="37"/>
      <c r="G65" s="37"/>
      <c r="H65" s="37"/>
      <c r="I65" s="37"/>
      <c r="J65" s="37"/>
      <c r="K65" s="37"/>
      <c r="L65" t="str">
        <f>IFERROR(HYPERLINK("#Main!A"&amp;MATCH(A65,Main!A:A,0),"Open"),HYPERLINK("#Main!A1","Open"))</f>
        <v>Open</v>
      </c>
    </row>
    <row r="66" spans="1:13" ht="30" customHeight="1" x14ac:dyDescent="0.25">
      <c r="A66" s="33" t="s">
        <v>626</v>
      </c>
      <c r="B66" s="28"/>
      <c r="C66" s="28"/>
      <c r="D66" s="28"/>
      <c r="E66" s="28"/>
      <c r="F66" s="28"/>
      <c r="G66" s="28"/>
      <c r="H66" s="28"/>
      <c r="I66" s="28"/>
      <c r="J66" s="28"/>
      <c r="K66" s="28"/>
      <c r="L66" s="34" t="str">
        <f>IFERROR(HYPERLINK("#Main!A"&amp;MATCH(A66,Main!A:A,0),"Open"),HYPERLINK("#Main!A1","Open"))</f>
        <v>Open</v>
      </c>
      <c r="M66" s="34"/>
    </row>
    <row r="67" spans="1:13" ht="30" customHeight="1" x14ac:dyDescent="0.25">
      <c r="A67" s="30" t="s">
        <v>629</v>
      </c>
      <c r="B67" s="37"/>
      <c r="C67" s="37"/>
      <c r="D67" s="37"/>
      <c r="E67" s="37"/>
      <c r="F67" s="37"/>
      <c r="G67" s="37"/>
      <c r="H67" s="37"/>
      <c r="I67" s="37"/>
      <c r="J67" s="37"/>
      <c r="K67" s="37"/>
      <c r="L67" t="str">
        <f>IFERROR(HYPERLINK("#Main!A"&amp;MATCH(A67,Main!A:A,0),"Open"),HYPERLINK("#Main!A1","Open"))</f>
        <v>Open</v>
      </c>
    </row>
    <row r="68" spans="1:13" ht="30" customHeight="1" x14ac:dyDescent="0.25">
      <c r="A68" s="33" t="s">
        <v>632</v>
      </c>
      <c r="B68" s="28"/>
      <c r="C68" s="28"/>
      <c r="D68" s="28"/>
      <c r="E68" s="28"/>
      <c r="F68" s="28"/>
      <c r="G68" s="28"/>
      <c r="H68" s="28"/>
      <c r="I68" s="28"/>
      <c r="J68" s="28"/>
      <c r="K68" s="28"/>
      <c r="L68" s="34" t="str">
        <f>IFERROR(HYPERLINK("#Main!A"&amp;MATCH(A68,Main!A:A,0),"Open"),HYPERLINK("#Main!A1","Open"))</f>
        <v>Open</v>
      </c>
      <c r="M68" s="34"/>
    </row>
    <row r="69" spans="1:13" ht="31.5" x14ac:dyDescent="0.25">
      <c r="A69" s="30" t="s">
        <v>635</v>
      </c>
      <c r="B69" s="37"/>
      <c r="C69" s="37"/>
      <c r="D69" s="37"/>
      <c r="E69" s="37"/>
      <c r="F69" s="37"/>
      <c r="G69" s="37"/>
      <c r="H69" s="37"/>
      <c r="I69" s="37"/>
      <c r="J69" s="37"/>
      <c r="K69" s="37"/>
      <c r="L69" t="str">
        <f>IFERROR(HYPERLINK("#Main!A"&amp;MATCH(A69,Main!A:A,0),"Open"),HYPERLINK("#Main!A1","Open"))</f>
        <v>Open</v>
      </c>
    </row>
    <row r="70" spans="1:13" ht="30" customHeight="1" x14ac:dyDescent="0.25">
      <c r="A70" s="33" t="s">
        <v>638</v>
      </c>
      <c r="B70" s="28"/>
      <c r="C70" s="28"/>
      <c r="D70" s="28"/>
      <c r="E70" s="28"/>
      <c r="F70" s="28"/>
      <c r="G70" s="28"/>
      <c r="H70" s="28"/>
      <c r="I70" s="28"/>
      <c r="J70" s="28"/>
      <c r="K70" s="28"/>
      <c r="L70" s="34" t="str">
        <f>IFERROR(HYPERLINK("#Main!A"&amp;MATCH(A70,Main!A:A,0),"Open"),HYPERLINK("#Main!A1","Open"))</f>
        <v>Open</v>
      </c>
      <c r="M70" s="34"/>
    </row>
    <row r="71" spans="1:13" ht="30" customHeight="1" x14ac:dyDescent="0.25">
      <c r="A71" s="30" t="s">
        <v>641</v>
      </c>
      <c r="B71" s="37"/>
      <c r="C71" s="37"/>
      <c r="D71" s="37"/>
      <c r="E71" s="37"/>
      <c r="F71" s="37"/>
      <c r="G71" s="37"/>
      <c r="H71" s="37"/>
      <c r="I71" s="37"/>
      <c r="J71" s="37"/>
      <c r="K71" s="37"/>
      <c r="L71" t="str">
        <f>IFERROR(HYPERLINK("#Main!A"&amp;MATCH(A71,Main!A:A,0),"Open"),HYPERLINK("#Main!A1","Open"))</f>
        <v>Open</v>
      </c>
    </row>
    <row r="72" spans="1:13" ht="30" customHeight="1" x14ac:dyDescent="0.25">
      <c r="A72" s="33" t="s">
        <v>644</v>
      </c>
      <c r="B72" s="28"/>
      <c r="C72" s="28"/>
      <c r="D72" s="28"/>
      <c r="E72" s="28"/>
      <c r="F72" s="28"/>
      <c r="G72" s="28"/>
      <c r="H72" s="28"/>
      <c r="I72" s="28"/>
      <c r="J72" s="28"/>
      <c r="K72" s="28"/>
      <c r="L72" s="34" t="str">
        <f>IFERROR(HYPERLINK("#Main!A"&amp;MATCH(A72,Main!A:A,0),"Open"),HYPERLINK("#Main!A1","Open"))</f>
        <v>Open</v>
      </c>
      <c r="M72" s="34"/>
    </row>
    <row r="73" spans="1:13" ht="30" customHeight="1" x14ac:dyDescent="0.25">
      <c r="A73" s="30" t="s">
        <v>647</v>
      </c>
      <c r="B73" s="37"/>
      <c r="C73" s="37"/>
      <c r="D73" s="37"/>
      <c r="E73" s="37"/>
      <c r="F73" s="37"/>
      <c r="G73" s="37"/>
      <c r="H73" s="37"/>
      <c r="I73" s="37"/>
      <c r="J73" s="37"/>
      <c r="K73" s="37"/>
      <c r="L73" t="str">
        <f>IFERROR(HYPERLINK("#Main!A"&amp;MATCH(A73,Main!A:A,0),"Open"),HYPERLINK("#Main!A1","Open"))</f>
        <v>Open</v>
      </c>
    </row>
    <row r="74" spans="1:13" ht="30" customHeight="1" x14ac:dyDescent="0.25">
      <c r="A74" s="33" t="s">
        <v>652</v>
      </c>
      <c r="B74" s="28"/>
      <c r="C74" s="28"/>
      <c r="D74" s="28"/>
      <c r="E74" s="28"/>
      <c r="F74" s="28"/>
      <c r="G74" s="28"/>
      <c r="H74" s="28"/>
      <c r="I74" s="28"/>
      <c r="J74" s="28"/>
      <c r="K74" s="28"/>
      <c r="L74" s="34" t="str">
        <f>IFERROR(HYPERLINK("#Main!A"&amp;MATCH(A74,Main!A:A,0),"Open"),HYPERLINK("#Main!A1","Open"))</f>
        <v>Open</v>
      </c>
      <c r="M74" s="34"/>
    </row>
    <row r="75" spans="1:13" ht="30" customHeight="1" x14ac:dyDescent="0.25">
      <c r="A75" s="30" t="s">
        <v>650</v>
      </c>
      <c r="B75" s="37"/>
      <c r="C75" s="37"/>
      <c r="D75" s="37"/>
      <c r="E75" s="37"/>
      <c r="F75" s="37"/>
      <c r="G75" s="37"/>
      <c r="H75" s="37"/>
      <c r="I75" s="37"/>
      <c r="J75" s="37"/>
      <c r="K75" s="37"/>
      <c r="L75" t="str">
        <f>IFERROR(HYPERLINK("#Main!A"&amp;MATCH(A75,Main!A:A,0),"Open"),HYPERLINK("#Main!A1","Open"))</f>
        <v>Open</v>
      </c>
    </row>
    <row r="76" spans="1:13" ht="30" customHeight="1" x14ac:dyDescent="0.25">
      <c r="A76" s="33" t="s">
        <v>655</v>
      </c>
      <c r="B76" s="28"/>
      <c r="C76" s="28"/>
      <c r="D76" s="28"/>
      <c r="E76" s="28"/>
      <c r="F76" s="28"/>
      <c r="G76" s="28"/>
      <c r="H76" s="28"/>
      <c r="I76" s="28"/>
      <c r="J76" s="28"/>
      <c r="K76" s="28"/>
      <c r="L76" s="34" t="str">
        <f>IFERROR(HYPERLINK("#Main!A"&amp;MATCH(A76,Main!A:A,0),"Open"),HYPERLINK("#Main!A1","Open"))</f>
        <v>Open</v>
      </c>
      <c r="M76" s="34"/>
    </row>
    <row r="77" spans="1:13" ht="30" customHeight="1" x14ac:dyDescent="0.25">
      <c r="A77" s="30" t="s">
        <v>658</v>
      </c>
      <c r="B77" s="37"/>
      <c r="C77" s="37"/>
      <c r="D77" s="37"/>
      <c r="E77" s="37"/>
      <c r="F77" s="37"/>
      <c r="G77" s="37"/>
      <c r="H77" s="37"/>
      <c r="I77" s="37"/>
      <c r="J77" s="37"/>
      <c r="K77" s="37"/>
      <c r="L77" t="str">
        <f>IFERROR(HYPERLINK("#Main!A"&amp;MATCH(A77,Main!A:A,0),"Open"),HYPERLINK("#Main!A1","Open"))</f>
        <v>Open</v>
      </c>
    </row>
    <row r="78" spans="1:13" ht="30" customHeight="1" x14ac:dyDescent="0.25">
      <c r="A78" s="33" t="s">
        <v>661</v>
      </c>
      <c r="B78" s="28"/>
      <c r="C78" s="28"/>
      <c r="D78" s="28"/>
      <c r="E78" s="28"/>
      <c r="F78" s="28"/>
      <c r="G78" s="28"/>
      <c r="H78" s="28"/>
      <c r="I78" s="28"/>
      <c r="J78" s="28"/>
      <c r="K78" s="28"/>
      <c r="L78" s="34" t="str">
        <f>IFERROR(HYPERLINK("#Main!A"&amp;MATCH(A78,Main!A:A,0),"Open"),HYPERLINK("#Main!A1","Open"))</f>
        <v>Open</v>
      </c>
      <c r="M78" s="34"/>
    </row>
    <row r="79" spans="1:13" ht="30" customHeight="1" x14ac:dyDescent="0.25">
      <c r="A79" s="30" t="s">
        <v>664</v>
      </c>
      <c r="B79" s="37"/>
      <c r="C79" s="37"/>
      <c r="D79" s="37"/>
      <c r="E79" s="37"/>
      <c r="F79" s="37"/>
      <c r="G79" s="37"/>
      <c r="H79" s="37"/>
      <c r="I79" s="37"/>
      <c r="J79" s="37"/>
      <c r="K79" s="37"/>
      <c r="L79" t="str">
        <f>IFERROR(HYPERLINK("#Main!A"&amp;MATCH(A79,Main!A:A,0),"Open"),HYPERLINK("#Main!A1","Open"))</f>
        <v>Open</v>
      </c>
    </row>
    <row r="80" spans="1:13" ht="30" customHeight="1" x14ac:dyDescent="0.25">
      <c r="A80" s="33" t="s">
        <v>670</v>
      </c>
      <c r="B80" s="28"/>
      <c r="C80" s="28"/>
      <c r="D80" s="28"/>
      <c r="E80" s="28"/>
      <c r="F80" s="28"/>
      <c r="G80" s="28"/>
      <c r="H80" s="28"/>
      <c r="I80" s="28"/>
      <c r="J80" s="28"/>
      <c r="K80" s="28"/>
      <c r="L80" s="34" t="str">
        <f>IFERROR(HYPERLINK("#Main!A"&amp;MATCH(A80,Main!A:A,0),"Open"),HYPERLINK("#Main!A1","Open"))</f>
        <v>Open</v>
      </c>
      <c r="M80" s="34"/>
    </row>
    <row r="81" spans="1:13" ht="30" customHeight="1" x14ac:dyDescent="0.25">
      <c r="A81" s="30" t="s">
        <v>667</v>
      </c>
      <c r="B81" s="37"/>
      <c r="C81" s="37"/>
      <c r="D81" s="37"/>
      <c r="E81" s="37"/>
      <c r="F81" s="37"/>
      <c r="G81" s="37"/>
      <c r="H81" s="37"/>
      <c r="I81" s="37"/>
      <c r="J81" s="37"/>
      <c r="K81" s="37"/>
      <c r="L81" t="str">
        <f>IFERROR(HYPERLINK("#Main!A"&amp;MATCH(A81,Main!A:A,0),"Open"),HYPERLINK("#Main!A1","Open"))</f>
        <v>Open</v>
      </c>
    </row>
    <row r="82" spans="1:13" ht="30" customHeight="1" x14ac:dyDescent="0.25">
      <c r="A82" s="33" t="s">
        <v>673</v>
      </c>
      <c r="B82" s="28"/>
      <c r="C82" s="28"/>
      <c r="D82" s="28"/>
      <c r="E82" s="28"/>
      <c r="F82" s="28"/>
      <c r="G82" s="28"/>
      <c r="H82" s="28"/>
      <c r="I82" s="28"/>
      <c r="J82" s="28"/>
      <c r="K82" s="28"/>
      <c r="L82" s="34" t="str">
        <f>IFERROR(HYPERLINK("#Main!A"&amp;MATCH(A82,Main!A:A,0),"Open"),HYPERLINK("#Main!A1","Open"))</f>
        <v>Open</v>
      </c>
      <c r="M82" s="34"/>
    </row>
    <row r="83" spans="1:13" ht="30" customHeight="1" x14ac:dyDescent="0.25">
      <c r="A83" s="30" t="s">
        <v>677</v>
      </c>
      <c r="B83" s="37"/>
      <c r="C83" s="37"/>
      <c r="D83" s="37"/>
      <c r="E83" s="37"/>
      <c r="F83" s="37"/>
      <c r="G83" s="37"/>
      <c r="H83" s="37"/>
      <c r="I83" s="37"/>
      <c r="J83" s="37"/>
      <c r="K83" s="37"/>
      <c r="L83" t="str">
        <f>IFERROR(HYPERLINK("#Main!A"&amp;MATCH(A83,Main!A:A,0),"Open"),HYPERLINK("#Main!A1","Open"))</f>
        <v>Open</v>
      </c>
    </row>
    <row r="84" spans="1:13" ht="30" customHeight="1" x14ac:dyDescent="0.25">
      <c r="A84" s="33" t="s">
        <v>680</v>
      </c>
      <c r="B84" s="28"/>
      <c r="C84" s="28"/>
      <c r="D84" s="28"/>
      <c r="E84" s="28"/>
      <c r="F84" s="28"/>
      <c r="G84" s="28"/>
      <c r="H84" s="28"/>
      <c r="I84" s="28"/>
      <c r="J84" s="28"/>
      <c r="K84" s="28"/>
      <c r="L84" s="34" t="str">
        <f>IFERROR(HYPERLINK("#Main!A"&amp;MATCH(A84,Main!A:A,0),"Open"),HYPERLINK("#Main!A1","Open"))</f>
        <v>Open</v>
      </c>
      <c r="M84" s="34"/>
    </row>
    <row r="85" spans="1:13" ht="30" customHeight="1" x14ac:dyDescent="0.25">
      <c r="A85" s="30" t="s">
        <v>683</v>
      </c>
      <c r="B85" s="37"/>
      <c r="C85" s="37"/>
      <c r="D85" s="37"/>
      <c r="E85" s="37"/>
      <c r="F85" s="37"/>
      <c r="G85" s="37"/>
      <c r="H85" s="37"/>
      <c r="I85" s="37"/>
      <c r="J85" s="37"/>
      <c r="K85" s="37"/>
      <c r="L85" t="str">
        <f>IFERROR(HYPERLINK("#Main!A"&amp;MATCH(A85,Main!A:A,0),"Open"),HYPERLINK("#Main!A1","Open"))</f>
        <v>Open</v>
      </c>
    </row>
    <row r="86" spans="1:13" ht="30" customHeight="1" x14ac:dyDescent="0.25">
      <c r="A86" s="33" t="s">
        <v>686</v>
      </c>
      <c r="B86" s="28"/>
      <c r="C86" s="28"/>
      <c r="D86" s="28"/>
      <c r="E86" s="28"/>
      <c r="F86" s="28"/>
      <c r="G86" s="28"/>
      <c r="H86" s="28"/>
      <c r="I86" s="28"/>
      <c r="J86" s="28"/>
      <c r="K86" s="28"/>
      <c r="L86" s="34" t="str">
        <f>IFERROR(HYPERLINK("#Main!A"&amp;MATCH(A86,Main!A:A,0),"Open"),HYPERLINK("#Main!A1","Open"))</f>
        <v>Open</v>
      </c>
      <c r="M86" s="34"/>
    </row>
  </sheetData>
  <autoFilter ref="A1:M86" xr:uid="{00000000-0009-0000-0000-00000F000000}"/>
  <dataValidations count="13">
    <dataValidation type="custom" allowBlank="1" showInputMessage="1" promptTitle="URL" prompt="URL. Use this URL to inspect the page directly or jump to related tabs." sqref="A1" xr:uid="{00000000-0002-0000-0F00-000000000000}">
      <formula1>TRUE</formula1>
    </dataValidation>
    <dataValidation type="custom" allowBlank="1" showInputMessage="1" promptTitle="Strict-Transport-Security" prompt="Strict-Transport-Security. Review this metric to identify risk, then use linked tabs for details and remediation." sqref="B1" xr:uid="{00000000-0002-0000-0F00-000001000000}">
      <formula1>TRUE</formula1>
    </dataValidation>
    <dataValidation type="custom" allowBlank="1" showInputMessage="1" promptTitle="Content-Security-Policy" prompt="Content-Security-Policy. Review this metric to identify risk, then use linked tabs for details and remediation." sqref="C1" xr:uid="{00000000-0002-0000-0F00-000002000000}">
      <formula1>TRUE</formula1>
    </dataValidation>
    <dataValidation type="custom" allowBlank="1" showInputMessage="1" promptTitle="X-Content-Type-Options" prompt="X-Content-Type-Options. Review this metric to identify risk, then use linked tabs for details and remediation." sqref="D1" xr:uid="{00000000-0002-0000-0F00-000003000000}">
      <formula1>TRUE</formula1>
    </dataValidation>
    <dataValidation type="custom" allowBlank="1" showInputMessage="1" promptTitle="X-Frame-Options" prompt="X-Frame-Options. Review this metric to identify risk, then use linked tabs for details and remediation." sqref="E1" xr:uid="{00000000-0002-0000-0F00-000004000000}">
      <formula1>TRUE</formula1>
    </dataValidation>
    <dataValidation type="custom" allowBlank="1" showInputMessage="1" promptTitle="Referrer-Policy" prompt="Referrer-Policy. Review this metric to identify risk, then use linked tabs for details and remediation." sqref="F1" xr:uid="{00000000-0002-0000-0F00-000005000000}">
      <formula1>TRUE</formula1>
    </dataValidation>
    <dataValidation type="custom" allowBlank="1" showInputMessage="1" promptTitle="Permissions-Policy" prompt="Permissions-Policy. Review this metric to identify risk, then use linked tabs for details and remediation." sqref="G1" xr:uid="{00000000-0002-0000-0F00-000006000000}">
      <formula1>TRUE</formula1>
    </dataValidation>
    <dataValidation type="custom" allowBlank="1" showInputMessage="1" promptTitle="Robots.txt Accessible" prompt="Robots.txt Accessible. Review this metric to identify risk, then use linked tabs for details and remediation." sqref="H1" xr:uid="{00000000-0002-0000-0F00-000007000000}">
      <formula1>TRUE</formula1>
    </dataValidation>
    <dataValidation type="custom" allowBlank="1" showInputMessage="1" promptTitle="Sitemap in Robots.txt" prompt="Sitemap in Robots.txt. Review this metric to identify risk, then use linked tabs for details and remediation." sqref="I1" xr:uid="{00000000-0002-0000-0F00-000008000000}">
      <formula1>TRUE</formula1>
    </dataValidation>
    <dataValidation type="custom" allowBlank="1" showInputMessage="1" promptTitle="Robots.txt Crawl-Delay" prompt="Robots.txt Crawl-Delay. Review this metric to identify risk, then use linked tabs for details and remediation." sqref="J1" xr:uid="{00000000-0002-0000-0F00-000009000000}">
      <formula1>TRUE</formula1>
    </dataValidation>
    <dataValidation type="custom" allowBlank="1" showInputMessage="1" promptTitle="Robots.txt Disallow /" prompt="Robots.txt Disallow /. Review this metric to identify risk, then use linked tabs for details and remediation." sqref="K1" xr:uid="{00000000-0002-0000-0F00-00000A000000}">
      <formula1>TRUE</formula1>
    </dataValidation>
    <dataValidation type="custom" allowBlank="1" showInputMessage="1" promptTitle="Open in Main" prompt="Navigation helper. Click to jump directly to the related record in another tab." sqref="L1" xr:uid="{00000000-0002-0000-0F00-00000B000000}">
      <formula1>TRUE</formula1>
    </dataValidation>
    <dataValidation type="custom" allowBlank="1" showInputMessage="1" promptTitle="BACK TO DASHBOARD" prompt="BACK TO DASHBOARD. Review this metric to identify risk, then use linked tabs for details and remediation." sqref="M1" xr:uid="{00000000-0002-0000-0F00-00000C000000}">
      <formula1>TRUE</formula1>
    </dataValidation>
  </dataValidations>
  <hyperlinks>
    <hyperlink ref="M1" location="Dashboard!A1" display="BACK TO DASHBOARD" xr:uid="{00000000-0004-0000-0F00-000000000000}"/>
    <hyperlink ref="A2" r:id="rId1" xr:uid="{00000000-0004-0000-0F00-000001000000}"/>
    <hyperlink ref="A3" r:id="rId2" xr:uid="{00000000-0004-0000-0F00-000002000000}"/>
    <hyperlink ref="A4" r:id="rId3" xr:uid="{00000000-0004-0000-0F00-000003000000}"/>
    <hyperlink ref="A5" r:id="rId4" xr:uid="{00000000-0004-0000-0F00-000004000000}"/>
    <hyperlink ref="A6" r:id="rId5" xr:uid="{00000000-0004-0000-0F00-000005000000}"/>
    <hyperlink ref="A7" r:id="rId6" xr:uid="{00000000-0004-0000-0F00-000006000000}"/>
    <hyperlink ref="A8" r:id="rId7" xr:uid="{00000000-0004-0000-0F00-000007000000}"/>
    <hyperlink ref="A9" r:id="rId8" xr:uid="{00000000-0004-0000-0F00-000008000000}"/>
    <hyperlink ref="A10" r:id="rId9" xr:uid="{00000000-0004-0000-0F00-000009000000}"/>
    <hyperlink ref="A11" r:id="rId10" xr:uid="{00000000-0004-0000-0F00-00000A000000}"/>
    <hyperlink ref="A12" r:id="rId11" xr:uid="{00000000-0004-0000-0F00-00000B000000}"/>
    <hyperlink ref="A13" r:id="rId12" xr:uid="{00000000-0004-0000-0F00-00000C000000}"/>
    <hyperlink ref="A14" r:id="rId13" xr:uid="{00000000-0004-0000-0F00-00000D000000}"/>
    <hyperlink ref="A15" r:id="rId14" xr:uid="{00000000-0004-0000-0F00-00000E000000}"/>
    <hyperlink ref="A16" r:id="rId15" xr:uid="{00000000-0004-0000-0F00-00000F000000}"/>
    <hyperlink ref="A17" r:id="rId16" xr:uid="{00000000-0004-0000-0F00-000010000000}"/>
    <hyperlink ref="A18" r:id="rId17" xr:uid="{00000000-0004-0000-0F00-000011000000}"/>
    <hyperlink ref="A19" r:id="rId18" xr:uid="{00000000-0004-0000-0F00-000012000000}"/>
    <hyperlink ref="A20" r:id="rId19" xr:uid="{00000000-0004-0000-0F00-000013000000}"/>
    <hyperlink ref="A21" r:id="rId20" xr:uid="{00000000-0004-0000-0F00-000014000000}"/>
    <hyperlink ref="A22" r:id="rId21" xr:uid="{00000000-0004-0000-0F00-000015000000}"/>
    <hyperlink ref="A23" r:id="rId22" xr:uid="{00000000-0004-0000-0F00-000016000000}"/>
    <hyperlink ref="A24" r:id="rId23" xr:uid="{00000000-0004-0000-0F00-000017000000}"/>
    <hyperlink ref="A25" r:id="rId24" xr:uid="{00000000-0004-0000-0F00-000018000000}"/>
    <hyperlink ref="A26" r:id="rId25" xr:uid="{00000000-0004-0000-0F00-000019000000}"/>
    <hyperlink ref="A27" r:id="rId26" xr:uid="{00000000-0004-0000-0F00-00001A000000}"/>
    <hyperlink ref="A28" r:id="rId27" xr:uid="{00000000-0004-0000-0F00-00001B000000}"/>
    <hyperlink ref="A29" r:id="rId28" xr:uid="{00000000-0004-0000-0F00-00001C000000}"/>
    <hyperlink ref="A30" r:id="rId29" xr:uid="{00000000-0004-0000-0F00-00001D000000}"/>
    <hyperlink ref="A31" r:id="rId30" xr:uid="{00000000-0004-0000-0F00-00001E000000}"/>
    <hyperlink ref="A32" r:id="rId31" xr:uid="{00000000-0004-0000-0F00-00001F000000}"/>
    <hyperlink ref="A33" r:id="rId32" xr:uid="{00000000-0004-0000-0F00-000020000000}"/>
    <hyperlink ref="A34" r:id="rId33" xr:uid="{00000000-0004-0000-0F00-000021000000}"/>
    <hyperlink ref="A35" r:id="rId34" xr:uid="{00000000-0004-0000-0F00-000022000000}"/>
    <hyperlink ref="A36" r:id="rId35" xr:uid="{00000000-0004-0000-0F00-000023000000}"/>
    <hyperlink ref="A37" r:id="rId36" xr:uid="{00000000-0004-0000-0F00-000024000000}"/>
    <hyperlink ref="A38" r:id="rId37" xr:uid="{00000000-0004-0000-0F00-000025000000}"/>
    <hyperlink ref="A39" r:id="rId38" xr:uid="{00000000-0004-0000-0F00-000026000000}"/>
    <hyperlink ref="A40" r:id="rId39" xr:uid="{00000000-0004-0000-0F00-000027000000}"/>
    <hyperlink ref="A41" r:id="rId40" xr:uid="{00000000-0004-0000-0F00-000028000000}"/>
    <hyperlink ref="A42" r:id="rId41" xr:uid="{00000000-0004-0000-0F00-000029000000}"/>
    <hyperlink ref="A43" r:id="rId42" xr:uid="{00000000-0004-0000-0F00-00002A000000}"/>
    <hyperlink ref="A44" r:id="rId43" xr:uid="{00000000-0004-0000-0F00-00002B000000}"/>
    <hyperlink ref="A45" r:id="rId44" xr:uid="{00000000-0004-0000-0F00-00002C000000}"/>
    <hyperlink ref="A46" r:id="rId45" xr:uid="{00000000-0004-0000-0F00-00002D000000}"/>
    <hyperlink ref="A47" r:id="rId46" xr:uid="{00000000-0004-0000-0F00-00002E000000}"/>
    <hyperlink ref="A48" r:id="rId47" xr:uid="{00000000-0004-0000-0F00-00002F000000}"/>
    <hyperlink ref="A49" r:id="rId48" xr:uid="{00000000-0004-0000-0F00-000030000000}"/>
    <hyperlink ref="A50" r:id="rId49" xr:uid="{00000000-0004-0000-0F00-000031000000}"/>
    <hyperlink ref="A51" r:id="rId50" xr:uid="{00000000-0004-0000-0F00-000032000000}"/>
    <hyperlink ref="A52" r:id="rId51" xr:uid="{00000000-0004-0000-0F00-000033000000}"/>
    <hyperlink ref="A53" r:id="rId52" xr:uid="{00000000-0004-0000-0F00-000034000000}"/>
    <hyperlink ref="A54" r:id="rId53" xr:uid="{00000000-0004-0000-0F00-000035000000}"/>
    <hyperlink ref="A55" r:id="rId54" xr:uid="{00000000-0004-0000-0F00-000036000000}"/>
    <hyperlink ref="A56" r:id="rId55" xr:uid="{00000000-0004-0000-0F00-000037000000}"/>
    <hyperlink ref="A57" r:id="rId56" xr:uid="{00000000-0004-0000-0F00-000038000000}"/>
    <hyperlink ref="A58" r:id="rId57" xr:uid="{00000000-0004-0000-0F00-000039000000}"/>
    <hyperlink ref="A59" r:id="rId58" xr:uid="{00000000-0004-0000-0F00-00003A000000}"/>
    <hyperlink ref="A60" r:id="rId59" xr:uid="{00000000-0004-0000-0F00-00003B000000}"/>
    <hyperlink ref="A61" r:id="rId60" xr:uid="{00000000-0004-0000-0F00-00003C000000}"/>
    <hyperlink ref="A62" r:id="rId61" xr:uid="{00000000-0004-0000-0F00-00003D000000}"/>
    <hyperlink ref="A63" r:id="rId62" xr:uid="{00000000-0004-0000-0F00-00003E000000}"/>
    <hyperlink ref="A64" r:id="rId63" xr:uid="{00000000-0004-0000-0F00-00003F000000}"/>
    <hyperlink ref="A65" r:id="rId64" xr:uid="{00000000-0004-0000-0F00-000040000000}"/>
    <hyperlink ref="A66" r:id="rId65" xr:uid="{00000000-0004-0000-0F00-000041000000}"/>
    <hyperlink ref="A67" r:id="rId66" xr:uid="{00000000-0004-0000-0F00-000042000000}"/>
    <hyperlink ref="A68" r:id="rId67" xr:uid="{00000000-0004-0000-0F00-000043000000}"/>
    <hyperlink ref="A69" r:id="rId68" xr:uid="{00000000-0004-0000-0F00-000044000000}"/>
    <hyperlink ref="A70" r:id="rId69" xr:uid="{00000000-0004-0000-0F00-000045000000}"/>
    <hyperlink ref="A71" r:id="rId70" xr:uid="{00000000-0004-0000-0F00-000046000000}"/>
    <hyperlink ref="A72" r:id="rId71" xr:uid="{00000000-0004-0000-0F00-000047000000}"/>
    <hyperlink ref="A73" r:id="rId72" xr:uid="{00000000-0004-0000-0F00-000048000000}"/>
    <hyperlink ref="A74" r:id="rId73" xr:uid="{00000000-0004-0000-0F00-000049000000}"/>
    <hyperlink ref="A75" r:id="rId74" xr:uid="{00000000-0004-0000-0F00-00004A000000}"/>
    <hyperlink ref="A76" r:id="rId75" xr:uid="{00000000-0004-0000-0F00-00004B000000}"/>
    <hyperlink ref="A77" r:id="rId76" xr:uid="{00000000-0004-0000-0F00-00004C000000}"/>
    <hyperlink ref="A78" r:id="rId77" xr:uid="{00000000-0004-0000-0F00-00004D000000}"/>
    <hyperlink ref="A79" r:id="rId78" xr:uid="{00000000-0004-0000-0F00-00004E000000}"/>
    <hyperlink ref="A80" r:id="rId79" xr:uid="{00000000-0004-0000-0F00-00004F000000}"/>
    <hyperlink ref="A81" r:id="rId80" xr:uid="{00000000-0004-0000-0F00-000050000000}"/>
    <hyperlink ref="A82" r:id="rId81" xr:uid="{00000000-0004-0000-0F00-000051000000}"/>
    <hyperlink ref="A83" r:id="rId82" xr:uid="{00000000-0004-0000-0F00-000052000000}"/>
    <hyperlink ref="A84" r:id="rId83" xr:uid="{00000000-0004-0000-0F00-000053000000}"/>
    <hyperlink ref="A85" r:id="rId84" xr:uid="{00000000-0004-0000-0F00-000054000000}"/>
    <hyperlink ref="A86" r:id="rId85" xr:uid="{00000000-0004-0000-0F00-000055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4"/>
  <sheetViews>
    <sheetView workbookViewId="0">
      <pane xSplit="2" ySplit="1" topLeftCell="C2" activePane="bottomRight" state="frozen"/>
      <selection pane="topRight"/>
      <selection pane="bottomLeft"/>
      <selection pane="bottomRight"/>
    </sheetView>
  </sheetViews>
  <sheetFormatPr defaultRowHeight="15" x14ac:dyDescent="0.25"/>
  <cols>
    <col min="1" max="1" width="24" customWidth="1"/>
    <col min="2" max="2" width="13" customWidth="1"/>
    <col min="3" max="3" width="60" customWidth="1"/>
    <col min="4" max="4" width="20" customWidth="1"/>
    <col min="5" max="5" width="29" customWidth="1"/>
    <col min="6" max="6" width="60" customWidth="1"/>
  </cols>
  <sheetData>
    <row r="1" spans="1:7" ht="45" x14ac:dyDescent="0.25">
      <c r="A1" s="27" t="s">
        <v>1</v>
      </c>
      <c r="B1" s="27" t="s">
        <v>77</v>
      </c>
      <c r="C1" s="27" t="s">
        <v>968</v>
      </c>
      <c r="D1" s="27" t="s">
        <v>1924</v>
      </c>
      <c r="E1" s="27" t="s">
        <v>972</v>
      </c>
      <c r="F1" s="27" t="s">
        <v>1925</v>
      </c>
      <c r="G1" s="36" t="s">
        <v>251</v>
      </c>
    </row>
    <row r="2" spans="1:7" ht="409.5" x14ac:dyDescent="0.25">
      <c r="A2" s="28" t="s">
        <v>86</v>
      </c>
      <c r="B2" s="32" t="s">
        <v>72</v>
      </c>
      <c r="C2" s="58" t="s">
        <v>383</v>
      </c>
      <c r="D2" s="31">
        <v>85</v>
      </c>
      <c r="E2" s="56" t="s">
        <v>20</v>
      </c>
      <c r="F2" s="31" t="s">
        <v>1926</v>
      </c>
      <c r="G2" s="34"/>
    </row>
    <row r="3" spans="1:7" ht="15.75" x14ac:dyDescent="0.25">
      <c r="A3" s="37" t="s">
        <v>86</v>
      </c>
      <c r="B3" s="32" t="s">
        <v>72</v>
      </c>
      <c r="C3" s="59" t="s">
        <v>367</v>
      </c>
      <c r="D3" s="43">
        <v>0</v>
      </c>
      <c r="E3" s="57" t="s">
        <v>20</v>
      </c>
      <c r="F3" s="43" t="s">
        <v>1927</v>
      </c>
    </row>
    <row r="4" spans="1:7" ht="409.5" x14ac:dyDescent="0.25">
      <c r="A4" s="35" t="s">
        <v>86</v>
      </c>
      <c r="B4" s="47" t="s">
        <v>388</v>
      </c>
      <c r="C4" s="58" t="s">
        <v>416</v>
      </c>
      <c r="D4" s="31">
        <v>85</v>
      </c>
      <c r="E4" s="56" t="s">
        <v>20</v>
      </c>
      <c r="F4" s="31" t="s">
        <v>1926</v>
      </c>
      <c r="G4" s="34"/>
    </row>
    <row r="5" spans="1:7" ht="409.5" x14ac:dyDescent="0.25">
      <c r="A5" s="35" t="s">
        <v>86</v>
      </c>
      <c r="B5" s="47" t="s">
        <v>388</v>
      </c>
      <c r="C5" s="59" t="s">
        <v>412</v>
      </c>
      <c r="D5" s="43">
        <v>85</v>
      </c>
      <c r="E5" s="57" t="s">
        <v>20</v>
      </c>
      <c r="F5" s="43" t="s">
        <v>1926</v>
      </c>
    </row>
    <row r="6" spans="1:7" ht="409.5" x14ac:dyDescent="0.25">
      <c r="A6" s="35" t="s">
        <v>86</v>
      </c>
      <c r="B6" s="47" t="s">
        <v>388</v>
      </c>
      <c r="C6" s="58" t="s">
        <v>408</v>
      </c>
      <c r="D6" s="31">
        <v>85</v>
      </c>
      <c r="E6" s="56" t="s">
        <v>20</v>
      </c>
      <c r="F6" s="31" t="s">
        <v>1926</v>
      </c>
      <c r="G6" s="34"/>
    </row>
    <row r="7" spans="1:7" x14ac:dyDescent="0.25">
      <c r="A7" s="35" t="s">
        <v>86</v>
      </c>
      <c r="B7" s="37"/>
      <c r="C7" s="37"/>
      <c r="D7" s="43"/>
      <c r="E7" s="37"/>
      <c r="F7" s="43" t="s">
        <v>1928</v>
      </c>
    </row>
    <row r="8" spans="1:7" ht="409.5" x14ac:dyDescent="0.25">
      <c r="A8" s="28" t="s">
        <v>1929</v>
      </c>
      <c r="B8" s="29" t="s">
        <v>71</v>
      </c>
      <c r="C8" s="58" t="s">
        <v>348</v>
      </c>
      <c r="D8" s="31">
        <v>83</v>
      </c>
      <c r="E8" s="56" t="s">
        <v>24</v>
      </c>
      <c r="F8" s="31" t="s">
        <v>1930</v>
      </c>
      <c r="G8" s="34"/>
    </row>
    <row r="9" spans="1:7" ht="409.5" x14ac:dyDescent="0.25">
      <c r="A9" s="37" t="s">
        <v>1929</v>
      </c>
      <c r="B9" s="29" t="s">
        <v>71</v>
      </c>
      <c r="C9" s="59" t="s">
        <v>346</v>
      </c>
      <c r="D9" s="43">
        <v>74</v>
      </c>
      <c r="E9" s="57" t="s">
        <v>14</v>
      </c>
      <c r="F9" s="43" t="s">
        <v>1931</v>
      </c>
    </row>
    <row r="10" spans="1:7" ht="60" x14ac:dyDescent="0.25">
      <c r="A10" s="28" t="s">
        <v>1929</v>
      </c>
      <c r="B10" s="29" t="s">
        <v>71</v>
      </c>
      <c r="C10" s="58" t="s">
        <v>327</v>
      </c>
      <c r="D10" s="31">
        <v>2</v>
      </c>
      <c r="E10" s="56" t="s">
        <v>14</v>
      </c>
      <c r="F10" s="31" t="s">
        <v>1932</v>
      </c>
      <c r="G10" s="34"/>
    </row>
    <row r="11" spans="1:7" ht="60" x14ac:dyDescent="0.25">
      <c r="A11" s="37" t="s">
        <v>1929</v>
      </c>
      <c r="B11" s="29" t="s">
        <v>71</v>
      </c>
      <c r="C11" s="59" t="s">
        <v>315</v>
      </c>
      <c r="D11" s="43">
        <v>2</v>
      </c>
      <c r="E11" s="57" t="s">
        <v>14</v>
      </c>
      <c r="F11" s="43" t="s">
        <v>1932</v>
      </c>
    </row>
    <row r="12" spans="1:7" ht="30" x14ac:dyDescent="0.25">
      <c r="A12" s="28" t="s">
        <v>1929</v>
      </c>
      <c r="B12" s="29" t="s">
        <v>71</v>
      </c>
      <c r="C12" s="58" t="s">
        <v>332</v>
      </c>
      <c r="D12" s="31">
        <v>1</v>
      </c>
      <c r="E12" s="56" t="s">
        <v>26</v>
      </c>
      <c r="F12" s="31" t="s">
        <v>1933</v>
      </c>
      <c r="G12" s="34"/>
    </row>
    <row r="13" spans="1:7" ht="15.75" x14ac:dyDescent="0.25">
      <c r="A13" s="37" t="s">
        <v>1929</v>
      </c>
      <c r="B13" s="29" t="s">
        <v>71</v>
      </c>
      <c r="C13" s="59" t="s">
        <v>337</v>
      </c>
      <c r="D13" s="43">
        <v>0</v>
      </c>
      <c r="E13" s="57" t="s">
        <v>26</v>
      </c>
      <c r="F13" s="43" t="s">
        <v>1934</v>
      </c>
    </row>
    <row r="14" spans="1:7" ht="15.75" x14ac:dyDescent="0.25">
      <c r="A14" s="28" t="s">
        <v>1929</v>
      </c>
      <c r="B14" s="29" t="s">
        <v>71</v>
      </c>
      <c r="C14" s="58" t="s">
        <v>342</v>
      </c>
      <c r="D14" s="31">
        <v>0</v>
      </c>
      <c r="E14" s="56" t="s">
        <v>14</v>
      </c>
      <c r="F14" s="31" t="s">
        <v>1934</v>
      </c>
      <c r="G14" s="34"/>
    </row>
    <row r="15" spans="1:7" ht="409.5" x14ac:dyDescent="0.25">
      <c r="A15" s="37" t="s">
        <v>1929</v>
      </c>
      <c r="B15" s="32" t="s">
        <v>72</v>
      </c>
      <c r="C15" s="59" t="s">
        <v>383</v>
      </c>
      <c r="D15" s="43">
        <v>85</v>
      </c>
      <c r="E15" s="57" t="s">
        <v>20</v>
      </c>
      <c r="F15" s="43" t="s">
        <v>1935</v>
      </c>
    </row>
    <row r="16" spans="1:7" ht="409.5" x14ac:dyDescent="0.25">
      <c r="A16" s="28" t="s">
        <v>1929</v>
      </c>
      <c r="B16" s="32" t="s">
        <v>72</v>
      </c>
      <c r="C16" s="58" t="s">
        <v>373</v>
      </c>
      <c r="D16" s="31">
        <v>61</v>
      </c>
      <c r="E16" s="56" t="s">
        <v>14</v>
      </c>
      <c r="F16" s="31" t="s">
        <v>1936</v>
      </c>
      <c r="G16" s="34"/>
    </row>
    <row r="17" spans="1:7" ht="409.5" x14ac:dyDescent="0.25">
      <c r="A17" s="37" t="s">
        <v>1929</v>
      </c>
      <c r="B17" s="32" t="s">
        <v>72</v>
      </c>
      <c r="C17" s="59" t="s">
        <v>361</v>
      </c>
      <c r="D17" s="43">
        <v>32</v>
      </c>
      <c r="E17" s="57" t="s">
        <v>14</v>
      </c>
      <c r="F17" s="43" t="s">
        <v>1937</v>
      </c>
    </row>
    <row r="18" spans="1:7" ht="405" x14ac:dyDescent="0.25">
      <c r="A18" s="28" t="s">
        <v>1929</v>
      </c>
      <c r="B18" s="32" t="s">
        <v>72</v>
      </c>
      <c r="C18" s="58" t="s">
        <v>363</v>
      </c>
      <c r="D18" s="31">
        <v>18</v>
      </c>
      <c r="E18" s="56" t="s">
        <v>14</v>
      </c>
      <c r="F18" s="31" t="s">
        <v>1938</v>
      </c>
      <c r="G18" s="34"/>
    </row>
    <row r="19" spans="1:7" ht="135" x14ac:dyDescent="0.25">
      <c r="A19" s="37" t="s">
        <v>1929</v>
      </c>
      <c r="B19" s="32" t="s">
        <v>72</v>
      </c>
      <c r="C19" s="59" t="s">
        <v>357</v>
      </c>
      <c r="D19" s="43">
        <v>5</v>
      </c>
      <c r="E19" s="57" t="s">
        <v>14</v>
      </c>
      <c r="F19" s="43" t="s">
        <v>1939</v>
      </c>
    </row>
    <row r="20" spans="1:7" ht="15.75" x14ac:dyDescent="0.25">
      <c r="A20" s="28" t="s">
        <v>1929</v>
      </c>
      <c r="B20" s="32" t="s">
        <v>72</v>
      </c>
      <c r="C20" s="58" t="s">
        <v>365</v>
      </c>
      <c r="D20" s="31">
        <v>0</v>
      </c>
      <c r="E20" s="56" t="s">
        <v>14</v>
      </c>
      <c r="F20" s="31" t="s">
        <v>1934</v>
      </c>
      <c r="G20" s="34"/>
    </row>
    <row r="21" spans="1:7" ht="15.75" x14ac:dyDescent="0.25">
      <c r="A21" s="37" t="s">
        <v>1929</v>
      </c>
      <c r="B21" s="32" t="s">
        <v>72</v>
      </c>
      <c r="C21" s="59" t="s">
        <v>379</v>
      </c>
      <c r="D21" s="43">
        <v>0</v>
      </c>
      <c r="E21" s="57" t="s">
        <v>26</v>
      </c>
      <c r="F21" s="43" t="s">
        <v>1934</v>
      </c>
    </row>
    <row r="22" spans="1:7" ht="15.75" x14ac:dyDescent="0.25">
      <c r="A22" s="28" t="s">
        <v>1929</v>
      </c>
      <c r="B22" s="32" t="s">
        <v>72</v>
      </c>
      <c r="C22" s="58" t="s">
        <v>371</v>
      </c>
      <c r="D22" s="31">
        <v>0</v>
      </c>
      <c r="E22" s="56" t="s">
        <v>14</v>
      </c>
      <c r="F22" s="31" t="s">
        <v>1934</v>
      </c>
      <c r="G22" s="34"/>
    </row>
    <row r="23" spans="1:7" ht="15.75" x14ac:dyDescent="0.25">
      <c r="A23" s="37" t="s">
        <v>1929</v>
      </c>
      <c r="B23" s="32" t="s">
        <v>72</v>
      </c>
      <c r="C23" s="59" t="s">
        <v>381</v>
      </c>
      <c r="D23" s="43">
        <v>0</v>
      </c>
      <c r="E23" s="57" t="s">
        <v>14</v>
      </c>
      <c r="F23" s="43" t="s">
        <v>1934</v>
      </c>
    </row>
    <row r="24" spans="1:7" ht="15.75" x14ac:dyDescent="0.25">
      <c r="A24" s="28" t="s">
        <v>1929</v>
      </c>
      <c r="B24" s="32" t="s">
        <v>72</v>
      </c>
      <c r="C24" s="58" t="s">
        <v>367</v>
      </c>
      <c r="D24" s="31">
        <v>0</v>
      </c>
      <c r="E24" s="56" t="s">
        <v>20</v>
      </c>
      <c r="F24" s="31" t="s">
        <v>1934</v>
      </c>
      <c r="G24" s="34"/>
    </row>
    <row r="25" spans="1:7" ht="15.75" x14ac:dyDescent="0.25">
      <c r="A25" s="37" t="s">
        <v>1929</v>
      </c>
      <c r="B25" s="32" t="s">
        <v>72</v>
      </c>
      <c r="C25" s="59" t="s">
        <v>375</v>
      </c>
      <c r="D25" s="43">
        <v>0</v>
      </c>
      <c r="E25" s="57" t="s">
        <v>14</v>
      </c>
      <c r="F25" s="43" t="s">
        <v>1934</v>
      </c>
    </row>
    <row r="26" spans="1:7" ht="15.75" x14ac:dyDescent="0.25">
      <c r="A26" s="28" t="s">
        <v>1929</v>
      </c>
      <c r="B26" s="32" t="s">
        <v>72</v>
      </c>
      <c r="C26" s="58" t="s">
        <v>352</v>
      </c>
      <c r="D26" s="31">
        <v>0</v>
      </c>
      <c r="E26" s="56" t="s">
        <v>14</v>
      </c>
      <c r="F26" s="31" t="s">
        <v>1934</v>
      </c>
      <c r="G26" s="34"/>
    </row>
    <row r="27" spans="1:7" ht="409.5" x14ac:dyDescent="0.25">
      <c r="A27" s="35" t="s">
        <v>1929</v>
      </c>
      <c r="B27" s="47" t="s">
        <v>388</v>
      </c>
      <c r="C27" s="59" t="s">
        <v>428</v>
      </c>
      <c r="D27" s="43">
        <v>85</v>
      </c>
      <c r="E27" s="57" t="s">
        <v>14</v>
      </c>
      <c r="F27" s="43" t="s">
        <v>1935</v>
      </c>
    </row>
    <row r="28" spans="1:7" ht="409.5" x14ac:dyDescent="0.25">
      <c r="A28" s="35" t="s">
        <v>1929</v>
      </c>
      <c r="B28" s="47" t="s">
        <v>388</v>
      </c>
      <c r="C28" s="58" t="s">
        <v>416</v>
      </c>
      <c r="D28" s="31">
        <v>85</v>
      </c>
      <c r="E28" s="56" t="s">
        <v>14</v>
      </c>
      <c r="F28" s="31" t="s">
        <v>1935</v>
      </c>
      <c r="G28" s="34"/>
    </row>
    <row r="29" spans="1:7" ht="409.5" x14ac:dyDescent="0.25">
      <c r="A29" s="35" t="s">
        <v>1929</v>
      </c>
      <c r="B29" s="47" t="s">
        <v>388</v>
      </c>
      <c r="C29" s="59" t="s">
        <v>412</v>
      </c>
      <c r="D29" s="43">
        <v>85</v>
      </c>
      <c r="E29" s="57" t="s">
        <v>14</v>
      </c>
      <c r="F29" s="43" t="s">
        <v>1935</v>
      </c>
    </row>
    <row r="30" spans="1:7" ht="409.5" x14ac:dyDescent="0.25">
      <c r="A30" s="35" t="s">
        <v>1929</v>
      </c>
      <c r="B30" s="47" t="s">
        <v>388</v>
      </c>
      <c r="C30" s="58" t="s">
        <v>402</v>
      </c>
      <c r="D30" s="31">
        <v>85</v>
      </c>
      <c r="E30" s="56" t="s">
        <v>14</v>
      </c>
      <c r="F30" s="31" t="s">
        <v>1935</v>
      </c>
      <c r="G30" s="34"/>
    </row>
    <row r="31" spans="1:7" ht="409.5" x14ac:dyDescent="0.25">
      <c r="A31" s="35" t="s">
        <v>1929</v>
      </c>
      <c r="B31" s="47" t="s">
        <v>388</v>
      </c>
      <c r="C31" s="59" t="s">
        <v>408</v>
      </c>
      <c r="D31" s="43">
        <v>85</v>
      </c>
      <c r="E31" s="57" t="s">
        <v>20</v>
      </c>
      <c r="F31" s="43" t="s">
        <v>1935</v>
      </c>
    </row>
    <row r="32" spans="1:7" ht="409.5" x14ac:dyDescent="0.25">
      <c r="A32" s="35" t="s">
        <v>1929</v>
      </c>
      <c r="B32" s="47" t="s">
        <v>388</v>
      </c>
      <c r="C32" s="58" t="s">
        <v>404</v>
      </c>
      <c r="D32" s="31">
        <v>45</v>
      </c>
      <c r="E32" s="56" t="s">
        <v>14</v>
      </c>
      <c r="F32" s="31" t="s">
        <v>1940</v>
      </c>
      <c r="G32" s="34"/>
    </row>
    <row r="33" spans="1:7" ht="180" x14ac:dyDescent="0.25">
      <c r="A33" s="35" t="s">
        <v>1929</v>
      </c>
      <c r="B33" s="47" t="s">
        <v>388</v>
      </c>
      <c r="C33" s="59" t="s">
        <v>422</v>
      </c>
      <c r="D33" s="43">
        <v>7</v>
      </c>
      <c r="E33" s="57" t="s">
        <v>14</v>
      </c>
      <c r="F33" s="43" t="s">
        <v>1941</v>
      </c>
    </row>
    <row r="34" spans="1:7" ht="90" x14ac:dyDescent="0.25">
      <c r="A34" s="35" t="s">
        <v>1929</v>
      </c>
      <c r="B34" s="47" t="s">
        <v>388</v>
      </c>
      <c r="C34" s="58" t="s">
        <v>394</v>
      </c>
      <c r="D34" s="31">
        <v>5</v>
      </c>
      <c r="E34" s="56" t="s">
        <v>14</v>
      </c>
      <c r="F34" s="31" t="s">
        <v>1942</v>
      </c>
      <c r="G34" s="34"/>
    </row>
    <row r="35" spans="1:7" ht="60" x14ac:dyDescent="0.25">
      <c r="A35" s="35" t="s">
        <v>1929</v>
      </c>
      <c r="B35" s="47" t="s">
        <v>388</v>
      </c>
      <c r="C35" s="59" t="s">
        <v>396</v>
      </c>
      <c r="D35" s="43">
        <v>2</v>
      </c>
      <c r="E35" s="57" t="s">
        <v>14</v>
      </c>
      <c r="F35" s="43" t="s">
        <v>1943</v>
      </c>
    </row>
    <row r="36" spans="1:7" ht="60" x14ac:dyDescent="0.25">
      <c r="A36" s="35" t="s">
        <v>1929</v>
      </c>
      <c r="B36" s="47" t="s">
        <v>388</v>
      </c>
      <c r="C36" s="58" t="s">
        <v>424</v>
      </c>
      <c r="D36" s="31">
        <v>2</v>
      </c>
      <c r="E36" s="56" t="s">
        <v>14</v>
      </c>
      <c r="F36" s="31" t="s">
        <v>1932</v>
      </c>
      <c r="G36" s="34"/>
    </row>
    <row r="37" spans="1:7" ht="15.75" x14ac:dyDescent="0.25">
      <c r="A37" s="35" t="s">
        <v>1929</v>
      </c>
      <c r="B37" s="47" t="s">
        <v>388</v>
      </c>
      <c r="C37" s="59" t="s">
        <v>420</v>
      </c>
      <c r="D37" s="43">
        <v>0</v>
      </c>
      <c r="E37" s="57" t="s">
        <v>14</v>
      </c>
      <c r="F37" s="43" t="s">
        <v>1934</v>
      </c>
    </row>
    <row r="38" spans="1:7" ht="15.75" x14ac:dyDescent="0.25">
      <c r="A38" s="35" t="s">
        <v>1929</v>
      </c>
      <c r="B38" s="47" t="s">
        <v>388</v>
      </c>
      <c r="C38" s="58" t="s">
        <v>400</v>
      </c>
      <c r="D38" s="31">
        <v>0</v>
      </c>
      <c r="E38" s="56" t="s">
        <v>14</v>
      </c>
      <c r="F38" s="31" t="s">
        <v>1934</v>
      </c>
      <c r="G38" s="34"/>
    </row>
    <row r="39" spans="1:7" ht="15.75" x14ac:dyDescent="0.25">
      <c r="A39" s="35" t="s">
        <v>1929</v>
      </c>
      <c r="B39" s="47" t="s">
        <v>388</v>
      </c>
      <c r="C39" s="59" t="s">
        <v>398</v>
      </c>
      <c r="D39" s="43">
        <v>0</v>
      </c>
      <c r="E39" s="57" t="s">
        <v>14</v>
      </c>
      <c r="F39" s="43" t="s">
        <v>1934</v>
      </c>
    </row>
    <row r="40" spans="1:7" ht="15.75" x14ac:dyDescent="0.25">
      <c r="A40" s="35" t="s">
        <v>1929</v>
      </c>
      <c r="B40" s="47" t="s">
        <v>388</v>
      </c>
      <c r="C40" s="58" t="s">
        <v>387</v>
      </c>
      <c r="D40" s="31">
        <v>0</v>
      </c>
      <c r="E40" s="56" t="s">
        <v>14</v>
      </c>
      <c r="F40" s="31" t="s">
        <v>1934</v>
      </c>
      <c r="G40" s="34"/>
    </row>
    <row r="41" spans="1:7" ht="15.75" x14ac:dyDescent="0.25">
      <c r="A41" s="35" t="s">
        <v>1929</v>
      </c>
      <c r="B41" s="47" t="s">
        <v>388</v>
      </c>
      <c r="C41" s="59" t="s">
        <v>426</v>
      </c>
      <c r="D41" s="43">
        <v>0</v>
      </c>
      <c r="E41" s="57" t="s">
        <v>14</v>
      </c>
      <c r="F41" s="43" t="s">
        <v>1934</v>
      </c>
    </row>
    <row r="42" spans="1:7" x14ac:dyDescent="0.25">
      <c r="A42" s="35" t="s">
        <v>1929</v>
      </c>
      <c r="B42" s="28"/>
      <c r="C42" s="28"/>
      <c r="D42" s="31"/>
      <c r="E42" s="28"/>
      <c r="F42" s="31"/>
      <c r="G42" s="34"/>
    </row>
    <row r="43" spans="1:7" x14ac:dyDescent="0.25">
      <c r="A43" s="35" t="s">
        <v>1944</v>
      </c>
      <c r="B43" s="37"/>
      <c r="C43" s="37"/>
      <c r="D43" s="43"/>
      <c r="E43" s="37"/>
      <c r="F43" s="43"/>
    </row>
    <row r="44" spans="1:7" x14ac:dyDescent="0.25">
      <c r="A44" s="35" t="s">
        <v>1945</v>
      </c>
      <c r="B44" s="28"/>
      <c r="C44" s="28"/>
      <c r="D44" s="31"/>
      <c r="E44" s="28"/>
      <c r="F44" s="31"/>
      <c r="G44" s="34"/>
    </row>
    <row r="45" spans="1:7" ht="15.75" x14ac:dyDescent="0.25">
      <c r="A45" s="35" t="s">
        <v>1945</v>
      </c>
      <c r="B45" s="47" t="s">
        <v>388</v>
      </c>
      <c r="C45" s="37" t="s">
        <v>1946</v>
      </c>
      <c r="D45" s="43">
        <v>10</v>
      </c>
      <c r="E45" s="57" t="s">
        <v>42</v>
      </c>
      <c r="F45" s="43"/>
    </row>
    <row r="46" spans="1:7" ht="15.75" x14ac:dyDescent="0.25">
      <c r="A46" s="35" t="s">
        <v>1945</v>
      </c>
      <c r="B46" s="47" t="s">
        <v>388</v>
      </c>
      <c r="C46" s="28" t="s">
        <v>1947</v>
      </c>
      <c r="D46" s="31">
        <v>8</v>
      </c>
      <c r="E46" s="56" t="s">
        <v>42</v>
      </c>
      <c r="F46" s="31"/>
      <c r="G46" s="34"/>
    </row>
    <row r="47" spans="1:7" ht="15.75" x14ac:dyDescent="0.25">
      <c r="A47" s="35" t="s">
        <v>1945</v>
      </c>
      <c r="B47" s="47" t="s">
        <v>388</v>
      </c>
      <c r="C47" s="37" t="s">
        <v>1948</v>
      </c>
      <c r="D47" s="43">
        <v>2</v>
      </c>
      <c r="E47" s="57" t="s">
        <v>42</v>
      </c>
      <c r="F47" s="43"/>
    </row>
    <row r="48" spans="1:7" ht="15.75" x14ac:dyDescent="0.25">
      <c r="A48" s="35" t="s">
        <v>1945</v>
      </c>
      <c r="B48" s="47" t="s">
        <v>388</v>
      </c>
      <c r="C48" s="28" t="s">
        <v>1949</v>
      </c>
      <c r="D48" s="31">
        <v>1</v>
      </c>
      <c r="E48" s="56" t="s">
        <v>42</v>
      </c>
      <c r="F48" s="31"/>
      <c r="G48" s="34"/>
    </row>
    <row r="49" spans="1:7" ht="15.75" x14ac:dyDescent="0.25">
      <c r="A49" s="35" t="s">
        <v>1945</v>
      </c>
      <c r="B49" s="47" t="s">
        <v>388</v>
      </c>
      <c r="C49" s="37" t="s">
        <v>1950</v>
      </c>
      <c r="D49" s="43">
        <v>1</v>
      </c>
      <c r="E49" s="57" t="s">
        <v>42</v>
      </c>
      <c r="F49" s="43"/>
    </row>
    <row r="50" spans="1:7" ht="15.75" x14ac:dyDescent="0.25">
      <c r="A50" s="35" t="s">
        <v>1945</v>
      </c>
      <c r="B50" s="47" t="s">
        <v>388</v>
      </c>
      <c r="C50" s="28" t="s">
        <v>1951</v>
      </c>
      <c r="D50" s="31">
        <v>1</v>
      </c>
      <c r="E50" s="56" t="s">
        <v>42</v>
      </c>
      <c r="F50" s="31"/>
      <c r="G50" s="34"/>
    </row>
    <row r="51" spans="1:7" ht="15.75" x14ac:dyDescent="0.25">
      <c r="A51" s="35" t="s">
        <v>1945</v>
      </c>
      <c r="B51" s="47" t="s">
        <v>388</v>
      </c>
      <c r="C51" s="37" t="s">
        <v>1952</v>
      </c>
      <c r="D51" s="43">
        <v>1</v>
      </c>
      <c r="E51" s="57" t="s">
        <v>42</v>
      </c>
      <c r="F51" s="43"/>
    </row>
    <row r="52" spans="1:7" ht="15.75" x14ac:dyDescent="0.25">
      <c r="A52" s="35" t="s">
        <v>1945</v>
      </c>
      <c r="B52" s="47" t="s">
        <v>388</v>
      </c>
      <c r="C52" s="28" t="s">
        <v>1953</v>
      </c>
      <c r="D52" s="31">
        <v>1</v>
      </c>
      <c r="E52" s="56" t="s">
        <v>42</v>
      </c>
      <c r="F52" s="31"/>
      <c r="G52" s="34"/>
    </row>
    <row r="53" spans="1:7" ht="15.75" x14ac:dyDescent="0.25">
      <c r="A53" s="35" t="s">
        <v>1945</v>
      </c>
      <c r="B53" s="47" t="s">
        <v>388</v>
      </c>
      <c r="C53" s="37" t="s">
        <v>1954</v>
      </c>
      <c r="D53" s="43">
        <v>1</v>
      </c>
      <c r="E53" s="57" t="s">
        <v>42</v>
      </c>
      <c r="F53" s="43"/>
    </row>
    <row r="54" spans="1:7" ht="15.75" x14ac:dyDescent="0.25">
      <c r="A54" s="35" t="s">
        <v>1945</v>
      </c>
      <c r="B54" s="47" t="s">
        <v>388</v>
      </c>
      <c r="C54" s="28" t="s">
        <v>1955</v>
      </c>
      <c r="D54" s="31">
        <v>1</v>
      </c>
      <c r="E54" s="56" t="s">
        <v>42</v>
      </c>
      <c r="F54" s="31"/>
      <c r="G54" s="34"/>
    </row>
    <row r="55" spans="1:7" ht="15.75" x14ac:dyDescent="0.25">
      <c r="A55" s="35" t="s">
        <v>1945</v>
      </c>
      <c r="B55" s="47" t="s">
        <v>388</v>
      </c>
      <c r="C55" s="37" t="s">
        <v>1956</v>
      </c>
      <c r="D55" s="43">
        <v>1</v>
      </c>
      <c r="E55" s="57" t="s">
        <v>42</v>
      </c>
      <c r="F55" s="43"/>
    </row>
    <row r="56" spans="1:7" ht="15.75" x14ac:dyDescent="0.25">
      <c r="A56" s="35" t="s">
        <v>1945</v>
      </c>
      <c r="B56" s="47" t="s">
        <v>388</v>
      </c>
      <c r="C56" s="28" t="s">
        <v>1957</v>
      </c>
      <c r="D56" s="31">
        <v>1</v>
      </c>
      <c r="E56" s="56" t="s">
        <v>42</v>
      </c>
      <c r="F56" s="31"/>
      <c r="G56" s="34"/>
    </row>
    <row r="57" spans="1:7" ht="15.75" x14ac:dyDescent="0.25">
      <c r="A57" s="35" t="s">
        <v>1945</v>
      </c>
      <c r="B57" s="47" t="s">
        <v>388</v>
      </c>
      <c r="C57" s="37" t="s">
        <v>1958</v>
      </c>
      <c r="D57" s="43">
        <v>1</v>
      </c>
      <c r="E57" s="57" t="s">
        <v>42</v>
      </c>
      <c r="F57" s="43"/>
    </row>
    <row r="58" spans="1:7" ht="15.75" x14ac:dyDescent="0.25">
      <c r="A58" s="35" t="s">
        <v>1945</v>
      </c>
      <c r="B58" s="47" t="s">
        <v>388</v>
      </c>
      <c r="C58" s="28" t="s">
        <v>1959</v>
      </c>
      <c r="D58" s="31">
        <v>1</v>
      </c>
      <c r="E58" s="56" t="s">
        <v>42</v>
      </c>
      <c r="F58" s="31"/>
      <c r="G58" s="34"/>
    </row>
    <row r="59" spans="1:7" ht="15.75" x14ac:dyDescent="0.25">
      <c r="A59" s="35" t="s">
        <v>1945</v>
      </c>
      <c r="B59" s="47" t="s">
        <v>388</v>
      </c>
      <c r="C59" s="37" t="s">
        <v>1960</v>
      </c>
      <c r="D59" s="43">
        <v>1</v>
      </c>
      <c r="E59" s="57" t="s">
        <v>42</v>
      </c>
      <c r="F59" s="43"/>
    </row>
    <row r="60" spans="1:7" ht="15.75" x14ac:dyDescent="0.25">
      <c r="A60" s="35" t="s">
        <v>1945</v>
      </c>
      <c r="B60" s="47" t="s">
        <v>388</v>
      </c>
      <c r="C60" s="28" t="s">
        <v>1961</v>
      </c>
      <c r="D60" s="31">
        <v>1</v>
      </c>
      <c r="E60" s="56" t="s">
        <v>42</v>
      </c>
      <c r="F60" s="31"/>
      <c r="G60" s="34"/>
    </row>
    <row r="61" spans="1:7" ht="15.75" x14ac:dyDescent="0.25">
      <c r="A61" s="35" t="s">
        <v>1945</v>
      </c>
      <c r="B61" s="47" t="s">
        <v>388</v>
      </c>
      <c r="C61" s="37" t="s">
        <v>1962</v>
      </c>
      <c r="D61" s="43">
        <v>1</v>
      </c>
      <c r="E61" s="57" t="s">
        <v>42</v>
      </c>
      <c r="F61" s="43"/>
    </row>
    <row r="62" spans="1:7" ht="15.75" x14ac:dyDescent="0.25">
      <c r="A62" s="35" t="s">
        <v>1945</v>
      </c>
      <c r="B62" s="47" t="s">
        <v>388</v>
      </c>
      <c r="C62" s="28" t="s">
        <v>1963</v>
      </c>
      <c r="D62" s="31">
        <v>1</v>
      </c>
      <c r="E62" s="56" t="s">
        <v>42</v>
      </c>
      <c r="F62" s="31"/>
      <c r="G62" s="34"/>
    </row>
    <row r="63" spans="1:7" ht="15.75" x14ac:dyDescent="0.25">
      <c r="A63" s="35" t="s">
        <v>1945</v>
      </c>
      <c r="B63" s="47" t="s">
        <v>388</v>
      </c>
      <c r="C63" s="37" t="s">
        <v>1964</v>
      </c>
      <c r="D63" s="43">
        <v>1</v>
      </c>
      <c r="E63" s="57" t="s">
        <v>42</v>
      </c>
      <c r="F63" s="43"/>
    </row>
    <row r="64" spans="1:7" ht="15.75" x14ac:dyDescent="0.25">
      <c r="A64" s="35" t="s">
        <v>1945</v>
      </c>
      <c r="B64" s="47" t="s">
        <v>388</v>
      </c>
      <c r="C64" s="28" t="s">
        <v>1965</v>
      </c>
      <c r="D64" s="31">
        <v>1</v>
      </c>
      <c r="E64" s="56" t="s">
        <v>42</v>
      </c>
      <c r="F64" s="31"/>
      <c r="G64" s="34"/>
    </row>
  </sheetData>
  <autoFilter ref="A1:G64" xr:uid="{00000000-0009-0000-0000-000010000000}"/>
  <dataValidations count="8">
    <dataValidation type="custom" allowBlank="1" showInputMessage="1" promptTitle="Section" prompt="Summary grouping/navigation field. Use with hyperlinks to jump into detailed tabs." sqref="A1" xr:uid="{00000000-0002-0000-1000-000000000000}">
      <formula1>TRUE</formula1>
    </dataValidation>
    <dataValidation type="custom" allowBlank="1" showInputMessage="1" promptTitle="Severity" prompt="Issue impact level. Fix: Resolve Critical first, then Warning, then improvement opportunities." sqref="B1" xr:uid="{00000000-0002-0000-1000-000001000000}">
      <formula1>TRUE</formula1>
    </dataValidation>
    <dataValidation type="custom" allowBlank="1" showInputMessage="1" promptTitle="Issue" prompt="Issue. Review this metric to identify risk, then use linked tabs for details and remediation." sqref="C1" xr:uid="{00000000-0002-0000-1000-000002000000}">
      <formula1>TRUE</formula1>
    </dataValidation>
    <dataValidation type="custom" allowBlank="1" showInputMessage="1" promptTitle="Affected URL Count" prompt="Affected URL Count. Use this URL to inspect the page directly or jump to related tabs." sqref="D1" xr:uid="{00000000-0002-0000-1000-000003000000}">
      <formula1>TRUE</formula1>
    </dataValidation>
    <dataValidation type="custom" allowBlank="1" showInputMessage="1" promptTitle="Reference Tab" prompt="Summary grouping/navigation field. Use with hyperlinks to jump into detailed tabs." sqref="E1" xr:uid="{00000000-0002-0000-1000-000004000000}">
      <formula1>TRUE</formula1>
    </dataValidation>
    <dataValidation type="custom" allowBlank="1" showInputMessage="1" promptTitle="Affected URLs (sample)" prompt="Affected URLs (sample). Use this URL to inspect the page directly or jump to related tabs." sqref="F1" xr:uid="{00000000-0002-0000-1000-000005000000}">
      <formula1>TRUE</formula1>
    </dataValidation>
    <dataValidation type="custom" allowBlank="1" showInputMessage="1" promptTitle="BACK TO DASHBOARD" prompt="BACK TO DASHBOARD. Review this metric to identify risk, then use linked tabs for details and remediation." sqref="G1" xr:uid="{00000000-0002-0000-1000-000006000000}">
      <formula1>TRUE</formula1>
    </dataValidation>
    <dataValidation type="custom" allowBlank="1" showInputMessage="1" promptTitle="Severity" prompt="Impact level of the issue. Fix: Resolve Critical first, then Warning, then Observation opportunities." sqref="B1" xr:uid="{00000000-0002-0000-1000-000007000000}">
      <formula1>TRUE</formula1>
    </dataValidation>
  </dataValidations>
  <hyperlinks>
    <hyperlink ref="G1" location="Dashboard!A1" display="BACK TO DASHBOARD" xr:uid="{00000000-0004-0000-1000-000000000000}"/>
    <hyperlink ref="C2" location="FixPlan!A20" display="Low AEO Readiness Score" xr:uid="{00000000-0004-0000-1000-000001000000}"/>
    <hyperlink ref="E2" location="AEO!A1" display="AEO" xr:uid="{00000000-0004-0000-1000-000002000000}"/>
    <hyperlink ref="C3" location="FixPlan!A14" display="Missing FAQ/QA Schema" xr:uid="{00000000-0004-0000-1000-000003000000}"/>
    <hyperlink ref="E3" location="AEO!A1" display="AEO" xr:uid="{00000000-0004-0000-1000-000004000000}"/>
    <hyperlink ref="C4" location="FixPlan!A30" display="No 40-60 Word Answer Paragraphs" xr:uid="{00000000-0004-0000-1000-000005000000}"/>
    <hyperlink ref="E4" location="AEO!A1" display="AEO" xr:uid="{00000000-0004-0000-1000-000006000000}"/>
    <hyperlink ref="C5" location="FixPlan!A29" display="No Answer-Friendly Structure" xr:uid="{00000000-0004-0000-1000-000007000000}"/>
    <hyperlink ref="E5" location="AEO!A1" display="AEO" xr:uid="{00000000-0004-0000-1000-000008000000}"/>
    <hyperlink ref="C6" location="FixPlan!A28" display="No Question Headings" xr:uid="{00000000-0004-0000-1000-000009000000}"/>
    <hyperlink ref="E6" location="AEO!A1" display="AEO" xr:uid="{00000000-0004-0000-1000-00000A000000}"/>
    <hyperlink ref="C8" location="FixPlan!A8" display="Broken Internal Links" xr:uid="{00000000-0004-0000-1000-00000B000000}"/>
    <hyperlink ref="E8" location="Links!A1" display="Links" xr:uid="{00000000-0004-0000-1000-00000C000000}"/>
    <hyperlink ref="C9" location="FixPlan!A7" display="CWV LCP Above 4.0s" xr:uid="{00000000-0004-0000-1000-00000D000000}"/>
    <hyperlink ref="E9" location="Technical!A1" display="Technical" xr:uid="{00000000-0004-0000-1000-00000E000000}"/>
    <hyperlink ref="C10" location="FixPlan!A3" display="Missing Title" xr:uid="{00000000-0004-0000-1000-00000F000000}"/>
    <hyperlink ref="E10" location="Technical!A1" display="Technical" xr:uid="{00000000-0004-0000-1000-000010000000}"/>
    <hyperlink ref="C11" location="FixPlan!A2" display="Non-200 Status" xr:uid="{00000000-0004-0000-1000-000011000000}"/>
    <hyperlink ref="E11" location="Technical!A1" display="Technical" xr:uid="{00000000-0004-0000-1000-000012000000}"/>
    <hyperlink ref="C12" location="FixPlan!A4" display="Noindex Directive" xr:uid="{00000000-0004-0000-1000-000013000000}"/>
    <hyperlink ref="E12" location="Indexability!A1" display="Indexability" xr:uid="{00000000-0004-0000-1000-000014000000}"/>
    <hyperlink ref="C13" location="FixPlan!A5" display="Canonical Points Elsewhere" xr:uid="{00000000-0004-0000-1000-000015000000}"/>
    <hyperlink ref="E13" location="Indexability!A1" display="Indexability" xr:uid="{00000000-0004-0000-1000-000016000000}"/>
    <hyperlink ref="C14" location="FixPlan!A6" display="Robots.txt Disallow Root" xr:uid="{00000000-0004-0000-1000-000017000000}"/>
    <hyperlink ref="E14" location="Technical!A1" display="Technical" xr:uid="{00000000-0004-0000-1000-000018000000}"/>
    <hyperlink ref="C15" location="FixPlan!A20" display="Low AEO Readiness Score" xr:uid="{00000000-0004-0000-1000-000019000000}"/>
    <hyperlink ref="E15" location="AEO!A1" display="AEO" xr:uid="{00000000-0004-0000-1000-00001A000000}"/>
    <hyperlink ref="C16" location="FixPlan!A16" display="Low Image Alt Coverage" xr:uid="{00000000-0004-0000-1000-00001B000000}"/>
    <hyperlink ref="E16" location="Technical!A1" display="Technical" xr:uid="{00000000-0004-0000-1000-00001C000000}"/>
    <hyperlink ref="C17" location="FixPlan!A11" display="Missing H1" xr:uid="{00000000-0004-0000-1000-00001D000000}"/>
    <hyperlink ref="E17" location="Technical!A1" display="Technical" xr:uid="{00000000-0004-0000-1000-00001E000000}"/>
    <hyperlink ref="C18" location="FixPlan!A12" display="Multiple H1" xr:uid="{00000000-0004-0000-1000-00001F000000}"/>
    <hyperlink ref="E18" location="Technical!A1" display="Technical" xr:uid="{00000000-0004-0000-1000-000020000000}"/>
    <hyperlink ref="C19" location="FixPlan!A10" display="Missing Meta Description" xr:uid="{00000000-0004-0000-1000-000021000000}"/>
    <hyperlink ref="E19" location="Technical!A1" display="Technical" xr:uid="{00000000-0004-0000-1000-000022000000}"/>
    <hyperlink ref="C20" location="FixPlan!A13" display="CWV LCP Needs Improvement (2.5-4.0s)" xr:uid="{00000000-0004-0000-1000-000023000000}"/>
    <hyperlink ref="E20" location="Technical!A1" display="Technical" xr:uid="{00000000-0004-0000-1000-000024000000}"/>
    <hyperlink ref="C21" location="FixPlan!A18" display="Canonical Missing" xr:uid="{00000000-0004-0000-1000-000025000000}"/>
    <hyperlink ref="E21" location="Indexability!A1" display="Indexability" xr:uid="{00000000-0004-0000-1000-000026000000}"/>
    <hyperlink ref="C22" location="FixPlan!A15" display="Deep URL (&gt;3 clicks)" xr:uid="{00000000-0004-0000-1000-000027000000}"/>
    <hyperlink ref="E22" location="Technical!A1" display="Technical" xr:uid="{00000000-0004-0000-1000-000028000000}"/>
    <hyperlink ref="C23" location="FixPlan!A19" display="Hreflang Without Reciprocity" xr:uid="{00000000-0004-0000-1000-000029000000}"/>
    <hyperlink ref="E23" location="Technical!A1" display="Technical" xr:uid="{00000000-0004-0000-1000-00002A000000}"/>
    <hyperlink ref="C24" location="FixPlan!A14" display="Missing FAQ/QA Schema" xr:uid="{00000000-0004-0000-1000-00002B000000}"/>
    <hyperlink ref="E24" location="AEO!A1" display="AEO" xr:uid="{00000000-0004-0000-1000-00002C000000}"/>
    <hyperlink ref="C25" location="FixPlan!A17" display="Mixed Content" xr:uid="{00000000-0004-0000-1000-00002D000000}"/>
    <hyperlink ref="E25" location="Technical!A1" display="Technical" xr:uid="{00000000-0004-0000-1000-00002E000000}"/>
    <hyperlink ref="C26" location="FixPlan!A9" display="Redirect Chains" xr:uid="{00000000-0004-0000-1000-00002F000000}"/>
    <hyperlink ref="E26" location="Technical!A1" display="Technical" xr:uid="{00000000-0004-0000-1000-000030000000}"/>
    <hyperlink ref="C27" location="FixPlan!A35" display="AI Crawlers Not Explicitly Allowed" xr:uid="{00000000-0004-0000-1000-000031000000}"/>
    <hyperlink ref="E27" location="Technical!A1" display="Technical" xr:uid="{00000000-0004-0000-1000-000032000000}"/>
    <hyperlink ref="C28" location="FixPlan!A30" display="No 40-60 Word Answer Paragraphs" xr:uid="{00000000-0004-0000-1000-000033000000}"/>
    <hyperlink ref="E28" location="Technical!A1" display="Technical" xr:uid="{00000000-0004-0000-1000-000034000000}"/>
    <hyperlink ref="C29" location="FixPlan!A29" display="No Answer-Friendly Structure" xr:uid="{00000000-0004-0000-1000-000035000000}"/>
    <hyperlink ref="E29" location="Technical!A1" display="Technical" xr:uid="{00000000-0004-0000-1000-000036000000}"/>
    <hyperlink ref="C30" location="FixPlan!A26" display="No ETag Header" xr:uid="{00000000-0004-0000-1000-000037000000}"/>
    <hyperlink ref="E30" location="Technical!A1" display="Technical" xr:uid="{00000000-0004-0000-1000-000038000000}"/>
    <hyperlink ref="C31" location="FixPlan!A28" display="No Question Headings" xr:uid="{00000000-0004-0000-1000-000039000000}"/>
    <hyperlink ref="E31" location="AEO!A1" display="AEO" xr:uid="{00000000-0004-0000-1000-00003A000000}"/>
    <hyperlink ref="C32" location="FixPlan!A27" display="Thin Content" xr:uid="{00000000-0004-0000-1000-00003B000000}"/>
    <hyperlink ref="E32" location="Technical!A1" display="Technical" xr:uid="{00000000-0004-0000-1000-00003C000000}"/>
    <hyperlink ref="C33" location="FixPlan!A32" display="CLS Above 0.1" xr:uid="{00000000-0004-0000-1000-00003D000000}"/>
    <hyperlink ref="E33" location="Technical!A1" display="Technical" xr:uid="{00000000-0004-0000-1000-00003E000000}"/>
    <hyperlink ref="C34" location="FixPlan!A22" display="Generic Anchor Text Present" xr:uid="{00000000-0004-0000-1000-00003F000000}"/>
    <hyperlink ref="E34" location="Technical!A1" display="Technical" xr:uid="{00000000-0004-0000-1000-000040000000}"/>
    <hyperlink ref="C35" location="FixPlan!A23" display="Image Filename Quality Issues" xr:uid="{00000000-0004-0000-1000-000041000000}"/>
    <hyperlink ref="E35" location="Technical!A1" display="Technical" xr:uid="{00000000-0004-0000-1000-000042000000}"/>
    <hyperlink ref="C36" location="FixPlan!A33" display="Low Regional Authority" xr:uid="{00000000-0004-0000-1000-000043000000}"/>
    <hyperlink ref="E36" location="Technical!A1" display="Technical" xr:uid="{00000000-0004-0000-1000-000044000000}"/>
    <hyperlink ref="C37" location="FixPlan!A31" display="INP Above 100ms" xr:uid="{00000000-0004-0000-1000-000045000000}"/>
    <hyperlink ref="E37" location="Technical!A1" display="Technical" xr:uid="{00000000-0004-0000-1000-000046000000}"/>
    <hyperlink ref="C38" location="FixPlan!A25" display="No Cache-Control Header" xr:uid="{00000000-0004-0000-1000-000047000000}"/>
    <hyperlink ref="E38" location="Technical!A1" display="Technical" xr:uid="{00000000-0004-0000-1000-000048000000}"/>
    <hyperlink ref="C39" location="FixPlan!A24" display="No Compression Header" xr:uid="{00000000-0004-0000-1000-000049000000}"/>
    <hyperlink ref="E39" location="Technical!A1" display="Technical" xr:uid="{00000000-0004-0000-1000-00004A000000}"/>
    <hyperlink ref="C40" location="FixPlan!A21" display="Uses URL Parameters" xr:uid="{00000000-0004-0000-1000-00004B000000}"/>
    <hyperlink ref="E40" location="Technical!A1" display="Technical" xr:uid="{00000000-0004-0000-1000-00004C000000}"/>
    <hyperlink ref="C41" location="FixPlan!A34" display="llms.txt Missing" xr:uid="{00000000-0004-0000-1000-00004D000000}"/>
    <hyperlink ref="E41" location="Technical!A1" display="Technical" xr:uid="{00000000-0004-0000-1000-00004E000000}"/>
    <hyperlink ref="E45" location="Pattern and Template Issues!A1" display="Pattern and Template Issues" xr:uid="{00000000-0004-0000-1000-00004F000000}"/>
    <hyperlink ref="E46" location="Pattern and Template Issues!A1" display="Pattern and Template Issues" xr:uid="{00000000-0004-0000-1000-000050000000}"/>
    <hyperlink ref="E47" location="Pattern and Template Issues!A1" display="Pattern and Template Issues" xr:uid="{00000000-0004-0000-1000-000051000000}"/>
    <hyperlink ref="E48" location="Pattern and Template Issues!A1" display="Pattern and Template Issues" xr:uid="{00000000-0004-0000-1000-000052000000}"/>
    <hyperlink ref="E49" location="Pattern and Template Issues!A1" display="Pattern and Template Issues" xr:uid="{00000000-0004-0000-1000-000053000000}"/>
    <hyperlink ref="E50" location="Pattern and Template Issues!A1" display="Pattern and Template Issues" xr:uid="{00000000-0004-0000-1000-000054000000}"/>
    <hyperlink ref="E51" location="Pattern and Template Issues!A1" display="Pattern and Template Issues" xr:uid="{00000000-0004-0000-1000-000055000000}"/>
    <hyperlink ref="E52" location="Pattern and Template Issues!A1" display="Pattern and Template Issues" xr:uid="{00000000-0004-0000-1000-000056000000}"/>
    <hyperlink ref="E53" location="Pattern and Template Issues!A1" display="Pattern and Template Issues" xr:uid="{00000000-0004-0000-1000-000057000000}"/>
    <hyperlink ref="E54" location="Pattern and Template Issues!A1" display="Pattern and Template Issues" xr:uid="{00000000-0004-0000-1000-000058000000}"/>
    <hyperlink ref="E55" location="Pattern and Template Issues!A1" display="Pattern and Template Issues" xr:uid="{00000000-0004-0000-1000-000059000000}"/>
    <hyperlink ref="E56" location="Pattern and Template Issues!A1" display="Pattern and Template Issues" xr:uid="{00000000-0004-0000-1000-00005A000000}"/>
    <hyperlink ref="E57" location="Pattern and Template Issues!A1" display="Pattern and Template Issues" xr:uid="{00000000-0004-0000-1000-00005B000000}"/>
    <hyperlink ref="E58" location="Pattern and Template Issues!A1" display="Pattern and Template Issues" xr:uid="{00000000-0004-0000-1000-00005C000000}"/>
    <hyperlink ref="E59" location="Pattern and Template Issues!A1" display="Pattern and Template Issues" xr:uid="{00000000-0004-0000-1000-00005D000000}"/>
    <hyperlink ref="E60" location="Pattern and Template Issues!A1" display="Pattern and Template Issues" xr:uid="{00000000-0004-0000-1000-00005E000000}"/>
    <hyperlink ref="E61" location="Pattern and Template Issues!A1" display="Pattern and Template Issues" xr:uid="{00000000-0004-0000-1000-00005F000000}"/>
    <hyperlink ref="E62" location="Pattern and Template Issues!A1" display="Pattern and Template Issues" xr:uid="{00000000-0004-0000-1000-000060000000}"/>
    <hyperlink ref="E63" location="Pattern and Template Issues!A1" display="Pattern and Template Issues" xr:uid="{00000000-0004-0000-1000-000061000000}"/>
    <hyperlink ref="E64" location="Pattern and Template Issues!A1" display="Pattern and Template Issues" xr:uid="{00000000-0004-0000-1000-000062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4006"/>
  <sheetViews>
    <sheetView workbookViewId="0">
      <pane xSplit="2" ySplit="1" topLeftCell="C2" activePane="bottomRight" state="frozen"/>
      <selection pane="topRight"/>
      <selection pane="bottomLeft"/>
      <selection pane="bottomRight"/>
    </sheetView>
  </sheetViews>
  <sheetFormatPr defaultRowHeight="15" x14ac:dyDescent="0.25"/>
  <cols>
    <col min="1" max="3" width="60" customWidth="1"/>
    <col min="4" max="4" width="10" customWidth="1"/>
    <col min="5" max="5" width="11" customWidth="1"/>
    <col min="6" max="6" width="10" customWidth="1"/>
    <col min="7" max="7" width="28" customWidth="1"/>
    <col min="8" max="8" width="11" customWidth="1"/>
  </cols>
  <sheetData>
    <row r="1" spans="1:9" ht="45" x14ac:dyDescent="0.25">
      <c r="A1" s="27" t="s">
        <v>1966</v>
      </c>
      <c r="B1" s="27" t="s">
        <v>1967</v>
      </c>
      <c r="C1" s="27" t="s">
        <v>1968</v>
      </c>
      <c r="D1" s="27" t="s">
        <v>1969</v>
      </c>
      <c r="E1" s="27" t="s">
        <v>1970</v>
      </c>
      <c r="F1" s="27" t="s">
        <v>1971</v>
      </c>
      <c r="G1" s="27" t="s">
        <v>1972</v>
      </c>
      <c r="H1" s="27" t="s">
        <v>1973</v>
      </c>
      <c r="I1" s="36" t="s">
        <v>251</v>
      </c>
    </row>
    <row r="2" spans="1:9" x14ac:dyDescent="0.25">
      <c r="A2" s="54" t="s">
        <v>127</v>
      </c>
      <c r="B2" s="31" t="s">
        <v>127</v>
      </c>
      <c r="C2" s="28"/>
      <c r="D2" s="28"/>
      <c r="E2" s="28" t="s">
        <v>1974</v>
      </c>
      <c r="F2" s="28" t="b">
        <v>0</v>
      </c>
      <c r="G2" s="28">
        <v>200</v>
      </c>
      <c r="H2" s="28" t="b">
        <v>1</v>
      </c>
      <c r="I2" s="34"/>
    </row>
    <row r="3" spans="1:9" x14ac:dyDescent="0.25">
      <c r="A3" s="54" t="s">
        <v>127</v>
      </c>
      <c r="B3" s="43" t="s">
        <v>127</v>
      </c>
      <c r="C3" s="37" t="s">
        <v>1975</v>
      </c>
      <c r="D3" s="37"/>
      <c r="E3" s="37" t="s">
        <v>1974</v>
      </c>
      <c r="F3" s="37" t="b">
        <v>0</v>
      </c>
      <c r="G3" s="37">
        <v>200</v>
      </c>
      <c r="H3" s="37" t="b">
        <v>1</v>
      </c>
    </row>
    <row r="4" spans="1:9" x14ac:dyDescent="0.25">
      <c r="A4" s="54" t="s">
        <v>127</v>
      </c>
      <c r="B4" s="31" t="s">
        <v>135</v>
      </c>
      <c r="C4" s="28" t="s">
        <v>1976</v>
      </c>
      <c r="D4" s="28"/>
      <c r="E4" s="28" t="s">
        <v>1974</v>
      </c>
      <c r="F4" s="28" t="b">
        <v>0</v>
      </c>
      <c r="G4" s="28">
        <v>200</v>
      </c>
      <c r="H4" s="28" t="b">
        <v>1</v>
      </c>
      <c r="I4" s="34"/>
    </row>
    <row r="5" spans="1:9" x14ac:dyDescent="0.25">
      <c r="A5" s="54" t="s">
        <v>127</v>
      </c>
      <c r="B5" s="43" t="s">
        <v>655</v>
      </c>
      <c r="C5" s="37" t="s">
        <v>1977</v>
      </c>
      <c r="D5" s="37"/>
      <c r="E5" s="37" t="s">
        <v>1974</v>
      </c>
      <c r="F5" s="37" t="b">
        <v>0</v>
      </c>
      <c r="G5" s="37">
        <v>200</v>
      </c>
      <c r="H5" s="37" t="b">
        <v>1</v>
      </c>
    </row>
    <row r="6" spans="1:9" x14ac:dyDescent="0.25">
      <c r="A6" s="54" t="s">
        <v>127</v>
      </c>
      <c r="B6" s="31" t="s">
        <v>635</v>
      </c>
      <c r="C6" s="28" t="s">
        <v>1978</v>
      </c>
      <c r="D6" s="28"/>
      <c r="E6" s="28" t="s">
        <v>1974</v>
      </c>
      <c r="F6" s="28" t="b">
        <v>0</v>
      </c>
      <c r="G6" s="28">
        <v>200</v>
      </c>
      <c r="H6" s="28" t="b">
        <v>1</v>
      </c>
      <c r="I6" s="34"/>
    </row>
    <row r="7" spans="1:9" ht="30" x14ac:dyDescent="0.25">
      <c r="A7" s="54" t="s">
        <v>127</v>
      </c>
      <c r="B7" s="43" t="s">
        <v>144</v>
      </c>
      <c r="C7" s="37" t="s">
        <v>1979</v>
      </c>
      <c r="D7" s="37"/>
      <c r="E7" s="37" t="s">
        <v>1974</v>
      </c>
      <c r="F7" s="37" t="b">
        <v>0</v>
      </c>
      <c r="G7" s="37">
        <v>200</v>
      </c>
      <c r="H7" s="37" t="b">
        <v>1</v>
      </c>
    </row>
    <row r="8" spans="1:9" x14ac:dyDescent="0.25">
      <c r="A8" s="54" t="s">
        <v>127</v>
      </c>
      <c r="B8" s="31" t="s">
        <v>618</v>
      </c>
      <c r="C8" s="28" t="s">
        <v>1980</v>
      </c>
      <c r="D8" s="28"/>
      <c r="E8" s="28" t="s">
        <v>1974</v>
      </c>
      <c r="F8" s="28" t="b">
        <v>0</v>
      </c>
      <c r="G8" s="28">
        <v>200</v>
      </c>
      <c r="H8" s="28" t="b">
        <v>1</v>
      </c>
      <c r="I8" s="34"/>
    </row>
    <row r="9" spans="1:9" ht="30" x14ac:dyDescent="0.25">
      <c r="A9" s="54" t="s">
        <v>127</v>
      </c>
      <c r="B9" s="43" t="s">
        <v>585</v>
      </c>
      <c r="C9" s="37" t="s">
        <v>1981</v>
      </c>
      <c r="D9" s="37"/>
      <c r="E9" s="37" t="s">
        <v>1974</v>
      </c>
      <c r="F9" s="37" t="b">
        <v>0</v>
      </c>
      <c r="G9" s="37">
        <v>200</v>
      </c>
      <c r="H9" s="37" t="b">
        <v>1</v>
      </c>
    </row>
    <row r="10" spans="1:9" ht="30" x14ac:dyDescent="0.25">
      <c r="A10" s="54" t="s">
        <v>127</v>
      </c>
      <c r="B10" s="31" t="s">
        <v>582</v>
      </c>
      <c r="C10" s="28" t="s">
        <v>1982</v>
      </c>
      <c r="D10" s="28"/>
      <c r="E10" s="28" t="s">
        <v>1974</v>
      </c>
      <c r="F10" s="28" t="b">
        <v>0</v>
      </c>
      <c r="G10" s="28">
        <v>200</v>
      </c>
      <c r="H10" s="28" t="b">
        <v>1</v>
      </c>
      <c r="I10" s="34"/>
    </row>
    <row r="11" spans="1:9" x14ac:dyDescent="0.25">
      <c r="A11" s="54" t="s">
        <v>127</v>
      </c>
      <c r="B11" s="43" t="s">
        <v>638</v>
      </c>
      <c r="C11" s="37" t="s">
        <v>1983</v>
      </c>
      <c r="D11" s="37"/>
      <c r="E11" s="37" t="s">
        <v>1974</v>
      </c>
      <c r="F11" s="37" t="b">
        <v>0</v>
      </c>
      <c r="G11" s="37">
        <v>200</v>
      </c>
      <c r="H11" s="37" t="b">
        <v>1</v>
      </c>
    </row>
    <row r="12" spans="1:9" x14ac:dyDescent="0.25">
      <c r="A12" s="54" t="s">
        <v>127</v>
      </c>
      <c r="B12" s="31" t="s">
        <v>638</v>
      </c>
      <c r="C12" s="28" t="s">
        <v>1984</v>
      </c>
      <c r="D12" s="28"/>
      <c r="E12" s="28" t="s">
        <v>1974</v>
      </c>
      <c r="F12" s="28" t="b">
        <v>0</v>
      </c>
      <c r="G12" s="28">
        <v>200</v>
      </c>
      <c r="H12" s="28" t="b">
        <v>1</v>
      </c>
      <c r="I12" s="34"/>
    </row>
    <row r="13" spans="1:9" x14ac:dyDescent="0.25">
      <c r="A13" s="54" t="s">
        <v>127</v>
      </c>
      <c r="B13" s="43" t="s">
        <v>647</v>
      </c>
      <c r="C13" s="37" t="s">
        <v>1985</v>
      </c>
      <c r="D13" s="37"/>
      <c r="E13" s="37" t="s">
        <v>1974</v>
      </c>
      <c r="F13" s="37" t="b">
        <v>0</v>
      </c>
      <c r="G13" s="37">
        <v>200</v>
      </c>
      <c r="H13" s="37" t="b">
        <v>1</v>
      </c>
    </row>
    <row r="14" spans="1:9" ht="30" x14ac:dyDescent="0.25">
      <c r="A14" s="54" t="s">
        <v>127</v>
      </c>
      <c r="B14" s="31" t="s">
        <v>503</v>
      </c>
      <c r="C14" s="28" t="s">
        <v>1986</v>
      </c>
      <c r="D14" s="28"/>
      <c r="E14" s="28" t="s">
        <v>1974</v>
      </c>
      <c r="F14" s="28" t="b">
        <v>0</v>
      </c>
      <c r="G14" s="28">
        <v>200</v>
      </c>
      <c r="H14" s="28" t="b">
        <v>1</v>
      </c>
      <c r="I14" s="34"/>
    </row>
    <row r="15" spans="1:9" x14ac:dyDescent="0.25">
      <c r="A15" s="54" t="s">
        <v>127</v>
      </c>
      <c r="B15" s="43" t="s">
        <v>608</v>
      </c>
      <c r="C15" s="37" t="s">
        <v>1987</v>
      </c>
      <c r="D15" s="37"/>
      <c r="E15" s="37" t="s">
        <v>1974</v>
      </c>
      <c r="F15" s="37" t="b">
        <v>0</v>
      </c>
      <c r="G15" s="37">
        <v>200</v>
      </c>
      <c r="H15" s="37" t="b">
        <v>1</v>
      </c>
    </row>
    <row r="16" spans="1:9" x14ac:dyDescent="0.25">
      <c r="A16" s="54" t="s">
        <v>127</v>
      </c>
      <c r="B16" s="31" t="s">
        <v>127</v>
      </c>
      <c r="C16" s="28" t="s">
        <v>1975</v>
      </c>
      <c r="D16" s="28"/>
      <c r="E16" s="28" t="s">
        <v>1974</v>
      </c>
      <c r="F16" s="28" t="b">
        <v>0</v>
      </c>
      <c r="G16" s="28">
        <v>200</v>
      </c>
      <c r="H16" s="28" t="b">
        <v>1</v>
      </c>
      <c r="I16" s="34"/>
    </row>
    <row r="17" spans="1:9" x14ac:dyDescent="0.25">
      <c r="A17" s="54" t="s">
        <v>127</v>
      </c>
      <c r="B17" s="43" t="s">
        <v>135</v>
      </c>
      <c r="C17" s="37" t="s">
        <v>1976</v>
      </c>
      <c r="D17" s="37"/>
      <c r="E17" s="37" t="s">
        <v>1974</v>
      </c>
      <c r="F17" s="37" t="b">
        <v>0</v>
      </c>
      <c r="G17" s="37">
        <v>200</v>
      </c>
      <c r="H17" s="37" t="b">
        <v>1</v>
      </c>
    </row>
    <row r="18" spans="1:9" x14ac:dyDescent="0.25">
      <c r="A18" s="54" t="s">
        <v>127</v>
      </c>
      <c r="B18" s="31" t="s">
        <v>655</v>
      </c>
      <c r="C18" s="28" t="s">
        <v>1977</v>
      </c>
      <c r="D18" s="28"/>
      <c r="E18" s="28" t="s">
        <v>1974</v>
      </c>
      <c r="F18" s="28" t="b">
        <v>0</v>
      </c>
      <c r="G18" s="28">
        <v>200</v>
      </c>
      <c r="H18" s="28" t="b">
        <v>1</v>
      </c>
      <c r="I18" s="34"/>
    </row>
    <row r="19" spans="1:9" x14ac:dyDescent="0.25">
      <c r="A19" s="54" t="s">
        <v>127</v>
      </c>
      <c r="B19" s="43" t="s">
        <v>635</v>
      </c>
      <c r="C19" s="37" t="s">
        <v>1978</v>
      </c>
      <c r="D19" s="37"/>
      <c r="E19" s="37" t="s">
        <v>1974</v>
      </c>
      <c r="F19" s="37" t="b">
        <v>0</v>
      </c>
      <c r="G19" s="37">
        <v>200</v>
      </c>
      <c r="H19" s="37" t="b">
        <v>1</v>
      </c>
    </row>
    <row r="20" spans="1:9" ht="30" x14ac:dyDescent="0.25">
      <c r="A20" s="54" t="s">
        <v>127</v>
      </c>
      <c r="B20" s="31" t="s">
        <v>144</v>
      </c>
      <c r="C20" s="28" t="s">
        <v>1979</v>
      </c>
      <c r="D20" s="28"/>
      <c r="E20" s="28" t="s">
        <v>1974</v>
      </c>
      <c r="F20" s="28" t="b">
        <v>0</v>
      </c>
      <c r="G20" s="28">
        <v>200</v>
      </c>
      <c r="H20" s="28" t="b">
        <v>1</v>
      </c>
      <c r="I20" s="34"/>
    </row>
    <row r="21" spans="1:9" x14ac:dyDescent="0.25">
      <c r="A21" s="54" t="s">
        <v>127</v>
      </c>
      <c r="B21" s="43" t="s">
        <v>618</v>
      </c>
      <c r="C21" s="37" t="s">
        <v>1980</v>
      </c>
      <c r="D21" s="37"/>
      <c r="E21" s="37" t="s">
        <v>1974</v>
      </c>
      <c r="F21" s="37" t="b">
        <v>0</v>
      </c>
      <c r="G21" s="37">
        <v>200</v>
      </c>
      <c r="H21" s="37" t="b">
        <v>1</v>
      </c>
    </row>
    <row r="22" spans="1:9" ht="30" x14ac:dyDescent="0.25">
      <c r="A22" s="54" t="s">
        <v>127</v>
      </c>
      <c r="B22" s="31" t="s">
        <v>585</v>
      </c>
      <c r="C22" s="28" t="s">
        <v>1981</v>
      </c>
      <c r="D22" s="28"/>
      <c r="E22" s="28" t="s">
        <v>1974</v>
      </c>
      <c r="F22" s="28" t="b">
        <v>0</v>
      </c>
      <c r="G22" s="28">
        <v>200</v>
      </c>
      <c r="H22" s="28" t="b">
        <v>1</v>
      </c>
      <c r="I22" s="34"/>
    </row>
    <row r="23" spans="1:9" ht="30" x14ac:dyDescent="0.25">
      <c r="A23" s="54" t="s">
        <v>127</v>
      </c>
      <c r="B23" s="43" t="s">
        <v>582</v>
      </c>
      <c r="C23" s="37" t="s">
        <v>1982</v>
      </c>
      <c r="D23" s="37"/>
      <c r="E23" s="37" t="s">
        <v>1974</v>
      </c>
      <c r="F23" s="37" t="b">
        <v>0</v>
      </c>
      <c r="G23" s="37">
        <v>200</v>
      </c>
      <c r="H23" s="37" t="b">
        <v>1</v>
      </c>
    </row>
    <row r="24" spans="1:9" x14ac:dyDescent="0.25">
      <c r="A24" s="54" t="s">
        <v>127</v>
      </c>
      <c r="B24" s="31" t="s">
        <v>638</v>
      </c>
      <c r="C24" s="28" t="s">
        <v>1983</v>
      </c>
      <c r="D24" s="28"/>
      <c r="E24" s="28" t="s">
        <v>1974</v>
      </c>
      <c r="F24" s="28" t="b">
        <v>0</v>
      </c>
      <c r="G24" s="28">
        <v>200</v>
      </c>
      <c r="H24" s="28" t="b">
        <v>1</v>
      </c>
      <c r="I24" s="34"/>
    </row>
    <row r="25" spans="1:9" x14ac:dyDescent="0.25">
      <c r="A25" s="54" t="s">
        <v>127</v>
      </c>
      <c r="B25" s="43" t="s">
        <v>638</v>
      </c>
      <c r="C25" s="37" t="s">
        <v>1984</v>
      </c>
      <c r="D25" s="37"/>
      <c r="E25" s="37" t="s">
        <v>1974</v>
      </c>
      <c r="F25" s="37" t="b">
        <v>0</v>
      </c>
      <c r="G25" s="37">
        <v>200</v>
      </c>
      <c r="H25" s="37" t="b">
        <v>1</v>
      </c>
    </row>
    <row r="26" spans="1:9" x14ac:dyDescent="0.25">
      <c r="A26" s="54" t="s">
        <v>127</v>
      </c>
      <c r="B26" s="31" t="s">
        <v>647</v>
      </c>
      <c r="C26" s="28" t="s">
        <v>1985</v>
      </c>
      <c r="D26" s="28"/>
      <c r="E26" s="28" t="s">
        <v>1974</v>
      </c>
      <c r="F26" s="28" t="b">
        <v>0</v>
      </c>
      <c r="G26" s="28">
        <v>200</v>
      </c>
      <c r="H26" s="28" t="b">
        <v>1</v>
      </c>
      <c r="I26" s="34"/>
    </row>
    <row r="27" spans="1:9" ht="30" x14ac:dyDescent="0.25">
      <c r="A27" s="54" t="s">
        <v>127</v>
      </c>
      <c r="B27" s="43" t="s">
        <v>503</v>
      </c>
      <c r="C27" s="37" t="s">
        <v>1986</v>
      </c>
      <c r="D27" s="37"/>
      <c r="E27" s="37" t="s">
        <v>1974</v>
      </c>
      <c r="F27" s="37" t="b">
        <v>0</v>
      </c>
      <c r="G27" s="37">
        <v>200</v>
      </c>
      <c r="H27" s="37" t="b">
        <v>1</v>
      </c>
    </row>
    <row r="28" spans="1:9" x14ac:dyDescent="0.25">
      <c r="A28" s="54" t="s">
        <v>127</v>
      </c>
      <c r="B28" s="31" t="s">
        <v>608</v>
      </c>
      <c r="C28" s="28" t="s">
        <v>1987</v>
      </c>
      <c r="D28" s="28"/>
      <c r="E28" s="28" t="s">
        <v>1974</v>
      </c>
      <c r="F28" s="28" t="b">
        <v>0</v>
      </c>
      <c r="G28" s="28">
        <v>200</v>
      </c>
      <c r="H28" s="28" t="b">
        <v>1</v>
      </c>
      <c r="I28" s="34"/>
    </row>
    <row r="29" spans="1:9" ht="30" x14ac:dyDescent="0.25">
      <c r="A29" s="54" t="s">
        <v>127</v>
      </c>
      <c r="B29" s="43" t="s">
        <v>503</v>
      </c>
      <c r="C29" s="37" t="s">
        <v>1988</v>
      </c>
      <c r="D29" s="37"/>
      <c r="E29" s="37" t="s">
        <v>1974</v>
      </c>
      <c r="F29" s="37" t="b">
        <v>0</v>
      </c>
      <c r="G29" s="37">
        <v>200</v>
      </c>
      <c r="H29" s="37" t="b">
        <v>1</v>
      </c>
    </row>
    <row r="30" spans="1:9" ht="30" x14ac:dyDescent="0.25">
      <c r="A30" s="54" t="s">
        <v>127</v>
      </c>
      <c r="B30" s="31" t="s">
        <v>503</v>
      </c>
      <c r="C30" s="28" t="s">
        <v>1988</v>
      </c>
      <c r="D30" s="28"/>
      <c r="E30" s="28" t="s">
        <v>1974</v>
      </c>
      <c r="F30" s="28" t="b">
        <v>0</v>
      </c>
      <c r="G30" s="28">
        <v>200</v>
      </c>
      <c r="H30" s="28" t="b">
        <v>1</v>
      </c>
      <c r="I30" s="34"/>
    </row>
    <row r="31" spans="1:9" ht="30" x14ac:dyDescent="0.25">
      <c r="A31" s="54" t="s">
        <v>127</v>
      </c>
      <c r="B31" s="43" t="s">
        <v>582</v>
      </c>
      <c r="C31" s="37" t="s">
        <v>1989</v>
      </c>
      <c r="D31" s="37"/>
      <c r="E31" s="37" t="s">
        <v>1974</v>
      </c>
      <c r="F31" s="37" t="b">
        <v>0</v>
      </c>
      <c r="G31" s="37">
        <v>200</v>
      </c>
      <c r="H31" s="37" t="b">
        <v>1</v>
      </c>
    </row>
    <row r="32" spans="1:9" x14ac:dyDescent="0.25">
      <c r="A32" s="54" t="s">
        <v>127</v>
      </c>
      <c r="B32" s="31" t="s">
        <v>135</v>
      </c>
      <c r="C32" s="28" t="s">
        <v>1990</v>
      </c>
      <c r="D32" s="28"/>
      <c r="E32" s="28" t="s">
        <v>1974</v>
      </c>
      <c r="F32" s="28" t="b">
        <v>0</v>
      </c>
      <c r="G32" s="28">
        <v>200</v>
      </c>
      <c r="H32" s="28" t="b">
        <v>1</v>
      </c>
      <c r="I32" s="34"/>
    </row>
    <row r="33" spans="1:9" ht="30" x14ac:dyDescent="0.25">
      <c r="A33" s="54" t="s">
        <v>127</v>
      </c>
      <c r="B33" s="43" t="s">
        <v>503</v>
      </c>
      <c r="C33" s="37" t="s">
        <v>1991</v>
      </c>
      <c r="D33" s="37"/>
      <c r="E33" s="37" t="s">
        <v>1974</v>
      </c>
      <c r="F33" s="37" t="b">
        <v>0</v>
      </c>
      <c r="G33" s="37">
        <v>200</v>
      </c>
      <c r="H33" s="37" t="b">
        <v>1</v>
      </c>
    </row>
    <row r="34" spans="1:9" ht="30" x14ac:dyDescent="0.25">
      <c r="A34" s="54" t="s">
        <v>127</v>
      </c>
      <c r="B34" s="31" t="s">
        <v>497</v>
      </c>
      <c r="C34" s="28" t="s">
        <v>1992</v>
      </c>
      <c r="D34" s="28"/>
      <c r="E34" s="28" t="s">
        <v>1974</v>
      </c>
      <c r="F34" s="28" t="b">
        <v>0</v>
      </c>
      <c r="G34" s="28">
        <v>200</v>
      </c>
      <c r="H34" s="28" t="b">
        <v>1</v>
      </c>
      <c r="I34" s="34"/>
    </row>
    <row r="35" spans="1:9" x14ac:dyDescent="0.25">
      <c r="A35" s="54" t="s">
        <v>127</v>
      </c>
      <c r="B35" s="43" t="s">
        <v>618</v>
      </c>
      <c r="C35" s="37" t="s">
        <v>1993</v>
      </c>
      <c r="D35" s="37"/>
      <c r="E35" s="37" t="s">
        <v>1974</v>
      </c>
      <c r="F35" s="37" t="b">
        <v>0</v>
      </c>
      <c r="G35" s="37">
        <v>200</v>
      </c>
      <c r="H35" s="37" t="b">
        <v>1</v>
      </c>
    </row>
    <row r="36" spans="1:9" x14ac:dyDescent="0.25">
      <c r="A36" s="54" t="s">
        <v>127</v>
      </c>
      <c r="B36" s="31" t="s">
        <v>647</v>
      </c>
      <c r="C36" s="28" t="s">
        <v>1994</v>
      </c>
      <c r="D36" s="28"/>
      <c r="E36" s="28" t="s">
        <v>1974</v>
      </c>
      <c r="F36" s="28" t="b">
        <v>0</v>
      </c>
      <c r="G36" s="28">
        <v>200</v>
      </c>
      <c r="H36" s="28" t="b">
        <v>1</v>
      </c>
      <c r="I36" s="34"/>
    </row>
    <row r="37" spans="1:9" x14ac:dyDescent="0.25">
      <c r="A37" s="54" t="s">
        <v>127</v>
      </c>
      <c r="B37" s="43" t="s">
        <v>638</v>
      </c>
      <c r="C37" s="37" t="s">
        <v>1994</v>
      </c>
      <c r="D37" s="37"/>
      <c r="E37" s="37" t="s">
        <v>1974</v>
      </c>
      <c r="F37" s="37" t="b">
        <v>0</v>
      </c>
      <c r="G37" s="37">
        <v>200</v>
      </c>
      <c r="H37" s="37" t="b">
        <v>1</v>
      </c>
    </row>
    <row r="38" spans="1:9" x14ac:dyDescent="0.25">
      <c r="A38" s="54" t="s">
        <v>127</v>
      </c>
      <c r="B38" s="31" t="s">
        <v>647</v>
      </c>
      <c r="C38" s="28" t="s">
        <v>1990</v>
      </c>
      <c r="D38" s="28"/>
      <c r="E38" s="28" t="s">
        <v>1974</v>
      </c>
      <c r="F38" s="28" t="b">
        <v>0</v>
      </c>
      <c r="G38" s="28">
        <v>200</v>
      </c>
      <c r="H38" s="28" t="b">
        <v>1</v>
      </c>
      <c r="I38" s="34"/>
    </row>
    <row r="39" spans="1:9" x14ac:dyDescent="0.25">
      <c r="A39" s="54" t="s">
        <v>127</v>
      </c>
      <c r="B39" s="43" t="s">
        <v>647</v>
      </c>
      <c r="C39" s="37" t="s">
        <v>1990</v>
      </c>
      <c r="D39" s="37"/>
      <c r="E39" s="37" t="s">
        <v>1974</v>
      </c>
      <c r="F39" s="37" t="b">
        <v>0</v>
      </c>
      <c r="G39" s="37">
        <v>200</v>
      </c>
      <c r="H39" s="37" t="b">
        <v>1</v>
      </c>
    </row>
    <row r="40" spans="1:9" x14ac:dyDescent="0.25">
      <c r="A40" s="54" t="s">
        <v>127</v>
      </c>
      <c r="B40" s="31" t="s">
        <v>647</v>
      </c>
      <c r="C40" s="28" t="s">
        <v>1990</v>
      </c>
      <c r="D40" s="28"/>
      <c r="E40" s="28" t="s">
        <v>1974</v>
      </c>
      <c r="F40" s="28" t="b">
        <v>0</v>
      </c>
      <c r="G40" s="28">
        <v>200</v>
      </c>
      <c r="H40" s="28" t="b">
        <v>1</v>
      </c>
      <c r="I40" s="34"/>
    </row>
    <row r="41" spans="1:9" x14ac:dyDescent="0.25">
      <c r="A41" s="54" t="s">
        <v>127</v>
      </c>
      <c r="B41" s="43" t="s">
        <v>658</v>
      </c>
      <c r="C41" s="37" t="s">
        <v>1995</v>
      </c>
      <c r="D41" s="37"/>
      <c r="E41" s="37" t="s">
        <v>1974</v>
      </c>
      <c r="F41" s="37" t="b">
        <v>0</v>
      </c>
      <c r="G41" s="37">
        <v>200</v>
      </c>
      <c r="H41" s="37" t="b">
        <v>1</v>
      </c>
    </row>
    <row r="42" spans="1:9" ht="30" x14ac:dyDescent="0.25">
      <c r="A42" s="54" t="s">
        <v>127</v>
      </c>
      <c r="B42" s="31" t="s">
        <v>1996</v>
      </c>
      <c r="C42" s="28"/>
      <c r="D42" s="28"/>
      <c r="E42" s="28" t="s">
        <v>1974</v>
      </c>
      <c r="F42" s="28" t="b">
        <v>0</v>
      </c>
      <c r="G42" s="28">
        <v>200</v>
      </c>
      <c r="H42" s="28" t="b">
        <v>1</v>
      </c>
      <c r="I42" s="34"/>
    </row>
    <row r="43" spans="1:9" ht="30" x14ac:dyDescent="0.25">
      <c r="A43" s="54" t="s">
        <v>127</v>
      </c>
      <c r="B43" s="43" t="s">
        <v>1996</v>
      </c>
      <c r="C43" s="37" t="s">
        <v>1997</v>
      </c>
      <c r="D43" s="37"/>
      <c r="E43" s="37" t="s">
        <v>1974</v>
      </c>
      <c r="F43" s="37" t="b">
        <v>0</v>
      </c>
      <c r="G43" s="37">
        <v>200</v>
      </c>
      <c r="H43" s="37" t="b">
        <v>1</v>
      </c>
    </row>
    <row r="44" spans="1:9" ht="30" x14ac:dyDescent="0.25">
      <c r="A44" s="54" t="s">
        <v>127</v>
      </c>
      <c r="B44" s="31" t="s">
        <v>1996</v>
      </c>
      <c r="C44" s="28" t="s">
        <v>1998</v>
      </c>
      <c r="D44" s="28"/>
      <c r="E44" s="28" t="s">
        <v>1974</v>
      </c>
      <c r="F44" s="28" t="b">
        <v>0</v>
      </c>
      <c r="G44" s="28">
        <v>200</v>
      </c>
      <c r="H44" s="28" t="b">
        <v>1</v>
      </c>
      <c r="I44" s="34"/>
    </row>
    <row r="45" spans="1:9" ht="30" x14ac:dyDescent="0.25">
      <c r="A45" s="54" t="s">
        <v>127</v>
      </c>
      <c r="B45" s="43" t="s">
        <v>1999</v>
      </c>
      <c r="C45" s="37"/>
      <c r="D45" s="37"/>
      <c r="E45" s="37" t="s">
        <v>1974</v>
      </c>
      <c r="F45" s="37" t="b">
        <v>0</v>
      </c>
      <c r="G45" s="37">
        <v>200</v>
      </c>
      <c r="H45" s="37" t="b">
        <v>1</v>
      </c>
    </row>
    <row r="46" spans="1:9" ht="30" x14ac:dyDescent="0.25">
      <c r="A46" s="54" t="s">
        <v>127</v>
      </c>
      <c r="B46" s="31" t="s">
        <v>1999</v>
      </c>
      <c r="C46" s="28" t="s">
        <v>2000</v>
      </c>
      <c r="D46" s="28"/>
      <c r="E46" s="28" t="s">
        <v>1974</v>
      </c>
      <c r="F46" s="28" t="b">
        <v>0</v>
      </c>
      <c r="G46" s="28">
        <v>200</v>
      </c>
      <c r="H46" s="28" t="b">
        <v>1</v>
      </c>
      <c r="I46" s="34"/>
    </row>
    <row r="47" spans="1:9" ht="30" x14ac:dyDescent="0.25">
      <c r="A47" s="54" t="s">
        <v>127</v>
      </c>
      <c r="B47" s="43" t="s">
        <v>1999</v>
      </c>
      <c r="C47" s="37" t="s">
        <v>1998</v>
      </c>
      <c r="D47" s="37"/>
      <c r="E47" s="37" t="s">
        <v>1974</v>
      </c>
      <c r="F47" s="37" t="b">
        <v>0</v>
      </c>
      <c r="G47" s="37">
        <v>200</v>
      </c>
      <c r="H47" s="37" t="b">
        <v>1</v>
      </c>
    </row>
    <row r="48" spans="1:9" ht="30" x14ac:dyDescent="0.25">
      <c r="A48" s="54" t="s">
        <v>127</v>
      </c>
      <c r="B48" s="31" t="s">
        <v>2001</v>
      </c>
      <c r="C48" s="28"/>
      <c r="D48" s="28"/>
      <c r="E48" s="28" t="s">
        <v>1974</v>
      </c>
      <c r="F48" s="28" t="b">
        <v>0</v>
      </c>
      <c r="G48" s="28">
        <v>200</v>
      </c>
      <c r="H48" s="28" t="b">
        <v>1</v>
      </c>
      <c r="I48" s="34"/>
    </row>
    <row r="49" spans="1:9" ht="30" x14ac:dyDescent="0.25">
      <c r="A49" s="54" t="s">
        <v>127</v>
      </c>
      <c r="B49" s="43" t="s">
        <v>2001</v>
      </c>
      <c r="C49" s="37" t="s">
        <v>2002</v>
      </c>
      <c r="D49" s="37"/>
      <c r="E49" s="37" t="s">
        <v>1974</v>
      </c>
      <c r="F49" s="37" t="b">
        <v>0</v>
      </c>
      <c r="G49" s="37">
        <v>200</v>
      </c>
      <c r="H49" s="37" t="b">
        <v>1</v>
      </c>
    </row>
    <row r="50" spans="1:9" ht="30" x14ac:dyDescent="0.25">
      <c r="A50" s="54" t="s">
        <v>127</v>
      </c>
      <c r="B50" s="31" t="s">
        <v>2001</v>
      </c>
      <c r="C50" s="28" t="s">
        <v>1998</v>
      </c>
      <c r="D50" s="28"/>
      <c r="E50" s="28" t="s">
        <v>1974</v>
      </c>
      <c r="F50" s="28" t="b">
        <v>0</v>
      </c>
      <c r="G50" s="28">
        <v>200</v>
      </c>
      <c r="H50" s="28" t="b">
        <v>1</v>
      </c>
      <c r="I50" s="34"/>
    </row>
    <row r="51" spans="1:9" ht="30" x14ac:dyDescent="0.25">
      <c r="A51" s="54" t="s">
        <v>127</v>
      </c>
      <c r="B51" s="43" t="s">
        <v>2003</v>
      </c>
      <c r="C51" s="37"/>
      <c r="D51" s="37"/>
      <c r="E51" s="37" t="s">
        <v>1974</v>
      </c>
      <c r="F51" s="37" t="b">
        <v>0</v>
      </c>
      <c r="G51" s="37">
        <v>200</v>
      </c>
      <c r="H51" s="37" t="b">
        <v>1</v>
      </c>
    </row>
    <row r="52" spans="1:9" ht="30" x14ac:dyDescent="0.25">
      <c r="A52" s="54" t="s">
        <v>127</v>
      </c>
      <c r="B52" s="31" t="s">
        <v>2003</v>
      </c>
      <c r="C52" s="28" t="s">
        <v>2004</v>
      </c>
      <c r="D52" s="28"/>
      <c r="E52" s="28" t="s">
        <v>1974</v>
      </c>
      <c r="F52" s="28" t="b">
        <v>0</v>
      </c>
      <c r="G52" s="28">
        <v>200</v>
      </c>
      <c r="H52" s="28" t="b">
        <v>1</v>
      </c>
      <c r="I52" s="34"/>
    </row>
    <row r="53" spans="1:9" ht="30" x14ac:dyDescent="0.25">
      <c r="A53" s="54" t="s">
        <v>127</v>
      </c>
      <c r="B53" s="43" t="s">
        <v>2003</v>
      </c>
      <c r="C53" s="37" t="s">
        <v>1998</v>
      </c>
      <c r="D53" s="37"/>
      <c r="E53" s="37" t="s">
        <v>1974</v>
      </c>
      <c r="F53" s="37" t="b">
        <v>0</v>
      </c>
      <c r="G53" s="37">
        <v>200</v>
      </c>
      <c r="H53" s="37" t="b">
        <v>1</v>
      </c>
    </row>
    <row r="54" spans="1:9" ht="30" x14ac:dyDescent="0.25">
      <c r="A54" s="54" t="s">
        <v>127</v>
      </c>
      <c r="B54" s="31" t="s">
        <v>2005</v>
      </c>
      <c r="C54" s="28"/>
      <c r="D54" s="28"/>
      <c r="E54" s="28" t="s">
        <v>1974</v>
      </c>
      <c r="F54" s="28" t="b">
        <v>0</v>
      </c>
      <c r="G54" s="28">
        <v>200</v>
      </c>
      <c r="H54" s="28" t="b">
        <v>1</v>
      </c>
      <c r="I54" s="34"/>
    </row>
    <row r="55" spans="1:9" ht="30" x14ac:dyDescent="0.25">
      <c r="A55" s="54" t="s">
        <v>127</v>
      </c>
      <c r="B55" s="43" t="s">
        <v>2005</v>
      </c>
      <c r="C55" s="37" t="s">
        <v>2006</v>
      </c>
      <c r="D55" s="37"/>
      <c r="E55" s="37" t="s">
        <v>1974</v>
      </c>
      <c r="F55" s="37" t="b">
        <v>0</v>
      </c>
      <c r="G55" s="37">
        <v>200</v>
      </c>
      <c r="H55" s="37" t="b">
        <v>1</v>
      </c>
    </row>
    <row r="56" spans="1:9" ht="30" x14ac:dyDescent="0.25">
      <c r="A56" s="54" t="s">
        <v>127</v>
      </c>
      <c r="B56" s="31" t="s">
        <v>2005</v>
      </c>
      <c r="C56" s="28" t="s">
        <v>1998</v>
      </c>
      <c r="D56" s="28"/>
      <c r="E56" s="28" t="s">
        <v>1974</v>
      </c>
      <c r="F56" s="28" t="b">
        <v>0</v>
      </c>
      <c r="G56" s="28">
        <v>200</v>
      </c>
      <c r="H56" s="28" t="b">
        <v>1</v>
      </c>
      <c r="I56" s="34"/>
    </row>
    <row r="57" spans="1:9" ht="30" x14ac:dyDescent="0.25">
      <c r="A57" s="54" t="s">
        <v>127</v>
      </c>
      <c r="B57" s="43" t="s">
        <v>2007</v>
      </c>
      <c r="C57" s="37"/>
      <c r="D57" s="37"/>
      <c r="E57" s="37" t="s">
        <v>1974</v>
      </c>
      <c r="F57" s="37" t="b">
        <v>0</v>
      </c>
      <c r="G57" s="37">
        <v>200</v>
      </c>
      <c r="H57" s="37" t="b">
        <v>1</v>
      </c>
    </row>
    <row r="58" spans="1:9" ht="30" x14ac:dyDescent="0.25">
      <c r="A58" s="54" t="s">
        <v>127</v>
      </c>
      <c r="B58" s="31" t="s">
        <v>2007</v>
      </c>
      <c r="C58" s="28" t="s">
        <v>2008</v>
      </c>
      <c r="D58" s="28"/>
      <c r="E58" s="28" t="s">
        <v>1974</v>
      </c>
      <c r="F58" s="28" t="b">
        <v>0</v>
      </c>
      <c r="G58" s="28">
        <v>200</v>
      </c>
      <c r="H58" s="28" t="b">
        <v>1</v>
      </c>
      <c r="I58" s="34"/>
    </row>
    <row r="59" spans="1:9" ht="30" x14ac:dyDescent="0.25">
      <c r="A59" s="54" t="s">
        <v>127</v>
      </c>
      <c r="B59" s="43" t="s">
        <v>2007</v>
      </c>
      <c r="C59" s="37" t="s">
        <v>1998</v>
      </c>
      <c r="D59" s="37"/>
      <c r="E59" s="37" t="s">
        <v>1974</v>
      </c>
      <c r="F59" s="37" t="b">
        <v>0</v>
      </c>
      <c r="G59" s="37">
        <v>200</v>
      </c>
      <c r="H59" s="37" t="b">
        <v>1</v>
      </c>
    </row>
    <row r="60" spans="1:9" x14ac:dyDescent="0.25">
      <c r="A60" s="54" t="s">
        <v>127</v>
      </c>
      <c r="B60" s="31" t="s">
        <v>638</v>
      </c>
      <c r="C60" s="28" t="s">
        <v>2009</v>
      </c>
      <c r="D60" s="28"/>
      <c r="E60" s="28" t="s">
        <v>1974</v>
      </c>
      <c r="F60" s="28" t="b">
        <v>0</v>
      </c>
      <c r="G60" s="28">
        <v>200</v>
      </c>
      <c r="H60" s="28" t="b">
        <v>1</v>
      </c>
      <c r="I60" s="34"/>
    </row>
    <row r="61" spans="1:9" x14ac:dyDescent="0.25">
      <c r="A61" s="54" t="s">
        <v>127</v>
      </c>
      <c r="B61" s="43" t="s">
        <v>647</v>
      </c>
      <c r="C61" s="37" t="s">
        <v>2010</v>
      </c>
      <c r="D61" s="37"/>
      <c r="E61" s="37" t="s">
        <v>1974</v>
      </c>
      <c r="F61" s="37" t="b">
        <v>0</v>
      </c>
      <c r="G61" s="37">
        <v>200</v>
      </c>
      <c r="H61" s="37" t="b">
        <v>1</v>
      </c>
    </row>
    <row r="62" spans="1:9" ht="30" x14ac:dyDescent="0.25">
      <c r="A62" s="54" t="s">
        <v>127</v>
      </c>
      <c r="B62" s="31" t="s">
        <v>2011</v>
      </c>
      <c r="C62" s="28"/>
      <c r="D62" s="28"/>
      <c r="E62" s="28" t="s">
        <v>2012</v>
      </c>
      <c r="F62" s="28" t="b">
        <v>0</v>
      </c>
      <c r="G62" s="28"/>
      <c r="H62" s="28" t="b">
        <v>1</v>
      </c>
      <c r="I62" s="34"/>
    </row>
    <row r="63" spans="1:9" ht="30" x14ac:dyDescent="0.25">
      <c r="A63" s="54" t="s">
        <v>127</v>
      </c>
      <c r="B63" s="43" t="s">
        <v>2013</v>
      </c>
      <c r="C63" s="37"/>
      <c r="D63" s="37"/>
      <c r="E63" s="37" t="s">
        <v>2012</v>
      </c>
      <c r="F63" s="37" t="b">
        <v>0</v>
      </c>
      <c r="G63" s="37"/>
      <c r="H63" s="37" t="b">
        <v>1</v>
      </c>
    </row>
    <row r="64" spans="1:9" x14ac:dyDescent="0.25">
      <c r="A64" s="54" t="s">
        <v>127</v>
      </c>
      <c r="B64" s="31" t="s">
        <v>641</v>
      </c>
      <c r="C64" s="28" t="s">
        <v>2014</v>
      </c>
      <c r="D64" s="28"/>
      <c r="E64" s="28" t="s">
        <v>1974</v>
      </c>
      <c r="F64" s="28" t="b">
        <v>0</v>
      </c>
      <c r="G64" s="28">
        <v>200</v>
      </c>
      <c r="H64" s="28" t="b">
        <v>1</v>
      </c>
      <c r="I64" s="34"/>
    </row>
    <row r="65" spans="1:9" ht="30" x14ac:dyDescent="0.25">
      <c r="A65" s="54" t="s">
        <v>127</v>
      </c>
      <c r="B65" s="43" t="s">
        <v>2015</v>
      </c>
      <c r="C65" s="37" t="s">
        <v>2016</v>
      </c>
      <c r="D65" s="37"/>
      <c r="E65" s="37" t="s">
        <v>1974</v>
      </c>
      <c r="F65" s="37" t="b">
        <v>0</v>
      </c>
      <c r="G65" s="37">
        <v>404</v>
      </c>
      <c r="H65" s="37" t="b">
        <v>0</v>
      </c>
    </row>
    <row r="66" spans="1:9" ht="30" x14ac:dyDescent="0.25">
      <c r="A66" s="54" t="s">
        <v>127</v>
      </c>
      <c r="B66" s="31" t="s">
        <v>2015</v>
      </c>
      <c r="C66" s="28" t="s">
        <v>2017</v>
      </c>
      <c r="D66" s="28"/>
      <c r="E66" s="28" t="s">
        <v>1974</v>
      </c>
      <c r="F66" s="28" t="b">
        <v>0</v>
      </c>
      <c r="G66" s="28">
        <v>404</v>
      </c>
      <c r="H66" s="28" t="b">
        <v>0</v>
      </c>
      <c r="I66" s="34"/>
    </row>
    <row r="67" spans="1:9" x14ac:dyDescent="0.25">
      <c r="A67" s="54" t="s">
        <v>135</v>
      </c>
      <c r="B67" s="43" t="s">
        <v>127</v>
      </c>
      <c r="C67" s="37"/>
      <c r="D67" s="37"/>
      <c r="E67" s="37" t="s">
        <v>1974</v>
      </c>
      <c r="F67" s="37" t="b">
        <v>0</v>
      </c>
      <c r="G67" s="37">
        <v>200</v>
      </c>
      <c r="H67" s="37" t="b">
        <v>1</v>
      </c>
    </row>
    <row r="68" spans="1:9" x14ac:dyDescent="0.25">
      <c r="A68" s="54" t="s">
        <v>135</v>
      </c>
      <c r="B68" s="31" t="s">
        <v>127</v>
      </c>
      <c r="C68" s="28" t="s">
        <v>1975</v>
      </c>
      <c r="D68" s="28"/>
      <c r="E68" s="28" t="s">
        <v>1974</v>
      </c>
      <c r="F68" s="28" t="b">
        <v>0</v>
      </c>
      <c r="G68" s="28">
        <v>200</v>
      </c>
      <c r="H68" s="28" t="b">
        <v>1</v>
      </c>
      <c r="I68" s="34"/>
    </row>
    <row r="69" spans="1:9" x14ac:dyDescent="0.25">
      <c r="A69" s="54" t="s">
        <v>135</v>
      </c>
      <c r="B69" s="43" t="s">
        <v>135</v>
      </c>
      <c r="C69" s="37" t="s">
        <v>1976</v>
      </c>
      <c r="D69" s="37"/>
      <c r="E69" s="37" t="s">
        <v>1974</v>
      </c>
      <c r="F69" s="37" t="b">
        <v>0</v>
      </c>
      <c r="G69" s="37">
        <v>200</v>
      </c>
      <c r="H69" s="37" t="b">
        <v>1</v>
      </c>
    </row>
    <row r="70" spans="1:9" x14ac:dyDescent="0.25">
      <c r="A70" s="54" t="s">
        <v>135</v>
      </c>
      <c r="B70" s="31" t="s">
        <v>655</v>
      </c>
      <c r="C70" s="28" t="s">
        <v>1977</v>
      </c>
      <c r="D70" s="28"/>
      <c r="E70" s="28" t="s">
        <v>1974</v>
      </c>
      <c r="F70" s="28" t="b">
        <v>0</v>
      </c>
      <c r="G70" s="28">
        <v>200</v>
      </c>
      <c r="H70" s="28" t="b">
        <v>1</v>
      </c>
      <c r="I70" s="34"/>
    </row>
    <row r="71" spans="1:9" x14ac:dyDescent="0.25">
      <c r="A71" s="54" t="s">
        <v>135</v>
      </c>
      <c r="B71" s="43" t="s">
        <v>635</v>
      </c>
      <c r="C71" s="37" t="s">
        <v>1978</v>
      </c>
      <c r="D71" s="37"/>
      <c r="E71" s="37" t="s">
        <v>1974</v>
      </c>
      <c r="F71" s="37" t="b">
        <v>0</v>
      </c>
      <c r="G71" s="37">
        <v>200</v>
      </c>
      <c r="H71" s="37" t="b">
        <v>1</v>
      </c>
    </row>
    <row r="72" spans="1:9" ht="30" x14ac:dyDescent="0.25">
      <c r="A72" s="54" t="s">
        <v>135</v>
      </c>
      <c r="B72" s="31" t="s">
        <v>144</v>
      </c>
      <c r="C72" s="28" t="s">
        <v>1979</v>
      </c>
      <c r="D72" s="28"/>
      <c r="E72" s="28" t="s">
        <v>1974</v>
      </c>
      <c r="F72" s="28" t="b">
        <v>0</v>
      </c>
      <c r="G72" s="28">
        <v>200</v>
      </c>
      <c r="H72" s="28" t="b">
        <v>1</v>
      </c>
      <c r="I72" s="34"/>
    </row>
    <row r="73" spans="1:9" x14ac:dyDescent="0.25">
      <c r="A73" s="54" t="s">
        <v>135</v>
      </c>
      <c r="B73" s="43" t="s">
        <v>618</v>
      </c>
      <c r="C73" s="37" t="s">
        <v>1980</v>
      </c>
      <c r="D73" s="37"/>
      <c r="E73" s="37" t="s">
        <v>1974</v>
      </c>
      <c r="F73" s="37" t="b">
        <v>0</v>
      </c>
      <c r="G73" s="37">
        <v>200</v>
      </c>
      <c r="H73" s="37" t="b">
        <v>1</v>
      </c>
    </row>
    <row r="74" spans="1:9" ht="30" x14ac:dyDescent="0.25">
      <c r="A74" s="54" t="s">
        <v>135</v>
      </c>
      <c r="B74" s="31" t="s">
        <v>585</v>
      </c>
      <c r="C74" s="28" t="s">
        <v>1981</v>
      </c>
      <c r="D74" s="28"/>
      <c r="E74" s="28" t="s">
        <v>1974</v>
      </c>
      <c r="F74" s="28" t="b">
        <v>0</v>
      </c>
      <c r="G74" s="28">
        <v>200</v>
      </c>
      <c r="H74" s="28" t="b">
        <v>1</v>
      </c>
      <c r="I74" s="34"/>
    </row>
    <row r="75" spans="1:9" ht="30" x14ac:dyDescent="0.25">
      <c r="A75" s="54" t="s">
        <v>135</v>
      </c>
      <c r="B75" s="43" t="s">
        <v>582</v>
      </c>
      <c r="C75" s="37" t="s">
        <v>1982</v>
      </c>
      <c r="D75" s="37"/>
      <c r="E75" s="37" t="s">
        <v>1974</v>
      </c>
      <c r="F75" s="37" t="b">
        <v>0</v>
      </c>
      <c r="G75" s="37">
        <v>200</v>
      </c>
      <c r="H75" s="37" t="b">
        <v>1</v>
      </c>
    </row>
    <row r="76" spans="1:9" x14ac:dyDescent="0.25">
      <c r="A76" s="54" t="s">
        <v>135</v>
      </c>
      <c r="B76" s="31" t="s">
        <v>638</v>
      </c>
      <c r="C76" s="28" t="s">
        <v>1983</v>
      </c>
      <c r="D76" s="28"/>
      <c r="E76" s="28" t="s">
        <v>1974</v>
      </c>
      <c r="F76" s="28" t="b">
        <v>0</v>
      </c>
      <c r="G76" s="28">
        <v>200</v>
      </c>
      <c r="H76" s="28" t="b">
        <v>1</v>
      </c>
      <c r="I76" s="34"/>
    </row>
    <row r="77" spans="1:9" x14ac:dyDescent="0.25">
      <c r="A77" s="54" t="s">
        <v>135</v>
      </c>
      <c r="B77" s="43" t="s">
        <v>638</v>
      </c>
      <c r="C77" s="37" t="s">
        <v>1984</v>
      </c>
      <c r="D77" s="37"/>
      <c r="E77" s="37" t="s">
        <v>1974</v>
      </c>
      <c r="F77" s="37" t="b">
        <v>0</v>
      </c>
      <c r="G77" s="37">
        <v>200</v>
      </c>
      <c r="H77" s="37" t="b">
        <v>1</v>
      </c>
    </row>
    <row r="78" spans="1:9" x14ac:dyDescent="0.25">
      <c r="A78" s="54" t="s">
        <v>135</v>
      </c>
      <c r="B78" s="31" t="s">
        <v>647</v>
      </c>
      <c r="C78" s="28" t="s">
        <v>1985</v>
      </c>
      <c r="D78" s="28"/>
      <c r="E78" s="28" t="s">
        <v>1974</v>
      </c>
      <c r="F78" s="28" t="b">
        <v>0</v>
      </c>
      <c r="G78" s="28">
        <v>200</v>
      </c>
      <c r="H78" s="28" t="b">
        <v>1</v>
      </c>
      <c r="I78" s="34"/>
    </row>
    <row r="79" spans="1:9" ht="30" x14ac:dyDescent="0.25">
      <c r="A79" s="54" t="s">
        <v>135</v>
      </c>
      <c r="B79" s="43" t="s">
        <v>503</v>
      </c>
      <c r="C79" s="37" t="s">
        <v>1986</v>
      </c>
      <c r="D79" s="37"/>
      <c r="E79" s="37" t="s">
        <v>1974</v>
      </c>
      <c r="F79" s="37" t="b">
        <v>0</v>
      </c>
      <c r="G79" s="37">
        <v>200</v>
      </c>
      <c r="H79" s="37" t="b">
        <v>1</v>
      </c>
    </row>
    <row r="80" spans="1:9" x14ac:dyDescent="0.25">
      <c r="A80" s="54" t="s">
        <v>135</v>
      </c>
      <c r="B80" s="31" t="s">
        <v>608</v>
      </c>
      <c r="C80" s="28" t="s">
        <v>1987</v>
      </c>
      <c r="D80" s="28"/>
      <c r="E80" s="28" t="s">
        <v>1974</v>
      </c>
      <c r="F80" s="28" t="b">
        <v>0</v>
      </c>
      <c r="G80" s="28">
        <v>200</v>
      </c>
      <c r="H80" s="28" t="b">
        <v>1</v>
      </c>
      <c r="I80" s="34"/>
    </row>
    <row r="81" spans="1:9" x14ac:dyDescent="0.25">
      <c r="A81" s="54" t="s">
        <v>135</v>
      </c>
      <c r="B81" s="43" t="s">
        <v>127</v>
      </c>
      <c r="C81" s="37" t="s">
        <v>1975</v>
      </c>
      <c r="D81" s="37"/>
      <c r="E81" s="37" t="s">
        <v>1974</v>
      </c>
      <c r="F81" s="37" t="b">
        <v>0</v>
      </c>
      <c r="G81" s="37">
        <v>200</v>
      </c>
      <c r="H81" s="37" t="b">
        <v>1</v>
      </c>
    </row>
    <row r="82" spans="1:9" x14ac:dyDescent="0.25">
      <c r="A82" s="54" t="s">
        <v>135</v>
      </c>
      <c r="B82" s="31" t="s">
        <v>135</v>
      </c>
      <c r="C82" s="28" t="s">
        <v>1976</v>
      </c>
      <c r="D82" s="28"/>
      <c r="E82" s="28" t="s">
        <v>1974</v>
      </c>
      <c r="F82" s="28" t="b">
        <v>0</v>
      </c>
      <c r="G82" s="28">
        <v>200</v>
      </c>
      <c r="H82" s="28" t="b">
        <v>1</v>
      </c>
      <c r="I82" s="34"/>
    </row>
    <row r="83" spans="1:9" x14ac:dyDescent="0.25">
      <c r="A83" s="54" t="s">
        <v>135</v>
      </c>
      <c r="B83" s="43" t="s">
        <v>655</v>
      </c>
      <c r="C83" s="37" t="s">
        <v>1977</v>
      </c>
      <c r="D83" s="37"/>
      <c r="E83" s="37" t="s">
        <v>1974</v>
      </c>
      <c r="F83" s="37" t="b">
        <v>0</v>
      </c>
      <c r="G83" s="37">
        <v>200</v>
      </c>
      <c r="H83" s="37" t="b">
        <v>1</v>
      </c>
    </row>
    <row r="84" spans="1:9" x14ac:dyDescent="0.25">
      <c r="A84" s="54" t="s">
        <v>135</v>
      </c>
      <c r="B84" s="31" t="s">
        <v>635</v>
      </c>
      <c r="C84" s="28" t="s">
        <v>1978</v>
      </c>
      <c r="D84" s="28"/>
      <c r="E84" s="28" t="s">
        <v>1974</v>
      </c>
      <c r="F84" s="28" t="b">
        <v>0</v>
      </c>
      <c r="G84" s="28">
        <v>200</v>
      </c>
      <c r="H84" s="28" t="b">
        <v>1</v>
      </c>
      <c r="I84" s="34"/>
    </row>
    <row r="85" spans="1:9" ht="30" x14ac:dyDescent="0.25">
      <c r="A85" s="54" t="s">
        <v>135</v>
      </c>
      <c r="B85" s="43" t="s">
        <v>144</v>
      </c>
      <c r="C85" s="37" t="s">
        <v>1979</v>
      </c>
      <c r="D85" s="37"/>
      <c r="E85" s="37" t="s">
        <v>1974</v>
      </c>
      <c r="F85" s="37" t="b">
        <v>0</v>
      </c>
      <c r="G85" s="37">
        <v>200</v>
      </c>
      <c r="H85" s="37" t="b">
        <v>1</v>
      </c>
    </row>
    <row r="86" spans="1:9" x14ac:dyDescent="0.25">
      <c r="A86" s="54" t="s">
        <v>135</v>
      </c>
      <c r="B86" s="31" t="s">
        <v>618</v>
      </c>
      <c r="C86" s="28" t="s">
        <v>1980</v>
      </c>
      <c r="D86" s="28"/>
      <c r="E86" s="28" t="s">
        <v>1974</v>
      </c>
      <c r="F86" s="28" t="b">
        <v>0</v>
      </c>
      <c r="G86" s="28">
        <v>200</v>
      </c>
      <c r="H86" s="28" t="b">
        <v>1</v>
      </c>
      <c r="I86" s="34"/>
    </row>
    <row r="87" spans="1:9" ht="30" x14ac:dyDescent="0.25">
      <c r="A87" s="54" t="s">
        <v>135</v>
      </c>
      <c r="B87" s="43" t="s">
        <v>585</v>
      </c>
      <c r="C87" s="37" t="s">
        <v>1981</v>
      </c>
      <c r="D87" s="37"/>
      <c r="E87" s="37" t="s">
        <v>1974</v>
      </c>
      <c r="F87" s="37" t="b">
        <v>0</v>
      </c>
      <c r="G87" s="37">
        <v>200</v>
      </c>
      <c r="H87" s="37" t="b">
        <v>1</v>
      </c>
    </row>
    <row r="88" spans="1:9" ht="30" x14ac:dyDescent="0.25">
      <c r="A88" s="54" t="s">
        <v>135</v>
      </c>
      <c r="B88" s="31" t="s">
        <v>582</v>
      </c>
      <c r="C88" s="28" t="s">
        <v>1982</v>
      </c>
      <c r="D88" s="28"/>
      <c r="E88" s="28" t="s">
        <v>1974</v>
      </c>
      <c r="F88" s="28" t="b">
        <v>0</v>
      </c>
      <c r="G88" s="28">
        <v>200</v>
      </c>
      <c r="H88" s="28" t="b">
        <v>1</v>
      </c>
      <c r="I88" s="34"/>
    </row>
    <row r="89" spans="1:9" x14ac:dyDescent="0.25">
      <c r="A89" s="54" t="s">
        <v>135</v>
      </c>
      <c r="B89" s="43" t="s">
        <v>638</v>
      </c>
      <c r="C89" s="37" t="s">
        <v>1983</v>
      </c>
      <c r="D89" s="37"/>
      <c r="E89" s="37" t="s">
        <v>1974</v>
      </c>
      <c r="F89" s="37" t="b">
        <v>0</v>
      </c>
      <c r="G89" s="37">
        <v>200</v>
      </c>
      <c r="H89" s="37" t="b">
        <v>1</v>
      </c>
    </row>
    <row r="90" spans="1:9" x14ac:dyDescent="0.25">
      <c r="A90" s="54" t="s">
        <v>135</v>
      </c>
      <c r="B90" s="31" t="s">
        <v>638</v>
      </c>
      <c r="C90" s="28" t="s">
        <v>1984</v>
      </c>
      <c r="D90" s="28"/>
      <c r="E90" s="28" t="s">
        <v>1974</v>
      </c>
      <c r="F90" s="28" t="b">
        <v>0</v>
      </c>
      <c r="G90" s="28">
        <v>200</v>
      </c>
      <c r="H90" s="28" t="b">
        <v>1</v>
      </c>
      <c r="I90" s="34"/>
    </row>
    <row r="91" spans="1:9" x14ac:dyDescent="0.25">
      <c r="A91" s="54" t="s">
        <v>135</v>
      </c>
      <c r="B91" s="43" t="s">
        <v>647</v>
      </c>
      <c r="C91" s="37" t="s">
        <v>1985</v>
      </c>
      <c r="D91" s="37"/>
      <c r="E91" s="37" t="s">
        <v>1974</v>
      </c>
      <c r="F91" s="37" t="b">
        <v>0</v>
      </c>
      <c r="G91" s="37">
        <v>200</v>
      </c>
      <c r="H91" s="37" t="b">
        <v>1</v>
      </c>
    </row>
    <row r="92" spans="1:9" ht="30" x14ac:dyDescent="0.25">
      <c r="A92" s="54" t="s">
        <v>135</v>
      </c>
      <c r="B92" s="31" t="s">
        <v>503</v>
      </c>
      <c r="C92" s="28" t="s">
        <v>1986</v>
      </c>
      <c r="D92" s="28"/>
      <c r="E92" s="28" t="s">
        <v>1974</v>
      </c>
      <c r="F92" s="28" t="b">
        <v>0</v>
      </c>
      <c r="G92" s="28">
        <v>200</v>
      </c>
      <c r="H92" s="28" t="b">
        <v>1</v>
      </c>
      <c r="I92" s="34"/>
    </row>
    <row r="93" spans="1:9" x14ac:dyDescent="0.25">
      <c r="A93" s="54" t="s">
        <v>135</v>
      </c>
      <c r="B93" s="43" t="s">
        <v>608</v>
      </c>
      <c r="C93" s="37" t="s">
        <v>1987</v>
      </c>
      <c r="D93" s="37"/>
      <c r="E93" s="37" t="s">
        <v>1974</v>
      </c>
      <c r="F93" s="37" t="b">
        <v>0</v>
      </c>
      <c r="G93" s="37">
        <v>200</v>
      </c>
      <c r="H93" s="37" t="b">
        <v>1</v>
      </c>
    </row>
    <row r="94" spans="1:9" x14ac:dyDescent="0.25">
      <c r="A94" s="54" t="s">
        <v>135</v>
      </c>
      <c r="B94" s="31" t="s">
        <v>2018</v>
      </c>
      <c r="C94" s="28" t="s">
        <v>2019</v>
      </c>
      <c r="D94" s="28"/>
      <c r="E94" s="28" t="s">
        <v>2012</v>
      </c>
      <c r="F94" s="28" t="b">
        <v>0</v>
      </c>
      <c r="G94" s="28"/>
      <c r="H94" s="28" t="b">
        <v>1</v>
      </c>
      <c r="I94" s="34"/>
    </row>
    <row r="95" spans="1:9" ht="30" x14ac:dyDescent="0.25">
      <c r="A95" s="54" t="s">
        <v>135</v>
      </c>
      <c r="B95" s="43" t="s">
        <v>2020</v>
      </c>
      <c r="C95" s="37" t="s">
        <v>2019</v>
      </c>
      <c r="D95" s="37"/>
      <c r="E95" s="37" t="s">
        <v>2012</v>
      </c>
      <c r="F95" s="37" t="b">
        <v>0</v>
      </c>
      <c r="G95" s="37"/>
      <c r="H95" s="37" t="b">
        <v>1</v>
      </c>
    </row>
    <row r="96" spans="1:9" x14ac:dyDescent="0.25">
      <c r="A96" s="54" t="s">
        <v>135</v>
      </c>
      <c r="B96" s="31" t="s">
        <v>2021</v>
      </c>
      <c r="C96" s="28" t="s">
        <v>2019</v>
      </c>
      <c r="D96" s="28"/>
      <c r="E96" s="28" t="s">
        <v>2012</v>
      </c>
      <c r="F96" s="28" t="b">
        <v>0</v>
      </c>
      <c r="G96" s="28"/>
      <c r="H96" s="28" t="b">
        <v>1</v>
      </c>
      <c r="I96" s="34"/>
    </row>
    <row r="97" spans="1:9" x14ac:dyDescent="0.25">
      <c r="A97" s="54" t="s">
        <v>135</v>
      </c>
      <c r="B97" s="43" t="s">
        <v>2022</v>
      </c>
      <c r="C97" s="37" t="s">
        <v>2019</v>
      </c>
      <c r="D97" s="37"/>
      <c r="E97" s="37" t="s">
        <v>2012</v>
      </c>
      <c r="F97" s="37" t="b">
        <v>0</v>
      </c>
      <c r="G97" s="37"/>
      <c r="H97" s="37" t="b">
        <v>1</v>
      </c>
    </row>
    <row r="98" spans="1:9" x14ac:dyDescent="0.25">
      <c r="A98" s="54" t="s">
        <v>135</v>
      </c>
      <c r="B98" s="31" t="s">
        <v>2023</v>
      </c>
      <c r="C98" s="28" t="s">
        <v>2019</v>
      </c>
      <c r="D98" s="28"/>
      <c r="E98" s="28" t="s">
        <v>2012</v>
      </c>
      <c r="F98" s="28" t="b">
        <v>0</v>
      </c>
      <c r="G98" s="28"/>
      <c r="H98" s="28" t="b">
        <v>1</v>
      </c>
      <c r="I98" s="34"/>
    </row>
    <row r="99" spans="1:9" x14ac:dyDescent="0.25">
      <c r="A99" s="54" t="s">
        <v>135</v>
      </c>
      <c r="B99" s="43" t="s">
        <v>635</v>
      </c>
      <c r="C99" s="37" t="s">
        <v>2024</v>
      </c>
      <c r="D99" s="37"/>
      <c r="E99" s="37" t="s">
        <v>1974</v>
      </c>
      <c r="F99" s="37" t="b">
        <v>0</v>
      </c>
      <c r="G99" s="37">
        <v>200</v>
      </c>
      <c r="H99" s="37" t="b">
        <v>1</v>
      </c>
    </row>
    <row r="100" spans="1:9" x14ac:dyDescent="0.25">
      <c r="A100" s="54" t="s">
        <v>135</v>
      </c>
      <c r="B100" s="31" t="s">
        <v>647</v>
      </c>
      <c r="C100" s="28" t="s">
        <v>2010</v>
      </c>
      <c r="D100" s="28"/>
      <c r="E100" s="28" t="s">
        <v>1974</v>
      </c>
      <c r="F100" s="28" t="b">
        <v>0</v>
      </c>
      <c r="G100" s="28">
        <v>200</v>
      </c>
      <c r="H100" s="28" t="b">
        <v>1</v>
      </c>
      <c r="I100" s="34"/>
    </row>
    <row r="101" spans="1:9" ht="30" x14ac:dyDescent="0.25">
      <c r="A101" s="54" t="s">
        <v>135</v>
      </c>
      <c r="B101" s="43" t="s">
        <v>2011</v>
      </c>
      <c r="C101" s="37"/>
      <c r="D101" s="37"/>
      <c r="E101" s="37" t="s">
        <v>2012</v>
      </c>
      <c r="F101" s="37" t="b">
        <v>0</v>
      </c>
      <c r="G101" s="37"/>
      <c r="H101" s="37" t="b">
        <v>1</v>
      </c>
    </row>
    <row r="102" spans="1:9" ht="30" x14ac:dyDescent="0.25">
      <c r="A102" s="54" t="s">
        <v>135</v>
      </c>
      <c r="B102" s="31" t="s">
        <v>2013</v>
      </c>
      <c r="C102" s="28"/>
      <c r="D102" s="28"/>
      <c r="E102" s="28" t="s">
        <v>2012</v>
      </c>
      <c r="F102" s="28" t="b">
        <v>0</v>
      </c>
      <c r="G102" s="28"/>
      <c r="H102" s="28" t="b">
        <v>1</v>
      </c>
      <c r="I102" s="34"/>
    </row>
    <row r="103" spans="1:9" x14ac:dyDescent="0.25">
      <c r="A103" s="54" t="s">
        <v>135</v>
      </c>
      <c r="B103" s="43" t="s">
        <v>641</v>
      </c>
      <c r="C103" s="37" t="s">
        <v>2014</v>
      </c>
      <c r="D103" s="37"/>
      <c r="E103" s="37" t="s">
        <v>1974</v>
      </c>
      <c r="F103" s="37" t="b">
        <v>0</v>
      </c>
      <c r="G103" s="37">
        <v>200</v>
      </c>
      <c r="H103" s="37" t="b">
        <v>1</v>
      </c>
    </row>
    <row r="104" spans="1:9" ht="30" x14ac:dyDescent="0.25">
      <c r="A104" s="54" t="s">
        <v>135</v>
      </c>
      <c r="B104" s="31" t="s">
        <v>2015</v>
      </c>
      <c r="C104" s="28" t="s">
        <v>2016</v>
      </c>
      <c r="D104" s="28"/>
      <c r="E104" s="28" t="s">
        <v>1974</v>
      </c>
      <c r="F104" s="28" t="b">
        <v>0</v>
      </c>
      <c r="G104" s="28">
        <v>404</v>
      </c>
      <c r="H104" s="28" t="b">
        <v>0</v>
      </c>
      <c r="I104" s="34"/>
    </row>
    <row r="105" spans="1:9" ht="30" x14ac:dyDescent="0.25">
      <c r="A105" s="54" t="s">
        <v>135</v>
      </c>
      <c r="B105" s="43" t="s">
        <v>2015</v>
      </c>
      <c r="C105" s="37" t="s">
        <v>2017</v>
      </c>
      <c r="D105" s="37"/>
      <c r="E105" s="37" t="s">
        <v>1974</v>
      </c>
      <c r="F105" s="37" t="b">
        <v>0</v>
      </c>
      <c r="G105" s="37">
        <v>404</v>
      </c>
      <c r="H105" s="37" t="b">
        <v>0</v>
      </c>
    </row>
    <row r="106" spans="1:9" ht="30" x14ac:dyDescent="0.25">
      <c r="A106" s="54" t="s">
        <v>144</v>
      </c>
      <c r="B106" s="31" t="s">
        <v>127</v>
      </c>
      <c r="C106" s="28"/>
      <c r="D106" s="28"/>
      <c r="E106" s="28" t="s">
        <v>1974</v>
      </c>
      <c r="F106" s="28" t="b">
        <v>0</v>
      </c>
      <c r="G106" s="28">
        <v>200</v>
      </c>
      <c r="H106" s="28" t="b">
        <v>1</v>
      </c>
      <c r="I106" s="34"/>
    </row>
    <row r="107" spans="1:9" ht="30" x14ac:dyDescent="0.25">
      <c r="A107" s="54" t="s">
        <v>144</v>
      </c>
      <c r="B107" s="43" t="s">
        <v>127</v>
      </c>
      <c r="C107" s="37" t="s">
        <v>1975</v>
      </c>
      <c r="D107" s="37"/>
      <c r="E107" s="37" t="s">
        <v>1974</v>
      </c>
      <c r="F107" s="37" t="b">
        <v>0</v>
      </c>
      <c r="G107" s="37">
        <v>200</v>
      </c>
      <c r="H107" s="37" t="b">
        <v>1</v>
      </c>
    </row>
    <row r="108" spans="1:9" ht="30" x14ac:dyDescent="0.25">
      <c r="A108" s="54" t="s">
        <v>144</v>
      </c>
      <c r="B108" s="31" t="s">
        <v>135</v>
      </c>
      <c r="C108" s="28" t="s">
        <v>1976</v>
      </c>
      <c r="D108" s="28"/>
      <c r="E108" s="28" t="s">
        <v>1974</v>
      </c>
      <c r="F108" s="28" t="b">
        <v>0</v>
      </c>
      <c r="G108" s="28">
        <v>200</v>
      </c>
      <c r="H108" s="28" t="b">
        <v>1</v>
      </c>
      <c r="I108" s="34"/>
    </row>
    <row r="109" spans="1:9" ht="30" x14ac:dyDescent="0.25">
      <c r="A109" s="54" t="s">
        <v>144</v>
      </c>
      <c r="B109" s="43" t="s">
        <v>655</v>
      </c>
      <c r="C109" s="37" t="s">
        <v>1977</v>
      </c>
      <c r="D109" s="37"/>
      <c r="E109" s="37" t="s">
        <v>1974</v>
      </c>
      <c r="F109" s="37" t="b">
        <v>0</v>
      </c>
      <c r="G109" s="37">
        <v>200</v>
      </c>
      <c r="H109" s="37" t="b">
        <v>1</v>
      </c>
    </row>
    <row r="110" spans="1:9" ht="30" x14ac:dyDescent="0.25">
      <c r="A110" s="54" t="s">
        <v>144</v>
      </c>
      <c r="B110" s="31" t="s">
        <v>635</v>
      </c>
      <c r="C110" s="28" t="s">
        <v>1978</v>
      </c>
      <c r="D110" s="28"/>
      <c r="E110" s="28" t="s">
        <v>1974</v>
      </c>
      <c r="F110" s="28" t="b">
        <v>0</v>
      </c>
      <c r="G110" s="28">
        <v>200</v>
      </c>
      <c r="H110" s="28" t="b">
        <v>1</v>
      </c>
      <c r="I110" s="34"/>
    </row>
    <row r="111" spans="1:9" ht="30" x14ac:dyDescent="0.25">
      <c r="A111" s="54" t="s">
        <v>144</v>
      </c>
      <c r="B111" s="43" t="s">
        <v>144</v>
      </c>
      <c r="C111" s="37" t="s">
        <v>1979</v>
      </c>
      <c r="D111" s="37"/>
      <c r="E111" s="37" t="s">
        <v>1974</v>
      </c>
      <c r="F111" s="37" t="b">
        <v>0</v>
      </c>
      <c r="G111" s="37">
        <v>200</v>
      </c>
      <c r="H111" s="37" t="b">
        <v>1</v>
      </c>
    </row>
    <row r="112" spans="1:9" ht="30" x14ac:dyDescent="0.25">
      <c r="A112" s="54" t="s">
        <v>144</v>
      </c>
      <c r="B112" s="31" t="s">
        <v>618</v>
      </c>
      <c r="C112" s="28" t="s">
        <v>1980</v>
      </c>
      <c r="D112" s="28"/>
      <c r="E112" s="28" t="s">
        <v>1974</v>
      </c>
      <c r="F112" s="28" t="b">
        <v>0</v>
      </c>
      <c r="G112" s="28">
        <v>200</v>
      </c>
      <c r="H112" s="28" t="b">
        <v>1</v>
      </c>
      <c r="I112" s="34"/>
    </row>
    <row r="113" spans="1:9" ht="30" x14ac:dyDescent="0.25">
      <c r="A113" s="54" t="s">
        <v>144</v>
      </c>
      <c r="B113" s="43" t="s">
        <v>585</v>
      </c>
      <c r="C113" s="37" t="s">
        <v>1981</v>
      </c>
      <c r="D113" s="37"/>
      <c r="E113" s="37" t="s">
        <v>1974</v>
      </c>
      <c r="F113" s="37" t="b">
        <v>0</v>
      </c>
      <c r="G113" s="37">
        <v>200</v>
      </c>
      <c r="H113" s="37" t="b">
        <v>1</v>
      </c>
    </row>
    <row r="114" spans="1:9" ht="30" x14ac:dyDescent="0.25">
      <c r="A114" s="54" t="s">
        <v>144</v>
      </c>
      <c r="B114" s="31" t="s">
        <v>582</v>
      </c>
      <c r="C114" s="28" t="s">
        <v>1982</v>
      </c>
      <c r="D114" s="28"/>
      <c r="E114" s="28" t="s">
        <v>1974</v>
      </c>
      <c r="F114" s="28" t="b">
        <v>0</v>
      </c>
      <c r="G114" s="28">
        <v>200</v>
      </c>
      <c r="H114" s="28" t="b">
        <v>1</v>
      </c>
      <c r="I114" s="34"/>
    </row>
    <row r="115" spans="1:9" ht="30" x14ac:dyDescent="0.25">
      <c r="A115" s="54" t="s">
        <v>144</v>
      </c>
      <c r="B115" s="43" t="s">
        <v>638</v>
      </c>
      <c r="C115" s="37" t="s">
        <v>1983</v>
      </c>
      <c r="D115" s="37"/>
      <c r="E115" s="37" t="s">
        <v>1974</v>
      </c>
      <c r="F115" s="37" t="b">
        <v>0</v>
      </c>
      <c r="G115" s="37">
        <v>200</v>
      </c>
      <c r="H115" s="37" t="b">
        <v>1</v>
      </c>
    </row>
    <row r="116" spans="1:9" ht="30" x14ac:dyDescent="0.25">
      <c r="A116" s="54" t="s">
        <v>144</v>
      </c>
      <c r="B116" s="31" t="s">
        <v>638</v>
      </c>
      <c r="C116" s="28" t="s">
        <v>1984</v>
      </c>
      <c r="D116" s="28"/>
      <c r="E116" s="28" t="s">
        <v>1974</v>
      </c>
      <c r="F116" s="28" t="b">
        <v>0</v>
      </c>
      <c r="G116" s="28">
        <v>200</v>
      </c>
      <c r="H116" s="28" t="b">
        <v>1</v>
      </c>
      <c r="I116" s="34"/>
    </row>
    <row r="117" spans="1:9" ht="30" x14ac:dyDescent="0.25">
      <c r="A117" s="54" t="s">
        <v>144</v>
      </c>
      <c r="B117" s="43" t="s">
        <v>647</v>
      </c>
      <c r="C117" s="37" t="s">
        <v>1985</v>
      </c>
      <c r="D117" s="37"/>
      <c r="E117" s="37" t="s">
        <v>1974</v>
      </c>
      <c r="F117" s="37" t="b">
        <v>0</v>
      </c>
      <c r="G117" s="37">
        <v>200</v>
      </c>
      <c r="H117" s="37" t="b">
        <v>1</v>
      </c>
    </row>
    <row r="118" spans="1:9" ht="30" x14ac:dyDescent="0.25">
      <c r="A118" s="54" t="s">
        <v>144</v>
      </c>
      <c r="B118" s="31" t="s">
        <v>503</v>
      </c>
      <c r="C118" s="28" t="s">
        <v>1986</v>
      </c>
      <c r="D118" s="28"/>
      <c r="E118" s="28" t="s">
        <v>1974</v>
      </c>
      <c r="F118" s="28" t="b">
        <v>0</v>
      </c>
      <c r="G118" s="28">
        <v>200</v>
      </c>
      <c r="H118" s="28" t="b">
        <v>1</v>
      </c>
      <c r="I118" s="34"/>
    </row>
    <row r="119" spans="1:9" ht="30" x14ac:dyDescent="0.25">
      <c r="A119" s="54" t="s">
        <v>144</v>
      </c>
      <c r="B119" s="43" t="s">
        <v>608</v>
      </c>
      <c r="C119" s="37" t="s">
        <v>1987</v>
      </c>
      <c r="D119" s="37"/>
      <c r="E119" s="37" t="s">
        <v>1974</v>
      </c>
      <c r="F119" s="37" t="b">
        <v>0</v>
      </c>
      <c r="G119" s="37">
        <v>200</v>
      </c>
      <c r="H119" s="37" t="b">
        <v>1</v>
      </c>
    </row>
    <row r="120" spans="1:9" ht="30" x14ac:dyDescent="0.25">
      <c r="A120" s="54" t="s">
        <v>144</v>
      </c>
      <c r="B120" s="31" t="s">
        <v>127</v>
      </c>
      <c r="C120" s="28" t="s">
        <v>1975</v>
      </c>
      <c r="D120" s="28"/>
      <c r="E120" s="28" t="s">
        <v>1974</v>
      </c>
      <c r="F120" s="28" t="b">
        <v>0</v>
      </c>
      <c r="G120" s="28">
        <v>200</v>
      </c>
      <c r="H120" s="28" t="b">
        <v>1</v>
      </c>
      <c r="I120" s="34"/>
    </row>
    <row r="121" spans="1:9" ht="30" x14ac:dyDescent="0.25">
      <c r="A121" s="54" t="s">
        <v>144</v>
      </c>
      <c r="B121" s="43" t="s">
        <v>135</v>
      </c>
      <c r="C121" s="37" t="s">
        <v>1976</v>
      </c>
      <c r="D121" s="37"/>
      <c r="E121" s="37" t="s">
        <v>1974</v>
      </c>
      <c r="F121" s="37" t="b">
        <v>0</v>
      </c>
      <c r="G121" s="37">
        <v>200</v>
      </c>
      <c r="H121" s="37" t="b">
        <v>1</v>
      </c>
    </row>
    <row r="122" spans="1:9" ht="30" x14ac:dyDescent="0.25">
      <c r="A122" s="54" t="s">
        <v>144</v>
      </c>
      <c r="B122" s="31" t="s">
        <v>655</v>
      </c>
      <c r="C122" s="28" t="s">
        <v>1977</v>
      </c>
      <c r="D122" s="28"/>
      <c r="E122" s="28" t="s">
        <v>1974</v>
      </c>
      <c r="F122" s="28" t="b">
        <v>0</v>
      </c>
      <c r="G122" s="28">
        <v>200</v>
      </c>
      <c r="H122" s="28" t="b">
        <v>1</v>
      </c>
      <c r="I122" s="34"/>
    </row>
    <row r="123" spans="1:9" ht="30" x14ac:dyDescent="0.25">
      <c r="A123" s="54" t="s">
        <v>144</v>
      </c>
      <c r="B123" s="43" t="s">
        <v>635</v>
      </c>
      <c r="C123" s="37" t="s">
        <v>1978</v>
      </c>
      <c r="D123" s="37"/>
      <c r="E123" s="37" t="s">
        <v>1974</v>
      </c>
      <c r="F123" s="37" t="b">
        <v>0</v>
      </c>
      <c r="G123" s="37">
        <v>200</v>
      </c>
      <c r="H123" s="37" t="b">
        <v>1</v>
      </c>
    </row>
    <row r="124" spans="1:9" ht="30" x14ac:dyDescent="0.25">
      <c r="A124" s="54" t="s">
        <v>144</v>
      </c>
      <c r="B124" s="31" t="s">
        <v>144</v>
      </c>
      <c r="C124" s="28" t="s">
        <v>1979</v>
      </c>
      <c r="D124" s="28"/>
      <c r="E124" s="28" t="s">
        <v>1974</v>
      </c>
      <c r="F124" s="28" t="b">
        <v>0</v>
      </c>
      <c r="G124" s="28">
        <v>200</v>
      </c>
      <c r="H124" s="28" t="b">
        <v>1</v>
      </c>
      <c r="I124" s="34"/>
    </row>
    <row r="125" spans="1:9" ht="30" x14ac:dyDescent="0.25">
      <c r="A125" s="54" t="s">
        <v>144</v>
      </c>
      <c r="B125" s="43" t="s">
        <v>618</v>
      </c>
      <c r="C125" s="37" t="s">
        <v>1980</v>
      </c>
      <c r="D125" s="37"/>
      <c r="E125" s="37" t="s">
        <v>1974</v>
      </c>
      <c r="F125" s="37" t="b">
        <v>0</v>
      </c>
      <c r="G125" s="37">
        <v>200</v>
      </c>
      <c r="H125" s="37" t="b">
        <v>1</v>
      </c>
    </row>
    <row r="126" spans="1:9" ht="30" x14ac:dyDescent="0.25">
      <c r="A126" s="54" t="s">
        <v>144</v>
      </c>
      <c r="B126" s="31" t="s">
        <v>585</v>
      </c>
      <c r="C126" s="28" t="s">
        <v>1981</v>
      </c>
      <c r="D126" s="28"/>
      <c r="E126" s="28" t="s">
        <v>1974</v>
      </c>
      <c r="F126" s="28" t="b">
        <v>0</v>
      </c>
      <c r="G126" s="28">
        <v>200</v>
      </c>
      <c r="H126" s="28" t="b">
        <v>1</v>
      </c>
      <c r="I126" s="34"/>
    </row>
    <row r="127" spans="1:9" ht="30" x14ac:dyDescent="0.25">
      <c r="A127" s="54" t="s">
        <v>144</v>
      </c>
      <c r="B127" s="43" t="s">
        <v>582</v>
      </c>
      <c r="C127" s="37" t="s">
        <v>1982</v>
      </c>
      <c r="D127" s="37"/>
      <c r="E127" s="37" t="s">
        <v>1974</v>
      </c>
      <c r="F127" s="37" t="b">
        <v>0</v>
      </c>
      <c r="G127" s="37">
        <v>200</v>
      </c>
      <c r="H127" s="37" t="b">
        <v>1</v>
      </c>
    </row>
    <row r="128" spans="1:9" ht="30" x14ac:dyDescent="0.25">
      <c r="A128" s="54" t="s">
        <v>144</v>
      </c>
      <c r="B128" s="31" t="s">
        <v>638</v>
      </c>
      <c r="C128" s="28" t="s">
        <v>1983</v>
      </c>
      <c r="D128" s="28"/>
      <c r="E128" s="28" t="s">
        <v>1974</v>
      </c>
      <c r="F128" s="28" t="b">
        <v>0</v>
      </c>
      <c r="G128" s="28">
        <v>200</v>
      </c>
      <c r="H128" s="28" t="b">
        <v>1</v>
      </c>
      <c r="I128" s="34"/>
    </row>
    <row r="129" spans="1:9" ht="30" x14ac:dyDescent="0.25">
      <c r="A129" s="54" t="s">
        <v>144</v>
      </c>
      <c r="B129" s="43" t="s">
        <v>638</v>
      </c>
      <c r="C129" s="37" t="s">
        <v>1984</v>
      </c>
      <c r="D129" s="37"/>
      <c r="E129" s="37" t="s">
        <v>1974</v>
      </c>
      <c r="F129" s="37" t="b">
        <v>0</v>
      </c>
      <c r="G129" s="37">
        <v>200</v>
      </c>
      <c r="H129" s="37" t="b">
        <v>1</v>
      </c>
    </row>
    <row r="130" spans="1:9" ht="30" x14ac:dyDescent="0.25">
      <c r="A130" s="54" t="s">
        <v>144</v>
      </c>
      <c r="B130" s="31" t="s">
        <v>647</v>
      </c>
      <c r="C130" s="28" t="s">
        <v>1985</v>
      </c>
      <c r="D130" s="28"/>
      <c r="E130" s="28" t="s">
        <v>1974</v>
      </c>
      <c r="F130" s="28" t="b">
        <v>0</v>
      </c>
      <c r="G130" s="28">
        <v>200</v>
      </c>
      <c r="H130" s="28" t="b">
        <v>1</v>
      </c>
      <c r="I130" s="34"/>
    </row>
    <row r="131" spans="1:9" ht="30" x14ac:dyDescent="0.25">
      <c r="A131" s="54" t="s">
        <v>144</v>
      </c>
      <c r="B131" s="43" t="s">
        <v>503</v>
      </c>
      <c r="C131" s="37" t="s">
        <v>1986</v>
      </c>
      <c r="D131" s="37"/>
      <c r="E131" s="37" t="s">
        <v>1974</v>
      </c>
      <c r="F131" s="37" t="b">
        <v>0</v>
      </c>
      <c r="G131" s="37">
        <v>200</v>
      </c>
      <c r="H131" s="37" t="b">
        <v>1</v>
      </c>
    </row>
    <row r="132" spans="1:9" ht="30" x14ac:dyDescent="0.25">
      <c r="A132" s="54" t="s">
        <v>144</v>
      </c>
      <c r="B132" s="31" t="s">
        <v>608</v>
      </c>
      <c r="C132" s="28" t="s">
        <v>1987</v>
      </c>
      <c r="D132" s="28"/>
      <c r="E132" s="28" t="s">
        <v>1974</v>
      </c>
      <c r="F132" s="28" t="b">
        <v>0</v>
      </c>
      <c r="G132" s="28">
        <v>200</v>
      </c>
      <c r="H132" s="28" t="b">
        <v>1</v>
      </c>
      <c r="I132" s="34"/>
    </row>
    <row r="133" spans="1:9" ht="30" x14ac:dyDescent="0.25">
      <c r="A133" s="54" t="s">
        <v>144</v>
      </c>
      <c r="B133" s="43" t="s">
        <v>2025</v>
      </c>
      <c r="C133" s="37"/>
      <c r="D133" s="37"/>
      <c r="E133" s="37" t="s">
        <v>2012</v>
      </c>
      <c r="F133" s="37" t="b">
        <v>0</v>
      </c>
      <c r="G133" s="37"/>
      <c r="H133" s="37" t="b">
        <v>1</v>
      </c>
    </row>
    <row r="134" spans="1:9" ht="30" x14ac:dyDescent="0.25">
      <c r="A134" s="54" t="s">
        <v>144</v>
      </c>
      <c r="B134" s="31" t="s">
        <v>127</v>
      </c>
      <c r="C134" s="28" t="s">
        <v>1975</v>
      </c>
      <c r="D134" s="28"/>
      <c r="E134" s="28" t="s">
        <v>1974</v>
      </c>
      <c r="F134" s="28" t="b">
        <v>0</v>
      </c>
      <c r="G134" s="28">
        <v>200</v>
      </c>
      <c r="H134" s="28" t="b">
        <v>1</v>
      </c>
      <c r="I134" s="34"/>
    </row>
    <row r="135" spans="1:9" ht="30" x14ac:dyDescent="0.25">
      <c r="A135" s="54" t="s">
        <v>144</v>
      </c>
      <c r="B135" s="43" t="s">
        <v>135</v>
      </c>
      <c r="C135" s="37" t="s">
        <v>1976</v>
      </c>
      <c r="D135" s="37"/>
      <c r="E135" s="37" t="s">
        <v>1974</v>
      </c>
      <c r="F135" s="37" t="b">
        <v>0</v>
      </c>
      <c r="G135" s="37">
        <v>200</v>
      </c>
      <c r="H135" s="37" t="b">
        <v>1</v>
      </c>
    </row>
    <row r="136" spans="1:9" ht="30" x14ac:dyDescent="0.25">
      <c r="A136" s="54" t="s">
        <v>144</v>
      </c>
      <c r="B136" s="31" t="s">
        <v>655</v>
      </c>
      <c r="C136" s="28" t="s">
        <v>1977</v>
      </c>
      <c r="D136" s="28"/>
      <c r="E136" s="28" t="s">
        <v>1974</v>
      </c>
      <c r="F136" s="28" t="b">
        <v>0</v>
      </c>
      <c r="G136" s="28">
        <v>200</v>
      </c>
      <c r="H136" s="28" t="b">
        <v>1</v>
      </c>
      <c r="I136" s="34"/>
    </row>
    <row r="137" spans="1:9" ht="30" x14ac:dyDescent="0.25">
      <c r="A137" s="54" t="s">
        <v>144</v>
      </c>
      <c r="B137" s="43" t="s">
        <v>635</v>
      </c>
      <c r="C137" s="37" t="s">
        <v>1978</v>
      </c>
      <c r="D137" s="37"/>
      <c r="E137" s="37" t="s">
        <v>1974</v>
      </c>
      <c r="F137" s="37" t="b">
        <v>0</v>
      </c>
      <c r="G137" s="37">
        <v>200</v>
      </c>
      <c r="H137" s="37" t="b">
        <v>1</v>
      </c>
    </row>
    <row r="138" spans="1:9" ht="30" x14ac:dyDescent="0.25">
      <c r="A138" s="54" t="s">
        <v>144</v>
      </c>
      <c r="B138" s="31" t="s">
        <v>144</v>
      </c>
      <c r="C138" s="28" t="s">
        <v>1979</v>
      </c>
      <c r="D138" s="28"/>
      <c r="E138" s="28" t="s">
        <v>1974</v>
      </c>
      <c r="F138" s="28" t="b">
        <v>0</v>
      </c>
      <c r="G138" s="28">
        <v>200</v>
      </c>
      <c r="H138" s="28" t="b">
        <v>1</v>
      </c>
      <c r="I138" s="34"/>
    </row>
    <row r="139" spans="1:9" ht="30" x14ac:dyDescent="0.25">
      <c r="A139" s="54" t="s">
        <v>144</v>
      </c>
      <c r="B139" s="43" t="s">
        <v>618</v>
      </c>
      <c r="C139" s="37" t="s">
        <v>1980</v>
      </c>
      <c r="D139" s="37"/>
      <c r="E139" s="37" t="s">
        <v>1974</v>
      </c>
      <c r="F139" s="37" t="b">
        <v>0</v>
      </c>
      <c r="G139" s="37">
        <v>200</v>
      </c>
      <c r="H139" s="37" t="b">
        <v>1</v>
      </c>
    </row>
    <row r="140" spans="1:9" ht="30" x14ac:dyDescent="0.25">
      <c r="A140" s="54" t="s">
        <v>144</v>
      </c>
      <c r="B140" s="31" t="s">
        <v>585</v>
      </c>
      <c r="C140" s="28" t="s">
        <v>1981</v>
      </c>
      <c r="D140" s="28"/>
      <c r="E140" s="28" t="s">
        <v>1974</v>
      </c>
      <c r="F140" s="28" t="b">
        <v>0</v>
      </c>
      <c r="G140" s="28">
        <v>200</v>
      </c>
      <c r="H140" s="28" t="b">
        <v>1</v>
      </c>
      <c r="I140" s="34"/>
    </row>
    <row r="141" spans="1:9" ht="30" x14ac:dyDescent="0.25">
      <c r="A141" s="54" t="s">
        <v>144</v>
      </c>
      <c r="B141" s="43" t="s">
        <v>582</v>
      </c>
      <c r="C141" s="37" t="s">
        <v>1982</v>
      </c>
      <c r="D141" s="37"/>
      <c r="E141" s="37" t="s">
        <v>1974</v>
      </c>
      <c r="F141" s="37" t="b">
        <v>0</v>
      </c>
      <c r="G141" s="37">
        <v>200</v>
      </c>
      <c r="H141" s="37" t="b">
        <v>1</v>
      </c>
    </row>
    <row r="142" spans="1:9" ht="30" x14ac:dyDescent="0.25">
      <c r="A142" s="54" t="s">
        <v>144</v>
      </c>
      <c r="B142" s="31" t="s">
        <v>638</v>
      </c>
      <c r="C142" s="28" t="s">
        <v>1983</v>
      </c>
      <c r="D142" s="28"/>
      <c r="E142" s="28" t="s">
        <v>1974</v>
      </c>
      <c r="F142" s="28" t="b">
        <v>0</v>
      </c>
      <c r="G142" s="28">
        <v>200</v>
      </c>
      <c r="H142" s="28" t="b">
        <v>1</v>
      </c>
      <c r="I142" s="34"/>
    </row>
    <row r="143" spans="1:9" ht="30" x14ac:dyDescent="0.25">
      <c r="A143" s="54" t="s">
        <v>144</v>
      </c>
      <c r="B143" s="43" t="s">
        <v>638</v>
      </c>
      <c r="C143" s="37" t="s">
        <v>1984</v>
      </c>
      <c r="D143" s="37"/>
      <c r="E143" s="37" t="s">
        <v>1974</v>
      </c>
      <c r="F143" s="37" t="b">
        <v>0</v>
      </c>
      <c r="G143" s="37">
        <v>200</v>
      </c>
      <c r="H143" s="37" t="b">
        <v>1</v>
      </c>
    </row>
    <row r="144" spans="1:9" ht="30" x14ac:dyDescent="0.25">
      <c r="A144" s="54" t="s">
        <v>144</v>
      </c>
      <c r="B144" s="31" t="s">
        <v>647</v>
      </c>
      <c r="C144" s="28" t="s">
        <v>1985</v>
      </c>
      <c r="D144" s="28"/>
      <c r="E144" s="28" t="s">
        <v>1974</v>
      </c>
      <c r="F144" s="28" t="b">
        <v>0</v>
      </c>
      <c r="G144" s="28">
        <v>200</v>
      </c>
      <c r="H144" s="28" t="b">
        <v>1</v>
      </c>
      <c r="I144" s="34"/>
    </row>
    <row r="145" spans="1:9" ht="30" x14ac:dyDescent="0.25">
      <c r="A145" s="54" t="s">
        <v>144</v>
      </c>
      <c r="B145" s="43" t="s">
        <v>503</v>
      </c>
      <c r="C145" s="37" t="s">
        <v>1986</v>
      </c>
      <c r="D145" s="37"/>
      <c r="E145" s="37" t="s">
        <v>1974</v>
      </c>
      <c r="F145" s="37" t="b">
        <v>0</v>
      </c>
      <c r="G145" s="37">
        <v>200</v>
      </c>
      <c r="H145" s="37" t="b">
        <v>1</v>
      </c>
    </row>
    <row r="146" spans="1:9" ht="30" x14ac:dyDescent="0.25">
      <c r="A146" s="54" t="s">
        <v>144</v>
      </c>
      <c r="B146" s="31" t="s">
        <v>608</v>
      </c>
      <c r="C146" s="28" t="s">
        <v>1987</v>
      </c>
      <c r="D146" s="28"/>
      <c r="E146" s="28" t="s">
        <v>1974</v>
      </c>
      <c r="F146" s="28" t="b">
        <v>0</v>
      </c>
      <c r="G146" s="28">
        <v>200</v>
      </c>
      <c r="H146" s="28" t="b">
        <v>1</v>
      </c>
      <c r="I146" s="34"/>
    </row>
    <row r="147" spans="1:9" ht="30" x14ac:dyDescent="0.25">
      <c r="A147" s="54" t="s">
        <v>144</v>
      </c>
      <c r="B147" s="43" t="s">
        <v>127</v>
      </c>
      <c r="C147" s="37" t="s">
        <v>1975</v>
      </c>
      <c r="D147" s="37"/>
      <c r="E147" s="37" t="s">
        <v>1974</v>
      </c>
      <c r="F147" s="37" t="b">
        <v>0</v>
      </c>
      <c r="G147" s="37">
        <v>200</v>
      </c>
      <c r="H147" s="37" t="b">
        <v>1</v>
      </c>
    </row>
    <row r="148" spans="1:9" ht="30" x14ac:dyDescent="0.25">
      <c r="A148" s="54" t="s">
        <v>144</v>
      </c>
      <c r="B148" s="31" t="s">
        <v>135</v>
      </c>
      <c r="C148" s="28" t="s">
        <v>1976</v>
      </c>
      <c r="D148" s="28"/>
      <c r="E148" s="28" t="s">
        <v>1974</v>
      </c>
      <c r="F148" s="28" t="b">
        <v>0</v>
      </c>
      <c r="G148" s="28">
        <v>200</v>
      </c>
      <c r="H148" s="28" t="b">
        <v>1</v>
      </c>
      <c r="I148" s="34"/>
    </row>
    <row r="149" spans="1:9" ht="30" x14ac:dyDescent="0.25">
      <c r="A149" s="54" t="s">
        <v>144</v>
      </c>
      <c r="B149" s="43" t="s">
        <v>655</v>
      </c>
      <c r="C149" s="37" t="s">
        <v>1977</v>
      </c>
      <c r="D149" s="37"/>
      <c r="E149" s="37" t="s">
        <v>1974</v>
      </c>
      <c r="F149" s="37" t="b">
        <v>0</v>
      </c>
      <c r="G149" s="37">
        <v>200</v>
      </c>
      <c r="H149" s="37" t="b">
        <v>1</v>
      </c>
    </row>
    <row r="150" spans="1:9" ht="30" x14ac:dyDescent="0.25">
      <c r="A150" s="54" t="s">
        <v>144</v>
      </c>
      <c r="B150" s="31" t="s">
        <v>635</v>
      </c>
      <c r="C150" s="28" t="s">
        <v>1978</v>
      </c>
      <c r="D150" s="28"/>
      <c r="E150" s="28" t="s">
        <v>1974</v>
      </c>
      <c r="F150" s="28" t="b">
        <v>0</v>
      </c>
      <c r="G150" s="28">
        <v>200</v>
      </c>
      <c r="H150" s="28" t="b">
        <v>1</v>
      </c>
      <c r="I150" s="34"/>
    </row>
    <row r="151" spans="1:9" ht="30" x14ac:dyDescent="0.25">
      <c r="A151" s="54" t="s">
        <v>144</v>
      </c>
      <c r="B151" s="43" t="s">
        <v>144</v>
      </c>
      <c r="C151" s="37" t="s">
        <v>1979</v>
      </c>
      <c r="D151" s="37"/>
      <c r="E151" s="37" t="s">
        <v>1974</v>
      </c>
      <c r="F151" s="37" t="b">
        <v>0</v>
      </c>
      <c r="G151" s="37">
        <v>200</v>
      </c>
      <c r="H151" s="37" t="b">
        <v>1</v>
      </c>
    </row>
    <row r="152" spans="1:9" ht="30" x14ac:dyDescent="0.25">
      <c r="A152" s="54" t="s">
        <v>144</v>
      </c>
      <c r="B152" s="31" t="s">
        <v>618</v>
      </c>
      <c r="C152" s="28" t="s">
        <v>1980</v>
      </c>
      <c r="D152" s="28"/>
      <c r="E152" s="28" t="s">
        <v>1974</v>
      </c>
      <c r="F152" s="28" t="b">
        <v>0</v>
      </c>
      <c r="G152" s="28">
        <v>200</v>
      </c>
      <c r="H152" s="28" t="b">
        <v>1</v>
      </c>
      <c r="I152" s="34"/>
    </row>
    <row r="153" spans="1:9" ht="30" x14ac:dyDescent="0.25">
      <c r="A153" s="54" t="s">
        <v>144</v>
      </c>
      <c r="B153" s="43" t="s">
        <v>585</v>
      </c>
      <c r="C153" s="37" t="s">
        <v>1981</v>
      </c>
      <c r="D153" s="37"/>
      <c r="E153" s="37" t="s">
        <v>1974</v>
      </c>
      <c r="F153" s="37" t="b">
        <v>0</v>
      </c>
      <c r="G153" s="37">
        <v>200</v>
      </c>
      <c r="H153" s="37" t="b">
        <v>1</v>
      </c>
    </row>
    <row r="154" spans="1:9" ht="30" x14ac:dyDescent="0.25">
      <c r="A154" s="54" t="s">
        <v>144</v>
      </c>
      <c r="B154" s="31" t="s">
        <v>582</v>
      </c>
      <c r="C154" s="28" t="s">
        <v>1982</v>
      </c>
      <c r="D154" s="28"/>
      <c r="E154" s="28" t="s">
        <v>1974</v>
      </c>
      <c r="F154" s="28" t="b">
        <v>0</v>
      </c>
      <c r="G154" s="28">
        <v>200</v>
      </c>
      <c r="H154" s="28" t="b">
        <v>1</v>
      </c>
      <c r="I154" s="34"/>
    </row>
    <row r="155" spans="1:9" ht="30" x14ac:dyDescent="0.25">
      <c r="A155" s="54" t="s">
        <v>144</v>
      </c>
      <c r="B155" s="43" t="s">
        <v>638</v>
      </c>
      <c r="C155" s="37" t="s">
        <v>1983</v>
      </c>
      <c r="D155" s="37"/>
      <c r="E155" s="37" t="s">
        <v>1974</v>
      </c>
      <c r="F155" s="37" t="b">
        <v>0</v>
      </c>
      <c r="G155" s="37">
        <v>200</v>
      </c>
      <c r="H155" s="37" t="b">
        <v>1</v>
      </c>
    </row>
    <row r="156" spans="1:9" ht="30" x14ac:dyDescent="0.25">
      <c r="A156" s="54" t="s">
        <v>144</v>
      </c>
      <c r="B156" s="31" t="s">
        <v>638</v>
      </c>
      <c r="C156" s="28" t="s">
        <v>1984</v>
      </c>
      <c r="D156" s="28"/>
      <c r="E156" s="28" t="s">
        <v>1974</v>
      </c>
      <c r="F156" s="28" t="b">
        <v>0</v>
      </c>
      <c r="G156" s="28">
        <v>200</v>
      </c>
      <c r="H156" s="28" t="b">
        <v>1</v>
      </c>
      <c r="I156" s="34"/>
    </row>
    <row r="157" spans="1:9" ht="30" x14ac:dyDescent="0.25">
      <c r="A157" s="54" t="s">
        <v>144</v>
      </c>
      <c r="B157" s="43" t="s">
        <v>647</v>
      </c>
      <c r="C157" s="37" t="s">
        <v>1985</v>
      </c>
      <c r="D157" s="37"/>
      <c r="E157" s="37" t="s">
        <v>1974</v>
      </c>
      <c r="F157" s="37" t="b">
        <v>0</v>
      </c>
      <c r="G157" s="37">
        <v>200</v>
      </c>
      <c r="H157" s="37" t="b">
        <v>1</v>
      </c>
    </row>
    <row r="158" spans="1:9" ht="30" x14ac:dyDescent="0.25">
      <c r="A158" s="54" t="s">
        <v>144</v>
      </c>
      <c r="B158" s="31" t="s">
        <v>503</v>
      </c>
      <c r="C158" s="28" t="s">
        <v>1986</v>
      </c>
      <c r="D158" s="28"/>
      <c r="E158" s="28" t="s">
        <v>1974</v>
      </c>
      <c r="F158" s="28" t="b">
        <v>0</v>
      </c>
      <c r="G158" s="28">
        <v>200</v>
      </c>
      <c r="H158" s="28" t="b">
        <v>1</v>
      </c>
      <c r="I158" s="34"/>
    </row>
    <row r="159" spans="1:9" ht="30" x14ac:dyDescent="0.25">
      <c r="A159" s="54" t="s">
        <v>144</v>
      </c>
      <c r="B159" s="43" t="s">
        <v>608</v>
      </c>
      <c r="C159" s="37" t="s">
        <v>1987</v>
      </c>
      <c r="D159" s="37"/>
      <c r="E159" s="37" t="s">
        <v>1974</v>
      </c>
      <c r="F159" s="37" t="b">
        <v>0</v>
      </c>
      <c r="G159" s="37">
        <v>200</v>
      </c>
      <c r="H159" s="37" t="b">
        <v>1</v>
      </c>
    </row>
    <row r="160" spans="1:9" ht="30" x14ac:dyDescent="0.25">
      <c r="A160" s="54" t="s">
        <v>144</v>
      </c>
      <c r="B160" s="31" t="s">
        <v>500</v>
      </c>
      <c r="C160" s="28" t="s">
        <v>2026</v>
      </c>
      <c r="D160" s="28"/>
      <c r="E160" s="28" t="s">
        <v>1974</v>
      </c>
      <c r="F160" s="28" t="b">
        <v>0</v>
      </c>
      <c r="G160" s="28">
        <v>200</v>
      </c>
      <c r="H160" s="28" t="b">
        <v>1</v>
      </c>
      <c r="I160" s="34"/>
    </row>
    <row r="161" spans="1:9" ht="30" x14ac:dyDescent="0.25">
      <c r="A161" s="54" t="s">
        <v>144</v>
      </c>
      <c r="B161" s="43" t="s">
        <v>647</v>
      </c>
      <c r="C161" s="37" t="s">
        <v>2010</v>
      </c>
      <c r="D161" s="37"/>
      <c r="E161" s="37" t="s">
        <v>1974</v>
      </c>
      <c r="F161" s="37" t="b">
        <v>0</v>
      </c>
      <c r="G161" s="37">
        <v>200</v>
      </c>
      <c r="H161" s="37" t="b">
        <v>1</v>
      </c>
    </row>
    <row r="162" spans="1:9" ht="30" x14ac:dyDescent="0.25">
      <c r="A162" s="54" t="s">
        <v>144</v>
      </c>
      <c r="B162" s="31" t="s">
        <v>2011</v>
      </c>
      <c r="C162" s="28"/>
      <c r="D162" s="28"/>
      <c r="E162" s="28" t="s">
        <v>2012</v>
      </c>
      <c r="F162" s="28" t="b">
        <v>0</v>
      </c>
      <c r="G162" s="28"/>
      <c r="H162" s="28" t="b">
        <v>1</v>
      </c>
      <c r="I162" s="34"/>
    </row>
    <row r="163" spans="1:9" ht="30" x14ac:dyDescent="0.25">
      <c r="A163" s="54" t="s">
        <v>144</v>
      </c>
      <c r="B163" s="43" t="s">
        <v>2013</v>
      </c>
      <c r="C163" s="37"/>
      <c r="D163" s="37"/>
      <c r="E163" s="37" t="s">
        <v>2012</v>
      </c>
      <c r="F163" s="37" t="b">
        <v>0</v>
      </c>
      <c r="G163" s="37"/>
      <c r="H163" s="37" t="b">
        <v>1</v>
      </c>
    </row>
    <row r="164" spans="1:9" ht="30" x14ac:dyDescent="0.25">
      <c r="A164" s="54" t="s">
        <v>144</v>
      </c>
      <c r="B164" s="31" t="s">
        <v>641</v>
      </c>
      <c r="C164" s="28" t="s">
        <v>2014</v>
      </c>
      <c r="D164" s="28"/>
      <c r="E164" s="28" t="s">
        <v>1974</v>
      </c>
      <c r="F164" s="28" t="b">
        <v>0</v>
      </c>
      <c r="G164" s="28">
        <v>200</v>
      </c>
      <c r="H164" s="28" t="b">
        <v>1</v>
      </c>
      <c r="I164" s="34"/>
    </row>
    <row r="165" spans="1:9" ht="30" x14ac:dyDescent="0.25">
      <c r="A165" s="54" t="s">
        <v>144</v>
      </c>
      <c r="B165" s="43" t="s">
        <v>2015</v>
      </c>
      <c r="C165" s="37" t="s">
        <v>2016</v>
      </c>
      <c r="D165" s="37"/>
      <c r="E165" s="37" t="s">
        <v>1974</v>
      </c>
      <c r="F165" s="37" t="b">
        <v>0</v>
      </c>
      <c r="G165" s="37">
        <v>404</v>
      </c>
      <c r="H165" s="37" t="b">
        <v>0</v>
      </c>
    </row>
    <row r="166" spans="1:9" ht="30" x14ac:dyDescent="0.25">
      <c r="A166" s="54" t="s">
        <v>144</v>
      </c>
      <c r="B166" s="31" t="s">
        <v>2015</v>
      </c>
      <c r="C166" s="28" t="s">
        <v>2017</v>
      </c>
      <c r="D166" s="28"/>
      <c r="E166" s="28" t="s">
        <v>1974</v>
      </c>
      <c r="F166" s="28" t="b">
        <v>0</v>
      </c>
      <c r="G166" s="28">
        <v>404</v>
      </c>
      <c r="H166" s="28" t="b">
        <v>0</v>
      </c>
      <c r="I166" s="34"/>
    </row>
    <row r="167" spans="1:9" x14ac:dyDescent="0.25">
      <c r="A167" s="54" t="s">
        <v>152</v>
      </c>
      <c r="B167" s="43" t="s">
        <v>2025</v>
      </c>
      <c r="C167" s="37"/>
      <c r="D167" s="37"/>
      <c r="E167" s="37" t="s">
        <v>2012</v>
      </c>
      <c r="F167" s="37" t="b">
        <v>0</v>
      </c>
      <c r="G167" s="37"/>
      <c r="H167" s="37" t="b">
        <v>1</v>
      </c>
    </row>
    <row r="168" spans="1:9" ht="30" x14ac:dyDescent="0.25">
      <c r="A168" s="54" t="s">
        <v>152</v>
      </c>
      <c r="B168" s="31" t="s">
        <v>497</v>
      </c>
      <c r="C168" s="28" t="s">
        <v>2027</v>
      </c>
      <c r="D168" s="28"/>
      <c r="E168" s="28" t="s">
        <v>1974</v>
      </c>
      <c r="F168" s="28" t="b">
        <v>0</v>
      </c>
      <c r="G168" s="28">
        <v>200</v>
      </c>
      <c r="H168" s="28" t="b">
        <v>1</v>
      </c>
      <c r="I168" s="34"/>
    </row>
    <row r="169" spans="1:9" x14ac:dyDescent="0.25">
      <c r="A169" s="54" t="s">
        <v>152</v>
      </c>
      <c r="B169" s="43" t="s">
        <v>652</v>
      </c>
      <c r="C169" s="37" t="s">
        <v>2028</v>
      </c>
      <c r="D169" s="37"/>
      <c r="E169" s="37" t="s">
        <v>1974</v>
      </c>
      <c r="F169" s="37" t="b">
        <v>0</v>
      </c>
      <c r="G169" s="37">
        <v>200</v>
      </c>
      <c r="H169" s="37" t="b">
        <v>1</v>
      </c>
    </row>
    <row r="170" spans="1:9" ht="30" x14ac:dyDescent="0.25">
      <c r="A170" s="54" t="s">
        <v>152</v>
      </c>
      <c r="B170" s="31" t="s">
        <v>537</v>
      </c>
      <c r="C170" s="28" t="s">
        <v>2029</v>
      </c>
      <c r="D170" s="28"/>
      <c r="E170" s="28" t="s">
        <v>1974</v>
      </c>
      <c r="F170" s="28" t="b">
        <v>0</v>
      </c>
      <c r="G170" s="28">
        <v>200</v>
      </c>
      <c r="H170" s="28" t="b">
        <v>1</v>
      </c>
      <c r="I170" s="34"/>
    </row>
    <row r="171" spans="1:9" ht="30" x14ac:dyDescent="0.25">
      <c r="A171" s="54" t="s">
        <v>152</v>
      </c>
      <c r="B171" s="43" t="s">
        <v>543</v>
      </c>
      <c r="C171" s="37" t="s">
        <v>2030</v>
      </c>
      <c r="D171" s="37"/>
      <c r="E171" s="37" t="s">
        <v>1974</v>
      </c>
      <c r="F171" s="37" t="b">
        <v>0</v>
      </c>
      <c r="G171" s="37">
        <v>200</v>
      </c>
      <c r="H171" s="37" t="b">
        <v>1</v>
      </c>
    </row>
    <row r="172" spans="1:9" x14ac:dyDescent="0.25">
      <c r="A172" s="54" t="s">
        <v>152</v>
      </c>
      <c r="B172" s="31" t="s">
        <v>566</v>
      </c>
      <c r="C172" s="28" t="s">
        <v>2031</v>
      </c>
      <c r="D172" s="28"/>
      <c r="E172" s="28" t="s">
        <v>1974</v>
      </c>
      <c r="F172" s="28" t="b">
        <v>0</v>
      </c>
      <c r="G172" s="28">
        <v>200</v>
      </c>
      <c r="H172" s="28" t="b">
        <v>1</v>
      </c>
      <c r="I172" s="34"/>
    </row>
    <row r="173" spans="1:9" x14ac:dyDescent="0.25">
      <c r="A173" s="54" t="s">
        <v>152</v>
      </c>
      <c r="B173" s="43" t="s">
        <v>601</v>
      </c>
      <c r="C173" s="37" t="s">
        <v>2032</v>
      </c>
      <c r="D173" s="37"/>
      <c r="E173" s="37" t="s">
        <v>1974</v>
      </c>
      <c r="F173" s="37" t="b">
        <v>0</v>
      </c>
      <c r="G173" s="37">
        <v>200</v>
      </c>
      <c r="H173" s="37" t="b">
        <v>1</v>
      </c>
    </row>
    <row r="174" spans="1:9" ht="30" x14ac:dyDescent="0.25">
      <c r="A174" s="54" t="s">
        <v>152</v>
      </c>
      <c r="B174" s="31" t="s">
        <v>497</v>
      </c>
      <c r="C174" s="28" t="s">
        <v>2027</v>
      </c>
      <c r="D174" s="28"/>
      <c r="E174" s="28" t="s">
        <v>1974</v>
      </c>
      <c r="F174" s="28" t="b">
        <v>0</v>
      </c>
      <c r="G174" s="28">
        <v>200</v>
      </c>
      <c r="H174" s="28" t="b">
        <v>1</v>
      </c>
      <c r="I174" s="34"/>
    </row>
    <row r="175" spans="1:9" x14ac:dyDescent="0.25">
      <c r="A175" s="54" t="s">
        <v>152</v>
      </c>
      <c r="B175" s="43" t="s">
        <v>652</v>
      </c>
      <c r="C175" s="37" t="s">
        <v>2028</v>
      </c>
      <c r="D175" s="37"/>
      <c r="E175" s="37" t="s">
        <v>1974</v>
      </c>
      <c r="F175" s="37" t="b">
        <v>0</v>
      </c>
      <c r="G175" s="37">
        <v>200</v>
      </c>
      <c r="H175" s="37" t="b">
        <v>1</v>
      </c>
    </row>
    <row r="176" spans="1:9" ht="30" x14ac:dyDescent="0.25">
      <c r="A176" s="54" t="s">
        <v>152</v>
      </c>
      <c r="B176" s="31" t="s">
        <v>537</v>
      </c>
      <c r="C176" s="28" t="s">
        <v>2029</v>
      </c>
      <c r="D176" s="28"/>
      <c r="E176" s="28" t="s">
        <v>1974</v>
      </c>
      <c r="F176" s="28" t="b">
        <v>0</v>
      </c>
      <c r="G176" s="28">
        <v>200</v>
      </c>
      <c r="H176" s="28" t="b">
        <v>1</v>
      </c>
      <c r="I176" s="34"/>
    </row>
    <row r="177" spans="1:9" ht="30" x14ac:dyDescent="0.25">
      <c r="A177" s="54" t="s">
        <v>152</v>
      </c>
      <c r="B177" s="43" t="s">
        <v>543</v>
      </c>
      <c r="C177" s="37" t="s">
        <v>2030</v>
      </c>
      <c r="D177" s="37"/>
      <c r="E177" s="37" t="s">
        <v>1974</v>
      </c>
      <c r="F177" s="37" t="b">
        <v>0</v>
      </c>
      <c r="G177" s="37">
        <v>200</v>
      </c>
      <c r="H177" s="37" t="b">
        <v>1</v>
      </c>
    </row>
    <row r="178" spans="1:9" x14ac:dyDescent="0.25">
      <c r="A178" s="54" t="s">
        <v>152</v>
      </c>
      <c r="B178" s="31" t="s">
        <v>566</v>
      </c>
      <c r="C178" s="28" t="s">
        <v>2031</v>
      </c>
      <c r="D178" s="28"/>
      <c r="E178" s="28" t="s">
        <v>1974</v>
      </c>
      <c r="F178" s="28" t="b">
        <v>0</v>
      </c>
      <c r="G178" s="28">
        <v>200</v>
      </c>
      <c r="H178" s="28" t="b">
        <v>1</v>
      </c>
      <c r="I178" s="34"/>
    </row>
    <row r="179" spans="1:9" x14ac:dyDescent="0.25">
      <c r="A179" s="54" t="s">
        <v>152</v>
      </c>
      <c r="B179" s="43" t="s">
        <v>601</v>
      </c>
      <c r="C179" s="37" t="s">
        <v>2032</v>
      </c>
      <c r="D179" s="37"/>
      <c r="E179" s="37" t="s">
        <v>1974</v>
      </c>
      <c r="F179" s="37" t="b">
        <v>0</v>
      </c>
      <c r="G179" s="37">
        <v>200</v>
      </c>
      <c r="H179" s="37" t="b">
        <v>1</v>
      </c>
    </row>
    <row r="180" spans="1:9" x14ac:dyDescent="0.25">
      <c r="A180" s="54" t="s">
        <v>152</v>
      </c>
      <c r="B180" s="31" t="s">
        <v>647</v>
      </c>
      <c r="C180" s="28" t="s">
        <v>2010</v>
      </c>
      <c r="D180" s="28"/>
      <c r="E180" s="28" t="s">
        <v>1974</v>
      </c>
      <c r="F180" s="28" t="b">
        <v>0</v>
      </c>
      <c r="G180" s="28">
        <v>200</v>
      </c>
      <c r="H180" s="28" t="b">
        <v>1</v>
      </c>
      <c r="I180" s="34"/>
    </row>
    <row r="181" spans="1:9" ht="30" x14ac:dyDescent="0.25">
      <c r="A181" s="54" t="s">
        <v>152</v>
      </c>
      <c r="B181" s="43" t="s">
        <v>2011</v>
      </c>
      <c r="C181" s="37"/>
      <c r="D181" s="37"/>
      <c r="E181" s="37" t="s">
        <v>2012</v>
      </c>
      <c r="F181" s="37" t="b">
        <v>0</v>
      </c>
      <c r="G181" s="37"/>
      <c r="H181" s="37" t="b">
        <v>1</v>
      </c>
    </row>
    <row r="182" spans="1:9" ht="30" x14ac:dyDescent="0.25">
      <c r="A182" s="54" t="s">
        <v>152</v>
      </c>
      <c r="B182" s="31" t="s">
        <v>2013</v>
      </c>
      <c r="C182" s="28"/>
      <c r="D182" s="28"/>
      <c r="E182" s="28" t="s">
        <v>2012</v>
      </c>
      <c r="F182" s="28" t="b">
        <v>0</v>
      </c>
      <c r="G182" s="28"/>
      <c r="H182" s="28" t="b">
        <v>1</v>
      </c>
      <c r="I182" s="34"/>
    </row>
    <row r="183" spans="1:9" x14ac:dyDescent="0.25">
      <c r="A183" s="54" t="s">
        <v>152</v>
      </c>
      <c r="B183" s="43" t="s">
        <v>2033</v>
      </c>
      <c r="C183" s="37"/>
      <c r="D183" s="37"/>
      <c r="E183" s="37" t="s">
        <v>2012</v>
      </c>
      <c r="F183" s="37" t="b">
        <v>0</v>
      </c>
      <c r="G183" s="37"/>
      <c r="H183" s="37" t="b">
        <v>1</v>
      </c>
    </row>
    <row r="184" spans="1:9" x14ac:dyDescent="0.25">
      <c r="A184" s="54" t="s">
        <v>152</v>
      </c>
      <c r="B184" s="31" t="s">
        <v>641</v>
      </c>
      <c r="C184" s="28" t="s">
        <v>2034</v>
      </c>
      <c r="D184" s="28"/>
      <c r="E184" s="28" t="s">
        <v>1974</v>
      </c>
      <c r="F184" s="28" t="b">
        <v>0</v>
      </c>
      <c r="G184" s="28">
        <v>200</v>
      </c>
      <c r="H184" s="28" t="b">
        <v>1</v>
      </c>
      <c r="I184" s="34"/>
    </row>
    <row r="185" spans="1:9" ht="30" x14ac:dyDescent="0.25">
      <c r="A185" s="54" t="s">
        <v>152</v>
      </c>
      <c r="B185" s="43" t="s">
        <v>2015</v>
      </c>
      <c r="C185" s="37" t="s">
        <v>2016</v>
      </c>
      <c r="D185" s="37"/>
      <c r="E185" s="37" t="s">
        <v>1974</v>
      </c>
      <c r="F185" s="37" t="b">
        <v>0</v>
      </c>
      <c r="G185" s="37">
        <v>404</v>
      </c>
      <c r="H185" s="37" t="b">
        <v>0</v>
      </c>
    </row>
    <row r="186" spans="1:9" ht="30" x14ac:dyDescent="0.25">
      <c r="A186" s="54" t="s">
        <v>152</v>
      </c>
      <c r="B186" s="31" t="s">
        <v>2015</v>
      </c>
      <c r="C186" s="28" t="s">
        <v>2017</v>
      </c>
      <c r="D186" s="28"/>
      <c r="E186" s="28" t="s">
        <v>1974</v>
      </c>
      <c r="F186" s="28" t="b">
        <v>0</v>
      </c>
      <c r="G186" s="28">
        <v>404</v>
      </c>
      <c r="H186" s="28" t="b">
        <v>0</v>
      </c>
      <c r="I186" s="34"/>
    </row>
    <row r="187" spans="1:9" ht="30" x14ac:dyDescent="0.25">
      <c r="A187" s="54" t="s">
        <v>169</v>
      </c>
      <c r="B187" s="43" t="s">
        <v>127</v>
      </c>
      <c r="C187" s="37"/>
      <c r="D187" s="37"/>
      <c r="E187" s="37" t="s">
        <v>1974</v>
      </c>
      <c r="F187" s="37" t="b">
        <v>0</v>
      </c>
      <c r="G187" s="37">
        <v>200</v>
      </c>
      <c r="H187" s="37" t="b">
        <v>1</v>
      </c>
    </row>
    <row r="188" spans="1:9" ht="30" x14ac:dyDescent="0.25">
      <c r="A188" s="54" t="s">
        <v>169</v>
      </c>
      <c r="B188" s="31" t="s">
        <v>127</v>
      </c>
      <c r="C188" s="28" t="s">
        <v>1975</v>
      </c>
      <c r="D188" s="28"/>
      <c r="E188" s="28" t="s">
        <v>1974</v>
      </c>
      <c r="F188" s="28" t="b">
        <v>0</v>
      </c>
      <c r="G188" s="28">
        <v>200</v>
      </c>
      <c r="H188" s="28" t="b">
        <v>1</v>
      </c>
      <c r="I188" s="34"/>
    </row>
    <row r="189" spans="1:9" ht="30" x14ac:dyDescent="0.25">
      <c r="A189" s="54" t="s">
        <v>169</v>
      </c>
      <c r="B189" s="43" t="s">
        <v>135</v>
      </c>
      <c r="C189" s="37" t="s">
        <v>1976</v>
      </c>
      <c r="D189" s="37"/>
      <c r="E189" s="37" t="s">
        <v>1974</v>
      </c>
      <c r="F189" s="37" t="b">
        <v>0</v>
      </c>
      <c r="G189" s="37">
        <v>200</v>
      </c>
      <c r="H189" s="37" t="b">
        <v>1</v>
      </c>
    </row>
    <row r="190" spans="1:9" ht="30" x14ac:dyDescent="0.25">
      <c r="A190" s="54" t="s">
        <v>169</v>
      </c>
      <c r="B190" s="31" t="s">
        <v>655</v>
      </c>
      <c r="C190" s="28" t="s">
        <v>1977</v>
      </c>
      <c r="D190" s="28"/>
      <c r="E190" s="28" t="s">
        <v>1974</v>
      </c>
      <c r="F190" s="28" t="b">
        <v>0</v>
      </c>
      <c r="G190" s="28">
        <v>200</v>
      </c>
      <c r="H190" s="28" t="b">
        <v>1</v>
      </c>
      <c r="I190" s="34"/>
    </row>
    <row r="191" spans="1:9" ht="30" x14ac:dyDescent="0.25">
      <c r="A191" s="54" t="s">
        <v>169</v>
      </c>
      <c r="B191" s="43" t="s">
        <v>635</v>
      </c>
      <c r="C191" s="37" t="s">
        <v>1978</v>
      </c>
      <c r="D191" s="37"/>
      <c r="E191" s="37" t="s">
        <v>1974</v>
      </c>
      <c r="F191" s="37" t="b">
        <v>0</v>
      </c>
      <c r="G191" s="37">
        <v>200</v>
      </c>
      <c r="H191" s="37" t="b">
        <v>1</v>
      </c>
    </row>
    <row r="192" spans="1:9" ht="30" x14ac:dyDescent="0.25">
      <c r="A192" s="54" t="s">
        <v>169</v>
      </c>
      <c r="B192" s="31" t="s">
        <v>144</v>
      </c>
      <c r="C192" s="28" t="s">
        <v>1979</v>
      </c>
      <c r="D192" s="28"/>
      <c r="E192" s="28" t="s">
        <v>1974</v>
      </c>
      <c r="F192" s="28" t="b">
        <v>0</v>
      </c>
      <c r="G192" s="28">
        <v>200</v>
      </c>
      <c r="H192" s="28" t="b">
        <v>1</v>
      </c>
      <c r="I192" s="34"/>
    </row>
    <row r="193" spans="1:9" ht="30" x14ac:dyDescent="0.25">
      <c r="A193" s="54" t="s">
        <v>169</v>
      </c>
      <c r="B193" s="43" t="s">
        <v>618</v>
      </c>
      <c r="C193" s="37" t="s">
        <v>1980</v>
      </c>
      <c r="D193" s="37"/>
      <c r="E193" s="37" t="s">
        <v>1974</v>
      </c>
      <c r="F193" s="37" t="b">
        <v>0</v>
      </c>
      <c r="G193" s="37">
        <v>200</v>
      </c>
      <c r="H193" s="37" t="b">
        <v>1</v>
      </c>
    </row>
    <row r="194" spans="1:9" ht="30" x14ac:dyDescent="0.25">
      <c r="A194" s="54" t="s">
        <v>169</v>
      </c>
      <c r="B194" s="31" t="s">
        <v>585</v>
      </c>
      <c r="C194" s="28" t="s">
        <v>1981</v>
      </c>
      <c r="D194" s="28"/>
      <c r="E194" s="28" t="s">
        <v>1974</v>
      </c>
      <c r="F194" s="28" t="b">
        <v>0</v>
      </c>
      <c r="G194" s="28">
        <v>200</v>
      </c>
      <c r="H194" s="28" t="b">
        <v>1</v>
      </c>
      <c r="I194" s="34"/>
    </row>
    <row r="195" spans="1:9" ht="30" x14ac:dyDescent="0.25">
      <c r="A195" s="54" t="s">
        <v>169</v>
      </c>
      <c r="B195" s="43" t="s">
        <v>582</v>
      </c>
      <c r="C195" s="37" t="s">
        <v>1982</v>
      </c>
      <c r="D195" s="37"/>
      <c r="E195" s="37" t="s">
        <v>1974</v>
      </c>
      <c r="F195" s="37" t="b">
        <v>0</v>
      </c>
      <c r="G195" s="37">
        <v>200</v>
      </c>
      <c r="H195" s="37" t="b">
        <v>1</v>
      </c>
    </row>
    <row r="196" spans="1:9" ht="30" x14ac:dyDescent="0.25">
      <c r="A196" s="54" t="s">
        <v>169</v>
      </c>
      <c r="B196" s="31" t="s">
        <v>638</v>
      </c>
      <c r="C196" s="28" t="s">
        <v>1983</v>
      </c>
      <c r="D196" s="28"/>
      <c r="E196" s="28" t="s">
        <v>1974</v>
      </c>
      <c r="F196" s="28" t="b">
        <v>0</v>
      </c>
      <c r="G196" s="28">
        <v>200</v>
      </c>
      <c r="H196" s="28" t="b">
        <v>1</v>
      </c>
      <c r="I196" s="34"/>
    </row>
    <row r="197" spans="1:9" ht="30" x14ac:dyDescent="0.25">
      <c r="A197" s="54" t="s">
        <v>169</v>
      </c>
      <c r="B197" s="43" t="s">
        <v>638</v>
      </c>
      <c r="C197" s="37" t="s">
        <v>1984</v>
      </c>
      <c r="D197" s="37"/>
      <c r="E197" s="37" t="s">
        <v>1974</v>
      </c>
      <c r="F197" s="37" t="b">
        <v>0</v>
      </c>
      <c r="G197" s="37">
        <v>200</v>
      </c>
      <c r="H197" s="37" t="b">
        <v>1</v>
      </c>
    </row>
    <row r="198" spans="1:9" ht="30" x14ac:dyDescent="0.25">
      <c r="A198" s="54" t="s">
        <v>169</v>
      </c>
      <c r="B198" s="31" t="s">
        <v>647</v>
      </c>
      <c r="C198" s="28" t="s">
        <v>1985</v>
      </c>
      <c r="D198" s="28"/>
      <c r="E198" s="28" t="s">
        <v>1974</v>
      </c>
      <c r="F198" s="28" t="b">
        <v>0</v>
      </c>
      <c r="G198" s="28">
        <v>200</v>
      </c>
      <c r="H198" s="28" t="b">
        <v>1</v>
      </c>
      <c r="I198" s="34"/>
    </row>
    <row r="199" spans="1:9" ht="30" x14ac:dyDescent="0.25">
      <c r="A199" s="54" t="s">
        <v>169</v>
      </c>
      <c r="B199" s="43" t="s">
        <v>503</v>
      </c>
      <c r="C199" s="37" t="s">
        <v>1986</v>
      </c>
      <c r="D199" s="37"/>
      <c r="E199" s="37" t="s">
        <v>1974</v>
      </c>
      <c r="F199" s="37" t="b">
        <v>0</v>
      </c>
      <c r="G199" s="37">
        <v>200</v>
      </c>
      <c r="H199" s="37" t="b">
        <v>1</v>
      </c>
    </row>
    <row r="200" spans="1:9" ht="30" x14ac:dyDescent="0.25">
      <c r="A200" s="54" t="s">
        <v>169</v>
      </c>
      <c r="B200" s="31" t="s">
        <v>608</v>
      </c>
      <c r="C200" s="28" t="s">
        <v>1987</v>
      </c>
      <c r="D200" s="28"/>
      <c r="E200" s="28" t="s">
        <v>1974</v>
      </c>
      <c r="F200" s="28" t="b">
        <v>0</v>
      </c>
      <c r="G200" s="28">
        <v>200</v>
      </c>
      <c r="H200" s="28" t="b">
        <v>1</v>
      </c>
      <c r="I200" s="34"/>
    </row>
    <row r="201" spans="1:9" ht="30" x14ac:dyDescent="0.25">
      <c r="A201" s="54" t="s">
        <v>169</v>
      </c>
      <c r="B201" s="43" t="s">
        <v>127</v>
      </c>
      <c r="C201" s="37" t="s">
        <v>1975</v>
      </c>
      <c r="D201" s="37"/>
      <c r="E201" s="37" t="s">
        <v>1974</v>
      </c>
      <c r="F201" s="37" t="b">
        <v>0</v>
      </c>
      <c r="G201" s="37">
        <v>200</v>
      </c>
      <c r="H201" s="37" t="b">
        <v>1</v>
      </c>
    </row>
    <row r="202" spans="1:9" ht="30" x14ac:dyDescent="0.25">
      <c r="A202" s="54" t="s">
        <v>169</v>
      </c>
      <c r="B202" s="31" t="s">
        <v>135</v>
      </c>
      <c r="C202" s="28" t="s">
        <v>1976</v>
      </c>
      <c r="D202" s="28"/>
      <c r="E202" s="28" t="s">
        <v>1974</v>
      </c>
      <c r="F202" s="28" t="b">
        <v>0</v>
      </c>
      <c r="G202" s="28">
        <v>200</v>
      </c>
      <c r="H202" s="28" t="b">
        <v>1</v>
      </c>
      <c r="I202" s="34"/>
    </row>
    <row r="203" spans="1:9" ht="30" x14ac:dyDescent="0.25">
      <c r="A203" s="54" t="s">
        <v>169</v>
      </c>
      <c r="B203" s="43" t="s">
        <v>655</v>
      </c>
      <c r="C203" s="37" t="s">
        <v>1977</v>
      </c>
      <c r="D203" s="37"/>
      <c r="E203" s="37" t="s">
        <v>1974</v>
      </c>
      <c r="F203" s="37" t="b">
        <v>0</v>
      </c>
      <c r="G203" s="37">
        <v>200</v>
      </c>
      <c r="H203" s="37" t="b">
        <v>1</v>
      </c>
    </row>
    <row r="204" spans="1:9" ht="30" x14ac:dyDescent="0.25">
      <c r="A204" s="54" t="s">
        <v>169</v>
      </c>
      <c r="B204" s="31" t="s">
        <v>635</v>
      </c>
      <c r="C204" s="28" t="s">
        <v>1978</v>
      </c>
      <c r="D204" s="28"/>
      <c r="E204" s="28" t="s">
        <v>1974</v>
      </c>
      <c r="F204" s="28" t="b">
        <v>0</v>
      </c>
      <c r="G204" s="28">
        <v>200</v>
      </c>
      <c r="H204" s="28" t="b">
        <v>1</v>
      </c>
      <c r="I204" s="34"/>
    </row>
    <row r="205" spans="1:9" ht="30" x14ac:dyDescent="0.25">
      <c r="A205" s="54" t="s">
        <v>169</v>
      </c>
      <c r="B205" s="43" t="s">
        <v>144</v>
      </c>
      <c r="C205" s="37" t="s">
        <v>1979</v>
      </c>
      <c r="D205" s="37"/>
      <c r="E205" s="37" t="s">
        <v>1974</v>
      </c>
      <c r="F205" s="37" t="b">
        <v>0</v>
      </c>
      <c r="G205" s="37">
        <v>200</v>
      </c>
      <c r="H205" s="37" t="b">
        <v>1</v>
      </c>
    </row>
    <row r="206" spans="1:9" ht="30" x14ac:dyDescent="0.25">
      <c r="A206" s="54" t="s">
        <v>169</v>
      </c>
      <c r="B206" s="31" t="s">
        <v>618</v>
      </c>
      <c r="C206" s="28" t="s">
        <v>1980</v>
      </c>
      <c r="D206" s="28"/>
      <c r="E206" s="28" t="s">
        <v>1974</v>
      </c>
      <c r="F206" s="28" t="b">
        <v>0</v>
      </c>
      <c r="G206" s="28">
        <v>200</v>
      </c>
      <c r="H206" s="28" t="b">
        <v>1</v>
      </c>
      <c r="I206" s="34"/>
    </row>
    <row r="207" spans="1:9" ht="30" x14ac:dyDescent="0.25">
      <c r="A207" s="54" t="s">
        <v>169</v>
      </c>
      <c r="B207" s="43" t="s">
        <v>585</v>
      </c>
      <c r="C207" s="37" t="s">
        <v>1981</v>
      </c>
      <c r="D207" s="37"/>
      <c r="E207" s="37" t="s">
        <v>1974</v>
      </c>
      <c r="F207" s="37" t="b">
        <v>0</v>
      </c>
      <c r="G207" s="37">
        <v>200</v>
      </c>
      <c r="H207" s="37" t="b">
        <v>1</v>
      </c>
    </row>
    <row r="208" spans="1:9" ht="30" x14ac:dyDescent="0.25">
      <c r="A208" s="54" t="s">
        <v>169</v>
      </c>
      <c r="B208" s="31" t="s">
        <v>582</v>
      </c>
      <c r="C208" s="28" t="s">
        <v>1982</v>
      </c>
      <c r="D208" s="28"/>
      <c r="E208" s="28" t="s">
        <v>1974</v>
      </c>
      <c r="F208" s="28" t="b">
        <v>0</v>
      </c>
      <c r="G208" s="28">
        <v>200</v>
      </c>
      <c r="H208" s="28" t="b">
        <v>1</v>
      </c>
      <c r="I208" s="34"/>
    </row>
    <row r="209" spans="1:9" ht="30" x14ac:dyDescent="0.25">
      <c r="A209" s="54" t="s">
        <v>169</v>
      </c>
      <c r="B209" s="43" t="s">
        <v>638</v>
      </c>
      <c r="C209" s="37" t="s">
        <v>1983</v>
      </c>
      <c r="D209" s="37"/>
      <c r="E209" s="37" t="s">
        <v>1974</v>
      </c>
      <c r="F209" s="37" t="b">
        <v>0</v>
      </c>
      <c r="G209" s="37">
        <v>200</v>
      </c>
      <c r="H209" s="37" t="b">
        <v>1</v>
      </c>
    </row>
    <row r="210" spans="1:9" ht="30" x14ac:dyDescent="0.25">
      <c r="A210" s="54" t="s">
        <v>169</v>
      </c>
      <c r="B210" s="31" t="s">
        <v>638</v>
      </c>
      <c r="C210" s="28" t="s">
        <v>1984</v>
      </c>
      <c r="D210" s="28"/>
      <c r="E210" s="28" t="s">
        <v>1974</v>
      </c>
      <c r="F210" s="28" t="b">
        <v>0</v>
      </c>
      <c r="G210" s="28">
        <v>200</v>
      </c>
      <c r="H210" s="28" t="b">
        <v>1</v>
      </c>
      <c r="I210" s="34"/>
    </row>
    <row r="211" spans="1:9" ht="30" x14ac:dyDescent="0.25">
      <c r="A211" s="54" t="s">
        <v>169</v>
      </c>
      <c r="B211" s="43" t="s">
        <v>647</v>
      </c>
      <c r="C211" s="37" t="s">
        <v>1985</v>
      </c>
      <c r="D211" s="37"/>
      <c r="E211" s="37" t="s">
        <v>1974</v>
      </c>
      <c r="F211" s="37" t="b">
        <v>0</v>
      </c>
      <c r="G211" s="37">
        <v>200</v>
      </c>
      <c r="H211" s="37" t="b">
        <v>1</v>
      </c>
    </row>
    <row r="212" spans="1:9" ht="30" x14ac:dyDescent="0.25">
      <c r="A212" s="54" t="s">
        <v>169</v>
      </c>
      <c r="B212" s="31" t="s">
        <v>503</v>
      </c>
      <c r="C212" s="28" t="s">
        <v>1986</v>
      </c>
      <c r="D212" s="28"/>
      <c r="E212" s="28" t="s">
        <v>1974</v>
      </c>
      <c r="F212" s="28" t="b">
        <v>0</v>
      </c>
      <c r="G212" s="28">
        <v>200</v>
      </c>
      <c r="H212" s="28" t="b">
        <v>1</v>
      </c>
      <c r="I212" s="34"/>
    </row>
    <row r="213" spans="1:9" ht="30" x14ac:dyDescent="0.25">
      <c r="A213" s="54" t="s">
        <v>169</v>
      </c>
      <c r="B213" s="43" t="s">
        <v>608</v>
      </c>
      <c r="C213" s="37" t="s">
        <v>1987</v>
      </c>
      <c r="D213" s="37"/>
      <c r="E213" s="37" t="s">
        <v>1974</v>
      </c>
      <c r="F213" s="37" t="b">
        <v>0</v>
      </c>
      <c r="G213" s="37">
        <v>200</v>
      </c>
      <c r="H213" s="37" t="b">
        <v>1</v>
      </c>
    </row>
    <row r="214" spans="1:9" ht="30" x14ac:dyDescent="0.25">
      <c r="A214" s="54" t="s">
        <v>169</v>
      </c>
      <c r="B214" s="31" t="s">
        <v>2035</v>
      </c>
      <c r="C214" s="28" t="s">
        <v>2036</v>
      </c>
      <c r="D214" s="28"/>
      <c r="E214" s="28" t="s">
        <v>2012</v>
      </c>
      <c r="F214" s="28" t="b">
        <v>0</v>
      </c>
      <c r="G214" s="28"/>
      <c r="H214" s="28" t="b">
        <v>1</v>
      </c>
      <c r="I214" s="34"/>
    </row>
    <row r="215" spans="1:9" ht="30" x14ac:dyDescent="0.25">
      <c r="A215" s="54" t="s">
        <v>169</v>
      </c>
      <c r="B215" s="43" t="s">
        <v>641</v>
      </c>
      <c r="C215" s="37" t="s">
        <v>2037</v>
      </c>
      <c r="D215" s="37"/>
      <c r="E215" s="37" t="s">
        <v>1974</v>
      </c>
      <c r="F215" s="37" t="b">
        <v>0</v>
      </c>
      <c r="G215" s="37">
        <v>200</v>
      </c>
      <c r="H215" s="37" t="b">
        <v>1</v>
      </c>
    </row>
    <row r="216" spans="1:9" ht="30" x14ac:dyDescent="0.25">
      <c r="A216" s="54" t="s">
        <v>169</v>
      </c>
      <c r="B216" s="31" t="s">
        <v>2035</v>
      </c>
      <c r="C216" s="28" t="s">
        <v>2036</v>
      </c>
      <c r="D216" s="28"/>
      <c r="E216" s="28" t="s">
        <v>2012</v>
      </c>
      <c r="F216" s="28" t="b">
        <v>0</v>
      </c>
      <c r="G216" s="28"/>
      <c r="H216" s="28" t="b">
        <v>1</v>
      </c>
      <c r="I216" s="34"/>
    </row>
    <row r="217" spans="1:9" ht="30" x14ac:dyDescent="0.25">
      <c r="A217" s="54" t="s">
        <v>169</v>
      </c>
      <c r="B217" s="43" t="s">
        <v>647</v>
      </c>
      <c r="C217" s="37" t="s">
        <v>2010</v>
      </c>
      <c r="D217" s="37"/>
      <c r="E217" s="37" t="s">
        <v>1974</v>
      </c>
      <c r="F217" s="37" t="b">
        <v>0</v>
      </c>
      <c r="G217" s="37">
        <v>200</v>
      </c>
      <c r="H217" s="37" t="b">
        <v>1</v>
      </c>
    </row>
    <row r="218" spans="1:9" ht="30" x14ac:dyDescent="0.25">
      <c r="A218" s="54" t="s">
        <v>169</v>
      </c>
      <c r="B218" s="31" t="s">
        <v>2011</v>
      </c>
      <c r="C218" s="28"/>
      <c r="D218" s="28"/>
      <c r="E218" s="28" t="s">
        <v>2012</v>
      </c>
      <c r="F218" s="28" t="b">
        <v>0</v>
      </c>
      <c r="G218" s="28"/>
      <c r="H218" s="28" t="b">
        <v>1</v>
      </c>
      <c r="I218" s="34"/>
    </row>
    <row r="219" spans="1:9" ht="30" x14ac:dyDescent="0.25">
      <c r="A219" s="54" t="s">
        <v>169</v>
      </c>
      <c r="B219" s="43" t="s">
        <v>2013</v>
      </c>
      <c r="C219" s="37"/>
      <c r="D219" s="37"/>
      <c r="E219" s="37" t="s">
        <v>2012</v>
      </c>
      <c r="F219" s="37" t="b">
        <v>0</v>
      </c>
      <c r="G219" s="37"/>
      <c r="H219" s="37" t="b">
        <v>1</v>
      </c>
    </row>
    <row r="220" spans="1:9" ht="30" x14ac:dyDescent="0.25">
      <c r="A220" s="54" t="s">
        <v>169</v>
      </c>
      <c r="B220" s="31" t="s">
        <v>641</v>
      </c>
      <c r="C220" s="28" t="s">
        <v>2014</v>
      </c>
      <c r="D220" s="28"/>
      <c r="E220" s="28" t="s">
        <v>1974</v>
      </c>
      <c r="F220" s="28" t="b">
        <v>0</v>
      </c>
      <c r="G220" s="28">
        <v>200</v>
      </c>
      <c r="H220" s="28" t="b">
        <v>1</v>
      </c>
      <c r="I220" s="34"/>
    </row>
    <row r="221" spans="1:9" ht="30" x14ac:dyDescent="0.25">
      <c r="A221" s="54" t="s">
        <v>169</v>
      </c>
      <c r="B221" s="43" t="s">
        <v>2015</v>
      </c>
      <c r="C221" s="37" t="s">
        <v>2016</v>
      </c>
      <c r="D221" s="37"/>
      <c r="E221" s="37" t="s">
        <v>1974</v>
      </c>
      <c r="F221" s="37" t="b">
        <v>0</v>
      </c>
      <c r="G221" s="37">
        <v>404</v>
      </c>
      <c r="H221" s="37" t="b">
        <v>0</v>
      </c>
    </row>
    <row r="222" spans="1:9" ht="30" x14ac:dyDescent="0.25">
      <c r="A222" s="54" t="s">
        <v>169</v>
      </c>
      <c r="B222" s="31" t="s">
        <v>2015</v>
      </c>
      <c r="C222" s="28" t="s">
        <v>2017</v>
      </c>
      <c r="D222" s="28"/>
      <c r="E222" s="28" t="s">
        <v>1974</v>
      </c>
      <c r="F222" s="28" t="b">
        <v>0</v>
      </c>
      <c r="G222" s="28">
        <v>404</v>
      </c>
      <c r="H222" s="28" t="b">
        <v>0</v>
      </c>
      <c r="I222" s="34"/>
    </row>
    <row r="223" spans="1:9" ht="30" x14ac:dyDescent="0.25">
      <c r="A223" s="54" t="s">
        <v>177</v>
      </c>
      <c r="B223" s="43" t="s">
        <v>127</v>
      </c>
      <c r="C223" s="37"/>
      <c r="D223" s="37"/>
      <c r="E223" s="37" t="s">
        <v>1974</v>
      </c>
      <c r="F223" s="37" t="b">
        <v>0</v>
      </c>
      <c r="G223" s="37">
        <v>200</v>
      </c>
      <c r="H223" s="37" t="b">
        <v>1</v>
      </c>
    </row>
    <row r="224" spans="1:9" ht="30" x14ac:dyDescent="0.25">
      <c r="A224" s="54" t="s">
        <v>177</v>
      </c>
      <c r="B224" s="31" t="s">
        <v>127</v>
      </c>
      <c r="C224" s="28" t="s">
        <v>1975</v>
      </c>
      <c r="D224" s="28"/>
      <c r="E224" s="28" t="s">
        <v>1974</v>
      </c>
      <c r="F224" s="28" t="b">
        <v>0</v>
      </c>
      <c r="G224" s="28">
        <v>200</v>
      </c>
      <c r="H224" s="28" t="b">
        <v>1</v>
      </c>
      <c r="I224" s="34"/>
    </row>
    <row r="225" spans="1:9" ht="30" x14ac:dyDescent="0.25">
      <c r="A225" s="54" t="s">
        <v>177</v>
      </c>
      <c r="B225" s="43" t="s">
        <v>135</v>
      </c>
      <c r="C225" s="37" t="s">
        <v>1976</v>
      </c>
      <c r="D225" s="37"/>
      <c r="E225" s="37" t="s">
        <v>1974</v>
      </c>
      <c r="F225" s="37" t="b">
        <v>0</v>
      </c>
      <c r="G225" s="37">
        <v>200</v>
      </c>
      <c r="H225" s="37" t="b">
        <v>1</v>
      </c>
    </row>
    <row r="226" spans="1:9" ht="30" x14ac:dyDescent="0.25">
      <c r="A226" s="54" t="s">
        <v>177</v>
      </c>
      <c r="B226" s="31" t="s">
        <v>655</v>
      </c>
      <c r="C226" s="28" t="s">
        <v>1977</v>
      </c>
      <c r="D226" s="28"/>
      <c r="E226" s="28" t="s">
        <v>1974</v>
      </c>
      <c r="F226" s="28" t="b">
        <v>0</v>
      </c>
      <c r="G226" s="28">
        <v>200</v>
      </c>
      <c r="H226" s="28" t="b">
        <v>1</v>
      </c>
      <c r="I226" s="34"/>
    </row>
    <row r="227" spans="1:9" ht="30" x14ac:dyDescent="0.25">
      <c r="A227" s="54" t="s">
        <v>177</v>
      </c>
      <c r="B227" s="43" t="s">
        <v>635</v>
      </c>
      <c r="C227" s="37" t="s">
        <v>1978</v>
      </c>
      <c r="D227" s="37"/>
      <c r="E227" s="37" t="s">
        <v>1974</v>
      </c>
      <c r="F227" s="37" t="b">
        <v>0</v>
      </c>
      <c r="G227" s="37">
        <v>200</v>
      </c>
      <c r="H227" s="37" t="b">
        <v>1</v>
      </c>
    </row>
    <row r="228" spans="1:9" ht="30" x14ac:dyDescent="0.25">
      <c r="A228" s="54" t="s">
        <v>177</v>
      </c>
      <c r="B228" s="31" t="s">
        <v>144</v>
      </c>
      <c r="C228" s="28" t="s">
        <v>1979</v>
      </c>
      <c r="D228" s="28"/>
      <c r="E228" s="28" t="s">
        <v>1974</v>
      </c>
      <c r="F228" s="28" t="b">
        <v>0</v>
      </c>
      <c r="G228" s="28">
        <v>200</v>
      </c>
      <c r="H228" s="28" t="b">
        <v>1</v>
      </c>
      <c r="I228" s="34"/>
    </row>
    <row r="229" spans="1:9" ht="30" x14ac:dyDescent="0.25">
      <c r="A229" s="54" t="s">
        <v>177</v>
      </c>
      <c r="B229" s="43" t="s">
        <v>618</v>
      </c>
      <c r="C229" s="37" t="s">
        <v>1980</v>
      </c>
      <c r="D229" s="37"/>
      <c r="E229" s="37" t="s">
        <v>1974</v>
      </c>
      <c r="F229" s="37" t="b">
        <v>0</v>
      </c>
      <c r="G229" s="37">
        <v>200</v>
      </c>
      <c r="H229" s="37" t="b">
        <v>1</v>
      </c>
    </row>
    <row r="230" spans="1:9" ht="30" x14ac:dyDescent="0.25">
      <c r="A230" s="54" t="s">
        <v>177</v>
      </c>
      <c r="B230" s="31" t="s">
        <v>585</v>
      </c>
      <c r="C230" s="28" t="s">
        <v>1981</v>
      </c>
      <c r="D230" s="28"/>
      <c r="E230" s="28" t="s">
        <v>1974</v>
      </c>
      <c r="F230" s="28" t="b">
        <v>0</v>
      </c>
      <c r="G230" s="28">
        <v>200</v>
      </c>
      <c r="H230" s="28" t="b">
        <v>1</v>
      </c>
      <c r="I230" s="34"/>
    </row>
    <row r="231" spans="1:9" ht="30" x14ac:dyDescent="0.25">
      <c r="A231" s="54" t="s">
        <v>177</v>
      </c>
      <c r="B231" s="43" t="s">
        <v>582</v>
      </c>
      <c r="C231" s="37" t="s">
        <v>1982</v>
      </c>
      <c r="D231" s="37"/>
      <c r="E231" s="37" t="s">
        <v>1974</v>
      </c>
      <c r="F231" s="37" t="b">
        <v>0</v>
      </c>
      <c r="G231" s="37">
        <v>200</v>
      </c>
      <c r="H231" s="37" t="b">
        <v>1</v>
      </c>
    </row>
    <row r="232" spans="1:9" ht="30" x14ac:dyDescent="0.25">
      <c r="A232" s="54" t="s">
        <v>177</v>
      </c>
      <c r="B232" s="31" t="s">
        <v>638</v>
      </c>
      <c r="C232" s="28" t="s">
        <v>1983</v>
      </c>
      <c r="D232" s="28"/>
      <c r="E232" s="28" t="s">
        <v>1974</v>
      </c>
      <c r="F232" s="28" t="b">
        <v>0</v>
      </c>
      <c r="G232" s="28">
        <v>200</v>
      </c>
      <c r="H232" s="28" t="b">
        <v>1</v>
      </c>
      <c r="I232" s="34"/>
    </row>
    <row r="233" spans="1:9" ht="30" x14ac:dyDescent="0.25">
      <c r="A233" s="54" t="s">
        <v>177</v>
      </c>
      <c r="B233" s="43" t="s">
        <v>638</v>
      </c>
      <c r="C233" s="37" t="s">
        <v>1984</v>
      </c>
      <c r="D233" s="37"/>
      <c r="E233" s="37" t="s">
        <v>1974</v>
      </c>
      <c r="F233" s="37" t="b">
        <v>0</v>
      </c>
      <c r="G233" s="37">
        <v>200</v>
      </c>
      <c r="H233" s="37" t="b">
        <v>1</v>
      </c>
    </row>
    <row r="234" spans="1:9" ht="30" x14ac:dyDescent="0.25">
      <c r="A234" s="54" t="s">
        <v>177</v>
      </c>
      <c r="B234" s="31" t="s">
        <v>647</v>
      </c>
      <c r="C234" s="28" t="s">
        <v>1985</v>
      </c>
      <c r="D234" s="28"/>
      <c r="E234" s="28" t="s">
        <v>1974</v>
      </c>
      <c r="F234" s="28" t="b">
        <v>0</v>
      </c>
      <c r="G234" s="28">
        <v>200</v>
      </c>
      <c r="H234" s="28" t="b">
        <v>1</v>
      </c>
      <c r="I234" s="34"/>
    </row>
    <row r="235" spans="1:9" ht="30" x14ac:dyDescent="0.25">
      <c r="A235" s="54" t="s">
        <v>177</v>
      </c>
      <c r="B235" s="43" t="s">
        <v>503</v>
      </c>
      <c r="C235" s="37" t="s">
        <v>1986</v>
      </c>
      <c r="D235" s="37"/>
      <c r="E235" s="37" t="s">
        <v>1974</v>
      </c>
      <c r="F235" s="37" t="b">
        <v>0</v>
      </c>
      <c r="G235" s="37">
        <v>200</v>
      </c>
      <c r="H235" s="37" t="b">
        <v>1</v>
      </c>
    </row>
    <row r="236" spans="1:9" ht="30" x14ac:dyDescent="0.25">
      <c r="A236" s="54" t="s">
        <v>177</v>
      </c>
      <c r="B236" s="31" t="s">
        <v>608</v>
      </c>
      <c r="C236" s="28" t="s">
        <v>1987</v>
      </c>
      <c r="D236" s="28"/>
      <c r="E236" s="28" t="s">
        <v>1974</v>
      </c>
      <c r="F236" s="28" t="b">
        <v>0</v>
      </c>
      <c r="G236" s="28">
        <v>200</v>
      </c>
      <c r="H236" s="28" t="b">
        <v>1</v>
      </c>
      <c r="I236" s="34"/>
    </row>
    <row r="237" spans="1:9" ht="30" x14ac:dyDescent="0.25">
      <c r="A237" s="54" t="s">
        <v>177</v>
      </c>
      <c r="B237" s="43" t="s">
        <v>127</v>
      </c>
      <c r="C237" s="37" t="s">
        <v>1975</v>
      </c>
      <c r="D237" s="37"/>
      <c r="E237" s="37" t="s">
        <v>1974</v>
      </c>
      <c r="F237" s="37" t="b">
        <v>0</v>
      </c>
      <c r="G237" s="37">
        <v>200</v>
      </c>
      <c r="H237" s="37" t="b">
        <v>1</v>
      </c>
    </row>
    <row r="238" spans="1:9" ht="30" x14ac:dyDescent="0.25">
      <c r="A238" s="54" t="s">
        <v>177</v>
      </c>
      <c r="B238" s="31" t="s">
        <v>135</v>
      </c>
      <c r="C238" s="28" t="s">
        <v>1976</v>
      </c>
      <c r="D238" s="28"/>
      <c r="E238" s="28" t="s">
        <v>1974</v>
      </c>
      <c r="F238" s="28" t="b">
        <v>0</v>
      </c>
      <c r="G238" s="28">
        <v>200</v>
      </c>
      <c r="H238" s="28" t="b">
        <v>1</v>
      </c>
      <c r="I238" s="34"/>
    </row>
    <row r="239" spans="1:9" ht="30" x14ac:dyDescent="0.25">
      <c r="A239" s="54" t="s">
        <v>177</v>
      </c>
      <c r="B239" s="43" t="s">
        <v>655</v>
      </c>
      <c r="C239" s="37" t="s">
        <v>1977</v>
      </c>
      <c r="D239" s="37"/>
      <c r="E239" s="37" t="s">
        <v>1974</v>
      </c>
      <c r="F239" s="37" t="b">
        <v>0</v>
      </c>
      <c r="G239" s="37">
        <v>200</v>
      </c>
      <c r="H239" s="37" t="b">
        <v>1</v>
      </c>
    </row>
    <row r="240" spans="1:9" ht="30" x14ac:dyDescent="0.25">
      <c r="A240" s="54" t="s">
        <v>177</v>
      </c>
      <c r="B240" s="31" t="s">
        <v>635</v>
      </c>
      <c r="C240" s="28" t="s">
        <v>1978</v>
      </c>
      <c r="D240" s="28"/>
      <c r="E240" s="28" t="s">
        <v>1974</v>
      </c>
      <c r="F240" s="28" t="b">
        <v>0</v>
      </c>
      <c r="G240" s="28">
        <v>200</v>
      </c>
      <c r="H240" s="28" t="b">
        <v>1</v>
      </c>
      <c r="I240" s="34"/>
    </row>
    <row r="241" spans="1:9" ht="30" x14ac:dyDescent="0.25">
      <c r="A241" s="54" t="s">
        <v>177</v>
      </c>
      <c r="B241" s="43" t="s">
        <v>144</v>
      </c>
      <c r="C241" s="37" t="s">
        <v>1979</v>
      </c>
      <c r="D241" s="37"/>
      <c r="E241" s="37" t="s">
        <v>1974</v>
      </c>
      <c r="F241" s="37" t="b">
        <v>0</v>
      </c>
      <c r="G241" s="37">
        <v>200</v>
      </c>
      <c r="H241" s="37" t="b">
        <v>1</v>
      </c>
    </row>
    <row r="242" spans="1:9" ht="30" x14ac:dyDescent="0.25">
      <c r="A242" s="54" t="s">
        <v>177</v>
      </c>
      <c r="B242" s="31" t="s">
        <v>618</v>
      </c>
      <c r="C242" s="28" t="s">
        <v>1980</v>
      </c>
      <c r="D242" s="28"/>
      <c r="E242" s="28" t="s">
        <v>1974</v>
      </c>
      <c r="F242" s="28" t="b">
        <v>0</v>
      </c>
      <c r="G242" s="28">
        <v>200</v>
      </c>
      <c r="H242" s="28" t="b">
        <v>1</v>
      </c>
      <c r="I242" s="34"/>
    </row>
    <row r="243" spans="1:9" ht="30" x14ac:dyDescent="0.25">
      <c r="A243" s="54" t="s">
        <v>177</v>
      </c>
      <c r="B243" s="43" t="s">
        <v>585</v>
      </c>
      <c r="C243" s="37" t="s">
        <v>1981</v>
      </c>
      <c r="D243" s="37"/>
      <c r="E243" s="37" t="s">
        <v>1974</v>
      </c>
      <c r="F243" s="37" t="b">
        <v>0</v>
      </c>
      <c r="G243" s="37">
        <v>200</v>
      </c>
      <c r="H243" s="37" t="b">
        <v>1</v>
      </c>
    </row>
    <row r="244" spans="1:9" ht="30" x14ac:dyDescent="0.25">
      <c r="A244" s="54" t="s">
        <v>177</v>
      </c>
      <c r="B244" s="31" t="s">
        <v>582</v>
      </c>
      <c r="C244" s="28" t="s">
        <v>1982</v>
      </c>
      <c r="D244" s="28"/>
      <c r="E244" s="28" t="s">
        <v>1974</v>
      </c>
      <c r="F244" s="28" t="b">
        <v>0</v>
      </c>
      <c r="G244" s="28">
        <v>200</v>
      </c>
      <c r="H244" s="28" t="b">
        <v>1</v>
      </c>
      <c r="I244" s="34"/>
    </row>
    <row r="245" spans="1:9" ht="30" x14ac:dyDescent="0.25">
      <c r="A245" s="54" t="s">
        <v>177</v>
      </c>
      <c r="B245" s="43" t="s">
        <v>638</v>
      </c>
      <c r="C245" s="37" t="s">
        <v>1983</v>
      </c>
      <c r="D245" s="37"/>
      <c r="E245" s="37" t="s">
        <v>1974</v>
      </c>
      <c r="F245" s="37" t="b">
        <v>0</v>
      </c>
      <c r="G245" s="37">
        <v>200</v>
      </c>
      <c r="H245" s="37" t="b">
        <v>1</v>
      </c>
    </row>
    <row r="246" spans="1:9" ht="30" x14ac:dyDescent="0.25">
      <c r="A246" s="54" t="s">
        <v>177</v>
      </c>
      <c r="B246" s="31" t="s">
        <v>638</v>
      </c>
      <c r="C246" s="28" t="s">
        <v>1984</v>
      </c>
      <c r="D246" s="28"/>
      <c r="E246" s="28" t="s">
        <v>1974</v>
      </c>
      <c r="F246" s="28" t="b">
        <v>0</v>
      </c>
      <c r="G246" s="28">
        <v>200</v>
      </c>
      <c r="H246" s="28" t="b">
        <v>1</v>
      </c>
      <c r="I246" s="34"/>
    </row>
    <row r="247" spans="1:9" ht="30" x14ac:dyDescent="0.25">
      <c r="A247" s="54" t="s">
        <v>177</v>
      </c>
      <c r="B247" s="43" t="s">
        <v>647</v>
      </c>
      <c r="C247" s="37" t="s">
        <v>1985</v>
      </c>
      <c r="D247" s="37"/>
      <c r="E247" s="37" t="s">
        <v>1974</v>
      </c>
      <c r="F247" s="37" t="b">
        <v>0</v>
      </c>
      <c r="G247" s="37">
        <v>200</v>
      </c>
      <c r="H247" s="37" t="b">
        <v>1</v>
      </c>
    </row>
    <row r="248" spans="1:9" ht="30" x14ac:dyDescent="0.25">
      <c r="A248" s="54" t="s">
        <v>177</v>
      </c>
      <c r="B248" s="31" t="s">
        <v>503</v>
      </c>
      <c r="C248" s="28" t="s">
        <v>1986</v>
      </c>
      <c r="D248" s="28"/>
      <c r="E248" s="28" t="s">
        <v>1974</v>
      </c>
      <c r="F248" s="28" t="b">
        <v>0</v>
      </c>
      <c r="G248" s="28">
        <v>200</v>
      </c>
      <c r="H248" s="28" t="b">
        <v>1</v>
      </c>
      <c r="I248" s="34"/>
    </row>
    <row r="249" spans="1:9" ht="30" x14ac:dyDescent="0.25">
      <c r="A249" s="54" t="s">
        <v>177</v>
      </c>
      <c r="B249" s="43" t="s">
        <v>608</v>
      </c>
      <c r="C249" s="37" t="s">
        <v>1987</v>
      </c>
      <c r="D249" s="37"/>
      <c r="E249" s="37" t="s">
        <v>1974</v>
      </c>
      <c r="F249" s="37" t="b">
        <v>0</v>
      </c>
      <c r="G249" s="37">
        <v>200</v>
      </c>
      <c r="H249" s="37" t="b">
        <v>1</v>
      </c>
    </row>
    <row r="250" spans="1:9" ht="30" x14ac:dyDescent="0.25">
      <c r="A250" s="54" t="s">
        <v>177</v>
      </c>
      <c r="B250" s="31" t="s">
        <v>2038</v>
      </c>
      <c r="C250" s="28" t="s">
        <v>2039</v>
      </c>
      <c r="D250" s="28"/>
      <c r="E250" s="28" t="s">
        <v>1974</v>
      </c>
      <c r="F250" s="28" t="b">
        <v>0</v>
      </c>
      <c r="G250" s="28">
        <v>404</v>
      </c>
      <c r="H250" s="28" t="b">
        <v>0</v>
      </c>
      <c r="I250" s="34"/>
    </row>
    <row r="251" spans="1:9" ht="30" x14ac:dyDescent="0.25">
      <c r="A251" s="54" t="s">
        <v>177</v>
      </c>
      <c r="B251" s="43" t="s">
        <v>647</v>
      </c>
      <c r="C251" s="37" t="s">
        <v>2010</v>
      </c>
      <c r="D251" s="37"/>
      <c r="E251" s="37" t="s">
        <v>1974</v>
      </c>
      <c r="F251" s="37" t="b">
        <v>0</v>
      </c>
      <c r="G251" s="37">
        <v>200</v>
      </c>
      <c r="H251" s="37" t="b">
        <v>1</v>
      </c>
    </row>
    <row r="252" spans="1:9" ht="30" x14ac:dyDescent="0.25">
      <c r="A252" s="54" t="s">
        <v>177</v>
      </c>
      <c r="B252" s="31" t="s">
        <v>2011</v>
      </c>
      <c r="C252" s="28"/>
      <c r="D252" s="28"/>
      <c r="E252" s="28" t="s">
        <v>2012</v>
      </c>
      <c r="F252" s="28" t="b">
        <v>0</v>
      </c>
      <c r="G252" s="28"/>
      <c r="H252" s="28" t="b">
        <v>1</v>
      </c>
      <c r="I252" s="34"/>
    </row>
    <row r="253" spans="1:9" ht="30" x14ac:dyDescent="0.25">
      <c r="A253" s="54" t="s">
        <v>177</v>
      </c>
      <c r="B253" s="43" t="s">
        <v>2013</v>
      </c>
      <c r="C253" s="37"/>
      <c r="D253" s="37"/>
      <c r="E253" s="37" t="s">
        <v>2012</v>
      </c>
      <c r="F253" s="37" t="b">
        <v>0</v>
      </c>
      <c r="G253" s="37"/>
      <c r="H253" s="37" t="b">
        <v>1</v>
      </c>
    </row>
    <row r="254" spans="1:9" ht="30" x14ac:dyDescent="0.25">
      <c r="A254" s="54" t="s">
        <v>177</v>
      </c>
      <c r="B254" s="31" t="s">
        <v>641</v>
      </c>
      <c r="C254" s="28" t="s">
        <v>2014</v>
      </c>
      <c r="D254" s="28"/>
      <c r="E254" s="28" t="s">
        <v>1974</v>
      </c>
      <c r="F254" s="28" t="b">
        <v>0</v>
      </c>
      <c r="G254" s="28">
        <v>200</v>
      </c>
      <c r="H254" s="28" t="b">
        <v>1</v>
      </c>
      <c r="I254" s="34"/>
    </row>
    <row r="255" spans="1:9" ht="30" x14ac:dyDescent="0.25">
      <c r="A255" s="54" t="s">
        <v>177</v>
      </c>
      <c r="B255" s="43" t="s">
        <v>2015</v>
      </c>
      <c r="C255" s="37" t="s">
        <v>2016</v>
      </c>
      <c r="D255" s="37"/>
      <c r="E255" s="37" t="s">
        <v>1974</v>
      </c>
      <c r="F255" s="37" t="b">
        <v>0</v>
      </c>
      <c r="G255" s="37">
        <v>404</v>
      </c>
      <c r="H255" s="37" t="b">
        <v>0</v>
      </c>
    </row>
    <row r="256" spans="1:9" ht="30" x14ac:dyDescent="0.25">
      <c r="A256" s="54" t="s">
        <v>177</v>
      </c>
      <c r="B256" s="31" t="s">
        <v>2015</v>
      </c>
      <c r="C256" s="28" t="s">
        <v>2017</v>
      </c>
      <c r="D256" s="28"/>
      <c r="E256" s="28" t="s">
        <v>1974</v>
      </c>
      <c r="F256" s="28" t="b">
        <v>0</v>
      </c>
      <c r="G256" s="28">
        <v>404</v>
      </c>
      <c r="H256" s="28" t="b">
        <v>0</v>
      </c>
      <c r="I256" s="34"/>
    </row>
    <row r="257" spans="1:9" ht="30" x14ac:dyDescent="0.25">
      <c r="A257" s="54" t="s">
        <v>161</v>
      </c>
      <c r="B257" s="43" t="s">
        <v>127</v>
      </c>
      <c r="C257" s="37"/>
      <c r="D257" s="37"/>
      <c r="E257" s="37" t="s">
        <v>1974</v>
      </c>
      <c r="F257" s="37" t="b">
        <v>0</v>
      </c>
      <c r="G257" s="37">
        <v>200</v>
      </c>
      <c r="H257" s="37" t="b">
        <v>1</v>
      </c>
    </row>
    <row r="258" spans="1:9" ht="30" x14ac:dyDescent="0.25">
      <c r="A258" s="54" t="s">
        <v>161</v>
      </c>
      <c r="B258" s="31" t="s">
        <v>127</v>
      </c>
      <c r="C258" s="28" t="s">
        <v>1975</v>
      </c>
      <c r="D258" s="28"/>
      <c r="E258" s="28" t="s">
        <v>1974</v>
      </c>
      <c r="F258" s="28" t="b">
        <v>0</v>
      </c>
      <c r="G258" s="28">
        <v>200</v>
      </c>
      <c r="H258" s="28" t="b">
        <v>1</v>
      </c>
      <c r="I258" s="34"/>
    </row>
    <row r="259" spans="1:9" ht="30" x14ac:dyDescent="0.25">
      <c r="A259" s="54" t="s">
        <v>161</v>
      </c>
      <c r="B259" s="43" t="s">
        <v>135</v>
      </c>
      <c r="C259" s="37" t="s">
        <v>1976</v>
      </c>
      <c r="D259" s="37"/>
      <c r="E259" s="37" t="s">
        <v>1974</v>
      </c>
      <c r="F259" s="37" t="b">
        <v>0</v>
      </c>
      <c r="G259" s="37">
        <v>200</v>
      </c>
      <c r="H259" s="37" t="b">
        <v>1</v>
      </c>
    </row>
    <row r="260" spans="1:9" ht="30" x14ac:dyDescent="0.25">
      <c r="A260" s="54" t="s">
        <v>161</v>
      </c>
      <c r="B260" s="31" t="s">
        <v>655</v>
      </c>
      <c r="C260" s="28" t="s">
        <v>1977</v>
      </c>
      <c r="D260" s="28"/>
      <c r="E260" s="28" t="s">
        <v>1974</v>
      </c>
      <c r="F260" s="28" t="b">
        <v>0</v>
      </c>
      <c r="G260" s="28">
        <v>200</v>
      </c>
      <c r="H260" s="28" t="b">
        <v>1</v>
      </c>
      <c r="I260" s="34"/>
    </row>
    <row r="261" spans="1:9" ht="30" x14ac:dyDescent="0.25">
      <c r="A261" s="54" t="s">
        <v>161</v>
      </c>
      <c r="B261" s="43" t="s">
        <v>635</v>
      </c>
      <c r="C261" s="37" t="s">
        <v>1978</v>
      </c>
      <c r="D261" s="37"/>
      <c r="E261" s="37" t="s">
        <v>1974</v>
      </c>
      <c r="F261" s="37" t="b">
        <v>0</v>
      </c>
      <c r="G261" s="37">
        <v>200</v>
      </c>
      <c r="H261" s="37" t="b">
        <v>1</v>
      </c>
    </row>
    <row r="262" spans="1:9" ht="30" x14ac:dyDescent="0.25">
      <c r="A262" s="54" t="s">
        <v>161</v>
      </c>
      <c r="B262" s="31" t="s">
        <v>144</v>
      </c>
      <c r="C262" s="28" t="s">
        <v>1979</v>
      </c>
      <c r="D262" s="28"/>
      <c r="E262" s="28" t="s">
        <v>1974</v>
      </c>
      <c r="F262" s="28" t="b">
        <v>0</v>
      </c>
      <c r="G262" s="28">
        <v>200</v>
      </c>
      <c r="H262" s="28" t="b">
        <v>1</v>
      </c>
      <c r="I262" s="34"/>
    </row>
    <row r="263" spans="1:9" ht="30" x14ac:dyDescent="0.25">
      <c r="A263" s="54" t="s">
        <v>161</v>
      </c>
      <c r="B263" s="43" t="s">
        <v>618</v>
      </c>
      <c r="C263" s="37" t="s">
        <v>1980</v>
      </c>
      <c r="D263" s="37"/>
      <c r="E263" s="37" t="s">
        <v>1974</v>
      </c>
      <c r="F263" s="37" t="b">
        <v>0</v>
      </c>
      <c r="G263" s="37">
        <v>200</v>
      </c>
      <c r="H263" s="37" t="b">
        <v>1</v>
      </c>
    </row>
    <row r="264" spans="1:9" ht="30" x14ac:dyDescent="0.25">
      <c r="A264" s="54" t="s">
        <v>161</v>
      </c>
      <c r="B264" s="31" t="s">
        <v>585</v>
      </c>
      <c r="C264" s="28" t="s">
        <v>1981</v>
      </c>
      <c r="D264" s="28"/>
      <c r="E264" s="28" t="s">
        <v>1974</v>
      </c>
      <c r="F264" s="28" t="b">
        <v>0</v>
      </c>
      <c r="G264" s="28">
        <v>200</v>
      </c>
      <c r="H264" s="28" t="b">
        <v>1</v>
      </c>
      <c r="I264" s="34"/>
    </row>
    <row r="265" spans="1:9" ht="30" x14ac:dyDescent="0.25">
      <c r="A265" s="54" t="s">
        <v>161</v>
      </c>
      <c r="B265" s="43" t="s">
        <v>582</v>
      </c>
      <c r="C265" s="37" t="s">
        <v>1982</v>
      </c>
      <c r="D265" s="37"/>
      <c r="E265" s="37" t="s">
        <v>1974</v>
      </c>
      <c r="F265" s="37" t="b">
        <v>0</v>
      </c>
      <c r="G265" s="37">
        <v>200</v>
      </c>
      <c r="H265" s="37" t="b">
        <v>1</v>
      </c>
    </row>
    <row r="266" spans="1:9" ht="30" x14ac:dyDescent="0.25">
      <c r="A266" s="54" t="s">
        <v>161</v>
      </c>
      <c r="B266" s="31" t="s">
        <v>638</v>
      </c>
      <c r="C266" s="28" t="s">
        <v>1983</v>
      </c>
      <c r="D266" s="28"/>
      <c r="E266" s="28" t="s">
        <v>1974</v>
      </c>
      <c r="F266" s="28" t="b">
        <v>0</v>
      </c>
      <c r="G266" s="28">
        <v>200</v>
      </c>
      <c r="H266" s="28" t="b">
        <v>1</v>
      </c>
      <c r="I266" s="34"/>
    </row>
    <row r="267" spans="1:9" ht="30" x14ac:dyDescent="0.25">
      <c r="A267" s="54" t="s">
        <v>161</v>
      </c>
      <c r="B267" s="43" t="s">
        <v>638</v>
      </c>
      <c r="C267" s="37" t="s">
        <v>1984</v>
      </c>
      <c r="D267" s="37"/>
      <c r="E267" s="37" t="s">
        <v>1974</v>
      </c>
      <c r="F267" s="37" t="b">
        <v>0</v>
      </c>
      <c r="G267" s="37">
        <v>200</v>
      </c>
      <c r="H267" s="37" t="b">
        <v>1</v>
      </c>
    </row>
    <row r="268" spans="1:9" ht="30" x14ac:dyDescent="0.25">
      <c r="A268" s="54" t="s">
        <v>161</v>
      </c>
      <c r="B268" s="31" t="s">
        <v>647</v>
      </c>
      <c r="C268" s="28" t="s">
        <v>1985</v>
      </c>
      <c r="D268" s="28"/>
      <c r="E268" s="28" t="s">
        <v>1974</v>
      </c>
      <c r="F268" s="28" t="b">
        <v>0</v>
      </c>
      <c r="G268" s="28">
        <v>200</v>
      </c>
      <c r="H268" s="28" t="b">
        <v>1</v>
      </c>
      <c r="I268" s="34"/>
    </row>
    <row r="269" spans="1:9" ht="30" x14ac:dyDescent="0.25">
      <c r="A269" s="54" t="s">
        <v>161</v>
      </c>
      <c r="B269" s="43" t="s">
        <v>503</v>
      </c>
      <c r="C269" s="37" t="s">
        <v>1986</v>
      </c>
      <c r="D269" s="37"/>
      <c r="E269" s="37" t="s">
        <v>1974</v>
      </c>
      <c r="F269" s="37" t="b">
        <v>0</v>
      </c>
      <c r="G269" s="37">
        <v>200</v>
      </c>
      <c r="H269" s="37" t="b">
        <v>1</v>
      </c>
    </row>
    <row r="270" spans="1:9" ht="30" x14ac:dyDescent="0.25">
      <c r="A270" s="54" t="s">
        <v>161</v>
      </c>
      <c r="B270" s="31" t="s">
        <v>608</v>
      </c>
      <c r="C270" s="28" t="s">
        <v>1987</v>
      </c>
      <c r="D270" s="28"/>
      <c r="E270" s="28" t="s">
        <v>1974</v>
      </c>
      <c r="F270" s="28" t="b">
        <v>0</v>
      </c>
      <c r="G270" s="28">
        <v>200</v>
      </c>
      <c r="H270" s="28" t="b">
        <v>1</v>
      </c>
      <c r="I270" s="34"/>
    </row>
    <row r="271" spans="1:9" ht="30" x14ac:dyDescent="0.25">
      <c r="A271" s="54" t="s">
        <v>161</v>
      </c>
      <c r="B271" s="43" t="s">
        <v>127</v>
      </c>
      <c r="C271" s="37" t="s">
        <v>1975</v>
      </c>
      <c r="D271" s="37"/>
      <c r="E271" s="37" t="s">
        <v>1974</v>
      </c>
      <c r="F271" s="37" t="b">
        <v>0</v>
      </c>
      <c r="G271" s="37">
        <v>200</v>
      </c>
      <c r="H271" s="37" t="b">
        <v>1</v>
      </c>
    </row>
    <row r="272" spans="1:9" ht="30" x14ac:dyDescent="0.25">
      <c r="A272" s="54" t="s">
        <v>161</v>
      </c>
      <c r="B272" s="31" t="s">
        <v>135</v>
      </c>
      <c r="C272" s="28" t="s">
        <v>1976</v>
      </c>
      <c r="D272" s="28"/>
      <c r="E272" s="28" t="s">
        <v>1974</v>
      </c>
      <c r="F272" s="28" t="b">
        <v>0</v>
      </c>
      <c r="G272" s="28">
        <v>200</v>
      </c>
      <c r="H272" s="28" t="b">
        <v>1</v>
      </c>
      <c r="I272" s="34"/>
    </row>
    <row r="273" spans="1:9" ht="30" x14ac:dyDescent="0.25">
      <c r="A273" s="54" t="s">
        <v>161</v>
      </c>
      <c r="B273" s="43" t="s">
        <v>655</v>
      </c>
      <c r="C273" s="37" t="s">
        <v>1977</v>
      </c>
      <c r="D273" s="37"/>
      <c r="E273" s="37" t="s">
        <v>1974</v>
      </c>
      <c r="F273" s="37" t="b">
        <v>0</v>
      </c>
      <c r="G273" s="37">
        <v>200</v>
      </c>
      <c r="H273" s="37" t="b">
        <v>1</v>
      </c>
    </row>
    <row r="274" spans="1:9" ht="30" x14ac:dyDescent="0.25">
      <c r="A274" s="54" t="s">
        <v>161</v>
      </c>
      <c r="B274" s="31" t="s">
        <v>635</v>
      </c>
      <c r="C274" s="28" t="s">
        <v>1978</v>
      </c>
      <c r="D274" s="28"/>
      <c r="E274" s="28" t="s">
        <v>1974</v>
      </c>
      <c r="F274" s="28" t="b">
        <v>0</v>
      </c>
      <c r="G274" s="28">
        <v>200</v>
      </c>
      <c r="H274" s="28" t="b">
        <v>1</v>
      </c>
      <c r="I274" s="34"/>
    </row>
    <row r="275" spans="1:9" ht="30" x14ac:dyDescent="0.25">
      <c r="A275" s="54" t="s">
        <v>161</v>
      </c>
      <c r="B275" s="43" t="s">
        <v>144</v>
      </c>
      <c r="C275" s="37" t="s">
        <v>1979</v>
      </c>
      <c r="D275" s="37"/>
      <c r="E275" s="37" t="s">
        <v>1974</v>
      </c>
      <c r="F275" s="37" t="b">
        <v>0</v>
      </c>
      <c r="G275" s="37">
        <v>200</v>
      </c>
      <c r="H275" s="37" t="b">
        <v>1</v>
      </c>
    </row>
    <row r="276" spans="1:9" ht="30" x14ac:dyDescent="0.25">
      <c r="A276" s="54" t="s">
        <v>161</v>
      </c>
      <c r="B276" s="31" t="s">
        <v>618</v>
      </c>
      <c r="C276" s="28" t="s">
        <v>1980</v>
      </c>
      <c r="D276" s="28"/>
      <c r="E276" s="28" t="s">
        <v>1974</v>
      </c>
      <c r="F276" s="28" t="b">
        <v>0</v>
      </c>
      <c r="G276" s="28">
        <v>200</v>
      </c>
      <c r="H276" s="28" t="b">
        <v>1</v>
      </c>
      <c r="I276" s="34"/>
    </row>
    <row r="277" spans="1:9" ht="30" x14ac:dyDescent="0.25">
      <c r="A277" s="54" t="s">
        <v>161</v>
      </c>
      <c r="B277" s="43" t="s">
        <v>585</v>
      </c>
      <c r="C277" s="37" t="s">
        <v>1981</v>
      </c>
      <c r="D277" s="37"/>
      <c r="E277" s="37" t="s">
        <v>1974</v>
      </c>
      <c r="F277" s="37" t="b">
        <v>0</v>
      </c>
      <c r="G277" s="37">
        <v>200</v>
      </c>
      <c r="H277" s="37" t="b">
        <v>1</v>
      </c>
    </row>
    <row r="278" spans="1:9" ht="30" x14ac:dyDescent="0.25">
      <c r="A278" s="54" t="s">
        <v>161</v>
      </c>
      <c r="B278" s="31" t="s">
        <v>582</v>
      </c>
      <c r="C278" s="28" t="s">
        <v>1982</v>
      </c>
      <c r="D278" s="28"/>
      <c r="E278" s="28" t="s">
        <v>1974</v>
      </c>
      <c r="F278" s="28" t="b">
        <v>0</v>
      </c>
      <c r="G278" s="28">
        <v>200</v>
      </c>
      <c r="H278" s="28" t="b">
        <v>1</v>
      </c>
      <c r="I278" s="34"/>
    </row>
    <row r="279" spans="1:9" ht="30" x14ac:dyDescent="0.25">
      <c r="A279" s="54" t="s">
        <v>161</v>
      </c>
      <c r="B279" s="43" t="s">
        <v>638</v>
      </c>
      <c r="C279" s="37" t="s">
        <v>1983</v>
      </c>
      <c r="D279" s="37"/>
      <c r="E279" s="37" t="s">
        <v>1974</v>
      </c>
      <c r="F279" s="37" t="b">
        <v>0</v>
      </c>
      <c r="G279" s="37">
        <v>200</v>
      </c>
      <c r="H279" s="37" t="b">
        <v>1</v>
      </c>
    </row>
    <row r="280" spans="1:9" ht="30" x14ac:dyDescent="0.25">
      <c r="A280" s="54" t="s">
        <v>161</v>
      </c>
      <c r="B280" s="31" t="s">
        <v>638</v>
      </c>
      <c r="C280" s="28" t="s">
        <v>1984</v>
      </c>
      <c r="D280" s="28"/>
      <c r="E280" s="28" t="s">
        <v>1974</v>
      </c>
      <c r="F280" s="28" t="b">
        <v>0</v>
      </c>
      <c r="G280" s="28">
        <v>200</v>
      </c>
      <c r="H280" s="28" t="b">
        <v>1</v>
      </c>
      <c r="I280" s="34"/>
    </row>
    <row r="281" spans="1:9" ht="30" x14ac:dyDescent="0.25">
      <c r="A281" s="54" t="s">
        <v>161</v>
      </c>
      <c r="B281" s="43" t="s">
        <v>647</v>
      </c>
      <c r="C281" s="37" t="s">
        <v>1985</v>
      </c>
      <c r="D281" s="37"/>
      <c r="E281" s="37" t="s">
        <v>1974</v>
      </c>
      <c r="F281" s="37" t="b">
        <v>0</v>
      </c>
      <c r="G281" s="37">
        <v>200</v>
      </c>
      <c r="H281" s="37" t="b">
        <v>1</v>
      </c>
    </row>
    <row r="282" spans="1:9" ht="30" x14ac:dyDescent="0.25">
      <c r="A282" s="54" t="s">
        <v>161</v>
      </c>
      <c r="B282" s="31" t="s">
        <v>503</v>
      </c>
      <c r="C282" s="28" t="s">
        <v>1986</v>
      </c>
      <c r="D282" s="28"/>
      <c r="E282" s="28" t="s">
        <v>1974</v>
      </c>
      <c r="F282" s="28" t="b">
        <v>0</v>
      </c>
      <c r="G282" s="28">
        <v>200</v>
      </c>
      <c r="H282" s="28" t="b">
        <v>1</v>
      </c>
      <c r="I282" s="34"/>
    </row>
    <row r="283" spans="1:9" ht="30" x14ac:dyDescent="0.25">
      <c r="A283" s="54" t="s">
        <v>161</v>
      </c>
      <c r="B283" s="43" t="s">
        <v>608</v>
      </c>
      <c r="C283" s="37" t="s">
        <v>1987</v>
      </c>
      <c r="D283" s="37"/>
      <c r="E283" s="37" t="s">
        <v>1974</v>
      </c>
      <c r="F283" s="37" t="b">
        <v>0</v>
      </c>
      <c r="G283" s="37">
        <v>200</v>
      </c>
      <c r="H283" s="37" t="b">
        <v>1</v>
      </c>
    </row>
    <row r="284" spans="1:9" ht="30" x14ac:dyDescent="0.25">
      <c r="A284" s="54" t="s">
        <v>161</v>
      </c>
      <c r="B284" s="31" t="s">
        <v>2025</v>
      </c>
      <c r="C284" s="28"/>
      <c r="D284" s="28"/>
      <c r="E284" s="28" t="s">
        <v>2012</v>
      </c>
      <c r="F284" s="28" t="b">
        <v>0</v>
      </c>
      <c r="G284" s="28"/>
      <c r="H284" s="28" t="b">
        <v>1</v>
      </c>
      <c r="I284" s="34"/>
    </row>
    <row r="285" spans="1:9" ht="30" x14ac:dyDescent="0.25">
      <c r="A285" s="54" t="s">
        <v>161</v>
      </c>
      <c r="B285" s="43" t="s">
        <v>497</v>
      </c>
      <c r="C285" s="37" t="s">
        <v>2027</v>
      </c>
      <c r="D285" s="37"/>
      <c r="E285" s="37" t="s">
        <v>1974</v>
      </c>
      <c r="F285" s="37" t="b">
        <v>0</v>
      </c>
      <c r="G285" s="37">
        <v>200</v>
      </c>
      <c r="H285" s="37" t="b">
        <v>1</v>
      </c>
    </row>
    <row r="286" spans="1:9" ht="30" x14ac:dyDescent="0.25">
      <c r="A286" s="54" t="s">
        <v>161</v>
      </c>
      <c r="B286" s="31" t="s">
        <v>652</v>
      </c>
      <c r="C286" s="28" t="s">
        <v>2028</v>
      </c>
      <c r="D286" s="28"/>
      <c r="E286" s="28" t="s">
        <v>1974</v>
      </c>
      <c r="F286" s="28" t="b">
        <v>0</v>
      </c>
      <c r="G286" s="28">
        <v>200</v>
      </c>
      <c r="H286" s="28" t="b">
        <v>1</v>
      </c>
      <c r="I286" s="34"/>
    </row>
    <row r="287" spans="1:9" ht="30" x14ac:dyDescent="0.25">
      <c r="A287" s="54" t="s">
        <v>161</v>
      </c>
      <c r="B287" s="43" t="s">
        <v>537</v>
      </c>
      <c r="C287" s="37" t="s">
        <v>2029</v>
      </c>
      <c r="D287" s="37"/>
      <c r="E287" s="37" t="s">
        <v>1974</v>
      </c>
      <c r="F287" s="37" t="b">
        <v>0</v>
      </c>
      <c r="G287" s="37">
        <v>200</v>
      </c>
      <c r="H287" s="37" t="b">
        <v>1</v>
      </c>
    </row>
    <row r="288" spans="1:9" ht="30" x14ac:dyDescent="0.25">
      <c r="A288" s="54" t="s">
        <v>161</v>
      </c>
      <c r="B288" s="31" t="s">
        <v>543</v>
      </c>
      <c r="C288" s="28" t="s">
        <v>2030</v>
      </c>
      <c r="D288" s="28"/>
      <c r="E288" s="28" t="s">
        <v>1974</v>
      </c>
      <c r="F288" s="28" t="b">
        <v>0</v>
      </c>
      <c r="G288" s="28">
        <v>200</v>
      </c>
      <c r="H288" s="28" t="b">
        <v>1</v>
      </c>
      <c r="I288" s="34"/>
    </row>
    <row r="289" spans="1:9" ht="30" x14ac:dyDescent="0.25">
      <c r="A289" s="54" t="s">
        <v>161</v>
      </c>
      <c r="B289" s="43" t="s">
        <v>566</v>
      </c>
      <c r="C289" s="37" t="s">
        <v>2031</v>
      </c>
      <c r="D289" s="37"/>
      <c r="E289" s="37" t="s">
        <v>1974</v>
      </c>
      <c r="F289" s="37" t="b">
        <v>0</v>
      </c>
      <c r="G289" s="37">
        <v>200</v>
      </c>
      <c r="H289" s="37" t="b">
        <v>1</v>
      </c>
    </row>
    <row r="290" spans="1:9" ht="30" x14ac:dyDescent="0.25">
      <c r="A290" s="54" t="s">
        <v>161</v>
      </c>
      <c r="B290" s="31" t="s">
        <v>601</v>
      </c>
      <c r="C290" s="28" t="s">
        <v>2032</v>
      </c>
      <c r="D290" s="28"/>
      <c r="E290" s="28" t="s">
        <v>1974</v>
      </c>
      <c r="F290" s="28" t="b">
        <v>0</v>
      </c>
      <c r="G290" s="28">
        <v>200</v>
      </c>
      <c r="H290" s="28" t="b">
        <v>1</v>
      </c>
      <c r="I290" s="34"/>
    </row>
    <row r="291" spans="1:9" ht="30" x14ac:dyDescent="0.25">
      <c r="A291" s="54" t="s">
        <v>161</v>
      </c>
      <c r="B291" s="43" t="s">
        <v>497</v>
      </c>
      <c r="C291" s="37" t="s">
        <v>2027</v>
      </c>
      <c r="D291" s="37"/>
      <c r="E291" s="37" t="s">
        <v>1974</v>
      </c>
      <c r="F291" s="37" t="b">
        <v>0</v>
      </c>
      <c r="G291" s="37">
        <v>200</v>
      </c>
      <c r="H291" s="37" t="b">
        <v>1</v>
      </c>
    </row>
    <row r="292" spans="1:9" ht="30" x14ac:dyDescent="0.25">
      <c r="A292" s="54" t="s">
        <v>161</v>
      </c>
      <c r="B292" s="31" t="s">
        <v>652</v>
      </c>
      <c r="C292" s="28" t="s">
        <v>2028</v>
      </c>
      <c r="D292" s="28"/>
      <c r="E292" s="28" t="s">
        <v>1974</v>
      </c>
      <c r="F292" s="28" t="b">
        <v>0</v>
      </c>
      <c r="G292" s="28">
        <v>200</v>
      </c>
      <c r="H292" s="28" t="b">
        <v>1</v>
      </c>
      <c r="I292" s="34"/>
    </row>
    <row r="293" spans="1:9" ht="30" x14ac:dyDescent="0.25">
      <c r="A293" s="54" t="s">
        <v>161</v>
      </c>
      <c r="B293" s="43" t="s">
        <v>537</v>
      </c>
      <c r="C293" s="37" t="s">
        <v>2029</v>
      </c>
      <c r="D293" s="37"/>
      <c r="E293" s="37" t="s">
        <v>1974</v>
      </c>
      <c r="F293" s="37" t="b">
        <v>0</v>
      </c>
      <c r="G293" s="37">
        <v>200</v>
      </c>
      <c r="H293" s="37" t="b">
        <v>1</v>
      </c>
    </row>
    <row r="294" spans="1:9" ht="30" x14ac:dyDescent="0.25">
      <c r="A294" s="54" t="s">
        <v>161</v>
      </c>
      <c r="B294" s="31" t="s">
        <v>543</v>
      </c>
      <c r="C294" s="28" t="s">
        <v>2030</v>
      </c>
      <c r="D294" s="28"/>
      <c r="E294" s="28" t="s">
        <v>1974</v>
      </c>
      <c r="F294" s="28" t="b">
        <v>0</v>
      </c>
      <c r="G294" s="28">
        <v>200</v>
      </c>
      <c r="H294" s="28" t="b">
        <v>1</v>
      </c>
      <c r="I294" s="34"/>
    </row>
    <row r="295" spans="1:9" ht="30" x14ac:dyDescent="0.25">
      <c r="A295" s="54" t="s">
        <v>161</v>
      </c>
      <c r="B295" s="43" t="s">
        <v>566</v>
      </c>
      <c r="C295" s="37" t="s">
        <v>2031</v>
      </c>
      <c r="D295" s="37"/>
      <c r="E295" s="37" t="s">
        <v>1974</v>
      </c>
      <c r="F295" s="37" t="b">
        <v>0</v>
      </c>
      <c r="G295" s="37">
        <v>200</v>
      </c>
      <c r="H295" s="37" t="b">
        <v>1</v>
      </c>
    </row>
    <row r="296" spans="1:9" ht="30" x14ac:dyDescent="0.25">
      <c r="A296" s="54" t="s">
        <v>161</v>
      </c>
      <c r="B296" s="31" t="s">
        <v>601</v>
      </c>
      <c r="C296" s="28" t="s">
        <v>2032</v>
      </c>
      <c r="D296" s="28"/>
      <c r="E296" s="28" t="s">
        <v>1974</v>
      </c>
      <c r="F296" s="28" t="b">
        <v>0</v>
      </c>
      <c r="G296" s="28">
        <v>200</v>
      </c>
      <c r="H296" s="28" t="b">
        <v>1</v>
      </c>
      <c r="I296" s="34"/>
    </row>
    <row r="297" spans="1:9" ht="30" x14ac:dyDescent="0.25">
      <c r="A297" s="54" t="s">
        <v>161</v>
      </c>
      <c r="B297" s="43" t="s">
        <v>2040</v>
      </c>
      <c r="C297" s="37"/>
      <c r="D297" s="37"/>
      <c r="E297" s="37" t="s">
        <v>1974</v>
      </c>
      <c r="F297" s="37" t="b">
        <v>0</v>
      </c>
      <c r="G297" s="37">
        <v>200</v>
      </c>
      <c r="H297" s="37" t="b">
        <v>1</v>
      </c>
    </row>
    <row r="298" spans="1:9" ht="30" x14ac:dyDescent="0.25">
      <c r="A298" s="54" t="s">
        <v>161</v>
      </c>
      <c r="B298" s="31" t="s">
        <v>2040</v>
      </c>
      <c r="C298" s="28" t="s">
        <v>2041</v>
      </c>
      <c r="D298" s="28"/>
      <c r="E298" s="28" t="s">
        <v>1974</v>
      </c>
      <c r="F298" s="28" t="b">
        <v>0</v>
      </c>
      <c r="G298" s="28">
        <v>200</v>
      </c>
      <c r="H298" s="28" t="b">
        <v>1</v>
      </c>
      <c r="I298" s="34"/>
    </row>
    <row r="299" spans="1:9" ht="30" x14ac:dyDescent="0.25">
      <c r="A299" s="54" t="s">
        <v>161</v>
      </c>
      <c r="B299" s="43" t="s">
        <v>2040</v>
      </c>
      <c r="C299" s="37" t="s">
        <v>1998</v>
      </c>
      <c r="D299" s="37"/>
      <c r="E299" s="37" t="s">
        <v>1974</v>
      </c>
      <c r="F299" s="37" t="b">
        <v>0</v>
      </c>
      <c r="G299" s="37">
        <v>200</v>
      </c>
      <c r="H299" s="37" t="b">
        <v>1</v>
      </c>
    </row>
    <row r="300" spans="1:9" ht="30" x14ac:dyDescent="0.25">
      <c r="A300" s="54" t="s">
        <v>161</v>
      </c>
      <c r="B300" s="31" t="s">
        <v>2042</v>
      </c>
      <c r="C300" s="28"/>
      <c r="D300" s="28"/>
      <c r="E300" s="28" t="s">
        <v>1974</v>
      </c>
      <c r="F300" s="28" t="b">
        <v>0</v>
      </c>
      <c r="G300" s="28">
        <v>200</v>
      </c>
      <c r="H300" s="28" t="b">
        <v>1</v>
      </c>
      <c r="I300" s="34"/>
    </row>
    <row r="301" spans="1:9" ht="30" x14ac:dyDescent="0.25">
      <c r="A301" s="54" t="s">
        <v>161</v>
      </c>
      <c r="B301" s="43" t="s">
        <v>2042</v>
      </c>
      <c r="C301" s="37" t="s">
        <v>2043</v>
      </c>
      <c r="D301" s="37"/>
      <c r="E301" s="37" t="s">
        <v>1974</v>
      </c>
      <c r="F301" s="37" t="b">
        <v>0</v>
      </c>
      <c r="G301" s="37">
        <v>200</v>
      </c>
      <c r="H301" s="37" t="b">
        <v>1</v>
      </c>
    </row>
    <row r="302" spans="1:9" ht="30" x14ac:dyDescent="0.25">
      <c r="A302" s="54" t="s">
        <v>161</v>
      </c>
      <c r="B302" s="31" t="s">
        <v>2042</v>
      </c>
      <c r="C302" s="28" t="s">
        <v>1998</v>
      </c>
      <c r="D302" s="28"/>
      <c r="E302" s="28" t="s">
        <v>1974</v>
      </c>
      <c r="F302" s="28" t="b">
        <v>0</v>
      </c>
      <c r="G302" s="28">
        <v>200</v>
      </c>
      <c r="H302" s="28" t="b">
        <v>1</v>
      </c>
      <c r="I302" s="34"/>
    </row>
    <row r="303" spans="1:9" ht="30" x14ac:dyDescent="0.25">
      <c r="A303" s="54" t="s">
        <v>161</v>
      </c>
      <c r="B303" s="43" t="s">
        <v>2044</v>
      </c>
      <c r="C303" s="37"/>
      <c r="D303" s="37"/>
      <c r="E303" s="37" t="s">
        <v>1974</v>
      </c>
      <c r="F303" s="37" t="b">
        <v>0</v>
      </c>
      <c r="G303" s="37">
        <v>200</v>
      </c>
      <c r="H303" s="37" t="b">
        <v>1</v>
      </c>
    </row>
    <row r="304" spans="1:9" ht="30" x14ac:dyDescent="0.25">
      <c r="A304" s="54" t="s">
        <v>161</v>
      </c>
      <c r="B304" s="31" t="s">
        <v>2044</v>
      </c>
      <c r="C304" s="28" t="s">
        <v>2045</v>
      </c>
      <c r="D304" s="28"/>
      <c r="E304" s="28" t="s">
        <v>1974</v>
      </c>
      <c r="F304" s="28" t="b">
        <v>0</v>
      </c>
      <c r="G304" s="28">
        <v>200</v>
      </c>
      <c r="H304" s="28" t="b">
        <v>1</v>
      </c>
      <c r="I304" s="34"/>
    </row>
    <row r="305" spans="1:9" ht="30" x14ac:dyDescent="0.25">
      <c r="A305" s="54" t="s">
        <v>161</v>
      </c>
      <c r="B305" s="43" t="s">
        <v>2044</v>
      </c>
      <c r="C305" s="37" t="s">
        <v>1998</v>
      </c>
      <c r="D305" s="37"/>
      <c r="E305" s="37" t="s">
        <v>1974</v>
      </c>
      <c r="F305" s="37" t="b">
        <v>0</v>
      </c>
      <c r="G305" s="37">
        <v>200</v>
      </c>
      <c r="H305" s="37" t="b">
        <v>1</v>
      </c>
    </row>
    <row r="306" spans="1:9" ht="30" x14ac:dyDescent="0.25">
      <c r="A306" s="54" t="s">
        <v>161</v>
      </c>
      <c r="B306" s="31" t="s">
        <v>2046</v>
      </c>
      <c r="C306" s="28"/>
      <c r="D306" s="28"/>
      <c r="E306" s="28" t="s">
        <v>1974</v>
      </c>
      <c r="F306" s="28" t="b">
        <v>0</v>
      </c>
      <c r="G306" s="28">
        <v>200</v>
      </c>
      <c r="H306" s="28" t="b">
        <v>1</v>
      </c>
      <c r="I306" s="34"/>
    </row>
    <row r="307" spans="1:9" ht="30" x14ac:dyDescent="0.25">
      <c r="A307" s="54" t="s">
        <v>161</v>
      </c>
      <c r="B307" s="43" t="s">
        <v>2046</v>
      </c>
      <c r="C307" s="37" t="s">
        <v>2047</v>
      </c>
      <c r="D307" s="37"/>
      <c r="E307" s="37" t="s">
        <v>1974</v>
      </c>
      <c r="F307" s="37" t="b">
        <v>0</v>
      </c>
      <c r="G307" s="37">
        <v>200</v>
      </c>
      <c r="H307" s="37" t="b">
        <v>1</v>
      </c>
    </row>
    <row r="308" spans="1:9" ht="30" x14ac:dyDescent="0.25">
      <c r="A308" s="54" t="s">
        <v>161</v>
      </c>
      <c r="B308" s="31" t="s">
        <v>2046</v>
      </c>
      <c r="C308" s="28" t="s">
        <v>1998</v>
      </c>
      <c r="D308" s="28"/>
      <c r="E308" s="28" t="s">
        <v>1974</v>
      </c>
      <c r="F308" s="28" t="b">
        <v>0</v>
      </c>
      <c r="G308" s="28">
        <v>200</v>
      </c>
      <c r="H308" s="28" t="b">
        <v>1</v>
      </c>
      <c r="I308" s="34"/>
    </row>
    <row r="309" spans="1:9" ht="30" x14ac:dyDescent="0.25">
      <c r="A309" s="54" t="s">
        <v>161</v>
      </c>
      <c r="B309" s="43" t="s">
        <v>2048</v>
      </c>
      <c r="C309" s="37"/>
      <c r="D309" s="37"/>
      <c r="E309" s="37" t="s">
        <v>1974</v>
      </c>
      <c r="F309" s="37" t="b">
        <v>0</v>
      </c>
      <c r="G309" s="37">
        <v>200</v>
      </c>
      <c r="H309" s="37" t="b">
        <v>1</v>
      </c>
    </row>
    <row r="310" spans="1:9" ht="30" x14ac:dyDescent="0.25">
      <c r="A310" s="54" t="s">
        <v>161</v>
      </c>
      <c r="B310" s="31" t="s">
        <v>2048</v>
      </c>
      <c r="C310" s="28" t="s">
        <v>2049</v>
      </c>
      <c r="D310" s="28"/>
      <c r="E310" s="28" t="s">
        <v>1974</v>
      </c>
      <c r="F310" s="28" t="b">
        <v>0</v>
      </c>
      <c r="G310" s="28">
        <v>200</v>
      </c>
      <c r="H310" s="28" t="b">
        <v>1</v>
      </c>
      <c r="I310" s="34"/>
    </row>
    <row r="311" spans="1:9" ht="30" x14ac:dyDescent="0.25">
      <c r="A311" s="54" t="s">
        <v>161</v>
      </c>
      <c r="B311" s="43" t="s">
        <v>2048</v>
      </c>
      <c r="C311" s="37" t="s">
        <v>1998</v>
      </c>
      <c r="D311" s="37"/>
      <c r="E311" s="37" t="s">
        <v>1974</v>
      </c>
      <c r="F311" s="37" t="b">
        <v>0</v>
      </c>
      <c r="G311" s="37">
        <v>200</v>
      </c>
      <c r="H311" s="37" t="b">
        <v>1</v>
      </c>
    </row>
    <row r="312" spans="1:9" ht="30" x14ac:dyDescent="0.25">
      <c r="A312" s="54" t="s">
        <v>161</v>
      </c>
      <c r="B312" s="31" t="s">
        <v>2050</v>
      </c>
      <c r="C312" s="28"/>
      <c r="D312" s="28"/>
      <c r="E312" s="28" t="s">
        <v>1974</v>
      </c>
      <c r="F312" s="28" t="b">
        <v>0</v>
      </c>
      <c r="G312" s="28">
        <v>200</v>
      </c>
      <c r="H312" s="28" t="b">
        <v>1</v>
      </c>
      <c r="I312" s="34"/>
    </row>
    <row r="313" spans="1:9" ht="30" x14ac:dyDescent="0.25">
      <c r="A313" s="54" t="s">
        <v>161</v>
      </c>
      <c r="B313" s="43" t="s">
        <v>2050</v>
      </c>
      <c r="C313" s="37" t="s">
        <v>2051</v>
      </c>
      <c r="D313" s="37"/>
      <c r="E313" s="37" t="s">
        <v>1974</v>
      </c>
      <c r="F313" s="37" t="b">
        <v>0</v>
      </c>
      <c r="G313" s="37">
        <v>200</v>
      </c>
      <c r="H313" s="37" t="b">
        <v>1</v>
      </c>
    </row>
    <row r="314" spans="1:9" ht="30" x14ac:dyDescent="0.25">
      <c r="A314" s="54" t="s">
        <v>161</v>
      </c>
      <c r="B314" s="31" t="s">
        <v>2050</v>
      </c>
      <c r="C314" s="28" t="s">
        <v>1998</v>
      </c>
      <c r="D314" s="28"/>
      <c r="E314" s="28" t="s">
        <v>1974</v>
      </c>
      <c r="F314" s="28" t="b">
        <v>0</v>
      </c>
      <c r="G314" s="28">
        <v>200</v>
      </c>
      <c r="H314" s="28" t="b">
        <v>1</v>
      </c>
      <c r="I314" s="34"/>
    </row>
    <row r="315" spans="1:9" ht="30" x14ac:dyDescent="0.25">
      <c r="A315" s="54" t="s">
        <v>161</v>
      </c>
      <c r="B315" s="43" t="s">
        <v>2052</v>
      </c>
      <c r="C315" s="37"/>
      <c r="D315" s="37"/>
      <c r="E315" s="37" t="s">
        <v>1974</v>
      </c>
      <c r="F315" s="37" t="b">
        <v>0</v>
      </c>
      <c r="G315" s="37">
        <v>200</v>
      </c>
      <c r="H315" s="37" t="b">
        <v>1</v>
      </c>
    </row>
    <row r="316" spans="1:9" ht="30" x14ac:dyDescent="0.25">
      <c r="A316" s="54" t="s">
        <v>161</v>
      </c>
      <c r="B316" s="31" t="s">
        <v>2053</v>
      </c>
      <c r="C316" s="28"/>
      <c r="D316" s="28"/>
      <c r="E316" s="28" t="s">
        <v>1974</v>
      </c>
      <c r="F316" s="28" t="b">
        <v>0</v>
      </c>
      <c r="G316" s="28">
        <v>200</v>
      </c>
      <c r="H316" s="28" t="b">
        <v>1</v>
      </c>
      <c r="I316" s="34"/>
    </row>
    <row r="317" spans="1:9" ht="30" x14ac:dyDescent="0.25">
      <c r="A317" s="54" t="s">
        <v>161</v>
      </c>
      <c r="B317" s="43" t="s">
        <v>2054</v>
      </c>
      <c r="C317" s="37"/>
      <c r="D317" s="37"/>
      <c r="E317" s="37" t="s">
        <v>1974</v>
      </c>
      <c r="F317" s="37" t="b">
        <v>0</v>
      </c>
      <c r="G317" s="37">
        <v>200</v>
      </c>
      <c r="H317" s="37" t="b">
        <v>1</v>
      </c>
    </row>
    <row r="318" spans="1:9" ht="30" x14ac:dyDescent="0.25">
      <c r="A318" s="54" t="s">
        <v>161</v>
      </c>
      <c r="B318" s="31" t="s">
        <v>2055</v>
      </c>
      <c r="C318" s="28"/>
      <c r="D318" s="28"/>
      <c r="E318" s="28" t="s">
        <v>1974</v>
      </c>
      <c r="F318" s="28" t="b">
        <v>0</v>
      </c>
      <c r="G318" s="28">
        <v>200</v>
      </c>
      <c r="H318" s="28" t="b">
        <v>1</v>
      </c>
      <c r="I318" s="34"/>
    </row>
    <row r="319" spans="1:9" ht="30" x14ac:dyDescent="0.25">
      <c r="A319" s="54" t="s">
        <v>161</v>
      </c>
      <c r="B319" s="43" t="s">
        <v>2056</v>
      </c>
      <c r="C319" s="37"/>
      <c r="D319" s="37"/>
      <c r="E319" s="37" t="s">
        <v>1974</v>
      </c>
      <c r="F319" s="37" t="b">
        <v>0</v>
      </c>
      <c r="G319" s="37">
        <v>200</v>
      </c>
      <c r="H319" s="37" t="b">
        <v>1</v>
      </c>
    </row>
    <row r="320" spans="1:9" ht="30" x14ac:dyDescent="0.25">
      <c r="A320" s="54" t="s">
        <v>161</v>
      </c>
      <c r="B320" s="31" t="s">
        <v>2057</v>
      </c>
      <c r="C320" s="28"/>
      <c r="D320" s="28"/>
      <c r="E320" s="28" t="s">
        <v>1974</v>
      </c>
      <c r="F320" s="28" t="b">
        <v>0</v>
      </c>
      <c r="G320" s="28">
        <v>200</v>
      </c>
      <c r="H320" s="28" t="b">
        <v>1</v>
      </c>
      <c r="I320" s="34"/>
    </row>
    <row r="321" spans="1:9" ht="30" x14ac:dyDescent="0.25">
      <c r="A321" s="54" t="s">
        <v>161</v>
      </c>
      <c r="B321" s="43" t="s">
        <v>2058</v>
      </c>
      <c r="C321" s="37"/>
      <c r="D321" s="37"/>
      <c r="E321" s="37" t="s">
        <v>1974</v>
      </c>
      <c r="F321" s="37" t="b">
        <v>0</v>
      </c>
      <c r="G321" s="37">
        <v>200</v>
      </c>
      <c r="H321" s="37" t="b">
        <v>1</v>
      </c>
    </row>
    <row r="322" spans="1:9" ht="30" x14ac:dyDescent="0.25">
      <c r="A322" s="54" t="s">
        <v>161</v>
      </c>
      <c r="B322" s="31" t="s">
        <v>2059</v>
      </c>
      <c r="C322" s="28"/>
      <c r="D322" s="28"/>
      <c r="E322" s="28" t="s">
        <v>1974</v>
      </c>
      <c r="F322" s="28" t="b">
        <v>0</v>
      </c>
      <c r="G322" s="28">
        <v>200</v>
      </c>
      <c r="H322" s="28" t="b">
        <v>1</v>
      </c>
      <c r="I322" s="34"/>
    </row>
    <row r="323" spans="1:9" ht="30" x14ac:dyDescent="0.25">
      <c r="A323" s="54" t="s">
        <v>161</v>
      </c>
      <c r="B323" s="43" t="s">
        <v>2060</v>
      </c>
      <c r="C323" s="37"/>
      <c r="D323" s="37"/>
      <c r="E323" s="37" t="s">
        <v>1974</v>
      </c>
      <c r="F323" s="37" t="b">
        <v>0</v>
      </c>
      <c r="G323" s="37">
        <v>200</v>
      </c>
      <c r="H323" s="37" t="b">
        <v>1</v>
      </c>
    </row>
    <row r="324" spans="1:9" ht="30" x14ac:dyDescent="0.25">
      <c r="A324" s="54" t="s">
        <v>161</v>
      </c>
      <c r="B324" s="31" t="s">
        <v>2061</v>
      </c>
      <c r="C324" s="28"/>
      <c r="D324" s="28"/>
      <c r="E324" s="28" t="s">
        <v>1974</v>
      </c>
      <c r="F324" s="28" t="b">
        <v>0</v>
      </c>
      <c r="G324" s="28">
        <v>200</v>
      </c>
      <c r="H324" s="28" t="b">
        <v>1</v>
      </c>
      <c r="I324" s="34"/>
    </row>
    <row r="325" spans="1:9" ht="30" x14ac:dyDescent="0.25">
      <c r="A325" s="54" t="s">
        <v>161</v>
      </c>
      <c r="B325" s="43" t="s">
        <v>2062</v>
      </c>
      <c r="C325" s="37"/>
      <c r="D325" s="37"/>
      <c r="E325" s="37" t="s">
        <v>1974</v>
      </c>
      <c r="F325" s="37" t="b">
        <v>0</v>
      </c>
      <c r="G325" s="37">
        <v>200</v>
      </c>
      <c r="H325" s="37" t="b">
        <v>1</v>
      </c>
    </row>
    <row r="326" spans="1:9" ht="30" x14ac:dyDescent="0.25">
      <c r="A326" s="54" t="s">
        <v>161</v>
      </c>
      <c r="B326" s="31" t="s">
        <v>2063</v>
      </c>
      <c r="C326" s="28"/>
      <c r="D326" s="28"/>
      <c r="E326" s="28" t="s">
        <v>1974</v>
      </c>
      <c r="F326" s="28" t="b">
        <v>0</v>
      </c>
      <c r="G326" s="28">
        <v>200</v>
      </c>
      <c r="H326" s="28" t="b">
        <v>1</v>
      </c>
      <c r="I326" s="34"/>
    </row>
    <row r="327" spans="1:9" ht="30" x14ac:dyDescent="0.25">
      <c r="A327" s="54" t="s">
        <v>161</v>
      </c>
      <c r="B327" s="43" t="s">
        <v>2064</v>
      </c>
      <c r="C327" s="37"/>
      <c r="D327" s="37"/>
      <c r="E327" s="37" t="s">
        <v>1974</v>
      </c>
      <c r="F327" s="37" t="b">
        <v>0</v>
      </c>
      <c r="G327" s="37">
        <v>200</v>
      </c>
      <c r="H327" s="37" t="b">
        <v>1</v>
      </c>
    </row>
    <row r="328" spans="1:9" ht="30" x14ac:dyDescent="0.25">
      <c r="A328" s="54" t="s">
        <v>161</v>
      </c>
      <c r="B328" s="31" t="s">
        <v>2065</v>
      </c>
      <c r="C328" s="28"/>
      <c r="D328" s="28"/>
      <c r="E328" s="28" t="s">
        <v>1974</v>
      </c>
      <c r="F328" s="28" t="b">
        <v>0</v>
      </c>
      <c r="G328" s="28">
        <v>200</v>
      </c>
      <c r="H328" s="28" t="b">
        <v>1</v>
      </c>
      <c r="I328" s="34"/>
    </row>
    <row r="329" spans="1:9" ht="30" x14ac:dyDescent="0.25">
      <c r="A329" s="54" t="s">
        <v>161</v>
      </c>
      <c r="B329" s="43" t="s">
        <v>2066</v>
      </c>
      <c r="C329" s="37"/>
      <c r="D329" s="37"/>
      <c r="E329" s="37" t="s">
        <v>1974</v>
      </c>
      <c r="F329" s="37" t="b">
        <v>0</v>
      </c>
      <c r="G329" s="37">
        <v>200</v>
      </c>
      <c r="H329" s="37" t="b">
        <v>1</v>
      </c>
    </row>
    <row r="330" spans="1:9" ht="30" x14ac:dyDescent="0.25">
      <c r="A330" s="54" t="s">
        <v>161</v>
      </c>
      <c r="B330" s="31" t="s">
        <v>2067</v>
      </c>
      <c r="C330" s="28"/>
      <c r="D330" s="28"/>
      <c r="E330" s="28" t="s">
        <v>1974</v>
      </c>
      <c r="F330" s="28" t="b">
        <v>0</v>
      </c>
      <c r="G330" s="28">
        <v>200</v>
      </c>
      <c r="H330" s="28" t="b">
        <v>1</v>
      </c>
      <c r="I330" s="34"/>
    </row>
    <row r="331" spans="1:9" ht="30" x14ac:dyDescent="0.25">
      <c r="A331" s="54" t="s">
        <v>161</v>
      </c>
      <c r="B331" s="43" t="s">
        <v>2068</v>
      </c>
      <c r="C331" s="37"/>
      <c r="D331" s="37"/>
      <c r="E331" s="37" t="s">
        <v>1974</v>
      </c>
      <c r="F331" s="37" t="b">
        <v>0</v>
      </c>
      <c r="G331" s="37">
        <v>200</v>
      </c>
      <c r="H331" s="37" t="b">
        <v>1</v>
      </c>
    </row>
    <row r="332" spans="1:9" ht="30" x14ac:dyDescent="0.25">
      <c r="A332" s="54" t="s">
        <v>161</v>
      </c>
      <c r="B332" s="31" t="s">
        <v>2069</v>
      </c>
      <c r="C332" s="28"/>
      <c r="D332" s="28"/>
      <c r="E332" s="28" t="s">
        <v>1974</v>
      </c>
      <c r="F332" s="28" t="b">
        <v>0</v>
      </c>
      <c r="G332" s="28">
        <v>200</v>
      </c>
      <c r="H332" s="28" t="b">
        <v>1</v>
      </c>
      <c r="I332" s="34"/>
    </row>
    <row r="333" spans="1:9" ht="30" x14ac:dyDescent="0.25">
      <c r="A333" s="54" t="s">
        <v>161</v>
      </c>
      <c r="B333" s="43" t="s">
        <v>2070</v>
      </c>
      <c r="C333" s="37"/>
      <c r="D333" s="37"/>
      <c r="E333" s="37" t="s">
        <v>1974</v>
      </c>
      <c r="F333" s="37" t="b">
        <v>0</v>
      </c>
      <c r="G333" s="37">
        <v>200</v>
      </c>
      <c r="H333" s="37" t="b">
        <v>1</v>
      </c>
    </row>
    <row r="334" spans="1:9" ht="30" x14ac:dyDescent="0.25">
      <c r="A334" s="54" t="s">
        <v>161</v>
      </c>
      <c r="B334" s="31" t="s">
        <v>2071</v>
      </c>
      <c r="C334" s="28"/>
      <c r="D334" s="28"/>
      <c r="E334" s="28" t="s">
        <v>1974</v>
      </c>
      <c r="F334" s="28" t="b">
        <v>0</v>
      </c>
      <c r="G334" s="28">
        <v>200</v>
      </c>
      <c r="H334" s="28" t="b">
        <v>1</v>
      </c>
      <c r="I334" s="34"/>
    </row>
    <row r="335" spans="1:9" ht="30" x14ac:dyDescent="0.25">
      <c r="A335" s="54" t="s">
        <v>161</v>
      </c>
      <c r="B335" s="43" t="s">
        <v>2072</v>
      </c>
      <c r="C335" s="37"/>
      <c r="D335" s="37"/>
      <c r="E335" s="37" t="s">
        <v>1974</v>
      </c>
      <c r="F335" s="37" t="b">
        <v>0</v>
      </c>
      <c r="G335" s="37">
        <v>200</v>
      </c>
      <c r="H335" s="37" t="b">
        <v>1</v>
      </c>
    </row>
    <row r="336" spans="1:9" ht="30" x14ac:dyDescent="0.25">
      <c r="A336" s="54" t="s">
        <v>161</v>
      </c>
      <c r="B336" s="31" t="s">
        <v>2073</v>
      </c>
      <c r="C336" s="28"/>
      <c r="D336" s="28"/>
      <c r="E336" s="28" t="s">
        <v>1974</v>
      </c>
      <c r="F336" s="28" t="b">
        <v>0</v>
      </c>
      <c r="G336" s="28">
        <v>200</v>
      </c>
      <c r="H336" s="28" t="b">
        <v>1</v>
      </c>
      <c r="I336" s="34"/>
    </row>
    <row r="337" spans="1:9" ht="30" x14ac:dyDescent="0.25">
      <c r="A337" s="54" t="s">
        <v>161</v>
      </c>
      <c r="B337" s="43" t="s">
        <v>2074</v>
      </c>
      <c r="C337" s="37"/>
      <c r="D337" s="37"/>
      <c r="E337" s="37" t="s">
        <v>1974</v>
      </c>
      <c r="F337" s="37" t="b">
        <v>0</v>
      </c>
      <c r="G337" s="37">
        <v>200</v>
      </c>
      <c r="H337" s="37" t="b">
        <v>1</v>
      </c>
    </row>
    <row r="338" spans="1:9" ht="30" x14ac:dyDescent="0.25">
      <c r="A338" s="54" t="s">
        <v>161</v>
      </c>
      <c r="B338" s="31" t="s">
        <v>2075</v>
      </c>
      <c r="C338" s="28"/>
      <c r="D338" s="28"/>
      <c r="E338" s="28" t="s">
        <v>1974</v>
      </c>
      <c r="F338" s="28" t="b">
        <v>0</v>
      </c>
      <c r="G338" s="28">
        <v>200</v>
      </c>
      <c r="H338" s="28" t="b">
        <v>1</v>
      </c>
      <c r="I338" s="34"/>
    </row>
    <row r="339" spans="1:9" ht="30" x14ac:dyDescent="0.25">
      <c r="A339" s="54" t="s">
        <v>161</v>
      </c>
      <c r="B339" s="43" t="s">
        <v>2076</v>
      </c>
      <c r="C339" s="37"/>
      <c r="D339" s="37"/>
      <c r="E339" s="37" t="s">
        <v>1974</v>
      </c>
      <c r="F339" s="37" t="b">
        <v>0</v>
      </c>
      <c r="G339" s="37">
        <v>200</v>
      </c>
      <c r="H339" s="37" t="b">
        <v>1</v>
      </c>
    </row>
    <row r="340" spans="1:9" ht="30" x14ac:dyDescent="0.25">
      <c r="A340" s="54" t="s">
        <v>161</v>
      </c>
      <c r="B340" s="31" t="s">
        <v>2077</v>
      </c>
      <c r="C340" s="28"/>
      <c r="D340" s="28"/>
      <c r="E340" s="28" t="s">
        <v>1974</v>
      </c>
      <c r="F340" s="28" t="b">
        <v>0</v>
      </c>
      <c r="G340" s="28">
        <v>200</v>
      </c>
      <c r="H340" s="28" t="b">
        <v>1</v>
      </c>
      <c r="I340" s="34"/>
    </row>
    <row r="341" spans="1:9" ht="30" x14ac:dyDescent="0.25">
      <c r="A341" s="54" t="s">
        <v>161</v>
      </c>
      <c r="B341" s="43" t="s">
        <v>2078</v>
      </c>
      <c r="C341" s="37"/>
      <c r="D341" s="37"/>
      <c r="E341" s="37" t="s">
        <v>1974</v>
      </c>
      <c r="F341" s="37" t="b">
        <v>0</v>
      </c>
      <c r="G341" s="37">
        <v>200</v>
      </c>
      <c r="H341" s="37" t="b">
        <v>1</v>
      </c>
    </row>
    <row r="342" spans="1:9" ht="30" x14ac:dyDescent="0.25">
      <c r="A342" s="54" t="s">
        <v>161</v>
      </c>
      <c r="B342" s="31" t="s">
        <v>2079</v>
      </c>
      <c r="C342" s="28"/>
      <c r="D342" s="28"/>
      <c r="E342" s="28" t="s">
        <v>1974</v>
      </c>
      <c r="F342" s="28" t="b">
        <v>0</v>
      </c>
      <c r="G342" s="28">
        <v>200</v>
      </c>
      <c r="H342" s="28" t="b">
        <v>1</v>
      </c>
      <c r="I342" s="34"/>
    </row>
    <row r="343" spans="1:9" ht="30" x14ac:dyDescent="0.25">
      <c r="A343" s="54" t="s">
        <v>161</v>
      </c>
      <c r="B343" s="43" t="s">
        <v>2080</v>
      </c>
      <c r="C343" s="37"/>
      <c r="D343" s="37"/>
      <c r="E343" s="37" t="s">
        <v>1974</v>
      </c>
      <c r="F343" s="37" t="b">
        <v>0</v>
      </c>
      <c r="G343" s="37">
        <v>200</v>
      </c>
      <c r="H343" s="37" t="b">
        <v>1</v>
      </c>
    </row>
    <row r="344" spans="1:9" ht="30" x14ac:dyDescent="0.25">
      <c r="A344" s="54" t="s">
        <v>161</v>
      </c>
      <c r="B344" s="31" t="s">
        <v>2081</v>
      </c>
      <c r="C344" s="28"/>
      <c r="D344" s="28"/>
      <c r="E344" s="28" t="s">
        <v>1974</v>
      </c>
      <c r="F344" s="28" t="b">
        <v>0</v>
      </c>
      <c r="G344" s="28">
        <v>200</v>
      </c>
      <c r="H344" s="28" t="b">
        <v>1</v>
      </c>
      <c r="I344" s="34"/>
    </row>
    <row r="345" spans="1:9" ht="30" x14ac:dyDescent="0.25">
      <c r="A345" s="54" t="s">
        <v>161</v>
      </c>
      <c r="B345" s="43" t="s">
        <v>2082</v>
      </c>
      <c r="C345" s="37"/>
      <c r="D345" s="37"/>
      <c r="E345" s="37" t="s">
        <v>1974</v>
      </c>
      <c r="F345" s="37" t="b">
        <v>0</v>
      </c>
      <c r="G345" s="37">
        <v>200</v>
      </c>
      <c r="H345" s="37" t="b">
        <v>1</v>
      </c>
    </row>
    <row r="346" spans="1:9" ht="30" x14ac:dyDescent="0.25">
      <c r="A346" s="54" t="s">
        <v>161</v>
      </c>
      <c r="B346" s="31" t="s">
        <v>2083</v>
      </c>
      <c r="C346" s="28"/>
      <c r="D346" s="28"/>
      <c r="E346" s="28" t="s">
        <v>1974</v>
      </c>
      <c r="F346" s="28" t="b">
        <v>0</v>
      </c>
      <c r="G346" s="28">
        <v>200</v>
      </c>
      <c r="H346" s="28" t="b">
        <v>1</v>
      </c>
      <c r="I346" s="34"/>
    </row>
    <row r="347" spans="1:9" ht="30" x14ac:dyDescent="0.25">
      <c r="A347" s="54" t="s">
        <v>161</v>
      </c>
      <c r="B347" s="43" t="s">
        <v>2084</v>
      </c>
      <c r="C347" s="37"/>
      <c r="D347" s="37"/>
      <c r="E347" s="37" t="s">
        <v>1974</v>
      </c>
      <c r="F347" s="37" t="b">
        <v>0</v>
      </c>
      <c r="G347" s="37">
        <v>200</v>
      </c>
      <c r="H347" s="37" t="b">
        <v>1</v>
      </c>
    </row>
    <row r="348" spans="1:9" ht="30" x14ac:dyDescent="0.25">
      <c r="A348" s="54" t="s">
        <v>161</v>
      </c>
      <c r="B348" s="31" t="s">
        <v>2085</v>
      </c>
      <c r="C348" s="28"/>
      <c r="D348" s="28"/>
      <c r="E348" s="28" t="s">
        <v>1974</v>
      </c>
      <c r="F348" s="28" t="b">
        <v>0</v>
      </c>
      <c r="G348" s="28">
        <v>200</v>
      </c>
      <c r="H348" s="28" t="b">
        <v>1</v>
      </c>
      <c r="I348" s="34"/>
    </row>
    <row r="349" spans="1:9" ht="30" x14ac:dyDescent="0.25">
      <c r="A349" s="54" t="s">
        <v>161</v>
      </c>
      <c r="B349" s="43" t="s">
        <v>2086</v>
      </c>
      <c r="C349" s="37"/>
      <c r="D349" s="37"/>
      <c r="E349" s="37" t="s">
        <v>1974</v>
      </c>
      <c r="F349" s="37" t="b">
        <v>0</v>
      </c>
      <c r="G349" s="37">
        <v>200</v>
      </c>
      <c r="H349" s="37" t="b">
        <v>1</v>
      </c>
    </row>
    <row r="350" spans="1:9" ht="30" x14ac:dyDescent="0.25">
      <c r="A350" s="54" t="s">
        <v>161</v>
      </c>
      <c r="B350" s="31" t="s">
        <v>2087</v>
      </c>
      <c r="C350" s="28"/>
      <c r="D350" s="28"/>
      <c r="E350" s="28" t="s">
        <v>1974</v>
      </c>
      <c r="F350" s="28" t="b">
        <v>0</v>
      </c>
      <c r="G350" s="28">
        <v>200</v>
      </c>
      <c r="H350" s="28" t="b">
        <v>1</v>
      </c>
      <c r="I350" s="34"/>
    </row>
    <row r="351" spans="1:9" ht="30" x14ac:dyDescent="0.25">
      <c r="A351" s="54" t="s">
        <v>161</v>
      </c>
      <c r="B351" s="43" t="s">
        <v>2088</v>
      </c>
      <c r="C351" s="37"/>
      <c r="D351" s="37"/>
      <c r="E351" s="37" t="s">
        <v>1974</v>
      </c>
      <c r="F351" s="37" t="b">
        <v>0</v>
      </c>
      <c r="G351" s="37">
        <v>200</v>
      </c>
      <c r="H351" s="37" t="b">
        <v>1</v>
      </c>
    </row>
    <row r="352" spans="1:9" ht="30" x14ac:dyDescent="0.25">
      <c r="A352" s="54" t="s">
        <v>161</v>
      </c>
      <c r="B352" s="31" t="s">
        <v>2089</v>
      </c>
      <c r="C352" s="28"/>
      <c r="D352" s="28"/>
      <c r="E352" s="28" t="s">
        <v>1974</v>
      </c>
      <c r="F352" s="28" t="b">
        <v>0</v>
      </c>
      <c r="G352" s="28">
        <v>200</v>
      </c>
      <c r="H352" s="28" t="b">
        <v>1</v>
      </c>
      <c r="I352" s="34"/>
    </row>
    <row r="353" spans="1:9" ht="30" x14ac:dyDescent="0.25">
      <c r="A353" s="54" t="s">
        <v>161</v>
      </c>
      <c r="B353" s="43" t="s">
        <v>647</v>
      </c>
      <c r="C353" s="37" t="s">
        <v>2010</v>
      </c>
      <c r="D353" s="37"/>
      <c r="E353" s="37" t="s">
        <v>1974</v>
      </c>
      <c r="F353" s="37" t="b">
        <v>0</v>
      </c>
      <c r="G353" s="37">
        <v>200</v>
      </c>
      <c r="H353" s="37" t="b">
        <v>1</v>
      </c>
    </row>
    <row r="354" spans="1:9" ht="30" x14ac:dyDescent="0.25">
      <c r="A354" s="54" t="s">
        <v>161</v>
      </c>
      <c r="B354" s="31" t="s">
        <v>2011</v>
      </c>
      <c r="C354" s="28"/>
      <c r="D354" s="28"/>
      <c r="E354" s="28" t="s">
        <v>2012</v>
      </c>
      <c r="F354" s="28" t="b">
        <v>0</v>
      </c>
      <c r="G354" s="28"/>
      <c r="H354" s="28" t="b">
        <v>1</v>
      </c>
      <c r="I354" s="34"/>
    </row>
    <row r="355" spans="1:9" ht="30" x14ac:dyDescent="0.25">
      <c r="A355" s="54" t="s">
        <v>161</v>
      </c>
      <c r="B355" s="43" t="s">
        <v>2013</v>
      </c>
      <c r="C355" s="37"/>
      <c r="D355" s="37"/>
      <c r="E355" s="37" t="s">
        <v>2012</v>
      </c>
      <c r="F355" s="37" t="b">
        <v>0</v>
      </c>
      <c r="G355" s="37"/>
      <c r="H355" s="37" t="b">
        <v>1</v>
      </c>
    </row>
    <row r="356" spans="1:9" ht="30" x14ac:dyDescent="0.25">
      <c r="A356" s="54" t="s">
        <v>161</v>
      </c>
      <c r="B356" s="31" t="s">
        <v>641</v>
      </c>
      <c r="C356" s="28" t="s">
        <v>2014</v>
      </c>
      <c r="D356" s="28"/>
      <c r="E356" s="28" t="s">
        <v>1974</v>
      </c>
      <c r="F356" s="28" t="b">
        <v>0</v>
      </c>
      <c r="G356" s="28">
        <v>200</v>
      </c>
      <c r="H356" s="28" t="b">
        <v>1</v>
      </c>
      <c r="I356" s="34"/>
    </row>
    <row r="357" spans="1:9" ht="30" x14ac:dyDescent="0.25">
      <c r="A357" s="54" t="s">
        <v>161</v>
      </c>
      <c r="B357" s="43" t="s">
        <v>2015</v>
      </c>
      <c r="C357" s="37" t="s">
        <v>2016</v>
      </c>
      <c r="D357" s="37"/>
      <c r="E357" s="37" t="s">
        <v>1974</v>
      </c>
      <c r="F357" s="37" t="b">
        <v>0</v>
      </c>
      <c r="G357" s="37">
        <v>404</v>
      </c>
      <c r="H357" s="37" t="b">
        <v>0</v>
      </c>
    </row>
    <row r="358" spans="1:9" ht="30" x14ac:dyDescent="0.25">
      <c r="A358" s="54" t="s">
        <v>161</v>
      </c>
      <c r="B358" s="31" t="s">
        <v>2015</v>
      </c>
      <c r="C358" s="28" t="s">
        <v>2017</v>
      </c>
      <c r="D358" s="28"/>
      <c r="E358" s="28" t="s">
        <v>1974</v>
      </c>
      <c r="F358" s="28" t="b">
        <v>0</v>
      </c>
      <c r="G358" s="28">
        <v>404</v>
      </c>
      <c r="H358" s="28" t="b">
        <v>0</v>
      </c>
      <c r="I358" s="34"/>
    </row>
    <row r="359" spans="1:9" ht="30" x14ac:dyDescent="0.25">
      <c r="A359" s="54" t="s">
        <v>185</v>
      </c>
      <c r="B359" s="43" t="s">
        <v>497</v>
      </c>
      <c r="C359" s="37" t="s">
        <v>2027</v>
      </c>
      <c r="D359" s="37"/>
      <c r="E359" s="37" t="s">
        <v>1974</v>
      </c>
      <c r="F359" s="37" t="b">
        <v>0</v>
      </c>
      <c r="G359" s="37">
        <v>200</v>
      </c>
      <c r="H359" s="37" t="b">
        <v>1</v>
      </c>
    </row>
    <row r="360" spans="1:9" ht="30" x14ac:dyDescent="0.25">
      <c r="A360" s="54" t="s">
        <v>185</v>
      </c>
      <c r="B360" s="31" t="s">
        <v>652</v>
      </c>
      <c r="C360" s="28" t="s">
        <v>2028</v>
      </c>
      <c r="D360" s="28"/>
      <c r="E360" s="28" t="s">
        <v>1974</v>
      </c>
      <c r="F360" s="28" t="b">
        <v>0</v>
      </c>
      <c r="G360" s="28">
        <v>200</v>
      </c>
      <c r="H360" s="28" t="b">
        <v>1</v>
      </c>
      <c r="I360" s="34"/>
    </row>
    <row r="361" spans="1:9" ht="30" x14ac:dyDescent="0.25">
      <c r="A361" s="54" t="s">
        <v>185</v>
      </c>
      <c r="B361" s="43" t="s">
        <v>537</v>
      </c>
      <c r="C361" s="37" t="s">
        <v>2029</v>
      </c>
      <c r="D361" s="37"/>
      <c r="E361" s="37" t="s">
        <v>1974</v>
      </c>
      <c r="F361" s="37" t="b">
        <v>0</v>
      </c>
      <c r="G361" s="37">
        <v>200</v>
      </c>
      <c r="H361" s="37" t="b">
        <v>1</v>
      </c>
    </row>
    <row r="362" spans="1:9" ht="30" x14ac:dyDescent="0.25">
      <c r="A362" s="54" t="s">
        <v>185</v>
      </c>
      <c r="B362" s="31" t="s">
        <v>543</v>
      </c>
      <c r="C362" s="28" t="s">
        <v>2030</v>
      </c>
      <c r="D362" s="28"/>
      <c r="E362" s="28" t="s">
        <v>1974</v>
      </c>
      <c r="F362" s="28" t="b">
        <v>0</v>
      </c>
      <c r="G362" s="28">
        <v>200</v>
      </c>
      <c r="H362" s="28" t="b">
        <v>1</v>
      </c>
      <c r="I362" s="34"/>
    </row>
    <row r="363" spans="1:9" ht="30" x14ac:dyDescent="0.25">
      <c r="A363" s="54" t="s">
        <v>185</v>
      </c>
      <c r="B363" s="43" t="s">
        <v>566</v>
      </c>
      <c r="C363" s="37" t="s">
        <v>2031</v>
      </c>
      <c r="D363" s="37"/>
      <c r="E363" s="37" t="s">
        <v>1974</v>
      </c>
      <c r="F363" s="37" t="b">
        <v>0</v>
      </c>
      <c r="G363" s="37">
        <v>200</v>
      </c>
      <c r="H363" s="37" t="b">
        <v>1</v>
      </c>
    </row>
    <row r="364" spans="1:9" ht="30" x14ac:dyDescent="0.25">
      <c r="A364" s="54" t="s">
        <v>185</v>
      </c>
      <c r="B364" s="31" t="s">
        <v>601</v>
      </c>
      <c r="C364" s="28" t="s">
        <v>2032</v>
      </c>
      <c r="D364" s="28"/>
      <c r="E364" s="28" t="s">
        <v>1974</v>
      </c>
      <c r="F364" s="28" t="b">
        <v>0</v>
      </c>
      <c r="G364" s="28">
        <v>200</v>
      </c>
      <c r="H364" s="28" t="b">
        <v>1</v>
      </c>
      <c r="I364" s="34"/>
    </row>
    <row r="365" spans="1:9" ht="30" x14ac:dyDescent="0.25">
      <c r="A365" s="54" t="s">
        <v>185</v>
      </c>
      <c r="B365" s="43" t="s">
        <v>497</v>
      </c>
      <c r="C365" s="37" t="s">
        <v>2027</v>
      </c>
      <c r="D365" s="37"/>
      <c r="E365" s="37" t="s">
        <v>1974</v>
      </c>
      <c r="F365" s="37" t="b">
        <v>0</v>
      </c>
      <c r="G365" s="37">
        <v>200</v>
      </c>
      <c r="H365" s="37" t="b">
        <v>1</v>
      </c>
    </row>
    <row r="366" spans="1:9" ht="30" x14ac:dyDescent="0.25">
      <c r="A366" s="54" t="s">
        <v>185</v>
      </c>
      <c r="B366" s="31" t="s">
        <v>652</v>
      </c>
      <c r="C366" s="28" t="s">
        <v>2028</v>
      </c>
      <c r="D366" s="28"/>
      <c r="E366" s="28" t="s">
        <v>1974</v>
      </c>
      <c r="F366" s="28" t="b">
        <v>0</v>
      </c>
      <c r="G366" s="28">
        <v>200</v>
      </c>
      <c r="H366" s="28" t="b">
        <v>1</v>
      </c>
      <c r="I366" s="34"/>
    </row>
    <row r="367" spans="1:9" ht="30" x14ac:dyDescent="0.25">
      <c r="A367" s="54" t="s">
        <v>185</v>
      </c>
      <c r="B367" s="43" t="s">
        <v>537</v>
      </c>
      <c r="C367" s="37" t="s">
        <v>2029</v>
      </c>
      <c r="D367" s="37"/>
      <c r="E367" s="37" t="s">
        <v>1974</v>
      </c>
      <c r="F367" s="37" t="b">
        <v>0</v>
      </c>
      <c r="G367" s="37">
        <v>200</v>
      </c>
      <c r="H367" s="37" t="b">
        <v>1</v>
      </c>
    </row>
    <row r="368" spans="1:9" ht="30" x14ac:dyDescent="0.25">
      <c r="A368" s="54" t="s">
        <v>185</v>
      </c>
      <c r="B368" s="31" t="s">
        <v>543</v>
      </c>
      <c r="C368" s="28" t="s">
        <v>2030</v>
      </c>
      <c r="D368" s="28"/>
      <c r="E368" s="28" t="s">
        <v>1974</v>
      </c>
      <c r="F368" s="28" t="b">
        <v>0</v>
      </c>
      <c r="G368" s="28">
        <v>200</v>
      </c>
      <c r="H368" s="28" t="b">
        <v>1</v>
      </c>
      <c r="I368" s="34"/>
    </row>
    <row r="369" spans="1:9" ht="30" x14ac:dyDescent="0.25">
      <c r="A369" s="54" t="s">
        <v>185</v>
      </c>
      <c r="B369" s="43" t="s">
        <v>566</v>
      </c>
      <c r="C369" s="37" t="s">
        <v>2031</v>
      </c>
      <c r="D369" s="37"/>
      <c r="E369" s="37" t="s">
        <v>1974</v>
      </c>
      <c r="F369" s="37" t="b">
        <v>0</v>
      </c>
      <c r="G369" s="37">
        <v>200</v>
      </c>
      <c r="H369" s="37" t="b">
        <v>1</v>
      </c>
    </row>
    <row r="370" spans="1:9" ht="30" x14ac:dyDescent="0.25">
      <c r="A370" s="54" t="s">
        <v>185</v>
      </c>
      <c r="B370" s="31" t="s">
        <v>601</v>
      </c>
      <c r="C370" s="28" t="s">
        <v>2032</v>
      </c>
      <c r="D370" s="28"/>
      <c r="E370" s="28" t="s">
        <v>1974</v>
      </c>
      <c r="F370" s="28" t="b">
        <v>0</v>
      </c>
      <c r="G370" s="28">
        <v>200</v>
      </c>
      <c r="H370" s="28" t="b">
        <v>1</v>
      </c>
      <c r="I370" s="34"/>
    </row>
    <row r="371" spans="1:9" ht="30" x14ac:dyDescent="0.25">
      <c r="A371" s="54" t="s">
        <v>185</v>
      </c>
      <c r="B371" s="43" t="s">
        <v>485</v>
      </c>
      <c r="C371" s="37" t="s">
        <v>2090</v>
      </c>
      <c r="D371" s="37"/>
      <c r="E371" s="37" t="s">
        <v>1974</v>
      </c>
      <c r="F371" s="37" t="b">
        <v>0</v>
      </c>
      <c r="G371" s="37">
        <v>200</v>
      </c>
      <c r="H371" s="37" t="b">
        <v>1</v>
      </c>
    </row>
    <row r="372" spans="1:9" ht="30" x14ac:dyDescent="0.25">
      <c r="A372" s="54" t="s">
        <v>185</v>
      </c>
      <c r="B372" s="31" t="s">
        <v>2091</v>
      </c>
      <c r="C372" s="28"/>
      <c r="D372" s="28"/>
      <c r="E372" s="28" t="s">
        <v>1974</v>
      </c>
      <c r="F372" s="28" t="b">
        <v>0</v>
      </c>
      <c r="G372" s="28">
        <v>200</v>
      </c>
      <c r="H372" s="28" t="b">
        <v>1</v>
      </c>
      <c r="I372" s="34"/>
    </row>
    <row r="373" spans="1:9" ht="30" x14ac:dyDescent="0.25">
      <c r="A373" s="54" t="s">
        <v>185</v>
      </c>
      <c r="B373" s="43" t="s">
        <v>2092</v>
      </c>
      <c r="C373" s="37"/>
      <c r="D373" s="37"/>
      <c r="E373" s="37" t="s">
        <v>1974</v>
      </c>
      <c r="F373" s="37" t="b">
        <v>0</v>
      </c>
      <c r="G373" s="37">
        <v>200</v>
      </c>
      <c r="H373" s="37" t="b">
        <v>1</v>
      </c>
    </row>
    <row r="374" spans="1:9" ht="30" x14ac:dyDescent="0.25">
      <c r="A374" s="54" t="s">
        <v>185</v>
      </c>
      <c r="B374" s="31" t="s">
        <v>2093</v>
      </c>
      <c r="C374" s="28"/>
      <c r="D374" s="28"/>
      <c r="E374" s="28" t="s">
        <v>1974</v>
      </c>
      <c r="F374" s="28" t="b">
        <v>0</v>
      </c>
      <c r="G374" s="28">
        <v>200</v>
      </c>
      <c r="H374" s="28" t="b">
        <v>1</v>
      </c>
      <c r="I374" s="34"/>
    </row>
    <row r="375" spans="1:9" ht="30" x14ac:dyDescent="0.25">
      <c r="A375" s="54" t="s">
        <v>185</v>
      </c>
      <c r="B375" s="43" t="s">
        <v>2094</v>
      </c>
      <c r="C375" s="37"/>
      <c r="D375" s="37"/>
      <c r="E375" s="37" t="s">
        <v>1974</v>
      </c>
      <c r="F375" s="37" t="b">
        <v>0</v>
      </c>
      <c r="G375" s="37">
        <v>200</v>
      </c>
      <c r="H375" s="37" t="b">
        <v>1</v>
      </c>
    </row>
    <row r="376" spans="1:9" ht="30" x14ac:dyDescent="0.25">
      <c r="A376" s="54" t="s">
        <v>185</v>
      </c>
      <c r="B376" s="31" t="s">
        <v>2095</v>
      </c>
      <c r="C376" s="28"/>
      <c r="D376" s="28"/>
      <c r="E376" s="28" t="s">
        <v>1974</v>
      </c>
      <c r="F376" s="28" t="b">
        <v>0</v>
      </c>
      <c r="G376" s="28">
        <v>200</v>
      </c>
      <c r="H376" s="28" t="b">
        <v>1</v>
      </c>
      <c r="I376" s="34"/>
    </row>
    <row r="377" spans="1:9" ht="30" x14ac:dyDescent="0.25">
      <c r="A377" s="54" t="s">
        <v>185</v>
      </c>
      <c r="B377" s="43" t="s">
        <v>2096</v>
      </c>
      <c r="C377" s="37"/>
      <c r="D377" s="37"/>
      <c r="E377" s="37" t="s">
        <v>1974</v>
      </c>
      <c r="F377" s="37" t="b">
        <v>0</v>
      </c>
      <c r="G377" s="37">
        <v>200</v>
      </c>
      <c r="H377" s="37" t="b">
        <v>1</v>
      </c>
    </row>
    <row r="378" spans="1:9" ht="30" x14ac:dyDescent="0.25">
      <c r="A378" s="54" t="s">
        <v>185</v>
      </c>
      <c r="B378" s="31" t="s">
        <v>2097</v>
      </c>
      <c r="C378" s="28"/>
      <c r="D378" s="28"/>
      <c r="E378" s="28" t="s">
        <v>1974</v>
      </c>
      <c r="F378" s="28" t="b">
        <v>0</v>
      </c>
      <c r="G378" s="28">
        <v>200</v>
      </c>
      <c r="H378" s="28" t="b">
        <v>1</v>
      </c>
      <c r="I378" s="34"/>
    </row>
    <row r="379" spans="1:9" ht="30" x14ac:dyDescent="0.25">
      <c r="A379" s="54" t="s">
        <v>185</v>
      </c>
      <c r="B379" s="43" t="s">
        <v>2098</v>
      </c>
      <c r="C379" s="37"/>
      <c r="D379" s="37"/>
      <c r="E379" s="37" t="s">
        <v>1974</v>
      </c>
      <c r="F379" s="37" t="b">
        <v>0</v>
      </c>
      <c r="G379" s="37">
        <v>200</v>
      </c>
      <c r="H379" s="37" t="b">
        <v>1</v>
      </c>
    </row>
    <row r="380" spans="1:9" ht="30" x14ac:dyDescent="0.25">
      <c r="A380" s="54" t="s">
        <v>185</v>
      </c>
      <c r="B380" s="31" t="s">
        <v>2099</v>
      </c>
      <c r="C380" s="28"/>
      <c r="D380" s="28"/>
      <c r="E380" s="28" t="s">
        <v>1974</v>
      </c>
      <c r="F380" s="28" t="b">
        <v>0</v>
      </c>
      <c r="G380" s="28">
        <v>200</v>
      </c>
      <c r="H380" s="28" t="b">
        <v>1</v>
      </c>
      <c r="I380" s="34"/>
    </row>
    <row r="381" spans="1:9" ht="30" x14ac:dyDescent="0.25">
      <c r="A381" s="54" t="s">
        <v>185</v>
      </c>
      <c r="B381" s="43" t="s">
        <v>2100</v>
      </c>
      <c r="C381" s="37"/>
      <c r="D381" s="37"/>
      <c r="E381" s="37" t="s">
        <v>1974</v>
      </c>
      <c r="F381" s="37" t="b">
        <v>0</v>
      </c>
      <c r="G381" s="37">
        <v>200</v>
      </c>
      <c r="H381" s="37" t="b">
        <v>1</v>
      </c>
    </row>
    <row r="382" spans="1:9" ht="30" x14ac:dyDescent="0.25">
      <c r="A382" s="54" t="s">
        <v>185</v>
      </c>
      <c r="B382" s="31" t="s">
        <v>2101</v>
      </c>
      <c r="C382" s="28"/>
      <c r="D382" s="28"/>
      <c r="E382" s="28" t="s">
        <v>1974</v>
      </c>
      <c r="F382" s="28" t="b">
        <v>0</v>
      </c>
      <c r="G382" s="28">
        <v>200</v>
      </c>
      <c r="H382" s="28" t="b">
        <v>1</v>
      </c>
      <c r="I382" s="34"/>
    </row>
    <row r="383" spans="1:9" ht="30" x14ac:dyDescent="0.25">
      <c r="A383" s="54" t="s">
        <v>185</v>
      </c>
      <c r="B383" s="43" t="s">
        <v>2102</v>
      </c>
      <c r="C383" s="37"/>
      <c r="D383" s="37"/>
      <c r="E383" s="37" t="s">
        <v>1974</v>
      </c>
      <c r="F383" s="37" t="b">
        <v>0</v>
      </c>
      <c r="G383" s="37">
        <v>200</v>
      </c>
      <c r="H383" s="37" t="b">
        <v>1</v>
      </c>
    </row>
    <row r="384" spans="1:9" ht="30" x14ac:dyDescent="0.25">
      <c r="A384" s="54" t="s">
        <v>185</v>
      </c>
      <c r="B384" s="31" t="s">
        <v>2103</v>
      </c>
      <c r="C384" s="28"/>
      <c r="D384" s="28"/>
      <c r="E384" s="28" t="s">
        <v>1974</v>
      </c>
      <c r="F384" s="28" t="b">
        <v>0</v>
      </c>
      <c r="G384" s="28">
        <v>200</v>
      </c>
      <c r="H384" s="28" t="b">
        <v>1</v>
      </c>
      <c r="I384" s="34"/>
    </row>
    <row r="385" spans="1:9" ht="30" x14ac:dyDescent="0.25">
      <c r="A385" s="54" t="s">
        <v>185</v>
      </c>
      <c r="B385" s="43" t="s">
        <v>2104</v>
      </c>
      <c r="C385" s="37"/>
      <c r="D385" s="37"/>
      <c r="E385" s="37" t="s">
        <v>1974</v>
      </c>
      <c r="F385" s="37" t="b">
        <v>0</v>
      </c>
      <c r="G385" s="37">
        <v>200</v>
      </c>
      <c r="H385" s="37" t="b">
        <v>1</v>
      </c>
    </row>
    <row r="386" spans="1:9" ht="30" x14ac:dyDescent="0.25">
      <c r="A386" s="54" t="s">
        <v>185</v>
      </c>
      <c r="B386" s="31" t="s">
        <v>2105</v>
      </c>
      <c r="C386" s="28"/>
      <c r="D386" s="28"/>
      <c r="E386" s="28" t="s">
        <v>1974</v>
      </c>
      <c r="F386" s="28" t="b">
        <v>0</v>
      </c>
      <c r="G386" s="28">
        <v>200</v>
      </c>
      <c r="H386" s="28" t="b">
        <v>1</v>
      </c>
      <c r="I386" s="34"/>
    </row>
    <row r="387" spans="1:9" ht="30" x14ac:dyDescent="0.25">
      <c r="A387" s="54" t="s">
        <v>185</v>
      </c>
      <c r="B387" s="43" t="s">
        <v>2106</v>
      </c>
      <c r="C387" s="37"/>
      <c r="D387" s="37"/>
      <c r="E387" s="37" t="s">
        <v>1974</v>
      </c>
      <c r="F387" s="37" t="b">
        <v>0</v>
      </c>
      <c r="G387" s="37">
        <v>200</v>
      </c>
      <c r="H387" s="37" t="b">
        <v>1</v>
      </c>
    </row>
    <row r="388" spans="1:9" ht="30" x14ac:dyDescent="0.25">
      <c r="A388" s="54" t="s">
        <v>185</v>
      </c>
      <c r="B388" s="31" t="s">
        <v>2107</v>
      </c>
      <c r="C388" s="28"/>
      <c r="D388" s="28"/>
      <c r="E388" s="28" t="s">
        <v>1974</v>
      </c>
      <c r="F388" s="28" t="b">
        <v>0</v>
      </c>
      <c r="G388" s="28">
        <v>200</v>
      </c>
      <c r="H388" s="28" t="b">
        <v>1</v>
      </c>
      <c r="I388" s="34"/>
    </row>
    <row r="389" spans="1:9" ht="30" x14ac:dyDescent="0.25">
      <c r="A389" s="54" t="s">
        <v>185</v>
      </c>
      <c r="B389" s="43" t="s">
        <v>2108</v>
      </c>
      <c r="C389" s="37"/>
      <c r="D389" s="37"/>
      <c r="E389" s="37" t="s">
        <v>1974</v>
      </c>
      <c r="F389" s="37" t="b">
        <v>0</v>
      </c>
      <c r="G389" s="37">
        <v>200</v>
      </c>
      <c r="H389" s="37" t="b">
        <v>1</v>
      </c>
    </row>
    <row r="390" spans="1:9" ht="30" x14ac:dyDescent="0.25">
      <c r="A390" s="54" t="s">
        <v>185</v>
      </c>
      <c r="B390" s="31" t="s">
        <v>2109</v>
      </c>
      <c r="C390" s="28"/>
      <c r="D390" s="28"/>
      <c r="E390" s="28" t="s">
        <v>1974</v>
      </c>
      <c r="F390" s="28" t="b">
        <v>0</v>
      </c>
      <c r="G390" s="28">
        <v>200</v>
      </c>
      <c r="H390" s="28" t="b">
        <v>1</v>
      </c>
      <c r="I390" s="34"/>
    </row>
    <row r="391" spans="1:9" ht="30" x14ac:dyDescent="0.25">
      <c r="A391" s="54" t="s">
        <v>185</v>
      </c>
      <c r="B391" s="43" t="s">
        <v>2110</v>
      </c>
      <c r="C391" s="37"/>
      <c r="D391" s="37"/>
      <c r="E391" s="37" t="s">
        <v>1974</v>
      </c>
      <c r="F391" s="37" t="b">
        <v>0</v>
      </c>
      <c r="G391" s="37">
        <v>200</v>
      </c>
      <c r="H391" s="37" t="b">
        <v>1</v>
      </c>
    </row>
    <row r="392" spans="1:9" ht="30" x14ac:dyDescent="0.25">
      <c r="A392" s="54" t="s">
        <v>185</v>
      </c>
      <c r="B392" s="31" t="s">
        <v>233</v>
      </c>
      <c r="C392" s="28" t="s">
        <v>2111</v>
      </c>
      <c r="D392" s="28"/>
      <c r="E392" s="28" t="s">
        <v>1974</v>
      </c>
      <c r="F392" s="28" t="b">
        <v>0</v>
      </c>
      <c r="G392" s="28">
        <v>200</v>
      </c>
      <c r="H392" s="28" t="b">
        <v>1</v>
      </c>
      <c r="I392" s="34"/>
    </row>
    <row r="393" spans="1:9" ht="30" x14ac:dyDescent="0.25">
      <c r="A393" s="54" t="s">
        <v>185</v>
      </c>
      <c r="B393" s="43" t="s">
        <v>488</v>
      </c>
      <c r="C393" s="37" t="s">
        <v>2112</v>
      </c>
      <c r="D393" s="37"/>
      <c r="E393" s="37" t="s">
        <v>1974</v>
      </c>
      <c r="F393" s="37" t="b">
        <v>0</v>
      </c>
      <c r="G393" s="37">
        <v>200</v>
      </c>
      <c r="H393" s="37" t="b">
        <v>1</v>
      </c>
    </row>
    <row r="394" spans="1:9" ht="30" x14ac:dyDescent="0.25">
      <c r="A394" s="54" t="s">
        <v>185</v>
      </c>
      <c r="B394" s="31" t="s">
        <v>2113</v>
      </c>
      <c r="C394" s="28"/>
      <c r="D394" s="28"/>
      <c r="E394" s="28" t="s">
        <v>2012</v>
      </c>
      <c r="F394" s="28" t="b">
        <v>0</v>
      </c>
      <c r="G394" s="28"/>
      <c r="H394" s="28" t="b">
        <v>1</v>
      </c>
      <c r="I394" s="34"/>
    </row>
    <row r="395" spans="1:9" ht="30" x14ac:dyDescent="0.25">
      <c r="A395" s="54" t="s">
        <v>185</v>
      </c>
      <c r="B395" s="43" t="s">
        <v>2114</v>
      </c>
      <c r="C395" s="37"/>
      <c r="D395" s="37"/>
      <c r="E395" s="37" t="s">
        <v>2012</v>
      </c>
      <c r="F395" s="37" t="b">
        <v>0</v>
      </c>
      <c r="G395" s="37"/>
      <c r="H395" s="37" t="b">
        <v>1</v>
      </c>
    </row>
    <row r="396" spans="1:9" ht="30" x14ac:dyDescent="0.25">
      <c r="A396" s="54" t="s">
        <v>185</v>
      </c>
      <c r="B396" s="31" t="s">
        <v>2115</v>
      </c>
      <c r="C396" s="28"/>
      <c r="D396" s="28"/>
      <c r="E396" s="28" t="s">
        <v>2012</v>
      </c>
      <c r="F396" s="28" t="b">
        <v>0</v>
      </c>
      <c r="G396" s="28"/>
      <c r="H396" s="28" t="b">
        <v>1</v>
      </c>
      <c r="I396" s="34"/>
    </row>
    <row r="397" spans="1:9" ht="30" x14ac:dyDescent="0.25">
      <c r="A397" s="54" t="s">
        <v>185</v>
      </c>
      <c r="B397" s="43" t="s">
        <v>2116</v>
      </c>
      <c r="C397" s="37"/>
      <c r="D397" s="37"/>
      <c r="E397" s="37" t="s">
        <v>2012</v>
      </c>
      <c r="F397" s="37" t="b">
        <v>0</v>
      </c>
      <c r="G397" s="37"/>
      <c r="H397" s="37" t="b">
        <v>1</v>
      </c>
    </row>
    <row r="398" spans="1:9" ht="30" x14ac:dyDescent="0.25">
      <c r="A398" s="54" t="s">
        <v>185</v>
      </c>
      <c r="B398" s="31" t="s">
        <v>2117</v>
      </c>
      <c r="C398" s="28"/>
      <c r="D398" s="28"/>
      <c r="E398" s="28" t="s">
        <v>2012</v>
      </c>
      <c r="F398" s="28" t="b">
        <v>0</v>
      </c>
      <c r="G398" s="28"/>
      <c r="H398" s="28" t="b">
        <v>1</v>
      </c>
      <c r="I398" s="34"/>
    </row>
    <row r="399" spans="1:9" ht="30" x14ac:dyDescent="0.25">
      <c r="A399" s="54" t="s">
        <v>185</v>
      </c>
      <c r="B399" s="43" t="s">
        <v>2118</v>
      </c>
      <c r="C399" s="37"/>
      <c r="D399" s="37"/>
      <c r="E399" s="37" t="s">
        <v>2012</v>
      </c>
      <c r="F399" s="37" t="b">
        <v>0</v>
      </c>
      <c r="G399" s="37"/>
      <c r="H399" s="37" t="b">
        <v>1</v>
      </c>
    </row>
    <row r="400" spans="1:9" ht="30" x14ac:dyDescent="0.25">
      <c r="A400" s="54" t="s">
        <v>185</v>
      </c>
      <c r="B400" s="31" t="s">
        <v>2119</v>
      </c>
      <c r="C400" s="28"/>
      <c r="D400" s="28"/>
      <c r="E400" s="28" t="s">
        <v>2012</v>
      </c>
      <c r="F400" s="28" t="b">
        <v>0</v>
      </c>
      <c r="G400" s="28"/>
      <c r="H400" s="28" t="b">
        <v>1</v>
      </c>
      <c r="I400" s="34"/>
    </row>
    <row r="401" spans="1:9" ht="30" x14ac:dyDescent="0.25">
      <c r="A401" s="54" t="s">
        <v>185</v>
      </c>
      <c r="B401" s="43" t="s">
        <v>2120</v>
      </c>
      <c r="C401" s="37"/>
      <c r="D401" s="37"/>
      <c r="E401" s="37" t="s">
        <v>2012</v>
      </c>
      <c r="F401" s="37" t="b">
        <v>0</v>
      </c>
      <c r="G401" s="37"/>
      <c r="H401" s="37" t="b">
        <v>1</v>
      </c>
    </row>
    <row r="402" spans="1:9" ht="30" x14ac:dyDescent="0.25">
      <c r="A402" s="54" t="s">
        <v>185</v>
      </c>
      <c r="B402" s="31" t="s">
        <v>2121</v>
      </c>
      <c r="C402" s="28"/>
      <c r="D402" s="28"/>
      <c r="E402" s="28" t="s">
        <v>2012</v>
      </c>
      <c r="F402" s="28" t="b">
        <v>0</v>
      </c>
      <c r="G402" s="28"/>
      <c r="H402" s="28" t="b">
        <v>1</v>
      </c>
      <c r="I402" s="34"/>
    </row>
    <row r="403" spans="1:9" ht="30" x14ac:dyDescent="0.25">
      <c r="A403" s="54" t="s">
        <v>185</v>
      </c>
      <c r="B403" s="43" t="s">
        <v>2122</v>
      </c>
      <c r="C403" s="37"/>
      <c r="D403" s="37"/>
      <c r="E403" s="37" t="s">
        <v>2012</v>
      </c>
      <c r="F403" s="37" t="b">
        <v>0</v>
      </c>
      <c r="G403" s="37"/>
      <c r="H403" s="37" t="b">
        <v>1</v>
      </c>
    </row>
    <row r="404" spans="1:9" ht="30" x14ac:dyDescent="0.25">
      <c r="A404" s="54" t="s">
        <v>185</v>
      </c>
      <c r="B404" s="31" t="s">
        <v>647</v>
      </c>
      <c r="C404" s="28" t="s">
        <v>2010</v>
      </c>
      <c r="D404" s="28"/>
      <c r="E404" s="28" t="s">
        <v>1974</v>
      </c>
      <c r="F404" s="28" t="b">
        <v>0</v>
      </c>
      <c r="G404" s="28">
        <v>200</v>
      </c>
      <c r="H404" s="28" t="b">
        <v>1</v>
      </c>
      <c r="I404" s="34"/>
    </row>
    <row r="405" spans="1:9" ht="30" x14ac:dyDescent="0.25">
      <c r="A405" s="54" t="s">
        <v>185</v>
      </c>
      <c r="B405" s="43" t="s">
        <v>2011</v>
      </c>
      <c r="C405" s="37"/>
      <c r="D405" s="37"/>
      <c r="E405" s="37" t="s">
        <v>2012</v>
      </c>
      <c r="F405" s="37" t="b">
        <v>0</v>
      </c>
      <c r="G405" s="37"/>
      <c r="H405" s="37" t="b">
        <v>1</v>
      </c>
    </row>
    <row r="406" spans="1:9" ht="30" x14ac:dyDescent="0.25">
      <c r="A406" s="54" t="s">
        <v>185</v>
      </c>
      <c r="B406" s="31" t="s">
        <v>2013</v>
      </c>
      <c r="C406" s="28"/>
      <c r="D406" s="28"/>
      <c r="E406" s="28" t="s">
        <v>2012</v>
      </c>
      <c r="F406" s="28" t="b">
        <v>0</v>
      </c>
      <c r="G406" s="28"/>
      <c r="H406" s="28" t="b">
        <v>1</v>
      </c>
      <c r="I406" s="34"/>
    </row>
    <row r="407" spans="1:9" ht="30" x14ac:dyDescent="0.25">
      <c r="A407" s="54" t="s">
        <v>185</v>
      </c>
      <c r="B407" s="43" t="s">
        <v>2033</v>
      </c>
      <c r="C407" s="37"/>
      <c r="D407" s="37"/>
      <c r="E407" s="37" t="s">
        <v>2012</v>
      </c>
      <c r="F407" s="37" t="b">
        <v>0</v>
      </c>
      <c r="G407" s="37"/>
      <c r="H407" s="37" t="b">
        <v>1</v>
      </c>
    </row>
    <row r="408" spans="1:9" ht="30" x14ac:dyDescent="0.25">
      <c r="A408" s="54" t="s">
        <v>185</v>
      </c>
      <c r="B408" s="31" t="s">
        <v>2123</v>
      </c>
      <c r="C408" s="28"/>
      <c r="D408" s="28"/>
      <c r="E408" s="28" t="s">
        <v>1974</v>
      </c>
      <c r="F408" s="28" t="b">
        <v>0</v>
      </c>
      <c r="G408" s="28">
        <v>404</v>
      </c>
      <c r="H408" s="28" t="b">
        <v>0</v>
      </c>
      <c r="I408" s="34"/>
    </row>
    <row r="409" spans="1:9" ht="30" x14ac:dyDescent="0.25">
      <c r="A409" s="54" t="s">
        <v>185</v>
      </c>
      <c r="B409" s="43" t="s">
        <v>2123</v>
      </c>
      <c r="C409" s="37" t="s">
        <v>2124</v>
      </c>
      <c r="D409" s="37"/>
      <c r="E409" s="37" t="s">
        <v>1974</v>
      </c>
      <c r="F409" s="37" t="b">
        <v>0</v>
      </c>
      <c r="G409" s="37">
        <v>404</v>
      </c>
      <c r="H409" s="37" t="b">
        <v>0</v>
      </c>
    </row>
    <row r="410" spans="1:9" ht="30" x14ac:dyDescent="0.25">
      <c r="A410" s="54" t="s">
        <v>185</v>
      </c>
      <c r="B410" s="31" t="s">
        <v>641</v>
      </c>
      <c r="C410" s="28" t="s">
        <v>2034</v>
      </c>
      <c r="D410" s="28"/>
      <c r="E410" s="28" t="s">
        <v>1974</v>
      </c>
      <c r="F410" s="28" t="b">
        <v>0</v>
      </c>
      <c r="G410" s="28">
        <v>200</v>
      </c>
      <c r="H410" s="28" t="b">
        <v>1</v>
      </c>
      <c r="I410" s="34"/>
    </row>
    <row r="411" spans="1:9" ht="30" x14ac:dyDescent="0.25">
      <c r="A411" s="54" t="s">
        <v>185</v>
      </c>
      <c r="B411" s="43" t="s">
        <v>2015</v>
      </c>
      <c r="C411" s="37" t="s">
        <v>2016</v>
      </c>
      <c r="D411" s="37"/>
      <c r="E411" s="37" t="s">
        <v>1974</v>
      </c>
      <c r="F411" s="37" t="b">
        <v>0</v>
      </c>
      <c r="G411" s="37">
        <v>404</v>
      </c>
      <c r="H411" s="37" t="b">
        <v>0</v>
      </c>
    </row>
    <row r="412" spans="1:9" ht="30" x14ac:dyDescent="0.25">
      <c r="A412" s="54" t="s">
        <v>185</v>
      </c>
      <c r="B412" s="31" t="s">
        <v>2015</v>
      </c>
      <c r="C412" s="28" t="s">
        <v>2017</v>
      </c>
      <c r="D412" s="28"/>
      <c r="E412" s="28" t="s">
        <v>1974</v>
      </c>
      <c r="F412" s="28" t="b">
        <v>0</v>
      </c>
      <c r="G412" s="28">
        <v>404</v>
      </c>
      <c r="H412" s="28" t="b">
        <v>0</v>
      </c>
      <c r="I412" s="34"/>
    </row>
    <row r="413" spans="1:9" ht="30" x14ac:dyDescent="0.25">
      <c r="A413" s="54" t="s">
        <v>201</v>
      </c>
      <c r="B413" s="43" t="s">
        <v>127</v>
      </c>
      <c r="C413" s="37" t="s">
        <v>904</v>
      </c>
      <c r="D413" s="37"/>
      <c r="E413" s="37" t="s">
        <v>1974</v>
      </c>
      <c r="F413" s="37" t="b">
        <v>0</v>
      </c>
      <c r="G413" s="37">
        <v>200</v>
      </c>
      <c r="H413" s="37" t="b">
        <v>1</v>
      </c>
    </row>
    <row r="414" spans="1:9" ht="30" x14ac:dyDescent="0.25">
      <c r="A414" s="54" t="s">
        <v>201</v>
      </c>
      <c r="B414" s="31" t="s">
        <v>185</v>
      </c>
      <c r="C414" s="28" t="s">
        <v>2125</v>
      </c>
      <c r="D414" s="28"/>
      <c r="E414" s="28" t="s">
        <v>1974</v>
      </c>
      <c r="F414" s="28" t="b">
        <v>0</v>
      </c>
      <c r="G414" s="28">
        <v>200</v>
      </c>
      <c r="H414" s="28" t="b">
        <v>1</v>
      </c>
      <c r="I414" s="34"/>
    </row>
    <row r="415" spans="1:9" ht="30" x14ac:dyDescent="0.25">
      <c r="A415" s="54" t="s">
        <v>201</v>
      </c>
      <c r="B415" s="43" t="s">
        <v>485</v>
      </c>
      <c r="C415" s="37" t="s">
        <v>2126</v>
      </c>
      <c r="D415" s="37"/>
      <c r="E415" s="37" t="s">
        <v>1974</v>
      </c>
      <c r="F415" s="37" t="b">
        <v>0</v>
      </c>
      <c r="G415" s="37">
        <v>200</v>
      </c>
      <c r="H415" s="37" t="b">
        <v>1</v>
      </c>
    </row>
    <row r="416" spans="1:9" ht="30" x14ac:dyDescent="0.25">
      <c r="A416" s="54" t="s">
        <v>201</v>
      </c>
      <c r="B416" s="31" t="s">
        <v>488</v>
      </c>
      <c r="C416" s="28" t="s">
        <v>2127</v>
      </c>
      <c r="D416" s="28"/>
      <c r="E416" s="28" t="s">
        <v>1974</v>
      </c>
      <c r="F416" s="28" t="b">
        <v>0</v>
      </c>
      <c r="G416" s="28">
        <v>200</v>
      </c>
      <c r="H416" s="28" t="b">
        <v>1</v>
      </c>
      <c r="I416" s="34"/>
    </row>
    <row r="417" spans="1:9" ht="30" x14ac:dyDescent="0.25">
      <c r="A417" s="54" t="s">
        <v>201</v>
      </c>
      <c r="B417" s="43" t="s">
        <v>193</v>
      </c>
      <c r="C417" s="37" t="s">
        <v>2128</v>
      </c>
      <c r="D417" s="37"/>
      <c r="E417" s="37" t="s">
        <v>1974</v>
      </c>
      <c r="F417" s="37" t="b">
        <v>0</v>
      </c>
      <c r="G417" s="37">
        <v>200</v>
      </c>
      <c r="H417" s="37" t="b">
        <v>1</v>
      </c>
    </row>
    <row r="418" spans="1:9" ht="30" x14ac:dyDescent="0.25">
      <c r="A418" s="54" t="s">
        <v>201</v>
      </c>
      <c r="B418" s="31" t="s">
        <v>241</v>
      </c>
      <c r="C418" s="28" t="s">
        <v>243</v>
      </c>
      <c r="D418" s="28"/>
      <c r="E418" s="28" t="s">
        <v>1974</v>
      </c>
      <c r="F418" s="28" t="b">
        <v>0</v>
      </c>
      <c r="G418" s="28">
        <v>200</v>
      </c>
      <c r="H418" s="28" t="b">
        <v>1</v>
      </c>
      <c r="I418" s="34"/>
    </row>
    <row r="419" spans="1:9" ht="30" x14ac:dyDescent="0.25">
      <c r="A419" s="54" t="s">
        <v>201</v>
      </c>
      <c r="B419" s="43" t="s">
        <v>233</v>
      </c>
      <c r="C419" s="37" t="s">
        <v>235</v>
      </c>
      <c r="D419" s="37"/>
      <c r="E419" s="37" t="s">
        <v>1974</v>
      </c>
      <c r="F419" s="37" t="b">
        <v>0</v>
      </c>
      <c r="G419" s="37">
        <v>200</v>
      </c>
      <c r="H419" s="37" t="b">
        <v>1</v>
      </c>
    </row>
    <row r="420" spans="1:9" ht="30" x14ac:dyDescent="0.25">
      <c r="A420" s="54" t="s">
        <v>201</v>
      </c>
      <c r="B420" s="31" t="s">
        <v>127</v>
      </c>
      <c r="C420" s="28" t="s">
        <v>904</v>
      </c>
      <c r="D420" s="28"/>
      <c r="E420" s="28" t="s">
        <v>1974</v>
      </c>
      <c r="F420" s="28" t="b">
        <v>0</v>
      </c>
      <c r="G420" s="28">
        <v>200</v>
      </c>
      <c r="H420" s="28" t="b">
        <v>1</v>
      </c>
      <c r="I420" s="34"/>
    </row>
    <row r="421" spans="1:9" ht="30" x14ac:dyDescent="0.25">
      <c r="A421" s="54" t="s">
        <v>201</v>
      </c>
      <c r="B421" s="43" t="s">
        <v>185</v>
      </c>
      <c r="C421" s="37" t="s">
        <v>2125</v>
      </c>
      <c r="D421" s="37"/>
      <c r="E421" s="37" t="s">
        <v>1974</v>
      </c>
      <c r="F421" s="37" t="b">
        <v>0</v>
      </c>
      <c r="G421" s="37">
        <v>200</v>
      </c>
      <c r="H421" s="37" t="b">
        <v>1</v>
      </c>
    </row>
    <row r="422" spans="1:9" ht="30" x14ac:dyDescent="0.25">
      <c r="A422" s="54" t="s">
        <v>201</v>
      </c>
      <c r="B422" s="31" t="s">
        <v>485</v>
      </c>
      <c r="C422" s="28" t="s">
        <v>2126</v>
      </c>
      <c r="D422" s="28"/>
      <c r="E422" s="28" t="s">
        <v>1974</v>
      </c>
      <c r="F422" s="28" t="b">
        <v>0</v>
      </c>
      <c r="G422" s="28">
        <v>200</v>
      </c>
      <c r="H422" s="28" t="b">
        <v>1</v>
      </c>
      <c r="I422" s="34"/>
    </row>
    <row r="423" spans="1:9" ht="30" x14ac:dyDescent="0.25">
      <c r="A423" s="54" t="s">
        <v>201</v>
      </c>
      <c r="B423" s="43" t="s">
        <v>488</v>
      </c>
      <c r="C423" s="37" t="s">
        <v>2127</v>
      </c>
      <c r="D423" s="37"/>
      <c r="E423" s="37" t="s">
        <v>1974</v>
      </c>
      <c r="F423" s="37" t="b">
        <v>0</v>
      </c>
      <c r="G423" s="37">
        <v>200</v>
      </c>
      <c r="H423" s="37" t="b">
        <v>1</v>
      </c>
    </row>
    <row r="424" spans="1:9" ht="30" x14ac:dyDescent="0.25">
      <c r="A424" s="54" t="s">
        <v>201</v>
      </c>
      <c r="B424" s="31" t="s">
        <v>193</v>
      </c>
      <c r="C424" s="28" t="s">
        <v>2128</v>
      </c>
      <c r="D424" s="28"/>
      <c r="E424" s="28" t="s">
        <v>1974</v>
      </c>
      <c r="F424" s="28" t="b">
        <v>0</v>
      </c>
      <c r="G424" s="28">
        <v>200</v>
      </c>
      <c r="H424" s="28" t="b">
        <v>1</v>
      </c>
      <c r="I424" s="34"/>
    </row>
    <row r="425" spans="1:9" ht="30" x14ac:dyDescent="0.25">
      <c r="A425" s="54" t="s">
        <v>201</v>
      </c>
      <c r="B425" s="43" t="s">
        <v>241</v>
      </c>
      <c r="C425" s="37" t="s">
        <v>243</v>
      </c>
      <c r="D425" s="37"/>
      <c r="E425" s="37" t="s">
        <v>1974</v>
      </c>
      <c r="F425" s="37" t="b">
        <v>0</v>
      </c>
      <c r="G425" s="37">
        <v>200</v>
      </c>
      <c r="H425" s="37" t="b">
        <v>1</v>
      </c>
    </row>
    <row r="426" spans="1:9" ht="30" x14ac:dyDescent="0.25">
      <c r="A426" s="54" t="s">
        <v>201</v>
      </c>
      <c r="B426" s="31" t="s">
        <v>233</v>
      </c>
      <c r="C426" s="28" t="s">
        <v>235</v>
      </c>
      <c r="D426" s="28"/>
      <c r="E426" s="28" t="s">
        <v>1974</v>
      </c>
      <c r="F426" s="28" t="b">
        <v>0</v>
      </c>
      <c r="G426" s="28">
        <v>200</v>
      </c>
      <c r="H426" s="28" t="b">
        <v>1</v>
      </c>
      <c r="I426" s="34"/>
    </row>
    <row r="427" spans="1:9" ht="30" x14ac:dyDescent="0.25">
      <c r="A427" s="54" t="s">
        <v>201</v>
      </c>
      <c r="B427" s="43" t="s">
        <v>185</v>
      </c>
      <c r="C427" s="37" t="s">
        <v>2129</v>
      </c>
      <c r="D427" s="37"/>
      <c r="E427" s="37" t="s">
        <v>1974</v>
      </c>
      <c r="F427" s="37" t="b">
        <v>0</v>
      </c>
      <c r="G427" s="37">
        <v>200</v>
      </c>
      <c r="H427" s="37" t="b">
        <v>1</v>
      </c>
    </row>
    <row r="428" spans="1:9" ht="30" x14ac:dyDescent="0.25">
      <c r="A428" s="54" t="s">
        <v>201</v>
      </c>
      <c r="B428" s="31" t="s">
        <v>647</v>
      </c>
      <c r="C428" s="28" t="s">
        <v>2010</v>
      </c>
      <c r="D428" s="28"/>
      <c r="E428" s="28" t="s">
        <v>1974</v>
      </c>
      <c r="F428" s="28" t="b">
        <v>0</v>
      </c>
      <c r="G428" s="28">
        <v>200</v>
      </c>
      <c r="H428" s="28" t="b">
        <v>1</v>
      </c>
      <c r="I428" s="34"/>
    </row>
    <row r="429" spans="1:9" ht="30" x14ac:dyDescent="0.25">
      <c r="A429" s="54" t="s">
        <v>201</v>
      </c>
      <c r="B429" s="43" t="s">
        <v>2011</v>
      </c>
      <c r="C429" s="37"/>
      <c r="D429" s="37"/>
      <c r="E429" s="37" t="s">
        <v>2012</v>
      </c>
      <c r="F429" s="37" t="b">
        <v>0</v>
      </c>
      <c r="G429" s="37"/>
      <c r="H429" s="37" t="b">
        <v>1</v>
      </c>
    </row>
    <row r="430" spans="1:9" ht="30" x14ac:dyDescent="0.25">
      <c r="A430" s="54" t="s">
        <v>201</v>
      </c>
      <c r="B430" s="31" t="s">
        <v>2013</v>
      </c>
      <c r="C430" s="28"/>
      <c r="D430" s="28"/>
      <c r="E430" s="28" t="s">
        <v>2012</v>
      </c>
      <c r="F430" s="28" t="b">
        <v>0</v>
      </c>
      <c r="G430" s="28"/>
      <c r="H430" s="28" t="b">
        <v>1</v>
      </c>
      <c r="I430" s="34"/>
    </row>
    <row r="431" spans="1:9" ht="30" x14ac:dyDescent="0.25">
      <c r="A431" s="54" t="s">
        <v>201</v>
      </c>
      <c r="B431" s="43" t="s">
        <v>641</v>
      </c>
      <c r="C431" s="37" t="s">
        <v>2014</v>
      </c>
      <c r="D431" s="37"/>
      <c r="E431" s="37" t="s">
        <v>1974</v>
      </c>
      <c r="F431" s="37" t="b">
        <v>0</v>
      </c>
      <c r="G431" s="37">
        <v>200</v>
      </c>
      <c r="H431" s="37" t="b">
        <v>1</v>
      </c>
    </row>
    <row r="432" spans="1:9" ht="30" x14ac:dyDescent="0.25">
      <c r="A432" s="54" t="s">
        <v>201</v>
      </c>
      <c r="B432" s="31" t="s">
        <v>2015</v>
      </c>
      <c r="C432" s="28" t="s">
        <v>2016</v>
      </c>
      <c r="D432" s="28"/>
      <c r="E432" s="28" t="s">
        <v>1974</v>
      </c>
      <c r="F432" s="28" t="b">
        <v>0</v>
      </c>
      <c r="G432" s="28">
        <v>404</v>
      </c>
      <c r="H432" s="28" t="b">
        <v>0</v>
      </c>
      <c r="I432" s="34"/>
    </row>
    <row r="433" spans="1:9" ht="30" x14ac:dyDescent="0.25">
      <c r="A433" s="54" t="s">
        <v>201</v>
      </c>
      <c r="B433" s="43" t="s">
        <v>2015</v>
      </c>
      <c r="C433" s="37" t="s">
        <v>2017</v>
      </c>
      <c r="D433" s="37"/>
      <c r="E433" s="37" t="s">
        <v>1974</v>
      </c>
      <c r="F433" s="37" t="b">
        <v>0</v>
      </c>
      <c r="G433" s="37">
        <v>404</v>
      </c>
      <c r="H433" s="37" t="b">
        <v>0</v>
      </c>
    </row>
    <row r="434" spans="1:9" ht="30" x14ac:dyDescent="0.25">
      <c r="A434" s="54" t="s">
        <v>193</v>
      </c>
      <c r="B434" s="31" t="s">
        <v>127</v>
      </c>
      <c r="C434" s="28" t="s">
        <v>904</v>
      </c>
      <c r="D434" s="28"/>
      <c r="E434" s="28" t="s">
        <v>1974</v>
      </c>
      <c r="F434" s="28" t="b">
        <v>0</v>
      </c>
      <c r="G434" s="28">
        <v>200</v>
      </c>
      <c r="H434" s="28" t="b">
        <v>1</v>
      </c>
      <c r="I434" s="34"/>
    </row>
    <row r="435" spans="1:9" ht="30" x14ac:dyDescent="0.25">
      <c r="A435" s="54" t="s">
        <v>193</v>
      </c>
      <c r="B435" s="43" t="s">
        <v>185</v>
      </c>
      <c r="C435" s="37" t="s">
        <v>2125</v>
      </c>
      <c r="D435" s="37"/>
      <c r="E435" s="37" t="s">
        <v>1974</v>
      </c>
      <c r="F435" s="37" t="b">
        <v>0</v>
      </c>
      <c r="G435" s="37">
        <v>200</v>
      </c>
      <c r="H435" s="37" t="b">
        <v>1</v>
      </c>
    </row>
    <row r="436" spans="1:9" ht="30" x14ac:dyDescent="0.25">
      <c r="A436" s="54" t="s">
        <v>193</v>
      </c>
      <c r="B436" s="31" t="s">
        <v>485</v>
      </c>
      <c r="C436" s="28" t="s">
        <v>2126</v>
      </c>
      <c r="D436" s="28"/>
      <c r="E436" s="28" t="s">
        <v>1974</v>
      </c>
      <c r="F436" s="28" t="b">
        <v>0</v>
      </c>
      <c r="G436" s="28">
        <v>200</v>
      </c>
      <c r="H436" s="28" t="b">
        <v>1</v>
      </c>
      <c r="I436" s="34"/>
    </row>
    <row r="437" spans="1:9" ht="30" x14ac:dyDescent="0.25">
      <c r="A437" s="54" t="s">
        <v>193</v>
      </c>
      <c r="B437" s="43" t="s">
        <v>488</v>
      </c>
      <c r="C437" s="37" t="s">
        <v>2127</v>
      </c>
      <c r="D437" s="37"/>
      <c r="E437" s="37" t="s">
        <v>1974</v>
      </c>
      <c r="F437" s="37" t="b">
        <v>0</v>
      </c>
      <c r="G437" s="37">
        <v>200</v>
      </c>
      <c r="H437" s="37" t="b">
        <v>1</v>
      </c>
    </row>
    <row r="438" spans="1:9" ht="30" x14ac:dyDescent="0.25">
      <c r="A438" s="54" t="s">
        <v>193</v>
      </c>
      <c r="B438" s="31" t="s">
        <v>193</v>
      </c>
      <c r="C438" s="28" t="s">
        <v>2128</v>
      </c>
      <c r="D438" s="28"/>
      <c r="E438" s="28" t="s">
        <v>1974</v>
      </c>
      <c r="F438" s="28" t="b">
        <v>0</v>
      </c>
      <c r="G438" s="28">
        <v>200</v>
      </c>
      <c r="H438" s="28" t="b">
        <v>1</v>
      </c>
      <c r="I438" s="34"/>
    </row>
    <row r="439" spans="1:9" ht="30" x14ac:dyDescent="0.25">
      <c r="A439" s="54" t="s">
        <v>193</v>
      </c>
      <c r="B439" s="43" t="s">
        <v>241</v>
      </c>
      <c r="C439" s="37" t="s">
        <v>243</v>
      </c>
      <c r="D439" s="37"/>
      <c r="E439" s="37" t="s">
        <v>1974</v>
      </c>
      <c r="F439" s="37" t="b">
        <v>0</v>
      </c>
      <c r="G439" s="37">
        <v>200</v>
      </c>
      <c r="H439" s="37" t="b">
        <v>1</v>
      </c>
    </row>
    <row r="440" spans="1:9" ht="30" x14ac:dyDescent="0.25">
      <c r="A440" s="54" t="s">
        <v>193</v>
      </c>
      <c r="B440" s="31" t="s">
        <v>233</v>
      </c>
      <c r="C440" s="28" t="s">
        <v>235</v>
      </c>
      <c r="D440" s="28"/>
      <c r="E440" s="28" t="s">
        <v>1974</v>
      </c>
      <c r="F440" s="28" t="b">
        <v>0</v>
      </c>
      <c r="G440" s="28">
        <v>200</v>
      </c>
      <c r="H440" s="28" t="b">
        <v>1</v>
      </c>
      <c r="I440" s="34"/>
    </row>
    <row r="441" spans="1:9" ht="30" x14ac:dyDescent="0.25">
      <c r="A441" s="54" t="s">
        <v>193</v>
      </c>
      <c r="B441" s="43" t="s">
        <v>127</v>
      </c>
      <c r="C441" s="37" t="s">
        <v>904</v>
      </c>
      <c r="D441" s="37"/>
      <c r="E441" s="37" t="s">
        <v>1974</v>
      </c>
      <c r="F441" s="37" t="b">
        <v>0</v>
      </c>
      <c r="G441" s="37">
        <v>200</v>
      </c>
      <c r="H441" s="37" t="b">
        <v>1</v>
      </c>
    </row>
    <row r="442" spans="1:9" ht="30" x14ac:dyDescent="0.25">
      <c r="A442" s="54" t="s">
        <v>193</v>
      </c>
      <c r="B442" s="31" t="s">
        <v>185</v>
      </c>
      <c r="C442" s="28" t="s">
        <v>2125</v>
      </c>
      <c r="D442" s="28"/>
      <c r="E442" s="28" t="s">
        <v>1974</v>
      </c>
      <c r="F442" s="28" t="b">
        <v>0</v>
      </c>
      <c r="G442" s="28">
        <v>200</v>
      </c>
      <c r="H442" s="28" t="b">
        <v>1</v>
      </c>
      <c r="I442" s="34"/>
    </row>
    <row r="443" spans="1:9" ht="30" x14ac:dyDescent="0.25">
      <c r="A443" s="54" t="s">
        <v>193</v>
      </c>
      <c r="B443" s="43" t="s">
        <v>485</v>
      </c>
      <c r="C443" s="37" t="s">
        <v>2126</v>
      </c>
      <c r="D443" s="37"/>
      <c r="E443" s="37" t="s">
        <v>1974</v>
      </c>
      <c r="F443" s="37" t="b">
        <v>0</v>
      </c>
      <c r="G443" s="37">
        <v>200</v>
      </c>
      <c r="H443" s="37" t="b">
        <v>1</v>
      </c>
    </row>
    <row r="444" spans="1:9" ht="30" x14ac:dyDescent="0.25">
      <c r="A444" s="54" t="s">
        <v>193</v>
      </c>
      <c r="B444" s="31" t="s">
        <v>488</v>
      </c>
      <c r="C444" s="28" t="s">
        <v>2127</v>
      </c>
      <c r="D444" s="28"/>
      <c r="E444" s="28" t="s">
        <v>1974</v>
      </c>
      <c r="F444" s="28" t="b">
        <v>0</v>
      </c>
      <c r="G444" s="28">
        <v>200</v>
      </c>
      <c r="H444" s="28" t="b">
        <v>1</v>
      </c>
      <c r="I444" s="34"/>
    </row>
    <row r="445" spans="1:9" ht="30" x14ac:dyDescent="0.25">
      <c r="A445" s="54" t="s">
        <v>193</v>
      </c>
      <c r="B445" s="43" t="s">
        <v>193</v>
      </c>
      <c r="C445" s="37" t="s">
        <v>2128</v>
      </c>
      <c r="D445" s="37"/>
      <c r="E445" s="37" t="s">
        <v>1974</v>
      </c>
      <c r="F445" s="37" t="b">
        <v>0</v>
      </c>
      <c r="G445" s="37">
        <v>200</v>
      </c>
      <c r="H445" s="37" t="b">
        <v>1</v>
      </c>
    </row>
    <row r="446" spans="1:9" ht="30" x14ac:dyDescent="0.25">
      <c r="A446" s="54" t="s">
        <v>193</v>
      </c>
      <c r="B446" s="31" t="s">
        <v>241</v>
      </c>
      <c r="C446" s="28" t="s">
        <v>243</v>
      </c>
      <c r="D446" s="28"/>
      <c r="E446" s="28" t="s">
        <v>1974</v>
      </c>
      <c r="F446" s="28" t="b">
        <v>0</v>
      </c>
      <c r="G446" s="28">
        <v>200</v>
      </c>
      <c r="H446" s="28" t="b">
        <v>1</v>
      </c>
      <c r="I446" s="34"/>
    </row>
    <row r="447" spans="1:9" ht="30" x14ac:dyDescent="0.25">
      <c r="A447" s="54" t="s">
        <v>193</v>
      </c>
      <c r="B447" s="43" t="s">
        <v>233</v>
      </c>
      <c r="C447" s="37" t="s">
        <v>235</v>
      </c>
      <c r="D447" s="37"/>
      <c r="E447" s="37" t="s">
        <v>1974</v>
      </c>
      <c r="F447" s="37" t="b">
        <v>0</v>
      </c>
      <c r="G447" s="37">
        <v>200</v>
      </c>
      <c r="H447" s="37" t="b">
        <v>1</v>
      </c>
    </row>
    <row r="448" spans="1:9" ht="30" x14ac:dyDescent="0.25">
      <c r="A448" s="54" t="s">
        <v>193</v>
      </c>
      <c r="B448" s="31" t="s">
        <v>185</v>
      </c>
      <c r="C448" s="28" t="s">
        <v>2129</v>
      </c>
      <c r="D448" s="28"/>
      <c r="E448" s="28" t="s">
        <v>1974</v>
      </c>
      <c r="F448" s="28" t="b">
        <v>0</v>
      </c>
      <c r="G448" s="28">
        <v>200</v>
      </c>
      <c r="H448" s="28" t="b">
        <v>1</v>
      </c>
      <c r="I448" s="34"/>
    </row>
    <row r="449" spans="1:9" ht="30" x14ac:dyDescent="0.25">
      <c r="A449" s="54" t="s">
        <v>193</v>
      </c>
      <c r="B449" s="43" t="s">
        <v>647</v>
      </c>
      <c r="C449" s="37" t="s">
        <v>2010</v>
      </c>
      <c r="D449" s="37"/>
      <c r="E449" s="37" t="s">
        <v>1974</v>
      </c>
      <c r="F449" s="37" t="b">
        <v>0</v>
      </c>
      <c r="G449" s="37">
        <v>200</v>
      </c>
      <c r="H449" s="37" t="b">
        <v>1</v>
      </c>
    </row>
    <row r="450" spans="1:9" ht="30" x14ac:dyDescent="0.25">
      <c r="A450" s="54" t="s">
        <v>193</v>
      </c>
      <c r="B450" s="31" t="s">
        <v>2011</v>
      </c>
      <c r="C450" s="28"/>
      <c r="D450" s="28"/>
      <c r="E450" s="28" t="s">
        <v>2012</v>
      </c>
      <c r="F450" s="28" t="b">
        <v>0</v>
      </c>
      <c r="G450" s="28"/>
      <c r="H450" s="28" t="b">
        <v>1</v>
      </c>
      <c r="I450" s="34"/>
    </row>
    <row r="451" spans="1:9" ht="30" x14ac:dyDescent="0.25">
      <c r="A451" s="54" t="s">
        <v>193</v>
      </c>
      <c r="B451" s="43" t="s">
        <v>2013</v>
      </c>
      <c r="C451" s="37"/>
      <c r="D451" s="37"/>
      <c r="E451" s="37" t="s">
        <v>2012</v>
      </c>
      <c r="F451" s="37" t="b">
        <v>0</v>
      </c>
      <c r="G451" s="37"/>
      <c r="H451" s="37" t="b">
        <v>1</v>
      </c>
    </row>
    <row r="452" spans="1:9" ht="30" x14ac:dyDescent="0.25">
      <c r="A452" s="54" t="s">
        <v>193</v>
      </c>
      <c r="B452" s="31" t="s">
        <v>641</v>
      </c>
      <c r="C452" s="28" t="s">
        <v>2014</v>
      </c>
      <c r="D452" s="28"/>
      <c r="E452" s="28" t="s">
        <v>1974</v>
      </c>
      <c r="F452" s="28" t="b">
        <v>0</v>
      </c>
      <c r="G452" s="28">
        <v>200</v>
      </c>
      <c r="H452" s="28" t="b">
        <v>1</v>
      </c>
      <c r="I452" s="34"/>
    </row>
    <row r="453" spans="1:9" ht="30" x14ac:dyDescent="0.25">
      <c r="A453" s="54" t="s">
        <v>193</v>
      </c>
      <c r="B453" s="43" t="s">
        <v>2015</v>
      </c>
      <c r="C453" s="37" t="s">
        <v>2016</v>
      </c>
      <c r="D453" s="37"/>
      <c r="E453" s="37" t="s">
        <v>1974</v>
      </c>
      <c r="F453" s="37" t="b">
        <v>0</v>
      </c>
      <c r="G453" s="37">
        <v>404</v>
      </c>
      <c r="H453" s="37" t="b">
        <v>0</v>
      </c>
    </row>
    <row r="454" spans="1:9" ht="30" x14ac:dyDescent="0.25">
      <c r="A454" s="54" t="s">
        <v>193</v>
      </c>
      <c r="B454" s="31" t="s">
        <v>2015</v>
      </c>
      <c r="C454" s="28" t="s">
        <v>2017</v>
      </c>
      <c r="D454" s="28"/>
      <c r="E454" s="28" t="s">
        <v>1974</v>
      </c>
      <c r="F454" s="28" t="b">
        <v>0</v>
      </c>
      <c r="G454" s="28">
        <v>404</v>
      </c>
      <c r="H454" s="28" t="b">
        <v>0</v>
      </c>
      <c r="I454" s="34"/>
    </row>
    <row r="455" spans="1:9" ht="30" x14ac:dyDescent="0.25">
      <c r="A455" s="54" t="s">
        <v>216</v>
      </c>
      <c r="B455" s="43" t="s">
        <v>2015</v>
      </c>
      <c r="C455" s="37" t="s">
        <v>2016</v>
      </c>
      <c r="D455" s="37"/>
      <c r="E455" s="37" t="s">
        <v>1974</v>
      </c>
      <c r="F455" s="37" t="b">
        <v>0</v>
      </c>
      <c r="G455" s="37">
        <v>404</v>
      </c>
      <c r="H455" s="37" t="b">
        <v>0</v>
      </c>
    </row>
    <row r="456" spans="1:9" ht="30" x14ac:dyDescent="0.25">
      <c r="A456" s="54" t="s">
        <v>216</v>
      </c>
      <c r="B456" s="31" t="s">
        <v>2015</v>
      </c>
      <c r="C456" s="28" t="s">
        <v>2017</v>
      </c>
      <c r="D456" s="28"/>
      <c r="E456" s="28" t="s">
        <v>1974</v>
      </c>
      <c r="F456" s="28" t="b">
        <v>0</v>
      </c>
      <c r="G456" s="28">
        <v>404</v>
      </c>
      <c r="H456" s="28" t="b">
        <v>0</v>
      </c>
      <c r="I456" s="34"/>
    </row>
    <row r="457" spans="1:9" ht="30" x14ac:dyDescent="0.25">
      <c r="A457" s="54" t="s">
        <v>208</v>
      </c>
      <c r="B457" s="43" t="s">
        <v>127</v>
      </c>
      <c r="C457" s="37" t="s">
        <v>904</v>
      </c>
      <c r="D457" s="37"/>
      <c r="E457" s="37" t="s">
        <v>1974</v>
      </c>
      <c r="F457" s="37" t="b">
        <v>0</v>
      </c>
      <c r="G457" s="37">
        <v>200</v>
      </c>
      <c r="H457" s="37" t="b">
        <v>1</v>
      </c>
    </row>
    <row r="458" spans="1:9" ht="30" x14ac:dyDescent="0.25">
      <c r="A458" s="54" t="s">
        <v>208</v>
      </c>
      <c r="B458" s="31" t="s">
        <v>185</v>
      </c>
      <c r="C458" s="28" t="s">
        <v>2125</v>
      </c>
      <c r="D458" s="28"/>
      <c r="E458" s="28" t="s">
        <v>1974</v>
      </c>
      <c r="F458" s="28" t="b">
        <v>0</v>
      </c>
      <c r="G458" s="28">
        <v>200</v>
      </c>
      <c r="H458" s="28" t="b">
        <v>1</v>
      </c>
      <c r="I458" s="34"/>
    </row>
    <row r="459" spans="1:9" ht="30" x14ac:dyDescent="0.25">
      <c r="A459" s="54" t="s">
        <v>208</v>
      </c>
      <c r="B459" s="43" t="s">
        <v>485</v>
      </c>
      <c r="C459" s="37" t="s">
        <v>2126</v>
      </c>
      <c r="D459" s="37"/>
      <c r="E459" s="37" t="s">
        <v>1974</v>
      </c>
      <c r="F459" s="37" t="b">
        <v>0</v>
      </c>
      <c r="G459" s="37">
        <v>200</v>
      </c>
      <c r="H459" s="37" t="b">
        <v>1</v>
      </c>
    </row>
    <row r="460" spans="1:9" ht="30" x14ac:dyDescent="0.25">
      <c r="A460" s="54" t="s">
        <v>208</v>
      </c>
      <c r="B460" s="31" t="s">
        <v>488</v>
      </c>
      <c r="C460" s="28" t="s">
        <v>2127</v>
      </c>
      <c r="D460" s="28"/>
      <c r="E460" s="28" t="s">
        <v>1974</v>
      </c>
      <c r="F460" s="28" t="b">
        <v>0</v>
      </c>
      <c r="G460" s="28">
        <v>200</v>
      </c>
      <c r="H460" s="28" t="b">
        <v>1</v>
      </c>
      <c r="I460" s="34"/>
    </row>
    <row r="461" spans="1:9" ht="30" x14ac:dyDescent="0.25">
      <c r="A461" s="54" t="s">
        <v>208</v>
      </c>
      <c r="B461" s="43" t="s">
        <v>193</v>
      </c>
      <c r="C461" s="37" t="s">
        <v>2128</v>
      </c>
      <c r="D461" s="37"/>
      <c r="E461" s="37" t="s">
        <v>1974</v>
      </c>
      <c r="F461" s="37" t="b">
        <v>0</v>
      </c>
      <c r="G461" s="37">
        <v>200</v>
      </c>
      <c r="H461" s="37" t="b">
        <v>1</v>
      </c>
    </row>
    <row r="462" spans="1:9" ht="30" x14ac:dyDescent="0.25">
      <c r="A462" s="54" t="s">
        <v>208</v>
      </c>
      <c r="B462" s="31" t="s">
        <v>241</v>
      </c>
      <c r="C462" s="28" t="s">
        <v>243</v>
      </c>
      <c r="D462" s="28"/>
      <c r="E462" s="28" t="s">
        <v>1974</v>
      </c>
      <c r="F462" s="28" t="b">
        <v>0</v>
      </c>
      <c r="G462" s="28">
        <v>200</v>
      </c>
      <c r="H462" s="28" t="b">
        <v>1</v>
      </c>
      <c r="I462" s="34"/>
    </row>
    <row r="463" spans="1:9" ht="30" x14ac:dyDescent="0.25">
      <c r="A463" s="54" t="s">
        <v>208</v>
      </c>
      <c r="B463" s="43" t="s">
        <v>233</v>
      </c>
      <c r="C463" s="37" t="s">
        <v>235</v>
      </c>
      <c r="D463" s="37"/>
      <c r="E463" s="37" t="s">
        <v>1974</v>
      </c>
      <c r="F463" s="37" t="b">
        <v>0</v>
      </c>
      <c r="G463" s="37">
        <v>200</v>
      </c>
      <c r="H463" s="37" t="b">
        <v>1</v>
      </c>
    </row>
    <row r="464" spans="1:9" ht="30" x14ac:dyDescent="0.25">
      <c r="A464" s="54" t="s">
        <v>208</v>
      </c>
      <c r="B464" s="31" t="s">
        <v>127</v>
      </c>
      <c r="C464" s="28" t="s">
        <v>904</v>
      </c>
      <c r="D464" s="28"/>
      <c r="E464" s="28" t="s">
        <v>1974</v>
      </c>
      <c r="F464" s="28" t="b">
        <v>0</v>
      </c>
      <c r="G464" s="28">
        <v>200</v>
      </c>
      <c r="H464" s="28" t="b">
        <v>1</v>
      </c>
      <c r="I464" s="34"/>
    </row>
    <row r="465" spans="1:9" ht="30" x14ac:dyDescent="0.25">
      <c r="A465" s="54" t="s">
        <v>208</v>
      </c>
      <c r="B465" s="43" t="s">
        <v>185</v>
      </c>
      <c r="C465" s="37" t="s">
        <v>2125</v>
      </c>
      <c r="D465" s="37"/>
      <c r="E465" s="37" t="s">
        <v>1974</v>
      </c>
      <c r="F465" s="37" t="b">
        <v>0</v>
      </c>
      <c r="G465" s="37">
        <v>200</v>
      </c>
      <c r="H465" s="37" t="b">
        <v>1</v>
      </c>
    </row>
    <row r="466" spans="1:9" ht="30" x14ac:dyDescent="0.25">
      <c r="A466" s="54" t="s">
        <v>208</v>
      </c>
      <c r="B466" s="31" t="s">
        <v>485</v>
      </c>
      <c r="C466" s="28" t="s">
        <v>2126</v>
      </c>
      <c r="D466" s="28"/>
      <c r="E466" s="28" t="s">
        <v>1974</v>
      </c>
      <c r="F466" s="28" t="b">
        <v>0</v>
      </c>
      <c r="G466" s="28">
        <v>200</v>
      </c>
      <c r="H466" s="28" t="b">
        <v>1</v>
      </c>
      <c r="I466" s="34"/>
    </row>
    <row r="467" spans="1:9" ht="30" x14ac:dyDescent="0.25">
      <c r="A467" s="54" t="s">
        <v>208</v>
      </c>
      <c r="B467" s="43" t="s">
        <v>488</v>
      </c>
      <c r="C467" s="37" t="s">
        <v>2127</v>
      </c>
      <c r="D467" s="37"/>
      <c r="E467" s="37" t="s">
        <v>1974</v>
      </c>
      <c r="F467" s="37" t="b">
        <v>0</v>
      </c>
      <c r="G467" s="37">
        <v>200</v>
      </c>
      <c r="H467" s="37" t="b">
        <v>1</v>
      </c>
    </row>
    <row r="468" spans="1:9" ht="30" x14ac:dyDescent="0.25">
      <c r="A468" s="54" t="s">
        <v>208</v>
      </c>
      <c r="B468" s="31" t="s">
        <v>193</v>
      </c>
      <c r="C468" s="28" t="s">
        <v>2128</v>
      </c>
      <c r="D468" s="28"/>
      <c r="E468" s="28" t="s">
        <v>1974</v>
      </c>
      <c r="F468" s="28" t="b">
        <v>0</v>
      </c>
      <c r="G468" s="28">
        <v>200</v>
      </c>
      <c r="H468" s="28" t="b">
        <v>1</v>
      </c>
      <c r="I468" s="34"/>
    </row>
    <row r="469" spans="1:9" ht="30" x14ac:dyDescent="0.25">
      <c r="A469" s="54" t="s">
        <v>208</v>
      </c>
      <c r="B469" s="43" t="s">
        <v>241</v>
      </c>
      <c r="C469" s="37" t="s">
        <v>243</v>
      </c>
      <c r="D469" s="37"/>
      <c r="E469" s="37" t="s">
        <v>1974</v>
      </c>
      <c r="F469" s="37" t="b">
        <v>0</v>
      </c>
      <c r="G469" s="37">
        <v>200</v>
      </c>
      <c r="H469" s="37" t="b">
        <v>1</v>
      </c>
    </row>
    <row r="470" spans="1:9" ht="30" x14ac:dyDescent="0.25">
      <c r="A470" s="54" t="s">
        <v>208</v>
      </c>
      <c r="B470" s="31" t="s">
        <v>233</v>
      </c>
      <c r="C470" s="28" t="s">
        <v>235</v>
      </c>
      <c r="D470" s="28"/>
      <c r="E470" s="28" t="s">
        <v>1974</v>
      </c>
      <c r="F470" s="28" t="b">
        <v>0</v>
      </c>
      <c r="G470" s="28">
        <v>200</v>
      </c>
      <c r="H470" s="28" t="b">
        <v>1</v>
      </c>
      <c r="I470" s="34"/>
    </row>
    <row r="471" spans="1:9" ht="30" x14ac:dyDescent="0.25">
      <c r="A471" s="54" t="s">
        <v>208</v>
      </c>
      <c r="B471" s="43" t="s">
        <v>185</v>
      </c>
      <c r="C471" s="37" t="s">
        <v>2129</v>
      </c>
      <c r="D471" s="37"/>
      <c r="E471" s="37" t="s">
        <v>1974</v>
      </c>
      <c r="F471" s="37" t="b">
        <v>0</v>
      </c>
      <c r="G471" s="37">
        <v>200</v>
      </c>
      <c r="H471" s="37" t="b">
        <v>1</v>
      </c>
    </row>
    <row r="472" spans="1:9" ht="30" x14ac:dyDescent="0.25">
      <c r="A472" s="54" t="s">
        <v>208</v>
      </c>
      <c r="B472" s="31" t="s">
        <v>647</v>
      </c>
      <c r="C472" s="28" t="s">
        <v>2010</v>
      </c>
      <c r="D472" s="28"/>
      <c r="E472" s="28" t="s">
        <v>1974</v>
      </c>
      <c r="F472" s="28" t="b">
        <v>0</v>
      </c>
      <c r="G472" s="28">
        <v>200</v>
      </c>
      <c r="H472" s="28" t="b">
        <v>1</v>
      </c>
      <c r="I472" s="34"/>
    </row>
    <row r="473" spans="1:9" ht="30" x14ac:dyDescent="0.25">
      <c r="A473" s="54" t="s">
        <v>208</v>
      </c>
      <c r="B473" s="43" t="s">
        <v>2011</v>
      </c>
      <c r="C473" s="37"/>
      <c r="D473" s="37"/>
      <c r="E473" s="37" t="s">
        <v>2012</v>
      </c>
      <c r="F473" s="37" t="b">
        <v>0</v>
      </c>
      <c r="G473" s="37"/>
      <c r="H473" s="37" t="b">
        <v>1</v>
      </c>
    </row>
    <row r="474" spans="1:9" ht="30" x14ac:dyDescent="0.25">
      <c r="A474" s="54" t="s">
        <v>208</v>
      </c>
      <c r="B474" s="31" t="s">
        <v>2013</v>
      </c>
      <c r="C474" s="28"/>
      <c r="D474" s="28"/>
      <c r="E474" s="28" t="s">
        <v>2012</v>
      </c>
      <c r="F474" s="28" t="b">
        <v>0</v>
      </c>
      <c r="G474" s="28"/>
      <c r="H474" s="28" t="b">
        <v>1</v>
      </c>
      <c r="I474" s="34"/>
    </row>
    <row r="475" spans="1:9" ht="30" x14ac:dyDescent="0.25">
      <c r="A475" s="54" t="s">
        <v>208</v>
      </c>
      <c r="B475" s="43" t="s">
        <v>641</v>
      </c>
      <c r="C475" s="37" t="s">
        <v>2014</v>
      </c>
      <c r="D475" s="37"/>
      <c r="E475" s="37" t="s">
        <v>1974</v>
      </c>
      <c r="F475" s="37" t="b">
        <v>0</v>
      </c>
      <c r="G475" s="37">
        <v>200</v>
      </c>
      <c r="H475" s="37" t="b">
        <v>1</v>
      </c>
    </row>
    <row r="476" spans="1:9" ht="30" x14ac:dyDescent="0.25">
      <c r="A476" s="54" t="s">
        <v>208</v>
      </c>
      <c r="B476" s="31" t="s">
        <v>2015</v>
      </c>
      <c r="C476" s="28" t="s">
        <v>2016</v>
      </c>
      <c r="D476" s="28"/>
      <c r="E476" s="28" t="s">
        <v>1974</v>
      </c>
      <c r="F476" s="28" t="b">
        <v>0</v>
      </c>
      <c r="G476" s="28">
        <v>404</v>
      </c>
      <c r="H476" s="28" t="b">
        <v>0</v>
      </c>
      <c r="I476" s="34"/>
    </row>
    <row r="477" spans="1:9" ht="30" x14ac:dyDescent="0.25">
      <c r="A477" s="54" t="s">
        <v>208</v>
      </c>
      <c r="B477" s="43" t="s">
        <v>2015</v>
      </c>
      <c r="C477" s="37" t="s">
        <v>2017</v>
      </c>
      <c r="D477" s="37"/>
      <c r="E477" s="37" t="s">
        <v>1974</v>
      </c>
      <c r="F477" s="37" t="b">
        <v>0</v>
      </c>
      <c r="G477" s="37">
        <v>404</v>
      </c>
      <c r="H477" s="37" t="b">
        <v>0</v>
      </c>
    </row>
    <row r="478" spans="1:9" ht="30" x14ac:dyDescent="0.25">
      <c r="A478" s="54" t="s">
        <v>224</v>
      </c>
      <c r="B478" s="31" t="s">
        <v>127</v>
      </c>
      <c r="C478" s="28" t="s">
        <v>904</v>
      </c>
      <c r="D478" s="28"/>
      <c r="E478" s="28" t="s">
        <v>1974</v>
      </c>
      <c r="F478" s="28" t="b">
        <v>0</v>
      </c>
      <c r="G478" s="28">
        <v>200</v>
      </c>
      <c r="H478" s="28" t="b">
        <v>1</v>
      </c>
      <c r="I478" s="34"/>
    </row>
    <row r="479" spans="1:9" ht="30" x14ac:dyDescent="0.25">
      <c r="A479" s="54" t="s">
        <v>224</v>
      </c>
      <c r="B479" s="43" t="s">
        <v>185</v>
      </c>
      <c r="C479" s="37" t="s">
        <v>2125</v>
      </c>
      <c r="D479" s="37"/>
      <c r="E479" s="37" t="s">
        <v>1974</v>
      </c>
      <c r="F479" s="37" t="b">
        <v>0</v>
      </c>
      <c r="G479" s="37">
        <v>200</v>
      </c>
      <c r="H479" s="37" t="b">
        <v>1</v>
      </c>
    </row>
    <row r="480" spans="1:9" ht="30" x14ac:dyDescent="0.25">
      <c r="A480" s="54" t="s">
        <v>224</v>
      </c>
      <c r="B480" s="31" t="s">
        <v>485</v>
      </c>
      <c r="C480" s="28" t="s">
        <v>2126</v>
      </c>
      <c r="D480" s="28"/>
      <c r="E480" s="28" t="s">
        <v>1974</v>
      </c>
      <c r="F480" s="28" t="b">
        <v>0</v>
      </c>
      <c r="G480" s="28">
        <v>200</v>
      </c>
      <c r="H480" s="28" t="b">
        <v>1</v>
      </c>
      <c r="I480" s="34"/>
    </row>
    <row r="481" spans="1:9" ht="30" x14ac:dyDescent="0.25">
      <c r="A481" s="54" t="s">
        <v>224</v>
      </c>
      <c r="B481" s="43" t="s">
        <v>488</v>
      </c>
      <c r="C481" s="37" t="s">
        <v>2127</v>
      </c>
      <c r="D481" s="37"/>
      <c r="E481" s="37" t="s">
        <v>1974</v>
      </c>
      <c r="F481" s="37" t="b">
        <v>0</v>
      </c>
      <c r="G481" s="37">
        <v>200</v>
      </c>
      <c r="H481" s="37" t="b">
        <v>1</v>
      </c>
    </row>
    <row r="482" spans="1:9" ht="30" x14ac:dyDescent="0.25">
      <c r="A482" s="54" t="s">
        <v>224</v>
      </c>
      <c r="B482" s="31" t="s">
        <v>193</v>
      </c>
      <c r="C482" s="28" t="s">
        <v>2128</v>
      </c>
      <c r="D482" s="28"/>
      <c r="E482" s="28" t="s">
        <v>1974</v>
      </c>
      <c r="F482" s="28" t="b">
        <v>0</v>
      </c>
      <c r="G482" s="28">
        <v>200</v>
      </c>
      <c r="H482" s="28" t="b">
        <v>1</v>
      </c>
      <c r="I482" s="34"/>
    </row>
    <row r="483" spans="1:9" ht="30" x14ac:dyDescent="0.25">
      <c r="A483" s="54" t="s">
        <v>224</v>
      </c>
      <c r="B483" s="43" t="s">
        <v>241</v>
      </c>
      <c r="C483" s="37" t="s">
        <v>243</v>
      </c>
      <c r="D483" s="37"/>
      <c r="E483" s="37" t="s">
        <v>1974</v>
      </c>
      <c r="F483" s="37" t="b">
        <v>0</v>
      </c>
      <c r="G483" s="37">
        <v>200</v>
      </c>
      <c r="H483" s="37" t="b">
        <v>1</v>
      </c>
    </row>
    <row r="484" spans="1:9" ht="30" x14ac:dyDescent="0.25">
      <c r="A484" s="54" t="s">
        <v>224</v>
      </c>
      <c r="B484" s="31" t="s">
        <v>233</v>
      </c>
      <c r="C484" s="28" t="s">
        <v>235</v>
      </c>
      <c r="D484" s="28"/>
      <c r="E484" s="28" t="s">
        <v>1974</v>
      </c>
      <c r="F484" s="28" t="b">
        <v>0</v>
      </c>
      <c r="G484" s="28">
        <v>200</v>
      </c>
      <c r="H484" s="28" t="b">
        <v>1</v>
      </c>
      <c r="I484" s="34"/>
    </row>
    <row r="485" spans="1:9" ht="30" x14ac:dyDescent="0.25">
      <c r="A485" s="54" t="s">
        <v>224</v>
      </c>
      <c r="B485" s="43" t="s">
        <v>127</v>
      </c>
      <c r="C485" s="37" t="s">
        <v>904</v>
      </c>
      <c r="D485" s="37"/>
      <c r="E485" s="37" t="s">
        <v>1974</v>
      </c>
      <c r="F485" s="37" t="b">
        <v>0</v>
      </c>
      <c r="G485" s="37">
        <v>200</v>
      </c>
      <c r="H485" s="37" t="b">
        <v>1</v>
      </c>
    </row>
    <row r="486" spans="1:9" ht="30" x14ac:dyDescent="0.25">
      <c r="A486" s="54" t="s">
        <v>224</v>
      </c>
      <c r="B486" s="31" t="s">
        <v>185</v>
      </c>
      <c r="C486" s="28" t="s">
        <v>2125</v>
      </c>
      <c r="D486" s="28"/>
      <c r="E486" s="28" t="s">
        <v>1974</v>
      </c>
      <c r="F486" s="28" t="b">
        <v>0</v>
      </c>
      <c r="G486" s="28">
        <v>200</v>
      </c>
      <c r="H486" s="28" t="b">
        <v>1</v>
      </c>
      <c r="I486" s="34"/>
    </row>
    <row r="487" spans="1:9" ht="30" x14ac:dyDescent="0.25">
      <c r="A487" s="54" t="s">
        <v>224</v>
      </c>
      <c r="B487" s="43" t="s">
        <v>485</v>
      </c>
      <c r="C487" s="37" t="s">
        <v>2126</v>
      </c>
      <c r="D487" s="37"/>
      <c r="E487" s="37" t="s">
        <v>1974</v>
      </c>
      <c r="F487" s="37" t="b">
        <v>0</v>
      </c>
      <c r="G487" s="37">
        <v>200</v>
      </c>
      <c r="H487" s="37" t="b">
        <v>1</v>
      </c>
    </row>
    <row r="488" spans="1:9" ht="30" x14ac:dyDescent="0.25">
      <c r="A488" s="54" t="s">
        <v>224</v>
      </c>
      <c r="B488" s="31" t="s">
        <v>488</v>
      </c>
      <c r="C488" s="28" t="s">
        <v>2127</v>
      </c>
      <c r="D488" s="28"/>
      <c r="E488" s="28" t="s">
        <v>1974</v>
      </c>
      <c r="F488" s="28" t="b">
        <v>0</v>
      </c>
      <c r="G488" s="28">
        <v>200</v>
      </c>
      <c r="H488" s="28" t="b">
        <v>1</v>
      </c>
      <c r="I488" s="34"/>
    </row>
    <row r="489" spans="1:9" ht="30" x14ac:dyDescent="0.25">
      <c r="A489" s="54" t="s">
        <v>224</v>
      </c>
      <c r="B489" s="43" t="s">
        <v>193</v>
      </c>
      <c r="C489" s="37" t="s">
        <v>2128</v>
      </c>
      <c r="D489" s="37"/>
      <c r="E489" s="37" t="s">
        <v>1974</v>
      </c>
      <c r="F489" s="37" t="b">
        <v>0</v>
      </c>
      <c r="G489" s="37">
        <v>200</v>
      </c>
      <c r="H489" s="37" t="b">
        <v>1</v>
      </c>
    </row>
    <row r="490" spans="1:9" ht="30" x14ac:dyDescent="0.25">
      <c r="A490" s="54" t="s">
        <v>224</v>
      </c>
      <c r="B490" s="31" t="s">
        <v>241</v>
      </c>
      <c r="C490" s="28" t="s">
        <v>243</v>
      </c>
      <c r="D490" s="28"/>
      <c r="E490" s="28" t="s">
        <v>1974</v>
      </c>
      <c r="F490" s="28" t="b">
        <v>0</v>
      </c>
      <c r="G490" s="28">
        <v>200</v>
      </c>
      <c r="H490" s="28" t="b">
        <v>1</v>
      </c>
      <c r="I490" s="34"/>
    </row>
    <row r="491" spans="1:9" ht="30" x14ac:dyDescent="0.25">
      <c r="A491" s="54" t="s">
        <v>224</v>
      </c>
      <c r="B491" s="43" t="s">
        <v>233</v>
      </c>
      <c r="C491" s="37" t="s">
        <v>235</v>
      </c>
      <c r="D491" s="37"/>
      <c r="E491" s="37" t="s">
        <v>1974</v>
      </c>
      <c r="F491" s="37" t="b">
        <v>0</v>
      </c>
      <c r="G491" s="37">
        <v>200</v>
      </c>
      <c r="H491" s="37" t="b">
        <v>1</v>
      </c>
    </row>
    <row r="492" spans="1:9" ht="30" x14ac:dyDescent="0.25">
      <c r="A492" s="54" t="s">
        <v>224</v>
      </c>
      <c r="B492" s="31" t="s">
        <v>2130</v>
      </c>
      <c r="C492" s="28" t="s">
        <v>2036</v>
      </c>
      <c r="D492" s="28"/>
      <c r="E492" s="28" t="s">
        <v>1974</v>
      </c>
      <c r="F492" s="28" t="b">
        <v>0</v>
      </c>
      <c r="G492" s="28">
        <v>200</v>
      </c>
      <c r="H492" s="28" t="b">
        <v>1</v>
      </c>
      <c r="I492" s="34"/>
    </row>
    <row r="493" spans="1:9" ht="30" x14ac:dyDescent="0.25">
      <c r="A493" s="54" t="s">
        <v>224</v>
      </c>
      <c r="B493" s="43" t="s">
        <v>641</v>
      </c>
      <c r="C493" s="37" t="s">
        <v>2131</v>
      </c>
      <c r="D493" s="37"/>
      <c r="E493" s="37" t="s">
        <v>1974</v>
      </c>
      <c r="F493" s="37" t="b">
        <v>0</v>
      </c>
      <c r="G493" s="37">
        <v>200</v>
      </c>
      <c r="H493" s="37" t="b">
        <v>1</v>
      </c>
    </row>
    <row r="494" spans="1:9" ht="30" x14ac:dyDescent="0.25">
      <c r="A494" s="54" t="s">
        <v>224</v>
      </c>
      <c r="B494" s="31" t="s">
        <v>647</v>
      </c>
      <c r="C494" s="28" t="s">
        <v>2010</v>
      </c>
      <c r="D494" s="28"/>
      <c r="E494" s="28" t="s">
        <v>1974</v>
      </c>
      <c r="F494" s="28" t="b">
        <v>0</v>
      </c>
      <c r="G494" s="28">
        <v>200</v>
      </c>
      <c r="H494" s="28" t="b">
        <v>1</v>
      </c>
      <c r="I494" s="34"/>
    </row>
    <row r="495" spans="1:9" ht="30" x14ac:dyDescent="0.25">
      <c r="A495" s="54" t="s">
        <v>224</v>
      </c>
      <c r="B495" s="43" t="s">
        <v>2011</v>
      </c>
      <c r="C495" s="37"/>
      <c r="D495" s="37"/>
      <c r="E495" s="37" t="s">
        <v>2012</v>
      </c>
      <c r="F495" s="37" t="b">
        <v>0</v>
      </c>
      <c r="G495" s="37"/>
      <c r="H495" s="37" t="b">
        <v>1</v>
      </c>
    </row>
    <row r="496" spans="1:9" ht="30" x14ac:dyDescent="0.25">
      <c r="A496" s="54" t="s">
        <v>224</v>
      </c>
      <c r="B496" s="31" t="s">
        <v>2013</v>
      </c>
      <c r="C496" s="28"/>
      <c r="D496" s="28"/>
      <c r="E496" s="28" t="s">
        <v>2012</v>
      </c>
      <c r="F496" s="28" t="b">
        <v>0</v>
      </c>
      <c r="G496" s="28"/>
      <c r="H496" s="28" t="b">
        <v>1</v>
      </c>
      <c r="I496" s="34"/>
    </row>
    <row r="497" spans="1:9" ht="30" x14ac:dyDescent="0.25">
      <c r="A497" s="54" t="s">
        <v>224</v>
      </c>
      <c r="B497" s="43" t="s">
        <v>2033</v>
      </c>
      <c r="C497" s="37"/>
      <c r="D497" s="37"/>
      <c r="E497" s="37" t="s">
        <v>2012</v>
      </c>
      <c r="F497" s="37" t="b">
        <v>0</v>
      </c>
      <c r="G497" s="37"/>
      <c r="H497" s="37" t="b">
        <v>1</v>
      </c>
    </row>
    <row r="498" spans="1:9" ht="30" x14ac:dyDescent="0.25">
      <c r="A498" s="54" t="s">
        <v>224</v>
      </c>
      <c r="B498" s="31" t="s">
        <v>2123</v>
      </c>
      <c r="C498" s="28"/>
      <c r="D498" s="28"/>
      <c r="E498" s="28" t="s">
        <v>1974</v>
      </c>
      <c r="F498" s="28" t="b">
        <v>0</v>
      </c>
      <c r="G498" s="28">
        <v>404</v>
      </c>
      <c r="H498" s="28" t="b">
        <v>0</v>
      </c>
      <c r="I498" s="34"/>
    </row>
    <row r="499" spans="1:9" ht="30" x14ac:dyDescent="0.25">
      <c r="A499" s="54" t="s">
        <v>224</v>
      </c>
      <c r="B499" s="43" t="s">
        <v>2123</v>
      </c>
      <c r="C499" s="37" t="s">
        <v>2124</v>
      </c>
      <c r="D499" s="37"/>
      <c r="E499" s="37" t="s">
        <v>1974</v>
      </c>
      <c r="F499" s="37" t="b">
        <v>0</v>
      </c>
      <c r="G499" s="37">
        <v>404</v>
      </c>
      <c r="H499" s="37" t="b">
        <v>0</v>
      </c>
    </row>
    <row r="500" spans="1:9" ht="30" x14ac:dyDescent="0.25">
      <c r="A500" s="54" t="s">
        <v>224</v>
      </c>
      <c r="B500" s="31" t="s">
        <v>641</v>
      </c>
      <c r="C500" s="28" t="s">
        <v>2034</v>
      </c>
      <c r="D500" s="28"/>
      <c r="E500" s="28" t="s">
        <v>1974</v>
      </c>
      <c r="F500" s="28" t="b">
        <v>0</v>
      </c>
      <c r="G500" s="28">
        <v>200</v>
      </c>
      <c r="H500" s="28" t="b">
        <v>1</v>
      </c>
      <c r="I500" s="34"/>
    </row>
    <row r="501" spans="1:9" ht="30" x14ac:dyDescent="0.25">
      <c r="A501" s="54" t="s">
        <v>224</v>
      </c>
      <c r="B501" s="43" t="s">
        <v>2015</v>
      </c>
      <c r="C501" s="37" t="s">
        <v>2016</v>
      </c>
      <c r="D501" s="37"/>
      <c r="E501" s="37" t="s">
        <v>1974</v>
      </c>
      <c r="F501" s="37" t="b">
        <v>0</v>
      </c>
      <c r="G501" s="37">
        <v>404</v>
      </c>
      <c r="H501" s="37" t="b">
        <v>0</v>
      </c>
    </row>
    <row r="502" spans="1:9" ht="30" x14ac:dyDescent="0.25">
      <c r="A502" s="54" t="s">
        <v>224</v>
      </c>
      <c r="B502" s="31" t="s">
        <v>2015</v>
      </c>
      <c r="C502" s="28" t="s">
        <v>2017</v>
      </c>
      <c r="D502" s="28"/>
      <c r="E502" s="28" t="s">
        <v>1974</v>
      </c>
      <c r="F502" s="28" t="b">
        <v>0</v>
      </c>
      <c r="G502" s="28">
        <v>404</v>
      </c>
      <c r="H502" s="28" t="b">
        <v>0</v>
      </c>
      <c r="I502" s="34"/>
    </row>
    <row r="503" spans="1:9" ht="30" x14ac:dyDescent="0.25">
      <c r="A503" s="54" t="s">
        <v>233</v>
      </c>
      <c r="B503" s="43" t="s">
        <v>127</v>
      </c>
      <c r="C503" s="37" t="s">
        <v>904</v>
      </c>
      <c r="D503" s="37"/>
      <c r="E503" s="37" t="s">
        <v>1974</v>
      </c>
      <c r="F503" s="37" t="b">
        <v>0</v>
      </c>
      <c r="G503" s="37">
        <v>200</v>
      </c>
      <c r="H503" s="37" t="b">
        <v>1</v>
      </c>
    </row>
    <row r="504" spans="1:9" ht="30" x14ac:dyDescent="0.25">
      <c r="A504" s="54" t="s">
        <v>233</v>
      </c>
      <c r="B504" s="31" t="s">
        <v>185</v>
      </c>
      <c r="C504" s="28" t="s">
        <v>2125</v>
      </c>
      <c r="D504" s="28"/>
      <c r="E504" s="28" t="s">
        <v>1974</v>
      </c>
      <c r="F504" s="28" t="b">
        <v>0</v>
      </c>
      <c r="G504" s="28">
        <v>200</v>
      </c>
      <c r="H504" s="28" t="b">
        <v>1</v>
      </c>
      <c r="I504" s="34"/>
    </row>
    <row r="505" spans="1:9" ht="30" x14ac:dyDescent="0.25">
      <c r="A505" s="54" t="s">
        <v>233</v>
      </c>
      <c r="B505" s="43" t="s">
        <v>485</v>
      </c>
      <c r="C505" s="37" t="s">
        <v>2126</v>
      </c>
      <c r="D505" s="37"/>
      <c r="E505" s="37" t="s">
        <v>1974</v>
      </c>
      <c r="F505" s="37" t="b">
        <v>0</v>
      </c>
      <c r="G505" s="37">
        <v>200</v>
      </c>
      <c r="H505" s="37" t="b">
        <v>1</v>
      </c>
    </row>
    <row r="506" spans="1:9" ht="30" x14ac:dyDescent="0.25">
      <c r="A506" s="54" t="s">
        <v>233</v>
      </c>
      <c r="B506" s="31" t="s">
        <v>488</v>
      </c>
      <c r="C506" s="28" t="s">
        <v>2127</v>
      </c>
      <c r="D506" s="28"/>
      <c r="E506" s="28" t="s">
        <v>1974</v>
      </c>
      <c r="F506" s="28" t="b">
        <v>0</v>
      </c>
      <c r="G506" s="28">
        <v>200</v>
      </c>
      <c r="H506" s="28" t="b">
        <v>1</v>
      </c>
      <c r="I506" s="34"/>
    </row>
    <row r="507" spans="1:9" ht="30" x14ac:dyDescent="0.25">
      <c r="A507" s="54" t="s">
        <v>233</v>
      </c>
      <c r="B507" s="43" t="s">
        <v>193</v>
      </c>
      <c r="C507" s="37" t="s">
        <v>2128</v>
      </c>
      <c r="D507" s="37"/>
      <c r="E507" s="37" t="s">
        <v>1974</v>
      </c>
      <c r="F507" s="37" t="b">
        <v>0</v>
      </c>
      <c r="G507" s="37">
        <v>200</v>
      </c>
      <c r="H507" s="37" t="b">
        <v>1</v>
      </c>
    </row>
    <row r="508" spans="1:9" ht="30" x14ac:dyDescent="0.25">
      <c r="A508" s="54" t="s">
        <v>233</v>
      </c>
      <c r="B508" s="31" t="s">
        <v>241</v>
      </c>
      <c r="C508" s="28" t="s">
        <v>243</v>
      </c>
      <c r="D508" s="28"/>
      <c r="E508" s="28" t="s">
        <v>1974</v>
      </c>
      <c r="F508" s="28" t="b">
        <v>0</v>
      </c>
      <c r="G508" s="28">
        <v>200</v>
      </c>
      <c r="H508" s="28" t="b">
        <v>1</v>
      </c>
      <c r="I508" s="34"/>
    </row>
    <row r="509" spans="1:9" ht="30" x14ac:dyDescent="0.25">
      <c r="A509" s="54" t="s">
        <v>233</v>
      </c>
      <c r="B509" s="43" t="s">
        <v>233</v>
      </c>
      <c r="C509" s="37" t="s">
        <v>235</v>
      </c>
      <c r="D509" s="37"/>
      <c r="E509" s="37" t="s">
        <v>1974</v>
      </c>
      <c r="F509" s="37" t="b">
        <v>0</v>
      </c>
      <c r="G509" s="37">
        <v>200</v>
      </c>
      <c r="H509" s="37" t="b">
        <v>1</v>
      </c>
    </row>
    <row r="510" spans="1:9" ht="30" x14ac:dyDescent="0.25">
      <c r="A510" s="54" t="s">
        <v>233</v>
      </c>
      <c r="B510" s="31" t="s">
        <v>127</v>
      </c>
      <c r="C510" s="28" t="s">
        <v>904</v>
      </c>
      <c r="D510" s="28"/>
      <c r="E510" s="28" t="s">
        <v>1974</v>
      </c>
      <c r="F510" s="28" t="b">
        <v>0</v>
      </c>
      <c r="G510" s="28">
        <v>200</v>
      </c>
      <c r="H510" s="28" t="b">
        <v>1</v>
      </c>
      <c r="I510" s="34"/>
    </row>
    <row r="511" spans="1:9" ht="30" x14ac:dyDescent="0.25">
      <c r="A511" s="54" t="s">
        <v>233</v>
      </c>
      <c r="B511" s="43" t="s">
        <v>185</v>
      </c>
      <c r="C511" s="37" t="s">
        <v>2125</v>
      </c>
      <c r="D511" s="37"/>
      <c r="E511" s="37" t="s">
        <v>1974</v>
      </c>
      <c r="F511" s="37" t="b">
        <v>0</v>
      </c>
      <c r="G511" s="37">
        <v>200</v>
      </c>
      <c r="H511" s="37" t="b">
        <v>1</v>
      </c>
    </row>
    <row r="512" spans="1:9" ht="30" x14ac:dyDescent="0.25">
      <c r="A512" s="54" t="s">
        <v>233</v>
      </c>
      <c r="B512" s="31" t="s">
        <v>485</v>
      </c>
      <c r="C512" s="28" t="s">
        <v>2126</v>
      </c>
      <c r="D512" s="28"/>
      <c r="E512" s="28" t="s">
        <v>1974</v>
      </c>
      <c r="F512" s="28" t="b">
        <v>0</v>
      </c>
      <c r="G512" s="28">
        <v>200</v>
      </c>
      <c r="H512" s="28" t="b">
        <v>1</v>
      </c>
      <c r="I512" s="34"/>
    </row>
    <row r="513" spans="1:9" ht="30" x14ac:dyDescent="0.25">
      <c r="A513" s="54" t="s">
        <v>233</v>
      </c>
      <c r="B513" s="43" t="s">
        <v>488</v>
      </c>
      <c r="C513" s="37" t="s">
        <v>2127</v>
      </c>
      <c r="D513" s="37"/>
      <c r="E513" s="37" t="s">
        <v>1974</v>
      </c>
      <c r="F513" s="37" t="b">
        <v>0</v>
      </c>
      <c r="G513" s="37">
        <v>200</v>
      </c>
      <c r="H513" s="37" t="b">
        <v>1</v>
      </c>
    </row>
    <row r="514" spans="1:9" ht="30" x14ac:dyDescent="0.25">
      <c r="A514" s="54" t="s">
        <v>233</v>
      </c>
      <c r="B514" s="31" t="s">
        <v>193</v>
      </c>
      <c r="C514" s="28" t="s">
        <v>2128</v>
      </c>
      <c r="D514" s="28"/>
      <c r="E514" s="28" t="s">
        <v>1974</v>
      </c>
      <c r="F514" s="28" t="b">
        <v>0</v>
      </c>
      <c r="G514" s="28">
        <v>200</v>
      </c>
      <c r="H514" s="28" t="b">
        <v>1</v>
      </c>
      <c r="I514" s="34"/>
    </row>
    <row r="515" spans="1:9" ht="30" x14ac:dyDescent="0.25">
      <c r="A515" s="54" t="s">
        <v>233</v>
      </c>
      <c r="B515" s="43" t="s">
        <v>241</v>
      </c>
      <c r="C515" s="37" t="s">
        <v>243</v>
      </c>
      <c r="D515" s="37"/>
      <c r="E515" s="37" t="s">
        <v>1974</v>
      </c>
      <c r="F515" s="37" t="b">
        <v>0</v>
      </c>
      <c r="G515" s="37">
        <v>200</v>
      </c>
      <c r="H515" s="37" t="b">
        <v>1</v>
      </c>
    </row>
    <row r="516" spans="1:9" ht="30" x14ac:dyDescent="0.25">
      <c r="A516" s="54" t="s">
        <v>233</v>
      </c>
      <c r="B516" s="31" t="s">
        <v>233</v>
      </c>
      <c r="C516" s="28" t="s">
        <v>235</v>
      </c>
      <c r="D516" s="28"/>
      <c r="E516" s="28" t="s">
        <v>1974</v>
      </c>
      <c r="F516" s="28" t="b">
        <v>0</v>
      </c>
      <c r="G516" s="28">
        <v>200</v>
      </c>
      <c r="H516" s="28" t="b">
        <v>1</v>
      </c>
      <c r="I516" s="34"/>
    </row>
    <row r="517" spans="1:9" ht="30" x14ac:dyDescent="0.25">
      <c r="A517" s="54" t="s">
        <v>233</v>
      </c>
      <c r="B517" s="43" t="s">
        <v>185</v>
      </c>
      <c r="C517" s="37" t="s">
        <v>2129</v>
      </c>
      <c r="D517" s="37"/>
      <c r="E517" s="37" t="s">
        <v>1974</v>
      </c>
      <c r="F517" s="37" t="b">
        <v>0</v>
      </c>
      <c r="G517" s="37">
        <v>200</v>
      </c>
      <c r="H517" s="37" t="b">
        <v>1</v>
      </c>
    </row>
    <row r="518" spans="1:9" ht="30" x14ac:dyDescent="0.25">
      <c r="A518" s="54" t="s">
        <v>233</v>
      </c>
      <c r="B518" s="31" t="s">
        <v>2132</v>
      </c>
      <c r="C518" s="28"/>
      <c r="D518" s="28"/>
      <c r="E518" s="28" t="s">
        <v>1974</v>
      </c>
      <c r="F518" s="28" t="b">
        <v>0</v>
      </c>
      <c r="G518" s="28">
        <v>200</v>
      </c>
      <c r="H518" s="28" t="b">
        <v>1</v>
      </c>
      <c r="I518" s="34"/>
    </row>
    <row r="519" spans="1:9" ht="30" x14ac:dyDescent="0.25">
      <c r="A519" s="54" t="s">
        <v>233</v>
      </c>
      <c r="B519" s="43" t="s">
        <v>2133</v>
      </c>
      <c r="C519" s="37"/>
      <c r="D519" s="37"/>
      <c r="E519" s="37" t="s">
        <v>1974</v>
      </c>
      <c r="F519" s="37" t="b">
        <v>0</v>
      </c>
      <c r="G519" s="37">
        <v>200</v>
      </c>
      <c r="H519" s="37" t="b">
        <v>1</v>
      </c>
    </row>
    <row r="520" spans="1:9" ht="30" x14ac:dyDescent="0.25">
      <c r="A520" s="54" t="s">
        <v>233</v>
      </c>
      <c r="B520" s="31" t="s">
        <v>2134</v>
      </c>
      <c r="C520" s="28"/>
      <c r="D520" s="28"/>
      <c r="E520" s="28" t="s">
        <v>1974</v>
      </c>
      <c r="F520" s="28" t="b">
        <v>0</v>
      </c>
      <c r="G520" s="28">
        <v>200</v>
      </c>
      <c r="H520" s="28" t="b">
        <v>1</v>
      </c>
      <c r="I520" s="34"/>
    </row>
    <row r="521" spans="1:9" ht="30" x14ac:dyDescent="0.25">
      <c r="A521" s="54" t="s">
        <v>233</v>
      </c>
      <c r="B521" s="43" t="s">
        <v>2135</v>
      </c>
      <c r="C521" s="37"/>
      <c r="D521" s="37"/>
      <c r="E521" s="37" t="s">
        <v>1974</v>
      </c>
      <c r="F521" s="37" t="b">
        <v>0</v>
      </c>
      <c r="G521" s="37">
        <v>200</v>
      </c>
      <c r="H521" s="37" t="b">
        <v>1</v>
      </c>
    </row>
    <row r="522" spans="1:9" ht="30" x14ac:dyDescent="0.25">
      <c r="A522" s="54" t="s">
        <v>233</v>
      </c>
      <c r="B522" s="31" t="s">
        <v>2136</v>
      </c>
      <c r="C522" s="28"/>
      <c r="D522" s="28"/>
      <c r="E522" s="28" t="s">
        <v>1974</v>
      </c>
      <c r="F522" s="28" t="b">
        <v>0</v>
      </c>
      <c r="G522" s="28">
        <v>200</v>
      </c>
      <c r="H522" s="28" t="b">
        <v>1</v>
      </c>
      <c r="I522" s="34"/>
    </row>
    <row r="523" spans="1:9" ht="30" x14ac:dyDescent="0.25">
      <c r="A523" s="54" t="s">
        <v>233</v>
      </c>
      <c r="B523" s="43" t="s">
        <v>2137</v>
      </c>
      <c r="C523" s="37"/>
      <c r="D523" s="37"/>
      <c r="E523" s="37" t="s">
        <v>1974</v>
      </c>
      <c r="F523" s="37" t="b">
        <v>0</v>
      </c>
      <c r="G523" s="37">
        <v>200</v>
      </c>
      <c r="H523" s="37" t="b">
        <v>1</v>
      </c>
    </row>
    <row r="524" spans="1:9" ht="30" x14ac:dyDescent="0.25">
      <c r="A524" s="54" t="s">
        <v>233</v>
      </c>
      <c r="B524" s="31" t="s">
        <v>2138</v>
      </c>
      <c r="C524" s="28"/>
      <c r="D524" s="28"/>
      <c r="E524" s="28" t="s">
        <v>1974</v>
      </c>
      <c r="F524" s="28" t="b">
        <v>0</v>
      </c>
      <c r="G524" s="28">
        <v>200</v>
      </c>
      <c r="H524" s="28" t="b">
        <v>1</v>
      </c>
      <c r="I524" s="34"/>
    </row>
    <row r="525" spans="1:9" ht="30" x14ac:dyDescent="0.25">
      <c r="A525" s="54" t="s">
        <v>233</v>
      </c>
      <c r="B525" s="43" t="s">
        <v>2139</v>
      </c>
      <c r="C525" s="37"/>
      <c r="D525" s="37"/>
      <c r="E525" s="37" t="s">
        <v>1974</v>
      </c>
      <c r="F525" s="37" t="b">
        <v>0</v>
      </c>
      <c r="G525" s="37">
        <v>200</v>
      </c>
      <c r="H525" s="37" t="b">
        <v>1</v>
      </c>
    </row>
    <row r="526" spans="1:9" ht="30" x14ac:dyDescent="0.25">
      <c r="A526" s="54" t="s">
        <v>233</v>
      </c>
      <c r="B526" s="31" t="s">
        <v>2140</v>
      </c>
      <c r="C526" s="28"/>
      <c r="D526" s="28"/>
      <c r="E526" s="28" t="s">
        <v>1974</v>
      </c>
      <c r="F526" s="28" t="b">
        <v>0</v>
      </c>
      <c r="G526" s="28">
        <v>200</v>
      </c>
      <c r="H526" s="28" t="b">
        <v>1</v>
      </c>
      <c r="I526" s="34"/>
    </row>
    <row r="527" spans="1:9" ht="30" x14ac:dyDescent="0.25">
      <c r="A527" s="54" t="s">
        <v>233</v>
      </c>
      <c r="B527" s="43" t="s">
        <v>2141</v>
      </c>
      <c r="C527" s="37"/>
      <c r="D527" s="37"/>
      <c r="E527" s="37" t="s">
        <v>1974</v>
      </c>
      <c r="F527" s="37" t="b">
        <v>0</v>
      </c>
      <c r="G527" s="37">
        <v>200</v>
      </c>
      <c r="H527" s="37" t="b">
        <v>1</v>
      </c>
    </row>
    <row r="528" spans="1:9" ht="30" x14ac:dyDescent="0.25">
      <c r="A528" s="54" t="s">
        <v>233</v>
      </c>
      <c r="B528" s="31" t="s">
        <v>2142</v>
      </c>
      <c r="C528" s="28"/>
      <c r="D528" s="28"/>
      <c r="E528" s="28" t="s">
        <v>1974</v>
      </c>
      <c r="F528" s="28" t="b">
        <v>0</v>
      </c>
      <c r="G528" s="28">
        <v>200</v>
      </c>
      <c r="H528" s="28" t="b">
        <v>1</v>
      </c>
      <c r="I528" s="34"/>
    </row>
    <row r="529" spans="1:9" ht="30" x14ac:dyDescent="0.25">
      <c r="A529" s="54" t="s">
        <v>233</v>
      </c>
      <c r="B529" s="43" t="s">
        <v>2143</v>
      </c>
      <c r="C529" s="37"/>
      <c r="D529" s="37"/>
      <c r="E529" s="37" t="s">
        <v>1974</v>
      </c>
      <c r="F529" s="37" t="b">
        <v>0</v>
      </c>
      <c r="G529" s="37">
        <v>200</v>
      </c>
      <c r="H529" s="37" t="b">
        <v>1</v>
      </c>
    </row>
    <row r="530" spans="1:9" ht="30" x14ac:dyDescent="0.25">
      <c r="A530" s="54" t="s">
        <v>233</v>
      </c>
      <c r="B530" s="31" t="s">
        <v>2144</v>
      </c>
      <c r="C530" s="28"/>
      <c r="D530" s="28"/>
      <c r="E530" s="28" t="s">
        <v>1974</v>
      </c>
      <c r="F530" s="28" t="b">
        <v>0</v>
      </c>
      <c r="G530" s="28">
        <v>200</v>
      </c>
      <c r="H530" s="28" t="b">
        <v>1</v>
      </c>
      <c r="I530" s="34"/>
    </row>
    <row r="531" spans="1:9" ht="30" x14ac:dyDescent="0.25">
      <c r="A531" s="54" t="s">
        <v>233</v>
      </c>
      <c r="B531" s="43" t="s">
        <v>2145</v>
      </c>
      <c r="C531" s="37"/>
      <c r="D531" s="37"/>
      <c r="E531" s="37" t="s">
        <v>1974</v>
      </c>
      <c r="F531" s="37" t="b">
        <v>0</v>
      </c>
      <c r="G531" s="37">
        <v>200</v>
      </c>
      <c r="H531" s="37" t="b">
        <v>1</v>
      </c>
    </row>
    <row r="532" spans="1:9" ht="30" x14ac:dyDescent="0.25">
      <c r="A532" s="54" t="s">
        <v>233</v>
      </c>
      <c r="B532" s="31" t="s">
        <v>2146</v>
      </c>
      <c r="C532" s="28"/>
      <c r="D532" s="28"/>
      <c r="E532" s="28" t="s">
        <v>1974</v>
      </c>
      <c r="F532" s="28" t="b">
        <v>0</v>
      </c>
      <c r="G532" s="28">
        <v>200</v>
      </c>
      <c r="H532" s="28" t="b">
        <v>1</v>
      </c>
      <c r="I532" s="34"/>
    </row>
    <row r="533" spans="1:9" ht="30" x14ac:dyDescent="0.25">
      <c r="A533" s="54" t="s">
        <v>233</v>
      </c>
      <c r="B533" s="43" t="s">
        <v>2147</v>
      </c>
      <c r="C533" s="37"/>
      <c r="D533" s="37"/>
      <c r="E533" s="37" t="s">
        <v>1974</v>
      </c>
      <c r="F533" s="37" t="b">
        <v>0</v>
      </c>
      <c r="G533" s="37">
        <v>200</v>
      </c>
      <c r="H533" s="37" t="b">
        <v>1</v>
      </c>
    </row>
    <row r="534" spans="1:9" ht="30" x14ac:dyDescent="0.25">
      <c r="A534" s="54" t="s">
        <v>233</v>
      </c>
      <c r="B534" s="31" t="s">
        <v>2148</v>
      </c>
      <c r="C534" s="28"/>
      <c r="D534" s="28"/>
      <c r="E534" s="28" t="s">
        <v>1974</v>
      </c>
      <c r="F534" s="28" t="b">
        <v>0</v>
      </c>
      <c r="G534" s="28">
        <v>200</v>
      </c>
      <c r="H534" s="28" t="b">
        <v>1</v>
      </c>
      <c r="I534" s="34"/>
    </row>
    <row r="535" spans="1:9" ht="30" x14ac:dyDescent="0.25">
      <c r="A535" s="54" t="s">
        <v>233</v>
      </c>
      <c r="B535" s="43" t="s">
        <v>2149</v>
      </c>
      <c r="C535" s="37"/>
      <c r="D535" s="37"/>
      <c r="E535" s="37" t="s">
        <v>1974</v>
      </c>
      <c r="F535" s="37" t="b">
        <v>0</v>
      </c>
      <c r="G535" s="37">
        <v>200</v>
      </c>
      <c r="H535" s="37" t="b">
        <v>1</v>
      </c>
    </row>
    <row r="536" spans="1:9" ht="30" x14ac:dyDescent="0.25">
      <c r="A536" s="54" t="s">
        <v>233</v>
      </c>
      <c r="B536" s="31" t="s">
        <v>2150</v>
      </c>
      <c r="C536" s="28"/>
      <c r="D536" s="28"/>
      <c r="E536" s="28" t="s">
        <v>1974</v>
      </c>
      <c r="F536" s="28" t="b">
        <v>0</v>
      </c>
      <c r="G536" s="28">
        <v>200</v>
      </c>
      <c r="H536" s="28" t="b">
        <v>1</v>
      </c>
      <c r="I536" s="34"/>
    </row>
    <row r="537" spans="1:9" ht="30" x14ac:dyDescent="0.25">
      <c r="A537" s="54" t="s">
        <v>233</v>
      </c>
      <c r="B537" s="43" t="s">
        <v>2151</v>
      </c>
      <c r="C537" s="37"/>
      <c r="D537" s="37"/>
      <c r="E537" s="37" t="s">
        <v>1974</v>
      </c>
      <c r="F537" s="37" t="b">
        <v>0</v>
      </c>
      <c r="G537" s="37">
        <v>200</v>
      </c>
      <c r="H537" s="37" t="b">
        <v>1</v>
      </c>
    </row>
    <row r="538" spans="1:9" ht="30" x14ac:dyDescent="0.25">
      <c r="A538" s="54" t="s">
        <v>233</v>
      </c>
      <c r="B538" s="31" t="s">
        <v>2152</v>
      </c>
      <c r="C538" s="28"/>
      <c r="D538" s="28"/>
      <c r="E538" s="28" t="s">
        <v>1974</v>
      </c>
      <c r="F538" s="28" t="b">
        <v>0</v>
      </c>
      <c r="G538" s="28">
        <v>200</v>
      </c>
      <c r="H538" s="28" t="b">
        <v>1</v>
      </c>
      <c r="I538" s="34"/>
    </row>
    <row r="539" spans="1:9" ht="30" x14ac:dyDescent="0.25">
      <c r="A539" s="54" t="s">
        <v>233</v>
      </c>
      <c r="B539" s="43" t="s">
        <v>2153</v>
      </c>
      <c r="C539" s="37"/>
      <c r="D539" s="37"/>
      <c r="E539" s="37" t="s">
        <v>1974</v>
      </c>
      <c r="F539" s="37" t="b">
        <v>0</v>
      </c>
      <c r="G539" s="37">
        <v>200</v>
      </c>
      <c r="H539" s="37" t="b">
        <v>1</v>
      </c>
    </row>
    <row r="540" spans="1:9" ht="30" x14ac:dyDescent="0.25">
      <c r="A540" s="54" t="s">
        <v>233</v>
      </c>
      <c r="B540" s="31" t="s">
        <v>2154</v>
      </c>
      <c r="C540" s="28"/>
      <c r="D540" s="28"/>
      <c r="E540" s="28" t="s">
        <v>1974</v>
      </c>
      <c r="F540" s="28" t="b">
        <v>0</v>
      </c>
      <c r="G540" s="28">
        <v>200</v>
      </c>
      <c r="H540" s="28" t="b">
        <v>1</v>
      </c>
      <c r="I540" s="34"/>
    </row>
    <row r="541" spans="1:9" ht="30" x14ac:dyDescent="0.25">
      <c r="A541" s="54" t="s">
        <v>233</v>
      </c>
      <c r="B541" s="43" t="s">
        <v>2155</v>
      </c>
      <c r="C541" s="37"/>
      <c r="D541" s="37"/>
      <c r="E541" s="37" t="s">
        <v>1974</v>
      </c>
      <c r="F541" s="37" t="b">
        <v>0</v>
      </c>
      <c r="G541" s="37">
        <v>200</v>
      </c>
      <c r="H541" s="37" t="b">
        <v>1</v>
      </c>
    </row>
    <row r="542" spans="1:9" ht="30" x14ac:dyDescent="0.25">
      <c r="A542" s="54" t="s">
        <v>233</v>
      </c>
      <c r="B542" s="31" t="s">
        <v>2156</v>
      </c>
      <c r="C542" s="28"/>
      <c r="D542" s="28"/>
      <c r="E542" s="28" t="s">
        <v>1974</v>
      </c>
      <c r="F542" s="28" t="b">
        <v>0</v>
      </c>
      <c r="G542" s="28">
        <v>200</v>
      </c>
      <c r="H542" s="28" t="b">
        <v>1</v>
      </c>
      <c r="I542" s="34"/>
    </row>
    <row r="543" spans="1:9" ht="30" x14ac:dyDescent="0.25">
      <c r="A543" s="54" t="s">
        <v>233</v>
      </c>
      <c r="B543" s="43" t="s">
        <v>2157</v>
      </c>
      <c r="C543" s="37"/>
      <c r="D543" s="37"/>
      <c r="E543" s="37" t="s">
        <v>1974</v>
      </c>
      <c r="F543" s="37" t="b">
        <v>0</v>
      </c>
      <c r="G543" s="37">
        <v>200</v>
      </c>
      <c r="H543" s="37" t="b">
        <v>1</v>
      </c>
    </row>
    <row r="544" spans="1:9" ht="30" x14ac:dyDescent="0.25">
      <c r="A544" s="54" t="s">
        <v>233</v>
      </c>
      <c r="B544" s="31" t="s">
        <v>2158</v>
      </c>
      <c r="C544" s="28"/>
      <c r="D544" s="28"/>
      <c r="E544" s="28" t="s">
        <v>1974</v>
      </c>
      <c r="F544" s="28" t="b">
        <v>0</v>
      </c>
      <c r="G544" s="28">
        <v>200</v>
      </c>
      <c r="H544" s="28" t="b">
        <v>1</v>
      </c>
      <c r="I544" s="34"/>
    </row>
    <row r="545" spans="1:9" ht="30" x14ac:dyDescent="0.25">
      <c r="A545" s="54" t="s">
        <v>233</v>
      </c>
      <c r="B545" s="43" t="s">
        <v>2159</v>
      </c>
      <c r="C545" s="37"/>
      <c r="D545" s="37"/>
      <c r="E545" s="37" t="s">
        <v>1974</v>
      </c>
      <c r="F545" s="37" t="b">
        <v>0</v>
      </c>
      <c r="G545" s="37">
        <v>200</v>
      </c>
      <c r="H545" s="37" t="b">
        <v>1</v>
      </c>
    </row>
    <row r="546" spans="1:9" ht="30" x14ac:dyDescent="0.25">
      <c r="A546" s="54" t="s">
        <v>233</v>
      </c>
      <c r="B546" s="31" t="s">
        <v>2160</v>
      </c>
      <c r="C546" s="28"/>
      <c r="D546" s="28"/>
      <c r="E546" s="28" t="s">
        <v>1974</v>
      </c>
      <c r="F546" s="28" t="b">
        <v>0</v>
      </c>
      <c r="G546" s="28">
        <v>200</v>
      </c>
      <c r="H546" s="28" t="b">
        <v>1</v>
      </c>
      <c r="I546" s="34"/>
    </row>
    <row r="547" spans="1:9" ht="30" x14ac:dyDescent="0.25">
      <c r="A547" s="54" t="s">
        <v>233</v>
      </c>
      <c r="B547" s="43" t="s">
        <v>2161</v>
      </c>
      <c r="C547" s="37"/>
      <c r="D547" s="37"/>
      <c r="E547" s="37" t="s">
        <v>1974</v>
      </c>
      <c r="F547" s="37" t="b">
        <v>0</v>
      </c>
      <c r="G547" s="37">
        <v>200</v>
      </c>
      <c r="H547" s="37" t="b">
        <v>1</v>
      </c>
    </row>
    <row r="548" spans="1:9" ht="30" x14ac:dyDescent="0.25">
      <c r="A548" s="54" t="s">
        <v>233</v>
      </c>
      <c r="B548" s="31" t="s">
        <v>2162</v>
      </c>
      <c r="C548" s="28"/>
      <c r="D548" s="28"/>
      <c r="E548" s="28" t="s">
        <v>1974</v>
      </c>
      <c r="F548" s="28" t="b">
        <v>0</v>
      </c>
      <c r="G548" s="28">
        <v>200</v>
      </c>
      <c r="H548" s="28" t="b">
        <v>1</v>
      </c>
      <c r="I548" s="34"/>
    </row>
    <row r="549" spans="1:9" ht="30" x14ac:dyDescent="0.25">
      <c r="A549" s="54" t="s">
        <v>233</v>
      </c>
      <c r="B549" s="43" t="s">
        <v>2163</v>
      </c>
      <c r="C549" s="37"/>
      <c r="D549" s="37"/>
      <c r="E549" s="37" t="s">
        <v>1974</v>
      </c>
      <c r="F549" s="37" t="b">
        <v>0</v>
      </c>
      <c r="G549" s="37">
        <v>200</v>
      </c>
      <c r="H549" s="37" t="b">
        <v>1</v>
      </c>
    </row>
    <row r="550" spans="1:9" ht="30" x14ac:dyDescent="0.25">
      <c r="A550" s="54" t="s">
        <v>233</v>
      </c>
      <c r="B550" s="31" t="s">
        <v>2164</v>
      </c>
      <c r="C550" s="28"/>
      <c r="D550" s="28"/>
      <c r="E550" s="28" t="s">
        <v>1974</v>
      </c>
      <c r="F550" s="28" t="b">
        <v>0</v>
      </c>
      <c r="G550" s="28">
        <v>200</v>
      </c>
      <c r="H550" s="28" t="b">
        <v>1</v>
      </c>
      <c r="I550" s="34"/>
    </row>
    <row r="551" spans="1:9" ht="30" x14ac:dyDescent="0.25">
      <c r="A551" s="54" t="s">
        <v>233</v>
      </c>
      <c r="B551" s="43" t="s">
        <v>2165</v>
      </c>
      <c r="C551" s="37"/>
      <c r="D551" s="37"/>
      <c r="E551" s="37" t="s">
        <v>1974</v>
      </c>
      <c r="F551" s="37" t="b">
        <v>0</v>
      </c>
      <c r="G551" s="37">
        <v>200</v>
      </c>
      <c r="H551" s="37" t="b">
        <v>1</v>
      </c>
    </row>
    <row r="552" spans="1:9" ht="30" x14ac:dyDescent="0.25">
      <c r="A552" s="54" t="s">
        <v>233</v>
      </c>
      <c r="B552" s="31" t="s">
        <v>2166</v>
      </c>
      <c r="C552" s="28"/>
      <c r="D552" s="28"/>
      <c r="E552" s="28" t="s">
        <v>1974</v>
      </c>
      <c r="F552" s="28" t="b">
        <v>0</v>
      </c>
      <c r="G552" s="28">
        <v>200</v>
      </c>
      <c r="H552" s="28" t="b">
        <v>1</v>
      </c>
      <c r="I552" s="34"/>
    </row>
    <row r="553" spans="1:9" ht="30" x14ac:dyDescent="0.25">
      <c r="A553" s="54" t="s">
        <v>233</v>
      </c>
      <c r="B553" s="43" t="s">
        <v>2167</v>
      </c>
      <c r="C553" s="37"/>
      <c r="D553" s="37"/>
      <c r="E553" s="37" t="s">
        <v>1974</v>
      </c>
      <c r="F553" s="37" t="b">
        <v>0</v>
      </c>
      <c r="G553" s="37">
        <v>200</v>
      </c>
      <c r="H553" s="37" t="b">
        <v>1</v>
      </c>
    </row>
    <row r="554" spans="1:9" ht="30" x14ac:dyDescent="0.25">
      <c r="A554" s="54" t="s">
        <v>233</v>
      </c>
      <c r="B554" s="31" t="s">
        <v>2168</v>
      </c>
      <c r="C554" s="28"/>
      <c r="D554" s="28"/>
      <c r="E554" s="28" t="s">
        <v>1974</v>
      </c>
      <c r="F554" s="28" t="b">
        <v>0</v>
      </c>
      <c r="G554" s="28">
        <v>200</v>
      </c>
      <c r="H554" s="28" t="b">
        <v>1</v>
      </c>
      <c r="I554" s="34"/>
    </row>
    <row r="555" spans="1:9" ht="30" x14ac:dyDescent="0.25">
      <c r="A555" s="54" t="s">
        <v>233</v>
      </c>
      <c r="B555" s="43" t="s">
        <v>2169</v>
      </c>
      <c r="C555" s="37"/>
      <c r="D555" s="37"/>
      <c r="E555" s="37" t="s">
        <v>1974</v>
      </c>
      <c r="F555" s="37" t="b">
        <v>0</v>
      </c>
      <c r="G555" s="37">
        <v>200</v>
      </c>
      <c r="H555" s="37" t="b">
        <v>1</v>
      </c>
    </row>
    <row r="556" spans="1:9" ht="30" x14ac:dyDescent="0.25">
      <c r="A556" s="54" t="s">
        <v>233</v>
      </c>
      <c r="B556" s="31" t="s">
        <v>2170</v>
      </c>
      <c r="C556" s="28"/>
      <c r="D556" s="28"/>
      <c r="E556" s="28" t="s">
        <v>1974</v>
      </c>
      <c r="F556" s="28" t="b">
        <v>0</v>
      </c>
      <c r="G556" s="28">
        <v>200</v>
      </c>
      <c r="H556" s="28" t="b">
        <v>1</v>
      </c>
      <c r="I556" s="34"/>
    </row>
    <row r="557" spans="1:9" ht="30" x14ac:dyDescent="0.25">
      <c r="A557" s="54" t="s">
        <v>233</v>
      </c>
      <c r="B557" s="43" t="s">
        <v>2171</v>
      </c>
      <c r="C557" s="37"/>
      <c r="D557" s="37"/>
      <c r="E557" s="37" t="s">
        <v>1974</v>
      </c>
      <c r="F557" s="37" t="b">
        <v>0</v>
      </c>
      <c r="G557" s="37">
        <v>200</v>
      </c>
      <c r="H557" s="37" t="b">
        <v>1</v>
      </c>
    </row>
    <row r="558" spans="1:9" ht="30" x14ac:dyDescent="0.25">
      <c r="A558" s="54" t="s">
        <v>233</v>
      </c>
      <c r="B558" s="31" t="s">
        <v>2172</v>
      </c>
      <c r="C558" s="28"/>
      <c r="D558" s="28"/>
      <c r="E558" s="28" t="s">
        <v>1974</v>
      </c>
      <c r="F558" s="28" t="b">
        <v>0</v>
      </c>
      <c r="G558" s="28">
        <v>200</v>
      </c>
      <c r="H558" s="28" t="b">
        <v>1</v>
      </c>
      <c r="I558" s="34"/>
    </row>
    <row r="559" spans="1:9" ht="30" x14ac:dyDescent="0.25">
      <c r="A559" s="54" t="s">
        <v>233</v>
      </c>
      <c r="B559" s="43" t="s">
        <v>2173</v>
      </c>
      <c r="C559" s="37"/>
      <c r="D559" s="37"/>
      <c r="E559" s="37" t="s">
        <v>1974</v>
      </c>
      <c r="F559" s="37" t="b">
        <v>0</v>
      </c>
      <c r="G559" s="37">
        <v>200</v>
      </c>
      <c r="H559" s="37" t="b">
        <v>1</v>
      </c>
    </row>
    <row r="560" spans="1:9" ht="30" x14ac:dyDescent="0.25">
      <c r="A560" s="54" t="s">
        <v>233</v>
      </c>
      <c r="B560" s="31" t="s">
        <v>2174</v>
      </c>
      <c r="C560" s="28"/>
      <c r="D560" s="28"/>
      <c r="E560" s="28" t="s">
        <v>1974</v>
      </c>
      <c r="F560" s="28" t="b">
        <v>0</v>
      </c>
      <c r="G560" s="28">
        <v>200</v>
      </c>
      <c r="H560" s="28" t="b">
        <v>1</v>
      </c>
      <c r="I560" s="34"/>
    </row>
    <row r="561" spans="1:9" ht="30" x14ac:dyDescent="0.25">
      <c r="A561" s="54" t="s">
        <v>233</v>
      </c>
      <c r="B561" s="43" t="s">
        <v>2175</v>
      </c>
      <c r="C561" s="37"/>
      <c r="D561" s="37"/>
      <c r="E561" s="37" t="s">
        <v>1974</v>
      </c>
      <c r="F561" s="37" t="b">
        <v>0</v>
      </c>
      <c r="G561" s="37">
        <v>200</v>
      </c>
      <c r="H561" s="37" t="b">
        <v>1</v>
      </c>
    </row>
    <row r="562" spans="1:9" ht="30" x14ac:dyDescent="0.25">
      <c r="A562" s="54" t="s">
        <v>233</v>
      </c>
      <c r="B562" s="31" t="s">
        <v>2176</v>
      </c>
      <c r="C562" s="28"/>
      <c r="D562" s="28"/>
      <c r="E562" s="28" t="s">
        <v>1974</v>
      </c>
      <c r="F562" s="28" t="b">
        <v>0</v>
      </c>
      <c r="G562" s="28">
        <v>200</v>
      </c>
      <c r="H562" s="28" t="b">
        <v>1</v>
      </c>
      <c r="I562" s="34"/>
    </row>
    <row r="563" spans="1:9" ht="30" x14ac:dyDescent="0.25">
      <c r="A563" s="54" t="s">
        <v>233</v>
      </c>
      <c r="B563" s="43" t="s">
        <v>2177</v>
      </c>
      <c r="C563" s="37"/>
      <c r="D563" s="37"/>
      <c r="E563" s="37" t="s">
        <v>1974</v>
      </c>
      <c r="F563" s="37" t="b">
        <v>0</v>
      </c>
      <c r="G563" s="37">
        <v>200</v>
      </c>
      <c r="H563" s="37" t="b">
        <v>1</v>
      </c>
    </row>
    <row r="564" spans="1:9" ht="30" x14ac:dyDescent="0.25">
      <c r="A564" s="54" t="s">
        <v>233</v>
      </c>
      <c r="B564" s="31" t="s">
        <v>2178</v>
      </c>
      <c r="C564" s="28"/>
      <c r="D564" s="28"/>
      <c r="E564" s="28" t="s">
        <v>1974</v>
      </c>
      <c r="F564" s="28" t="b">
        <v>0</v>
      </c>
      <c r="G564" s="28">
        <v>200</v>
      </c>
      <c r="H564" s="28" t="b">
        <v>1</v>
      </c>
      <c r="I564" s="34"/>
    </row>
    <row r="565" spans="1:9" ht="30" x14ac:dyDescent="0.25">
      <c r="A565" s="54" t="s">
        <v>233</v>
      </c>
      <c r="B565" s="43" t="s">
        <v>2179</v>
      </c>
      <c r="C565" s="37"/>
      <c r="D565" s="37"/>
      <c r="E565" s="37" t="s">
        <v>1974</v>
      </c>
      <c r="F565" s="37" t="b">
        <v>0</v>
      </c>
      <c r="G565" s="37">
        <v>200</v>
      </c>
      <c r="H565" s="37" t="b">
        <v>1</v>
      </c>
    </row>
    <row r="566" spans="1:9" ht="30" x14ac:dyDescent="0.25">
      <c r="A566" s="54" t="s">
        <v>233</v>
      </c>
      <c r="B566" s="31" t="s">
        <v>2180</v>
      </c>
      <c r="C566" s="28"/>
      <c r="D566" s="28"/>
      <c r="E566" s="28" t="s">
        <v>1974</v>
      </c>
      <c r="F566" s="28" t="b">
        <v>0</v>
      </c>
      <c r="G566" s="28">
        <v>200</v>
      </c>
      <c r="H566" s="28" t="b">
        <v>1</v>
      </c>
      <c r="I566" s="34"/>
    </row>
    <row r="567" spans="1:9" ht="30" x14ac:dyDescent="0.25">
      <c r="A567" s="54" t="s">
        <v>233</v>
      </c>
      <c r="B567" s="43" t="s">
        <v>2181</v>
      </c>
      <c r="C567" s="37"/>
      <c r="D567" s="37"/>
      <c r="E567" s="37" t="s">
        <v>1974</v>
      </c>
      <c r="F567" s="37" t="b">
        <v>0</v>
      </c>
      <c r="G567" s="37">
        <v>200</v>
      </c>
      <c r="H567" s="37" t="b">
        <v>1</v>
      </c>
    </row>
    <row r="568" spans="1:9" ht="30" x14ac:dyDescent="0.25">
      <c r="A568" s="54" t="s">
        <v>233</v>
      </c>
      <c r="B568" s="31" t="s">
        <v>2182</v>
      </c>
      <c r="C568" s="28"/>
      <c r="D568" s="28"/>
      <c r="E568" s="28" t="s">
        <v>1974</v>
      </c>
      <c r="F568" s="28" t="b">
        <v>0</v>
      </c>
      <c r="G568" s="28">
        <v>200</v>
      </c>
      <c r="H568" s="28" t="b">
        <v>1</v>
      </c>
      <c r="I568" s="34"/>
    </row>
    <row r="569" spans="1:9" ht="30" x14ac:dyDescent="0.25">
      <c r="A569" s="54" t="s">
        <v>233</v>
      </c>
      <c r="B569" s="43" t="s">
        <v>2183</v>
      </c>
      <c r="C569" s="37"/>
      <c r="D569" s="37"/>
      <c r="E569" s="37" t="s">
        <v>1974</v>
      </c>
      <c r="F569" s="37" t="b">
        <v>0</v>
      </c>
      <c r="G569" s="37">
        <v>200</v>
      </c>
      <c r="H569" s="37" t="b">
        <v>1</v>
      </c>
    </row>
    <row r="570" spans="1:9" ht="30" x14ac:dyDescent="0.25">
      <c r="A570" s="54" t="s">
        <v>233</v>
      </c>
      <c r="B570" s="31" t="s">
        <v>2184</v>
      </c>
      <c r="C570" s="28"/>
      <c r="D570" s="28"/>
      <c r="E570" s="28" t="s">
        <v>1974</v>
      </c>
      <c r="F570" s="28" t="b">
        <v>0</v>
      </c>
      <c r="G570" s="28">
        <v>200</v>
      </c>
      <c r="H570" s="28" t="b">
        <v>1</v>
      </c>
      <c r="I570" s="34"/>
    </row>
    <row r="571" spans="1:9" ht="30" x14ac:dyDescent="0.25">
      <c r="A571" s="54" t="s">
        <v>233</v>
      </c>
      <c r="B571" s="43" t="s">
        <v>2185</v>
      </c>
      <c r="C571" s="37"/>
      <c r="D571" s="37"/>
      <c r="E571" s="37" t="s">
        <v>1974</v>
      </c>
      <c r="F571" s="37" t="b">
        <v>0</v>
      </c>
      <c r="G571" s="37">
        <v>200</v>
      </c>
      <c r="H571" s="37" t="b">
        <v>1</v>
      </c>
    </row>
    <row r="572" spans="1:9" ht="30" x14ac:dyDescent="0.25">
      <c r="A572" s="54" t="s">
        <v>233</v>
      </c>
      <c r="B572" s="31" t="s">
        <v>2186</v>
      </c>
      <c r="C572" s="28"/>
      <c r="D572" s="28"/>
      <c r="E572" s="28" t="s">
        <v>1974</v>
      </c>
      <c r="F572" s="28" t="b">
        <v>0</v>
      </c>
      <c r="G572" s="28">
        <v>200</v>
      </c>
      <c r="H572" s="28" t="b">
        <v>1</v>
      </c>
      <c r="I572" s="34"/>
    </row>
    <row r="573" spans="1:9" ht="30" x14ac:dyDescent="0.25">
      <c r="A573" s="54" t="s">
        <v>233</v>
      </c>
      <c r="B573" s="43" t="s">
        <v>2187</v>
      </c>
      <c r="C573" s="37"/>
      <c r="D573" s="37"/>
      <c r="E573" s="37" t="s">
        <v>1974</v>
      </c>
      <c r="F573" s="37" t="b">
        <v>0</v>
      </c>
      <c r="G573" s="37">
        <v>200</v>
      </c>
      <c r="H573" s="37" t="b">
        <v>1</v>
      </c>
    </row>
    <row r="574" spans="1:9" ht="30" x14ac:dyDescent="0.25">
      <c r="A574" s="54" t="s">
        <v>233</v>
      </c>
      <c r="B574" s="31" t="s">
        <v>2188</v>
      </c>
      <c r="C574" s="28"/>
      <c r="D574" s="28"/>
      <c r="E574" s="28" t="s">
        <v>1974</v>
      </c>
      <c r="F574" s="28" t="b">
        <v>0</v>
      </c>
      <c r="G574" s="28">
        <v>200</v>
      </c>
      <c r="H574" s="28" t="b">
        <v>1</v>
      </c>
      <c r="I574" s="34"/>
    </row>
    <row r="575" spans="1:9" ht="30" x14ac:dyDescent="0.25">
      <c r="A575" s="54" t="s">
        <v>233</v>
      </c>
      <c r="B575" s="43" t="s">
        <v>2189</v>
      </c>
      <c r="C575" s="37"/>
      <c r="D575" s="37"/>
      <c r="E575" s="37" t="s">
        <v>1974</v>
      </c>
      <c r="F575" s="37" t="b">
        <v>0</v>
      </c>
      <c r="G575" s="37">
        <v>200</v>
      </c>
      <c r="H575" s="37" t="b">
        <v>1</v>
      </c>
    </row>
    <row r="576" spans="1:9" ht="30" x14ac:dyDescent="0.25">
      <c r="A576" s="54" t="s">
        <v>233</v>
      </c>
      <c r="B576" s="31" t="s">
        <v>2190</v>
      </c>
      <c r="C576" s="28"/>
      <c r="D576" s="28"/>
      <c r="E576" s="28" t="s">
        <v>1974</v>
      </c>
      <c r="F576" s="28" t="b">
        <v>0</v>
      </c>
      <c r="G576" s="28">
        <v>200</v>
      </c>
      <c r="H576" s="28" t="b">
        <v>1</v>
      </c>
      <c r="I576" s="34"/>
    </row>
    <row r="577" spans="1:9" ht="30" x14ac:dyDescent="0.25">
      <c r="A577" s="54" t="s">
        <v>233</v>
      </c>
      <c r="B577" s="43" t="s">
        <v>2191</v>
      </c>
      <c r="C577" s="37"/>
      <c r="D577" s="37"/>
      <c r="E577" s="37" t="s">
        <v>1974</v>
      </c>
      <c r="F577" s="37" t="b">
        <v>0</v>
      </c>
      <c r="G577" s="37">
        <v>200</v>
      </c>
      <c r="H577" s="37" t="b">
        <v>1</v>
      </c>
    </row>
    <row r="578" spans="1:9" ht="30" x14ac:dyDescent="0.25">
      <c r="A578" s="54" t="s">
        <v>233</v>
      </c>
      <c r="B578" s="31" t="s">
        <v>2192</v>
      </c>
      <c r="C578" s="28"/>
      <c r="D578" s="28"/>
      <c r="E578" s="28" t="s">
        <v>1974</v>
      </c>
      <c r="F578" s="28" t="b">
        <v>0</v>
      </c>
      <c r="G578" s="28">
        <v>200</v>
      </c>
      <c r="H578" s="28" t="b">
        <v>1</v>
      </c>
      <c r="I578" s="34"/>
    </row>
    <row r="579" spans="1:9" ht="30" x14ac:dyDescent="0.25">
      <c r="A579" s="54" t="s">
        <v>233</v>
      </c>
      <c r="B579" s="43" t="s">
        <v>2193</v>
      </c>
      <c r="C579" s="37"/>
      <c r="D579" s="37"/>
      <c r="E579" s="37" t="s">
        <v>1974</v>
      </c>
      <c r="F579" s="37" t="b">
        <v>0</v>
      </c>
      <c r="G579" s="37">
        <v>200</v>
      </c>
      <c r="H579" s="37" t="b">
        <v>1</v>
      </c>
    </row>
    <row r="580" spans="1:9" ht="30" x14ac:dyDescent="0.25">
      <c r="A580" s="54" t="s">
        <v>233</v>
      </c>
      <c r="B580" s="31" t="s">
        <v>2194</v>
      </c>
      <c r="C580" s="28"/>
      <c r="D580" s="28"/>
      <c r="E580" s="28" t="s">
        <v>1974</v>
      </c>
      <c r="F580" s="28" t="b">
        <v>0</v>
      </c>
      <c r="G580" s="28">
        <v>200</v>
      </c>
      <c r="H580" s="28" t="b">
        <v>1</v>
      </c>
      <c r="I580" s="34"/>
    </row>
    <row r="581" spans="1:9" ht="30" x14ac:dyDescent="0.25">
      <c r="A581" s="54" t="s">
        <v>233</v>
      </c>
      <c r="B581" s="43" t="s">
        <v>2195</v>
      </c>
      <c r="C581" s="37"/>
      <c r="D581" s="37"/>
      <c r="E581" s="37" t="s">
        <v>1974</v>
      </c>
      <c r="F581" s="37" t="b">
        <v>0</v>
      </c>
      <c r="G581" s="37">
        <v>200</v>
      </c>
      <c r="H581" s="37" t="b">
        <v>1</v>
      </c>
    </row>
    <row r="582" spans="1:9" ht="30" x14ac:dyDescent="0.25">
      <c r="A582" s="54" t="s">
        <v>233</v>
      </c>
      <c r="B582" s="31" t="s">
        <v>2196</v>
      </c>
      <c r="C582" s="28"/>
      <c r="D582" s="28"/>
      <c r="E582" s="28" t="s">
        <v>1974</v>
      </c>
      <c r="F582" s="28" t="b">
        <v>0</v>
      </c>
      <c r="G582" s="28">
        <v>200</v>
      </c>
      <c r="H582" s="28" t="b">
        <v>1</v>
      </c>
      <c r="I582" s="34"/>
    </row>
    <row r="583" spans="1:9" ht="30" x14ac:dyDescent="0.25">
      <c r="A583" s="54" t="s">
        <v>233</v>
      </c>
      <c r="B583" s="43" t="s">
        <v>2197</v>
      </c>
      <c r="C583" s="37"/>
      <c r="D583" s="37"/>
      <c r="E583" s="37" t="s">
        <v>1974</v>
      </c>
      <c r="F583" s="37" t="b">
        <v>0</v>
      </c>
      <c r="G583" s="37">
        <v>200</v>
      </c>
      <c r="H583" s="37" t="b">
        <v>1</v>
      </c>
    </row>
    <row r="584" spans="1:9" ht="30" x14ac:dyDescent="0.25">
      <c r="A584" s="54" t="s">
        <v>233</v>
      </c>
      <c r="B584" s="31" t="s">
        <v>2198</v>
      </c>
      <c r="C584" s="28"/>
      <c r="D584" s="28"/>
      <c r="E584" s="28" t="s">
        <v>1974</v>
      </c>
      <c r="F584" s="28" t="b">
        <v>0</v>
      </c>
      <c r="G584" s="28">
        <v>200</v>
      </c>
      <c r="H584" s="28" t="b">
        <v>1</v>
      </c>
      <c r="I584" s="34"/>
    </row>
    <row r="585" spans="1:9" ht="30" x14ac:dyDescent="0.25">
      <c r="A585" s="54" t="s">
        <v>233</v>
      </c>
      <c r="B585" s="43" t="s">
        <v>2199</v>
      </c>
      <c r="C585" s="37"/>
      <c r="D585" s="37"/>
      <c r="E585" s="37" t="s">
        <v>1974</v>
      </c>
      <c r="F585" s="37" t="b">
        <v>0</v>
      </c>
      <c r="G585" s="37">
        <v>200</v>
      </c>
      <c r="H585" s="37" t="b">
        <v>1</v>
      </c>
    </row>
    <row r="586" spans="1:9" ht="30" x14ac:dyDescent="0.25">
      <c r="A586" s="54" t="s">
        <v>233</v>
      </c>
      <c r="B586" s="31" t="s">
        <v>2200</v>
      </c>
      <c r="C586" s="28"/>
      <c r="D586" s="28"/>
      <c r="E586" s="28" t="s">
        <v>1974</v>
      </c>
      <c r="F586" s="28" t="b">
        <v>0</v>
      </c>
      <c r="G586" s="28">
        <v>200</v>
      </c>
      <c r="H586" s="28" t="b">
        <v>1</v>
      </c>
      <c r="I586" s="34"/>
    </row>
    <row r="587" spans="1:9" ht="30" x14ac:dyDescent="0.25">
      <c r="A587" s="54" t="s">
        <v>233</v>
      </c>
      <c r="B587" s="43" t="s">
        <v>2201</v>
      </c>
      <c r="C587" s="37"/>
      <c r="D587" s="37"/>
      <c r="E587" s="37" t="s">
        <v>1974</v>
      </c>
      <c r="F587" s="37" t="b">
        <v>0</v>
      </c>
      <c r="G587" s="37">
        <v>200</v>
      </c>
      <c r="H587" s="37" t="b">
        <v>1</v>
      </c>
    </row>
    <row r="588" spans="1:9" ht="30" x14ac:dyDescent="0.25">
      <c r="A588" s="54" t="s">
        <v>233</v>
      </c>
      <c r="B588" s="31" t="s">
        <v>2202</v>
      </c>
      <c r="C588" s="28"/>
      <c r="D588" s="28"/>
      <c r="E588" s="28" t="s">
        <v>1974</v>
      </c>
      <c r="F588" s="28" t="b">
        <v>0</v>
      </c>
      <c r="G588" s="28">
        <v>200</v>
      </c>
      <c r="H588" s="28" t="b">
        <v>1</v>
      </c>
      <c r="I588" s="34"/>
    </row>
    <row r="589" spans="1:9" ht="30" x14ac:dyDescent="0.25">
      <c r="A589" s="54" t="s">
        <v>233</v>
      </c>
      <c r="B589" s="43" t="s">
        <v>2203</v>
      </c>
      <c r="C589" s="37"/>
      <c r="D589" s="37"/>
      <c r="E589" s="37" t="s">
        <v>1974</v>
      </c>
      <c r="F589" s="37" t="b">
        <v>0</v>
      </c>
      <c r="G589" s="37">
        <v>200</v>
      </c>
      <c r="H589" s="37" t="b">
        <v>1</v>
      </c>
    </row>
    <row r="590" spans="1:9" ht="30" x14ac:dyDescent="0.25">
      <c r="A590" s="54" t="s">
        <v>233</v>
      </c>
      <c r="B590" s="31" t="s">
        <v>2204</v>
      </c>
      <c r="C590" s="28"/>
      <c r="D590" s="28"/>
      <c r="E590" s="28" t="s">
        <v>1974</v>
      </c>
      <c r="F590" s="28" t="b">
        <v>0</v>
      </c>
      <c r="G590" s="28">
        <v>200</v>
      </c>
      <c r="H590" s="28" t="b">
        <v>1</v>
      </c>
      <c r="I590" s="34"/>
    </row>
    <row r="591" spans="1:9" ht="30" x14ac:dyDescent="0.25">
      <c r="A591" s="54" t="s">
        <v>233</v>
      </c>
      <c r="B591" s="43" t="s">
        <v>2205</v>
      </c>
      <c r="C591" s="37"/>
      <c r="D591" s="37"/>
      <c r="E591" s="37" t="s">
        <v>1974</v>
      </c>
      <c r="F591" s="37" t="b">
        <v>0</v>
      </c>
      <c r="G591" s="37">
        <v>200</v>
      </c>
      <c r="H591" s="37" t="b">
        <v>1</v>
      </c>
    </row>
    <row r="592" spans="1:9" ht="30" x14ac:dyDescent="0.25">
      <c r="A592" s="54" t="s">
        <v>233</v>
      </c>
      <c r="B592" s="31" t="s">
        <v>2206</v>
      </c>
      <c r="C592" s="28"/>
      <c r="D592" s="28"/>
      <c r="E592" s="28" t="s">
        <v>1974</v>
      </c>
      <c r="F592" s="28" t="b">
        <v>0</v>
      </c>
      <c r="G592" s="28">
        <v>200</v>
      </c>
      <c r="H592" s="28" t="b">
        <v>1</v>
      </c>
      <c r="I592" s="34"/>
    </row>
    <row r="593" spans="1:9" ht="30" x14ac:dyDescent="0.25">
      <c r="A593" s="54" t="s">
        <v>233</v>
      </c>
      <c r="B593" s="43" t="s">
        <v>2207</v>
      </c>
      <c r="C593" s="37"/>
      <c r="D593" s="37"/>
      <c r="E593" s="37" t="s">
        <v>1974</v>
      </c>
      <c r="F593" s="37" t="b">
        <v>0</v>
      </c>
      <c r="G593" s="37">
        <v>200</v>
      </c>
      <c r="H593" s="37" t="b">
        <v>1</v>
      </c>
    </row>
    <row r="594" spans="1:9" ht="30" x14ac:dyDescent="0.25">
      <c r="A594" s="54" t="s">
        <v>233</v>
      </c>
      <c r="B594" s="31" t="s">
        <v>2208</v>
      </c>
      <c r="C594" s="28"/>
      <c r="D594" s="28"/>
      <c r="E594" s="28" t="s">
        <v>1974</v>
      </c>
      <c r="F594" s="28" t="b">
        <v>0</v>
      </c>
      <c r="G594" s="28">
        <v>200</v>
      </c>
      <c r="H594" s="28" t="b">
        <v>1</v>
      </c>
      <c r="I594" s="34"/>
    </row>
    <row r="595" spans="1:9" ht="30" x14ac:dyDescent="0.25">
      <c r="A595" s="54" t="s">
        <v>233</v>
      </c>
      <c r="B595" s="43" t="s">
        <v>2209</v>
      </c>
      <c r="C595" s="37"/>
      <c r="D595" s="37"/>
      <c r="E595" s="37" t="s">
        <v>1974</v>
      </c>
      <c r="F595" s="37" t="b">
        <v>0</v>
      </c>
      <c r="G595" s="37">
        <v>200</v>
      </c>
      <c r="H595" s="37" t="b">
        <v>1</v>
      </c>
    </row>
    <row r="596" spans="1:9" ht="30" x14ac:dyDescent="0.25">
      <c r="A596" s="54" t="s">
        <v>233</v>
      </c>
      <c r="B596" s="31" t="s">
        <v>2210</v>
      </c>
      <c r="C596" s="28"/>
      <c r="D596" s="28"/>
      <c r="E596" s="28" t="s">
        <v>1974</v>
      </c>
      <c r="F596" s="28" t="b">
        <v>0</v>
      </c>
      <c r="G596" s="28">
        <v>200</v>
      </c>
      <c r="H596" s="28" t="b">
        <v>1</v>
      </c>
      <c r="I596" s="34"/>
    </row>
    <row r="597" spans="1:9" ht="30" x14ac:dyDescent="0.25">
      <c r="A597" s="54" t="s">
        <v>233</v>
      </c>
      <c r="B597" s="43" t="s">
        <v>2211</v>
      </c>
      <c r="C597" s="37"/>
      <c r="D597" s="37"/>
      <c r="E597" s="37" t="s">
        <v>1974</v>
      </c>
      <c r="F597" s="37" t="b">
        <v>0</v>
      </c>
      <c r="G597" s="37">
        <v>200</v>
      </c>
      <c r="H597" s="37" t="b">
        <v>1</v>
      </c>
    </row>
    <row r="598" spans="1:9" ht="30" x14ac:dyDescent="0.25">
      <c r="A598" s="54" t="s">
        <v>233</v>
      </c>
      <c r="B598" s="31" t="s">
        <v>2212</v>
      </c>
      <c r="C598" s="28"/>
      <c r="D598" s="28"/>
      <c r="E598" s="28" t="s">
        <v>1974</v>
      </c>
      <c r="F598" s="28" t="b">
        <v>0</v>
      </c>
      <c r="G598" s="28">
        <v>200</v>
      </c>
      <c r="H598" s="28" t="b">
        <v>1</v>
      </c>
      <c r="I598" s="34"/>
    </row>
    <row r="599" spans="1:9" ht="30" x14ac:dyDescent="0.25">
      <c r="A599" s="54" t="s">
        <v>233</v>
      </c>
      <c r="B599" s="43" t="s">
        <v>2213</v>
      </c>
      <c r="C599" s="37"/>
      <c r="D599" s="37"/>
      <c r="E599" s="37" t="s">
        <v>1974</v>
      </c>
      <c r="F599" s="37" t="b">
        <v>0</v>
      </c>
      <c r="G599" s="37">
        <v>200</v>
      </c>
      <c r="H599" s="37" t="b">
        <v>1</v>
      </c>
    </row>
    <row r="600" spans="1:9" ht="30" x14ac:dyDescent="0.25">
      <c r="A600" s="54" t="s">
        <v>233</v>
      </c>
      <c r="B600" s="31" t="s">
        <v>2214</v>
      </c>
      <c r="C600" s="28"/>
      <c r="D600" s="28"/>
      <c r="E600" s="28" t="s">
        <v>1974</v>
      </c>
      <c r="F600" s="28" t="b">
        <v>0</v>
      </c>
      <c r="G600" s="28">
        <v>200</v>
      </c>
      <c r="H600" s="28" t="b">
        <v>1</v>
      </c>
      <c r="I600" s="34"/>
    </row>
    <row r="601" spans="1:9" ht="30" x14ac:dyDescent="0.25">
      <c r="A601" s="54" t="s">
        <v>233</v>
      </c>
      <c r="B601" s="43" t="s">
        <v>2215</v>
      </c>
      <c r="C601" s="37"/>
      <c r="D601" s="37"/>
      <c r="E601" s="37" t="s">
        <v>1974</v>
      </c>
      <c r="F601" s="37" t="b">
        <v>0</v>
      </c>
      <c r="G601" s="37">
        <v>200</v>
      </c>
      <c r="H601" s="37" t="b">
        <v>1</v>
      </c>
    </row>
    <row r="602" spans="1:9" ht="30" x14ac:dyDescent="0.25">
      <c r="A602" s="54" t="s">
        <v>233</v>
      </c>
      <c r="B602" s="31" t="s">
        <v>2216</v>
      </c>
      <c r="C602" s="28"/>
      <c r="D602" s="28"/>
      <c r="E602" s="28" t="s">
        <v>1974</v>
      </c>
      <c r="F602" s="28" t="b">
        <v>0</v>
      </c>
      <c r="G602" s="28">
        <v>200</v>
      </c>
      <c r="H602" s="28" t="b">
        <v>1</v>
      </c>
      <c r="I602" s="34"/>
    </row>
    <row r="603" spans="1:9" ht="30" x14ac:dyDescent="0.25">
      <c r="A603" s="54" t="s">
        <v>233</v>
      </c>
      <c r="B603" s="43" t="s">
        <v>2217</v>
      </c>
      <c r="C603" s="37"/>
      <c r="D603" s="37"/>
      <c r="E603" s="37" t="s">
        <v>1974</v>
      </c>
      <c r="F603" s="37" t="b">
        <v>0</v>
      </c>
      <c r="G603" s="37">
        <v>200</v>
      </c>
      <c r="H603" s="37" t="b">
        <v>1</v>
      </c>
    </row>
    <row r="604" spans="1:9" ht="30" x14ac:dyDescent="0.25">
      <c r="A604" s="54" t="s">
        <v>233</v>
      </c>
      <c r="B604" s="31" t="s">
        <v>2218</v>
      </c>
      <c r="C604" s="28"/>
      <c r="D604" s="28"/>
      <c r="E604" s="28" t="s">
        <v>1974</v>
      </c>
      <c r="F604" s="28" t="b">
        <v>0</v>
      </c>
      <c r="G604" s="28">
        <v>200</v>
      </c>
      <c r="H604" s="28" t="b">
        <v>1</v>
      </c>
      <c r="I604" s="34"/>
    </row>
    <row r="605" spans="1:9" ht="30" x14ac:dyDescent="0.25">
      <c r="A605" s="54" t="s">
        <v>233</v>
      </c>
      <c r="B605" s="43" t="s">
        <v>2219</v>
      </c>
      <c r="C605" s="37"/>
      <c r="D605" s="37"/>
      <c r="E605" s="37" t="s">
        <v>1974</v>
      </c>
      <c r="F605" s="37" t="b">
        <v>0</v>
      </c>
      <c r="G605" s="37">
        <v>200</v>
      </c>
      <c r="H605" s="37" t="b">
        <v>1</v>
      </c>
    </row>
    <row r="606" spans="1:9" ht="30" x14ac:dyDescent="0.25">
      <c r="A606" s="54" t="s">
        <v>233</v>
      </c>
      <c r="B606" s="31" t="s">
        <v>2220</v>
      </c>
      <c r="C606" s="28"/>
      <c r="D606" s="28"/>
      <c r="E606" s="28" t="s">
        <v>1974</v>
      </c>
      <c r="F606" s="28" t="b">
        <v>0</v>
      </c>
      <c r="G606" s="28">
        <v>200</v>
      </c>
      <c r="H606" s="28" t="b">
        <v>1</v>
      </c>
      <c r="I606" s="34"/>
    </row>
    <row r="607" spans="1:9" ht="30" x14ac:dyDescent="0.25">
      <c r="A607" s="54" t="s">
        <v>233</v>
      </c>
      <c r="B607" s="43" t="s">
        <v>2221</v>
      </c>
      <c r="C607" s="37"/>
      <c r="D607" s="37"/>
      <c r="E607" s="37" t="s">
        <v>1974</v>
      </c>
      <c r="F607" s="37" t="b">
        <v>0</v>
      </c>
      <c r="G607" s="37">
        <v>200</v>
      </c>
      <c r="H607" s="37" t="b">
        <v>1</v>
      </c>
    </row>
    <row r="608" spans="1:9" ht="30" x14ac:dyDescent="0.25">
      <c r="A608" s="54" t="s">
        <v>233</v>
      </c>
      <c r="B608" s="31" t="s">
        <v>2222</v>
      </c>
      <c r="C608" s="28"/>
      <c r="D608" s="28"/>
      <c r="E608" s="28" t="s">
        <v>1974</v>
      </c>
      <c r="F608" s="28" t="b">
        <v>0</v>
      </c>
      <c r="G608" s="28">
        <v>200</v>
      </c>
      <c r="H608" s="28" t="b">
        <v>1</v>
      </c>
      <c r="I608" s="34"/>
    </row>
    <row r="609" spans="1:9" ht="30" x14ac:dyDescent="0.25">
      <c r="A609" s="54" t="s">
        <v>233</v>
      </c>
      <c r="B609" s="43" t="s">
        <v>2223</v>
      </c>
      <c r="C609" s="37"/>
      <c r="D609" s="37"/>
      <c r="E609" s="37" t="s">
        <v>1974</v>
      </c>
      <c r="F609" s="37" t="b">
        <v>0</v>
      </c>
      <c r="G609" s="37">
        <v>200</v>
      </c>
      <c r="H609" s="37" t="b">
        <v>1</v>
      </c>
    </row>
    <row r="610" spans="1:9" ht="30" x14ac:dyDescent="0.25">
      <c r="A610" s="54" t="s">
        <v>233</v>
      </c>
      <c r="B610" s="31" t="s">
        <v>2224</v>
      </c>
      <c r="C610" s="28"/>
      <c r="D610" s="28"/>
      <c r="E610" s="28" t="s">
        <v>1974</v>
      </c>
      <c r="F610" s="28" t="b">
        <v>0</v>
      </c>
      <c r="G610" s="28">
        <v>200</v>
      </c>
      <c r="H610" s="28" t="b">
        <v>1</v>
      </c>
      <c r="I610" s="34"/>
    </row>
    <row r="611" spans="1:9" ht="30" x14ac:dyDescent="0.25">
      <c r="A611" s="54" t="s">
        <v>233</v>
      </c>
      <c r="B611" s="43" t="s">
        <v>2225</v>
      </c>
      <c r="C611" s="37"/>
      <c r="D611" s="37"/>
      <c r="E611" s="37" t="s">
        <v>1974</v>
      </c>
      <c r="F611" s="37" t="b">
        <v>0</v>
      </c>
      <c r="G611" s="37">
        <v>200</v>
      </c>
      <c r="H611" s="37" t="b">
        <v>1</v>
      </c>
    </row>
    <row r="612" spans="1:9" ht="30" x14ac:dyDescent="0.25">
      <c r="A612" s="54" t="s">
        <v>233</v>
      </c>
      <c r="B612" s="31" t="s">
        <v>2226</v>
      </c>
      <c r="C612" s="28"/>
      <c r="D612" s="28"/>
      <c r="E612" s="28" t="s">
        <v>1974</v>
      </c>
      <c r="F612" s="28" t="b">
        <v>0</v>
      </c>
      <c r="G612" s="28">
        <v>200</v>
      </c>
      <c r="H612" s="28" t="b">
        <v>1</v>
      </c>
      <c r="I612" s="34"/>
    </row>
    <row r="613" spans="1:9" ht="30" x14ac:dyDescent="0.25">
      <c r="A613" s="54" t="s">
        <v>233</v>
      </c>
      <c r="B613" s="43" t="s">
        <v>2227</v>
      </c>
      <c r="C613" s="37"/>
      <c r="D613" s="37"/>
      <c r="E613" s="37" t="s">
        <v>1974</v>
      </c>
      <c r="F613" s="37" t="b">
        <v>0</v>
      </c>
      <c r="G613" s="37">
        <v>200</v>
      </c>
      <c r="H613" s="37" t="b">
        <v>1</v>
      </c>
    </row>
    <row r="614" spans="1:9" ht="30" x14ac:dyDescent="0.25">
      <c r="A614" s="54" t="s">
        <v>233</v>
      </c>
      <c r="B614" s="31" t="s">
        <v>2228</v>
      </c>
      <c r="C614" s="28"/>
      <c r="D614" s="28"/>
      <c r="E614" s="28" t="s">
        <v>1974</v>
      </c>
      <c r="F614" s="28" t="b">
        <v>0</v>
      </c>
      <c r="G614" s="28">
        <v>200</v>
      </c>
      <c r="H614" s="28" t="b">
        <v>1</v>
      </c>
      <c r="I614" s="34"/>
    </row>
    <row r="615" spans="1:9" ht="30" x14ac:dyDescent="0.25">
      <c r="A615" s="54" t="s">
        <v>233</v>
      </c>
      <c r="B615" s="43" t="s">
        <v>2229</v>
      </c>
      <c r="C615" s="37"/>
      <c r="D615" s="37"/>
      <c r="E615" s="37" t="s">
        <v>1974</v>
      </c>
      <c r="F615" s="37" t="b">
        <v>0</v>
      </c>
      <c r="G615" s="37">
        <v>200</v>
      </c>
      <c r="H615" s="37" t="b">
        <v>1</v>
      </c>
    </row>
    <row r="616" spans="1:9" ht="30" x14ac:dyDescent="0.25">
      <c r="A616" s="54" t="s">
        <v>233</v>
      </c>
      <c r="B616" s="31" t="s">
        <v>2230</v>
      </c>
      <c r="C616" s="28"/>
      <c r="D616" s="28"/>
      <c r="E616" s="28" t="s">
        <v>1974</v>
      </c>
      <c r="F616" s="28" t="b">
        <v>0</v>
      </c>
      <c r="G616" s="28">
        <v>200</v>
      </c>
      <c r="H616" s="28" t="b">
        <v>1</v>
      </c>
      <c r="I616" s="34"/>
    </row>
    <row r="617" spans="1:9" ht="30" x14ac:dyDescent="0.25">
      <c r="A617" s="54" t="s">
        <v>233</v>
      </c>
      <c r="B617" s="43" t="s">
        <v>2231</v>
      </c>
      <c r="C617" s="37"/>
      <c r="D617" s="37"/>
      <c r="E617" s="37" t="s">
        <v>1974</v>
      </c>
      <c r="F617" s="37" t="b">
        <v>0</v>
      </c>
      <c r="G617" s="37">
        <v>200</v>
      </c>
      <c r="H617" s="37" t="b">
        <v>1</v>
      </c>
    </row>
    <row r="618" spans="1:9" ht="30" x14ac:dyDescent="0.25">
      <c r="A618" s="54" t="s">
        <v>233</v>
      </c>
      <c r="B618" s="31" t="s">
        <v>2232</v>
      </c>
      <c r="C618" s="28"/>
      <c r="D618" s="28"/>
      <c r="E618" s="28" t="s">
        <v>1974</v>
      </c>
      <c r="F618" s="28" t="b">
        <v>0</v>
      </c>
      <c r="G618" s="28">
        <v>200</v>
      </c>
      <c r="H618" s="28" t="b">
        <v>1</v>
      </c>
      <c r="I618" s="34"/>
    </row>
    <row r="619" spans="1:9" ht="30" x14ac:dyDescent="0.25">
      <c r="A619" s="54" t="s">
        <v>233</v>
      </c>
      <c r="B619" s="43" t="s">
        <v>2233</v>
      </c>
      <c r="C619" s="37"/>
      <c r="D619" s="37"/>
      <c r="E619" s="37" t="s">
        <v>1974</v>
      </c>
      <c r="F619" s="37" t="b">
        <v>0</v>
      </c>
      <c r="G619" s="37">
        <v>200</v>
      </c>
      <c r="H619" s="37" t="b">
        <v>1</v>
      </c>
    </row>
    <row r="620" spans="1:9" ht="30" x14ac:dyDescent="0.25">
      <c r="A620" s="54" t="s">
        <v>233</v>
      </c>
      <c r="B620" s="31" t="s">
        <v>2234</v>
      </c>
      <c r="C620" s="28"/>
      <c r="D620" s="28"/>
      <c r="E620" s="28" t="s">
        <v>1974</v>
      </c>
      <c r="F620" s="28" t="b">
        <v>0</v>
      </c>
      <c r="G620" s="28">
        <v>200</v>
      </c>
      <c r="H620" s="28" t="b">
        <v>1</v>
      </c>
      <c r="I620" s="34"/>
    </row>
    <row r="621" spans="1:9" ht="30" x14ac:dyDescent="0.25">
      <c r="A621" s="54" t="s">
        <v>233</v>
      </c>
      <c r="B621" s="43" t="s">
        <v>2235</v>
      </c>
      <c r="C621" s="37"/>
      <c r="D621" s="37"/>
      <c r="E621" s="37" t="s">
        <v>1974</v>
      </c>
      <c r="F621" s="37" t="b">
        <v>0</v>
      </c>
      <c r="G621" s="37">
        <v>200</v>
      </c>
      <c r="H621" s="37" t="b">
        <v>1</v>
      </c>
    </row>
    <row r="622" spans="1:9" ht="30" x14ac:dyDescent="0.25">
      <c r="A622" s="54" t="s">
        <v>233</v>
      </c>
      <c r="B622" s="31" t="s">
        <v>2236</v>
      </c>
      <c r="C622" s="28"/>
      <c r="D622" s="28"/>
      <c r="E622" s="28" t="s">
        <v>1974</v>
      </c>
      <c r="F622" s="28" t="b">
        <v>0</v>
      </c>
      <c r="G622" s="28">
        <v>200</v>
      </c>
      <c r="H622" s="28" t="b">
        <v>1</v>
      </c>
      <c r="I622" s="34"/>
    </row>
    <row r="623" spans="1:9" ht="30" x14ac:dyDescent="0.25">
      <c r="A623" s="54" t="s">
        <v>233</v>
      </c>
      <c r="B623" s="43" t="s">
        <v>2237</v>
      </c>
      <c r="C623" s="37"/>
      <c r="D623" s="37"/>
      <c r="E623" s="37" t="s">
        <v>1974</v>
      </c>
      <c r="F623" s="37" t="b">
        <v>0</v>
      </c>
      <c r="G623" s="37">
        <v>200</v>
      </c>
      <c r="H623" s="37" t="b">
        <v>1</v>
      </c>
    </row>
    <row r="624" spans="1:9" ht="30" x14ac:dyDescent="0.25">
      <c r="A624" s="54" t="s">
        <v>233</v>
      </c>
      <c r="B624" s="31" t="s">
        <v>2238</v>
      </c>
      <c r="C624" s="28"/>
      <c r="D624" s="28"/>
      <c r="E624" s="28" t="s">
        <v>1974</v>
      </c>
      <c r="F624" s="28" t="b">
        <v>0</v>
      </c>
      <c r="G624" s="28">
        <v>200</v>
      </c>
      <c r="H624" s="28" t="b">
        <v>1</v>
      </c>
      <c r="I624" s="34"/>
    </row>
    <row r="625" spans="1:9" ht="30" x14ac:dyDescent="0.25">
      <c r="A625" s="54" t="s">
        <v>233</v>
      </c>
      <c r="B625" s="43" t="s">
        <v>2239</v>
      </c>
      <c r="C625" s="37"/>
      <c r="D625" s="37"/>
      <c r="E625" s="37" t="s">
        <v>1974</v>
      </c>
      <c r="F625" s="37" t="b">
        <v>0</v>
      </c>
      <c r="G625" s="37">
        <v>200</v>
      </c>
      <c r="H625" s="37" t="b">
        <v>1</v>
      </c>
    </row>
    <row r="626" spans="1:9" ht="30" x14ac:dyDescent="0.25">
      <c r="A626" s="54" t="s">
        <v>233</v>
      </c>
      <c r="B626" s="31" t="s">
        <v>2240</v>
      </c>
      <c r="C626" s="28"/>
      <c r="D626" s="28"/>
      <c r="E626" s="28" t="s">
        <v>1974</v>
      </c>
      <c r="F626" s="28" t="b">
        <v>0</v>
      </c>
      <c r="G626" s="28">
        <v>200</v>
      </c>
      <c r="H626" s="28" t="b">
        <v>1</v>
      </c>
      <c r="I626" s="34"/>
    </row>
    <row r="627" spans="1:9" ht="30" x14ac:dyDescent="0.25">
      <c r="A627" s="54" t="s">
        <v>233</v>
      </c>
      <c r="B627" s="43" t="s">
        <v>2241</v>
      </c>
      <c r="C627" s="37"/>
      <c r="D627" s="37"/>
      <c r="E627" s="37" t="s">
        <v>1974</v>
      </c>
      <c r="F627" s="37" t="b">
        <v>0</v>
      </c>
      <c r="G627" s="37">
        <v>200</v>
      </c>
      <c r="H627" s="37" t="b">
        <v>1</v>
      </c>
    </row>
    <row r="628" spans="1:9" ht="30" x14ac:dyDescent="0.25">
      <c r="A628" s="54" t="s">
        <v>233</v>
      </c>
      <c r="B628" s="31" t="s">
        <v>2242</v>
      </c>
      <c r="C628" s="28"/>
      <c r="D628" s="28"/>
      <c r="E628" s="28" t="s">
        <v>1974</v>
      </c>
      <c r="F628" s="28" t="b">
        <v>0</v>
      </c>
      <c r="G628" s="28">
        <v>200</v>
      </c>
      <c r="H628" s="28" t="b">
        <v>1</v>
      </c>
      <c r="I628" s="34"/>
    </row>
    <row r="629" spans="1:9" ht="30" x14ac:dyDescent="0.25">
      <c r="A629" s="54" t="s">
        <v>233</v>
      </c>
      <c r="B629" s="43" t="s">
        <v>2243</v>
      </c>
      <c r="C629" s="37"/>
      <c r="D629" s="37"/>
      <c r="E629" s="37" t="s">
        <v>1974</v>
      </c>
      <c r="F629" s="37" t="b">
        <v>0</v>
      </c>
      <c r="G629" s="37">
        <v>200</v>
      </c>
      <c r="H629" s="37" t="b">
        <v>1</v>
      </c>
    </row>
    <row r="630" spans="1:9" ht="30" x14ac:dyDescent="0.25">
      <c r="A630" s="54" t="s">
        <v>233</v>
      </c>
      <c r="B630" s="31" t="s">
        <v>2244</v>
      </c>
      <c r="C630" s="28"/>
      <c r="D630" s="28"/>
      <c r="E630" s="28" t="s">
        <v>1974</v>
      </c>
      <c r="F630" s="28" t="b">
        <v>0</v>
      </c>
      <c r="G630" s="28">
        <v>200</v>
      </c>
      <c r="H630" s="28" t="b">
        <v>1</v>
      </c>
      <c r="I630" s="34"/>
    </row>
    <row r="631" spans="1:9" ht="30" x14ac:dyDescent="0.25">
      <c r="A631" s="54" t="s">
        <v>233</v>
      </c>
      <c r="B631" s="43" t="s">
        <v>2245</v>
      </c>
      <c r="C631" s="37"/>
      <c r="D631" s="37"/>
      <c r="E631" s="37" t="s">
        <v>1974</v>
      </c>
      <c r="F631" s="37" t="b">
        <v>0</v>
      </c>
      <c r="G631" s="37">
        <v>200</v>
      </c>
      <c r="H631" s="37" t="b">
        <v>1</v>
      </c>
    </row>
    <row r="632" spans="1:9" ht="30" x14ac:dyDescent="0.25">
      <c r="A632" s="54" t="s">
        <v>233</v>
      </c>
      <c r="B632" s="31" t="s">
        <v>2246</v>
      </c>
      <c r="C632" s="28"/>
      <c r="D632" s="28"/>
      <c r="E632" s="28" t="s">
        <v>1974</v>
      </c>
      <c r="F632" s="28" t="b">
        <v>0</v>
      </c>
      <c r="G632" s="28">
        <v>200</v>
      </c>
      <c r="H632" s="28" t="b">
        <v>1</v>
      </c>
      <c r="I632" s="34"/>
    </row>
    <row r="633" spans="1:9" ht="30" x14ac:dyDescent="0.25">
      <c r="A633" s="54" t="s">
        <v>233</v>
      </c>
      <c r="B633" s="43" t="s">
        <v>2247</v>
      </c>
      <c r="C633" s="37"/>
      <c r="D633" s="37"/>
      <c r="E633" s="37" t="s">
        <v>1974</v>
      </c>
      <c r="F633" s="37" t="b">
        <v>0</v>
      </c>
      <c r="G633" s="37">
        <v>200</v>
      </c>
      <c r="H633" s="37" t="b">
        <v>1</v>
      </c>
    </row>
    <row r="634" spans="1:9" ht="30" x14ac:dyDescent="0.25">
      <c r="A634" s="54" t="s">
        <v>233</v>
      </c>
      <c r="B634" s="31" t="s">
        <v>2248</v>
      </c>
      <c r="C634" s="28"/>
      <c r="D634" s="28"/>
      <c r="E634" s="28" t="s">
        <v>1974</v>
      </c>
      <c r="F634" s="28" t="b">
        <v>0</v>
      </c>
      <c r="G634" s="28">
        <v>200</v>
      </c>
      <c r="H634" s="28" t="b">
        <v>1</v>
      </c>
      <c r="I634" s="34"/>
    </row>
    <row r="635" spans="1:9" ht="30" x14ac:dyDescent="0.25">
      <c r="A635" s="54" t="s">
        <v>233</v>
      </c>
      <c r="B635" s="43" t="s">
        <v>2249</v>
      </c>
      <c r="C635" s="37"/>
      <c r="D635" s="37"/>
      <c r="E635" s="37" t="s">
        <v>1974</v>
      </c>
      <c r="F635" s="37" t="b">
        <v>0</v>
      </c>
      <c r="G635" s="37">
        <v>200</v>
      </c>
      <c r="H635" s="37" t="b">
        <v>1</v>
      </c>
    </row>
    <row r="636" spans="1:9" ht="30" x14ac:dyDescent="0.25">
      <c r="A636" s="54" t="s">
        <v>233</v>
      </c>
      <c r="B636" s="31" t="s">
        <v>2250</v>
      </c>
      <c r="C636" s="28"/>
      <c r="D636" s="28"/>
      <c r="E636" s="28" t="s">
        <v>1974</v>
      </c>
      <c r="F636" s="28" t="b">
        <v>0</v>
      </c>
      <c r="G636" s="28">
        <v>200</v>
      </c>
      <c r="H636" s="28" t="b">
        <v>1</v>
      </c>
      <c r="I636" s="34"/>
    </row>
    <row r="637" spans="1:9" ht="30" x14ac:dyDescent="0.25">
      <c r="A637" s="54" t="s">
        <v>233</v>
      </c>
      <c r="B637" s="43" t="s">
        <v>2251</v>
      </c>
      <c r="C637" s="37"/>
      <c r="D637" s="37"/>
      <c r="E637" s="37" t="s">
        <v>1974</v>
      </c>
      <c r="F637" s="37" t="b">
        <v>0</v>
      </c>
      <c r="G637" s="37">
        <v>200</v>
      </c>
      <c r="H637" s="37" t="b">
        <v>1</v>
      </c>
    </row>
    <row r="638" spans="1:9" ht="30" x14ac:dyDescent="0.25">
      <c r="A638" s="54" t="s">
        <v>233</v>
      </c>
      <c r="B638" s="31" t="s">
        <v>2252</v>
      </c>
      <c r="C638" s="28"/>
      <c r="D638" s="28"/>
      <c r="E638" s="28" t="s">
        <v>1974</v>
      </c>
      <c r="F638" s="28" t="b">
        <v>0</v>
      </c>
      <c r="G638" s="28">
        <v>200</v>
      </c>
      <c r="H638" s="28" t="b">
        <v>1</v>
      </c>
      <c r="I638" s="34"/>
    </row>
    <row r="639" spans="1:9" ht="30" x14ac:dyDescent="0.25">
      <c r="A639" s="54" t="s">
        <v>233</v>
      </c>
      <c r="B639" s="43" t="s">
        <v>2253</v>
      </c>
      <c r="C639" s="37"/>
      <c r="D639" s="37"/>
      <c r="E639" s="37" t="s">
        <v>1974</v>
      </c>
      <c r="F639" s="37" t="b">
        <v>0</v>
      </c>
      <c r="G639" s="37">
        <v>200</v>
      </c>
      <c r="H639" s="37" t="b">
        <v>1</v>
      </c>
    </row>
    <row r="640" spans="1:9" ht="30" x14ac:dyDescent="0.25">
      <c r="A640" s="54" t="s">
        <v>233</v>
      </c>
      <c r="B640" s="31" t="s">
        <v>2254</v>
      </c>
      <c r="C640" s="28"/>
      <c r="D640" s="28"/>
      <c r="E640" s="28" t="s">
        <v>1974</v>
      </c>
      <c r="F640" s="28" t="b">
        <v>0</v>
      </c>
      <c r="G640" s="28">
        <v>200</v>
      </c>
      <c r="H640" s="28" t="b">
        <v>1</v>
      </c>
      <c r="I640" s="34"/>
    </row>
    <row r="641" spans="1:9" ht="30" x14ac:dyDescent="0.25">
      <c r="A641" s="54" t="s">
        <v>233</v>
      </c>
      <c r="B641" s="43" t="s">
        <v>2109</v>
      </c>
      <c r="C641" s="37"/>
      <c r="D641" s="37"/>
      <c r="E641" s="37" t="s">
        <v>1974</v>
      </c>
      <c r="F641" s="37" t="b">
        <v>0</v>
      </c>
      <c r="G641" s="37">
        <v>200</v>
      </c>
      <c r="H641" s="37" t="b">
        <v>1</v>
      </c>
    </row>
    <row r="642" spans="1:9" ht="30" x14ac:dyDescent="0.25">
      <c r="A642" s="54" t="s">
        <v>233</v>
      </c>
      <c r="B642" s="31" t="s">
        <v>2255</v>
      </c>
      <c r="C642" s="28"/>
      <c r="D642" s="28"/>
      <c r="E642" s="28" t="s">
        <v>1974</v>
      </c>
      <c r="F642" s="28" t="b">
        <v>0</v>
      </c>
      <c r="G642" s="28">
        <v>200</v>
      </c>
      <c r="H642" s="28" t="b">
        <v>1</v>
      </c>
      <c r="I642" s="34"/>
    </row>
    <row r="643" spans="1:9" ht="30" x14ac:dyDescent="0.25">
      <c r="A643" s="54" t="s">
        <v>233</v>
      </c>
      <c r="B643" s="43" t="s">
        <v>2256</v>
      </c>
      <c r="C643" s="37"/>
      <c r="D643" s="37"/>
      <c r="E643" s="37" t="s">
        <v>1974</v>
      </c>
      <c r="F643" s="37" t="b">
        <v>0</v>
      </c>
      <c r="G643" s="37">
        <v>200</v>
      </c>
      <c r="H643" s="37" t="b">
        <v>1</v>
      </c>
    </row>
    <row r="644" spans="1:9" ht="30" x14ac:dyDescent="0.25">
      <c r="A644" s="54" t="s">
        <v>233</v>
      </c>
      <c r="B644" s="31" t="s">
        <v>2257</v>
      </c>
      <c r="C644" s="28"/>
      <c r="D644" s="28"/>
      <c r="E644" s="28" t="s">
        <v>1974</v>
      </c>
      <c r="F644" s="28" t="b">
        <v>0</v>
      </c>
      <c r="G644" s="28">
        <v>200</v>
      </c>
      <c r="H644" s="28" t="b">
        <v>1</v>
      </c>
      <c r="I644" s="34"/>
    </row>
    <row r="645" spans="1:9" ht="30" x14ac:dyDescent="0.25">
      <c r="A645" s="54" t="s">
        <v>233</v>
      </c>
      <c r="B645" s="43" t="s">
        <v>2258</v>
      </c>
      <c r="C645" s="37"/>
      <c r="D645" s="37"/>
      <c r="E645" s="37" t="s">
        <v>1974</v>
      </c>
      <c r="F645" s="37" t="b">
        <v>0</v>
      </c>
      <c r="G645" s="37">
        <v>200</v>
      </c>
      <c r="H645" s="37" t="b">
        <v>1</v>
      </c>
    </row>
    <row r="646" spans="1:9" ht="30" x14ac:dyDescent="0.25">
      <c r="A646" s="54" t="s">
        <v>233</v>
      </c>
      <c r="B646" s="31" t="s">
        <v>2259</v>
      </c>
      <c r="C646" s="28"/>
      <c r="D646" s="28"/>
      <c r="E646" s="28" t="s">
        <v>1974</v>
      </c>
      <c r="F646" s="28" t="b">
        <v>0</v>
      </c>
      <c r="G646" s="28">
        <v>200</v>
      </c>
      <c r="H646" s="28" t="b">
        <v>1</v>
      </c>
      <c r="I646" s="34"/>
    </row>
    <row r="647" spans="1:9" ht="30" x14ac:dyDescent="0.25">
      <c r="A647" s="54" t="s">
        <v>233</v>
      </c>
      <c r="B647" s="43" t="s">
        <v>2260</v>
      </c>
      <c r="C647" s="37"/>
      <c r="D647" s="37"/>
      <c r="E647" s="37" t="s">
        <v>1974</v>
      </c>
      <c r="F647" s="37" t="b">
        <v>0</v>
      </c>
      <c r="G647" s="37">
        <v>200</v>
      </c>
      <c r="H647" s="37" t="b">
        <v>1</v>
      </c>
    </row>
    <row r="648" spans="1:9" ht="30" x14ac:dyDescent="0.25">
      <c r="A648" s="54" t="s">
        <v>233</v>
      </c>
      <c r="B648" s="31" t="s">
        <v>2261</v>
      </c>
      <c r="C648" s="28"/>
      <c r="D648" s="28"/>
      <c r="E648" s="28" t="s">
        <v>1974</v>
      </c>
      <c r="F648" s="28" t="b">
        <v>0</v>
      </c>
      <c r="G648" s="28">
        <v>200</v>
      </c>
      <c r="H648" s="28" t="b">
        <v>1</v>
      </c>
      <c r="I648" s="34"/>
    </row>
    <row r="649" spans="1:9" ht="30" x14ac:dyDescent="0.25">
      <c r="A649" s="54" t="s">
        <v>233</v>
      </c>
      <c r="B649" s="43" t="s">
        <v>2262</v>
      </c>
      <c r="C649" s="37"/>
      <c r="D649" s="37"/>
      <c r="E649" s="37" t="s">
        <v>1974</v>
      </c>
      <c r="F649" s="37" t="b">
        <v>0</v>
      </c>
      <c r="G649" s="37">
        <v>200</v>
      </c>
      <c r="H649" s="37" t="b">
        <v>1</v>
      </c>
    </row>
    <row r="650" spans="1:9" ht="30" x14ac:dyDescent="0.25">
      <c r="A650" s="54" t="s">
        <v>233</v>
      </c>
      <c r="B650" s="31" t="s">
        <v>2263</v>
      </c>
      <c r="C650" s="28"/>
      <c r="D650" s="28"/>
      <c r="E650" s="28" t="s">
        <v>1974</v>
      </c>
      <c r="F650" s="28" t="b">
        <v>0</v>
      </c>
      <c r="G650" s="28">
        <v>200</v>
      </c>
      <c r="H650" s="28" t="b">
        <v>1</v>
      </c>
      <c r="I650" s="34"/>
    </row>
    <row r="651" spans="1:9" ht="30" x14ac:dyDescent="0.25">
      <c r="A651" s="54" t="s">
        <v>233</v>
      </c>
      <c r="B651" s="43" t="s">
        <v>2264</v>
      </c>
      <c r="C651" s="37"/>
      <c r="D651" s="37"/>
      <c r="E651" s="37" t="s">
        <v>1974</v>
      </c>
      <c r="F651" s="37" t="b">
        <v>0</v>
      </c>
      <c r="G651" s="37">
        <v>200</v>
      </c>
      <c r="H651" s="37" t="b">
        <v>1</v>
      </c>
    </row>
    <row r="652" spans="1:9" ht="30" x14ac:dyDescent="0.25">
      <c r="A652" s="54" t="s">
        <v>233</v>
      </c>
      <c r="B652" s="31" t="s">
        <v>2265</v>
      </c>
      <c r="C652" s="28"/>
      <c r="D652" s="28"/>
      <c r="E652" s="28" t="s">
        <v>1974</v>
      </c>
      <c r="F652" s="28" t="b">
        <v>0</v>
      </c>
      <c r="G652" s="28">
        <v>200</v>
      </c>
      <c r="H652" s="28" t="b">
        <v>1</v>
      </c>
      <c r="I652" s="34"/>
    </row>
    <row r="653" spans="1:9" ht="30" x14ac:dyDescent="0.25">
      <c r="A653" s="54" t="s">
        <v>233</v>
      </c>
      <c r="B653" s="43" t="s">
        <v>2266</v>
      </c>
      <c r="C653" s="37"/>
      <c r="D653" s="37"/>
      <c r="E653" s="37" t="s">
        <v>1974</v>
      </c>
      <c r="F653" s="37" t="b">
        <v>0</v>
      </c>
      <c r="G653" s="37">
        <v>200</v>
      </c>
      <c r="H653" s="37" t="b">
        <v>1</v>
      </c>
    </row>
    <row r="654" spans="1:9" ht="30" x14ac:dyDescent="0.25">
      <c r="A654" s="54" t="s">
        <v>233</v>
      </c>
      <c r="B654" s="31" t="s">
        <v>2267</v>
      </c>
      <c r="C654" s="28"/>
      <c r="D654" s="28"/>
      <c r="E654" s="28" t="s">
        <v>1974</v>
      </c>
      <c r="F654" s="28" t="b">
        <v>0</v>
      </c>
      <c r="G654" s="28">
        <v>200</v>
      </c>
      <c r="H654" s="28" t="b">
        <v>1</v>
      </c>
      <c r="I654" s="34"/>
    </row>
    <row r="655" spans="1:9" ht="30" x14ac:dyDescent="0.25">
      <c r="A655" s="54" t="s">
        <v>233</v>
      </c>
      <c r="B655" s="43" t="s">
        <v>2268</v>
      </c>
      <c r="C655" s="37"/>
      <c r="D655" s="37"/>
      <c r="E655" s="37" t="s">
        <v>1974</v>
      </c>
      <c r="F655" s="37" t="b">
        <v>0</v>
      </c>
      <c r="G655" s="37">
        <v>200</v>
      </c>
      <c r="H655" s="37" t="b">
        <v>1</v>
      </c>
    </row>
    <row r="656" spans="1:9" ht="30" x14ac:dyDescent="0.25">
      <c r="A656" s="54" t="s">
        <v>233</v>
      </c>
      <c r="B656" s="31" t="s">
        <v>2269</v>
      </c>
      <c r="C656" s="28"/>
      <c r="D656" s="28"/>
      <c r="E656" s="28" t="s">
        <v>1974</v>
      </c>
      <c r="F656" s="28" t="b">
        <v>0</v>
      </c>
      <c r="G656" s="28">
        <v>200</v>
      </c>
      <c r="H656" s="28" t="b">
        <v>1</v>
      </c>
      <c r="I656" s="34"/>
    </row>
    <row r="657" spans="1:9" ht="30" x14ac:dyDescent="0.25">
      <c r="A657" s="54" t="s">
        <v>233</v>
      </c>
      <c r="B657" s="43" t="s">
        <v>2270</v>
      </c>
      <c r="C657" s="37"/>
      <c r="D657" s="37"/>
      <c r="E657" s="37" t="s">
        <v>1974</v>
      </c>
      <c r="F657" s="37" t="b">
        <v>0</v>
      </c>
      <c r="G657" s="37">
        <v>200</v>
      </c>
      <c r="H657" s="37" t="b">
        <v>1</v>
      </c>
    </row>
    <row r="658" spans="1:9" ht="30" x14ac:dyDescent="0.25">
      <c r="A658" s="54" t="s">
        <v>233</v>
      </c>
      <c r="B658" s="31" t="s">
        <v>2271</v>
      </c>
      <c r="C658" s="28"/>
      <c r="D658" s="28"/>
      <c r="E658" s="28" t="s">
        <v>1974</v>
      </c>
      <c r="F658" s="28" t="b">
        <v>0</v>
      </c>
      <c r="G658" s="28">
        <v>200</v>
      </c>
      <c r="H658" s="28" t="b">
        <v>1</v>
      </c>
      <c r="I658" s="34"/>
    </row>
    <row r="659" spans="1:9" ht="30" x14ac:dyDescent="0.25">
      <c r="A659" s="54" t="s">
        <v>233</v>
      </c>
      <c r="B659" s="43" t="s">
        <v>2272</v>
      </c>
      <c r="C659" s="37"/>
      <c r="D659" s="37"/>
      <c r="E659" s="37" t="s">
        <v>1974</v>
      </c>
      <c r="F659" s="37" t="b">
        <v>0</v>
      </c>
      <c r="G659" s="37">
        <v>200</v>
      </c>
      <c r="H659" s="37" t="b">
        <v>1</v>
      </c>
    </row>
    <row r="660" spans="1:9" ht="30" x14ac:dyDescent="0.25">
      <c r="A660" s="54" t="s">
        <v>233</v>
      </c>
      <c r="B660" s="31" t="s">
        <v>2273</v>
      </c>
      <c r="C660" s="28"/>
      <c r="D660" s="28"/>
      <c r="E660" s="28" t="s">
        <v>1974</v>
      </c>
      <c r="F660" s="28" t="b">
        <v>0</v>
      </c>
      <c r="G660" s="28">
        <v>200</v>
      </c>
      <c r="H660" s="28" t="b">
        <v>1</v>
      </c>
      <c r="I660" s="34"/>
    </row>
    <row r="661" spans="1:9" ht="30" x14ac:dyDescent="0.25">
      <c r="A661" s="54" t="s">
        <v>233</v>
      </c>
      <c r="B661" s="43" t="s">
        <v>2274</v>
      </c>
      <c r="C661" s="37"/>
      <c r="D661" s="37"/>
      <c r="E661" s="37" t="s">
        <v>1974</v>
      </c>
      <c r="F661" s="37" t="b">
        <v>0</v>
      </c>
      <c r="G661" s="37">
        <v>200</v>
      </c>
      <c r="H661" s="37" t="b">
        <v>1</v>
      </c>
    </row>
    <row r="662" spans="1:9" ht="30" x14ac:dyDescent="0.25">
      <c r="A662" s="54" t="s">
        <v>233</v>
      </c>
      <c r="B662" s="31" t="s">
        <v>2275</v>
      </c>
      <c r="C662" s="28"/>
      <c r="D662" s="28"/>
      <c r="E662" s="28" t="s">
        <v>1974</v>
      </c>
      <c r="F662" s="28" t="b">
        <v>0</v>
      </c>
      <c r="G662" s="28">
        <v>200</v>
      </c>
      <c r="H662" s="28" t="b">
        <v>1</v>
      </c>
      <c r="I662" s="34"/>
    </row>
    <row r="663" spans="1:9" ht="30" x14ac:dyDescent="0.25">
      <c r="A663" s="54" t="s">
        <v>233</v>
      </c>
      <c r="B663" s="43" t="s">
        <v>2276</v>
      </c>
      <c r="C663" s="37"/>
      <c r="D663" s="37"/>
      <c r="E663" s="37" t="s">
        <v>1974</v>
      </c>
      <c r="F663" s="37" t="b">
        <v>0</v>
      </c>
      <c r="G663" s="37">
        <v>200</v>
      </c>
      <c r="H663" s="37" t="b">
        <v>1</v>
      </c>
    </row>
    <row r="664" spans="1:9" ht="30" x14ac:dyDescent="0.25">
      <c r="A664" s="54" t="s">
        <v>233</v>
      </c>
      <c r="B664" s="31" t="s">
        <v>2277</v>
      </c>
      <c r="C664" s="28"/>
      <c r="D664" s="28"/>
      <c r="E664" s="28" t="s">
        <v>1974</v>
      </c>
      <c r="F664" s="28" t="b">
        <v>0</v>
      </c>
      <c r="G664" s="28">
        <v>200</v>
      </c>
      <c r="H664" s="28" t="b">
        <v>1</v>
      </c>
      <c r="I664" s="34"/>
    </row>
    <row r="665" spans="1:9" ht="30" x14ac:dyDescent="0.25">
      <c r="A665" s="54" t="s">
        <v>233</v>
      </c>
      <c r="B665" s="43" t="s">
        <v>2278</v>
      </c>
      <c r="C665" s="37"/>
      <c r="D665" s="37"/>
      <c r="E665" s="37" t="s">
        <v>1974</v>
      </c>
      <c r="F665" s="37" t="b">
        <v>0</v>
      </c>
      <c r="G665" s="37">
        <v>200</v>
      </c>
      <c r="H665" s="37" t="b">
        <v>1</v>
      </c>
    </row>
    <row r="666" spans="1:9" ht="30" x14ac:dyDescent="0.25">
      <c r="A666" s="54" t="s">
        <v>233</v>
      </c>
      <c r="B666" s="31" t="s">
        <v>2279</v>
      </c>
      <c r="C666" s="28"/>
      <c r="D666" s="28"/>
      <c r="E666" s="28" t="s">
        <v>1974</v>
      </c>
      <c r="F666" s="28" t="b">
        <v>0</v>
      </c>
      <c r="G666" s="28">
        <v>200</v>
      </c>
      <c r="H666" s="28" t="b">
        <v>1</v>
      </c>
      <c r="I666" s="34"/>
    </row>
    <row r="667" spans="1:9" ht="30" x14ac:dyDescent="0.25">
      <c r="A667" s="54" t="s">
        <v>233</v>
      </c>
      <c r="B667" s="43" t="s">
        <v>2280</v>
      </c>
      <c r="C667" s="37"/>
      <c r="D667" s="37"/>
      <c r="E667" s="37" t="s">
        <v>1974</v>
      </c>
      <c r="F667" s="37" t="b">
        <v>0</v>
      </c>
      <c r="G667" s="37">
        <v>200</v>
      </c>
      <c r="H667" s="37" t="b">
        <v>1</v>
      </c>
    </row>
    <row r="668" spans="1:9" ht="30" x14ac:dyDescent="0.25">
      <c r="A668" s="54" t="s">
        <v>233</v>
      </c>
      <c r="B668" s="31" t="s">
        <v>2281</v>
      </c>
      <c r="C668" s="28"/>
      <c r="D668" s="28"/>
      <c r="E668" s="28" t="s">
        <v>1974</v>
      </c>
      <c r="F668" s="28" t="b">
        <v>0</v>
      </c>
      <c r="G668" s="28">
        <v>200</v>
      </c>
      <c r="H668" s="28" t="b">
        <v>1</v>
      </c>
      <c r="I668" s="34"/>
    </row>
    <row r="669" spans="1:9" ht="30" x14ac:dyDescent="0.25">
      <c r="A669" s="54" t="s">
        <v>233</v>
      </c>
      <c r="B669" s="43" t="s">
        <v>2282</v>
      </c>
      <c r="C669" s="37"/>
      <c r="D669" s="37"/>
      <c r="E669" s="37" t="s">
        <v>1974</v>
      </c>
      <c r="F669" s="37" t="b">
        <v>0</v>
      </c>
      <c r="G669" s="37">
        <v>200</v>
      </c>
      <c r="H669" s="37" t="b">
        <v>1</v>
      </c>
    </row>
    <row r="670" spans="1:9" ht="30" x14ac:dyDescent="0.25">
      <c r="A670" s="54" t="s">
        <v>233</v>
      </c>
      <c r="B670" s="31" t="s">
        <v>2283</v>
      </c>
      <c r="C670" s="28"/>
      <c r="D670" s="28"/>
      <c r="E670" s="28" t="s">
        <v>1974</v>
      </c>
      <c r="F670" s="28" t="b">
        <v>0</v>
      </c>
      <c r="G670" s="28">
        <v>200</v>
      </c>
      <c r="H670" s="28" t="b">
        <v>1</v>
      </c>
      <c r="I670" s="34"/>
    </row>
    <row r="671" spans="1:9" ht="30" x14ac:dyDescent="0.25">
      <c r="A671" s="54" t="s">
        <v>233</v>
      </c>
      <c r="B671" s="43" t="s">
        <v>2284</v>
      </c>
      <c r="C671" s="37"/>
      <c r="D671" s="37"/>
      <c r="E671" s="37" t="s">
        <v>1974</v>
      </c>
      <c r="F671" s="37" t="b">
        <v>0</v>
      </c>
      <c r="G671" s="37">
        <v>200</v>
      </c>
      <c r="H671" s="37" t="b">
        <v>1</v>
      </c>
    </row>
    <row r="672" spans="1:9" ht="30" x14ac:dyDescent="0.25">
      <c r="A672" s="54" t="s">
        <v>233</v>
      </c>
      <c r="B672" s="31" t="s">
        <v>2285</v>
      </c>
      <c r="C672" s="28"/>
      <c r="D672" s="28"/>
      <c r="E672" s="28" t="s">
        <v>1974</v>
      </c>
      <c r="F672" s="28" t="b">
        <v>0</v>
      </c>
      <c r="G672" s="28">
        <v>200</v>
      </c>
      <c r="H672" s="28" t="b">
        <v>1</v>
      </c>
      <c r="I672" s="34"/>
    </row>
    <row r="673" spans="1:9" ht="30" x14ac:dyDescent="0.25">
      <c r="A673" s="54" t="s">
        <v>233</v>
      </c>
      <c r="B673" s="43" t="s">
        <v>2286</v>
      </c>
      <c r="C673" s="37"/>
      <c r="D673" s="37"/>
      <c r="E673" s="37" t="s">
        <v>1974</v>
      </c>
      <c r="F673" s="37" t="b">
        <v>0</v>
      </c>
      <c r="G673" s="37">
        <v>200</v>
      </c>
      <c r="H673" s="37" t="b">
        <v>1</v>
      </c>
    </row>
    <row r="674" spans="1:9" ht="30" x14ac:dyDescent="0.25">
      <c r="A674" s="54" t="s">
        <v>233</v>
      </c>
      <c r="B674" s="31" t="s">
        <v>2287</v>
      </c>
      <c r="C674" s="28"/>
      <c r="D674" s="28"/>
      <c r="E674" s="28" t="s">
        <v>1974</v>
      </c>
      <c r="F674" s="28" t="b">
        <v>0</v>
      </c>
      <c r="G674" s="28">
        <v>200</v>
      </c>
      <c r="H674" s="28" t="b">
        <v>1</v>
      </c>
      <c r="I674" s="34"/>
    </row>
    <row r="675" spans="1:9" ht="30" x14ac:dyDescent="0.25">
      <c r="A675" s="54" t="s">
        <v>233</v>
      </c>
      <c r="B675" s="43" t="s">
        <v>2288</v>
      </c>
      <c r="C675" s="37"/>
      <c r="D675" s="37"/>
      <c r="E675" s="37" t="s">
        <v>1974</v>
      </c>
      <c r="F675" s="37" t="b">
        <v>0</v>
      </c>
      <c r="G675" s="37">
        <v>200</v>
      </c>
      <c r="H675" s="37" t="b">
        <v>1</v>
      </c>
    </row>
    <row r="676" spans="1:9" ht="30" x14ac:dyDescent="0.25">
      <c r="A676" s="54" t="s">
        <v>233</v>
      </c>
      <c r="B676" s="31" t="s">
        <v>2289</v>
      </c>
      <c r="C676" s="28"/>
      <c r="D676" s="28"/>
      <c r="E676" s="28" t="s">
        <v>1974</v>
      </c>
      <c r="F676" s="28" t="b">
        <v>0</v>
      </c>
      <c r="G676" s="28">
        <v>200</v>
      </c>
      <c r="H676" s="28" t="b">
        <v>1</v>
      </c>
      <c r="I676" s="34"/>
    </row>
    <row r="677" spans="1:9" ht="30" x14ac:dyDescent="0.25">
      <c r="A677" s="54" t="s">
        <v>233</v>
      </c>
      <c r="B677" s="43" t="s">
        <v>2290</v>
      </c>
      <c r="C677" s="37"/>
      <c r="D677" s="37"/>
      <c r="E677" s="37" t="s">
        <v>1974</v>
      </c>
      <c r="F677" s="37" t="b">
        <v>0</v>
      </c>
      <c r="G677" s="37">
        <v>200</v>
      </c>
      <c r="H677" s="37" t="b">
        <v>1</v>
      </c>
    </row>
    <row r="678" spans="1:9" ht="30" x14ac:dyDescent="0.25">
      <c r="A678" s="54" t="s">
        <v>233</v>
      </c>
      <c r="B678" s="31" t="s">
        <v>2291</v>
      </c>
      <c r="C678" s="28"/>
      <c r="D678" s="28"/>
      <c r="E678" s="28" t="s">
        <v>1974</v>
      </c>
      <c r="F678" s="28" t="b">
        <v>0</v>
      </c>
      <c r="G678" s="28">
        <v>200</v>
      </c>
      <c r="H678" s="28" t="b">
        <v>1</v>
      </c>
      <c r="I678" s="34"/>
    </row>
    <row r="679" spans="1:9" ht="30" x14ac:dyDescent="0.25">
      <c r="A679" s="54" t="s">
        <v>233</v>
      </c>
      <c r="B679" s="43" t="s">
        <v>2292</v>
      </c>
      <c r="C679" s="37"/>
      <c r="D679" s="37"/>
      <c r="E679" s="37" t="s">
        <v>1974</v>
      </c>
      <c r="F679" s="37" t="b">
        <v>0</v>
      </c>
      <c r="G679" s="37">
        <v>200</v>
      </c>
      <c r="H679" s="37" t="b">
        <v>1</v>
      </c>
    </row>
    <row r="680" spans="1:9" ht="30" x14ac:dyDescent="0.25">
      <c r="A680" s="54" t="s">
        <v>233</v>
      </c>
      <c r="B680" s="31" t="s">
        <v>2293</v>
      </c>
      <c r="C680" s="28"/>
      <c r="D680" s="28"/>
      <c r="E680" s="28" t="s">
        <v>1974</v>
      </c>
      <c r="F680" s="28" t="b">
        <v>0</v>
      </c>
      <c r="G680" s="28">
        <v>200</v>
      </c>
      <c r="H680" s="28" t="b">
        <v>1</v>
      </c>
      <c r="I680" s="34"/>
    </row>
    <row r="681" spans="1:9" ht="30" x14ac:dyDescent="0.25">
      <c r="A681" s="54" t="s">
        <v>233</v>
      </c>
      <c r="B681" s="43" t="s">
        <v>2294</v>
      </c>
      <c r="C681" s="37"/>
      <c r="D681" s="37"/>
      <c r="E681" s="37" t="s">
        <v>1974</v>
      </c>
      <c r="F681" s="37" t="b">
        <v>0</v>
      </c>
      <c r="G681" s="37">
        <v>200</v>
      </c>
      <c r="H681" s="37" t="b">
        <v>1</v>
      </c>
    </row>
    <row r="682" spans="1:9" ht="30" x14ac:dyDescent="0.25">
      <c r="A682" s="54" t="s">
        <v>233</v>
      </c>
      <c r="B682" s="31" t="s">
        <v>2295</v>
      </c>
      <c r="C682" s="28"/>
      <c r="D682" s="28"/>
      <c r="E682" s="28" t="s">
        <v>1974</v>
      </c>
      <c r="F682" s="28" t="b">
        <v>0</v>
      </c>
      <c r="G682" s="28">
        <v>200</v>
      </c>
      <c r="H682" s="28" t="b">
        <v>1</v>
      </c>
      <c r="I682" s="34"/>
    </row>
    <row r="683" spans="1:9" ht="30" x14ac:dyDescent="0.25">
      <c r="A683" s="54" t="s">
        <v>233</v>
      </c>
      <c r="B683" s="43" t="s">
        <v>2296</v>
      </c>
      <c r="C683" s="37"/>
      <c r="D683" s="37"/>
      <c r="E683" s="37" t="s">
        <v>1974</v>
      </c>
      <c r="F683" s="37" t="b">
        <v>0</v>
      </c>
      <c r="G683" s="37">
        <v>200</v>
      </c>
      <c r="H683" s="37" t="b">
        <v>1</v>
      </c>
    </row>
    <row r="684" spans="1:9" ht="30" x14ac:dyDescent="0.25">
      <c r="A684" s="54" t="s">
        <v>233</v>
      </c>
      <c r="B684" s="31" t="s">
        <v>2297</v>
      </c>
      <c r="C684" s="28"/>
      <c r="D684" s="28"/>
      <c r="E684" s="28" t="s">
        <v>1974</v>
      </c>
      <c r="F684" s="28" t="b">
        <v>0</v>
      </c>
      <c r="G684" s="28">
        <v>200</v>
      </c>
      <c r="H684" s="28" t="b">
        <v>1</v>
      </c>
      <c r="I684" s="34"/>
    </row>
    <row r="685" spans="1:9" ht="30" x14ac:dyDescent="0.25">
      <c r="A685" s="54" t="s">
        <v>233</v>
      </c>
      <c r="B685" s="43" t="s">
        <v>2298</v>
      </c>
      <c r="C685" s="37"/>
      <c r="D685" s="37"/>
      <c r="E685" s="37" t="s">
        <v>1974</v>
      </c>
      <c r="F685" s="37" t="b">
        <v>0</v>
      </c>
      <c r="G685" s="37">
        <v>200</v>
      </c>
      <c r="H685" s="37" t="b">
        <v>1</v>
      </c>
    </row>
    <row r="686" spans="1:9" ht="30" x14ac:dyDescent="0.25">
      <c r="A686" s="54" t="s">
        <v>233</v>
      </c>
      <c r="B686" s="31" t="s">
        <v>2299</v>
      </c>
      <c r="C686" s="28"/>
      <c r="D686" s="28"/>
      <c r="E686" s="28" t="s">
        <v>1974</v>
      </c>
      <c r="F686" s="28" t="b">
        <v>0</v>
      </c>
      <c r="G686" s="28">
        <v>200</v>
      </c>
      <c r="H686" s="28" t="b">
        <v>1</v>
      </c>
      <c r="I686" s="34"/>
    </row>
    <row r="687" spans="1:9" ht="30" x14ac:dyDescent="0.25">
      <c r="A687" s="54" t="s">
        <v>233</v>
      </c>
      <c r="B687" s="43" t="s">
        <v>2300</v>
      </c>
      <c r="C687" s="37"/>
      <c r="D687" s="37"/>
      <c r="E687" s="37" t="s">
        <v>1974</v>
      </c>
      <c r="F687" s="37" t="b">
        <v>0</v>
      </c>
      <c r="G687" s="37">
        <v>200</v>
      </c>
      <c r="H687" s="37" t="b">
        <v>1</v>
      </c>
    </row>
    <row r="688" spans="1:9" ht="30" x14ac:dyDescent="0.25">
      <c r="A688" s="54" t="s">
        <v>233</v>
      </c>
      <c r="B688" s="31" t="s">
        <v>2301</v>
      </c>
      <c r="C688" s="28"/>
      <c r="D688" s="28"/>
      <c r="E688" s="28" t="s">
        <v>1974</v>
      </c>
      <c r="F688" s="28" t="b">
        <v>0</v>
      </c>
      <c r="G688" s="28">
        <v>200</v>
      </c>
      <c r="H688" s="28" t="b">
        <v>1</v>
      </c>
      <c r="I688" s="34"/>
    </row>
    <row r="689" spans="1:9" ht="30" x14ac:dyDescent="0.25">
      <c r="A689" s="54" t="s">
        <v>233</v>
      </c>
      <c r="B689" s="43" t="s">
        <v>2302</v>
      </c>
      <c r="C689" s="37"/>
      <c r="D689" s="37"/>
      <c r="E689" s="37" t="s">
        <v>1974</v>
      </c>
      <c r="F689" s="37" t="b">
        <v>0</v>
      </c>
      <c r="G689" s="37">
        <v>200</v>
      </c>
      <c r="H689" s="37" t="b">
        <v>1</v>
      </c>
    </row>
    <row r="690" spans="1:9" ht="30" x14ac:dyDescent="0.25">
      <c r="A690" s="54" t="s">
        <v>233</v>
      </c>
      <c r="B690" s="31" t="s">
        <v>2303</v>
      </c>
      <c r="C690" s="28"/>
      <c r="D690" s="28"/>
      <c r="E690" s="28" t="s">
        <v>1974</v>
      </c>
      <c r="F690" s="28" t="b">
        <v>0</v>
      </c>
      <c r="G690" s="28">
        <v>200</v>
      </c>
      <c r="H690" s="28" t="b">
        <v>1</v>
      </c>
      <c r="I690" s="34"/>
    </row>
    <row r="691" spans="1:9" ht="30" x14ac:dyDescent="0.25">
      <c r="A691" s="54" t="s">
        <v>233</v>
      </c>
      <c r="B691" s="43" t="s">
        <v>2304</v>
      </c>
      <c r="C691" s="37"/>
      <c r="D691" s="37"/>
      <c r="E691" s="37" t="s">
        <v>1974</v>
      </c>
      <c r="F691" s="37" t="b">
        <v>0</v>
      </c>
      <c r="G691" s="37">
        <v>200</v>
      </c>
      <c r="H691" s="37" t="b">
        <v>1</v>
      </c>
    </row>
    <row r="692" spans="1:9" ht="30" x14ac:dyDescent="0.25">
      <c r="A692" s="54" t="s">
        <v>233</v>
      </c>
      <c r="B692" s="31" t="s">
        <v>2305</v>
      </c>
      <c r="C692" s="28"/>
      <c r="D692" s="28"/>
      <c r="E692" s="28" t="s">
        <v>1974</v>
      </c>
      <c r="F692" s="28" t="b">
        <v>0</v>
      </c>
      <c r="G692" s="28">
        <v>200</v>
      </c>
      <c r="H692" s="28" t="b">
        <v>1</v>
      </c>
      <c r="I692" s="34"/>
    </row>
    <row r="693" spans="1:9" ht="30" x14ac:dyDescent="0.25">
      <c r="A693" s="54" t="s">
        <v>233</v>
      </c>
      <c r="B693" s="43" t="s">
        <v>2306</v>
      </c>
      <c r="C693" s="37"/>
      <c r="D693" s="37"/>
      <c r="E693" s="37" t="s">
        <v>1974</v>
      </c>
      <c r="F693" s="37" t="b">
        <v>0</v>
      </c>
      <c r="G693" s="37">
        <v>200</v>
      </c>
      <c r="H693" s="37" t="b">
        <v>1</v>
      </c>
    </row>
    <row r="694" spans="1:9" ht="30" x14ac:dyDescent="0.25">
      <c r="A694" s="54" t="s">
        <v>233</v>
      </c>
      <c r="B694" s="31" t="s">
        <v>2307</v>
      </c>
      <c r="C694" s="28"/>
      <c r="D694" s="28"/>
      <c r="E694" s="28" t="s">
        <v>1974</v>
      </c>
      <c r="F694" s="28" t="b">
        <v>0</v>
      </c>
      <c r="G694" s="28">
        <v>200</v>
      </c>
      <c r="H694" s="28" t="b">
        <v>1</v>
      </c>
      <c r="I694" s="34"/>
    </row>
    <row r="695" spans="1:9" ht="30" x14ac:dyDescent="0.25">
      <c r="A695" s="54" t="s">
        <v>233</v>
      </c>
      <c r="B695" s="43" t="s">
        <v>2308</v>
      </c>
      <c r="C695" s="37"/>
      <c r="D695" s="37"/>
      <c r="E695" s="37" t="s">
        <v>1974</v>
      </c>
      <c r="F695" s="37" t="b">
        <v>0</v>
      </c>
      <c r="G695" s="37">
        <v>200</v>
      </c>
      <c r="H695" s="37" t="b">
        <v>1</v>
      </c>
    </row>
    <row r="696" spans="1:9" ht="30" x14ac:dyDescent="0.25">
      <c r="A696" s="54" t="s">
        <v>233</v>
      </c>
      <c r="B696" s="31" t="s">
        <v>2309</v>
      </c>
      <c r="C696" s="28"/>
      <c r="D696" s="28"/>
      <c r="E696" s="28" t="s">
        <v>1974</v>
      </c>
      <c r="F696" s="28" t="b">
        <v>0</v>
      </c>
      <c r="G696" s="28">
        <v>200</v>
      </c>
      <c r="H696" s="28" t="b">
        <v>1</v>
      </c>
      <c r="I696" s="34"/>
    </row>
    <row r="697" spans="1:9" ht="30" x14ac:dyDescent="0.25">
      <c r="A697" s="54" t="s">
        <v>233</v>
      </c>
      <c r="B697" s="43" t="s">
        <v>2310</v>
      </c>
      <c r="C697" s="37"/>
      <c r="D697" s="37"/>
      <c r="E697" s="37" t="s">
        <v>1974</v>
      </c>
      <c r="F697" s="37" t="b">
        <v>0</v>
      </c>
      <c r="G697" s="37">
        <v>200</v>
      </c>
      <c r="H697" s="37" t="b">
        <v>1</v>
      </c>
    </row>
    <row r="698" spans="1:9" ht="30" x14ac:dyDescent="0.25">
      <c r="A698" s="54" t="s">
        <v>233</v>
      </c>
      <c r="B698" s="31" t="s">
        <v>2311</v>
      </c>
      <c r="C698" s="28"/>
      <c r="D698" s="28"/>
      <c r="E698" s="28" t="s">
        <v>1974</v>
      </c>
      <c r="F698" s="28" t="b">
        <v>0</v>
      </c>
      <c r="G698" s="28">
        <v>200</v>
      </c>
      <c r="H698" s="28" t="b">
        <v>1</v>
      </c>
      <c r="I698" s="34"/>
    </row>
    <row r="699" spans="1:9" ht="30" x14ac:dyDescent="0.25">
      <c r="A699" s="54" t="s">
        <v>233</v>
      </c>
      <c r="B699" s="43" t="s">
        <v>2312</v>
      </c>
      <c r="C699" s="37"/>
      <c r="D699" s="37"/>
      <c r="E699" s="37" t="s">
        <v>1974</v>
      </c>
      <c r="F699" s="37" t="b">
        <v>0</v>
      </c>
      <c r="G699" s="37">
        <v>200</v>
      </c>
      <c r="H699" s="37" t="b">
        <v>1</v>
      </c>
    </row>
    <row r="700" spans="1:9" ht="30" x14ac:dyDescent="0.25">
      <c r="A700" s="54" t="s">
        <v>233</v>
      </c>
      <c r="B700" s="31" t="s">
        <v>2313</v>
      </c>
      <c r="C700" s="28"/>
      <c r="D700" s="28"/>
      <c r="E700" s="28" t="s">
        <v>1974</v>
      </c>
      <c r="F700" s="28" t="b">
        <v>0</v>
      </c>
      <c r="G700" s="28">
        <v>200</v>
      </c>
      <c r="H700" s="28" t="b">
        <v>1</v>
      </c>
      <c r="I700" s="34"/>
    </row>
    <row r="701" spans="1:9" ht="30" x14ac:dyDescent="0.25">
      <c r="A701" s="54" t="s">
        <v>233</v>
      </c>
      <c r="B701" s="43" t="s">
        <v>2314</v>
      </c>
      <c r="C701" s="37"/>
      <c r="D701" s="37"/>
      <c r="E701" s="37" t="s">
        <v>1974</v>
      </c>
      <c r="F701" s="37" t="b">
        <v>0</v>
      </c>
      <c r="G701" s="37">
        <v>200</v>
      </c>
      <c r="H701" s="37" t="b">
        <v>1</v>
      </c>
    </row>
    <row r="702" spans="1:9" ht="30" x14ac:dyDescent="0.25">
      <c r="A702" s="54" t="s">
        <v>233</v>
      </c>
      <c r="B702" s="31" t="s">
        <v>2315</v>
      </c>
      <c r="C702" s="28"/>
      <c r="D702" s="28"/>
      <c r="E702" s="28" t="s">
        <v>1974</v>
      </c>
      <c r="F702" s="28" t="b">
        <v>0</v>
      </c>
      <c r="G702" s="28">
        <v>200</v>
      </c>
      <c r="H702" s="28" t="b">
        <v>1</v>
      </c>
      <c r="I702" s="34"/>
    </row>
    <row r="703" spans="1:9" ht="30" x14ac:dyDescent="0.25">
      <c r="A703" s="54" t="s">
        <v>233</v>
      </c>
      <c r="B703" s="43" t="s">
        <v>2316</v>
      </c>
      <c r="C703" s="37"/>
      <c r="D703" s="37"/>
      <c r="E703" s="37" t="s">
        <v>1974</v>
      </c>
      <c r="F703" s="37" t="b">
        <v>0</v>
      </c>
      <c r="G703" s="37">
        <v>200</v>
      </c>
      <c r="H703" s="37" t="b">
        <v>1</v>
      </c>
    </row>
    <row r="704" spans="1:9" ht="30" x14ac:dyDescent="0.25">
      <c r="A704" s="54" t="s">
        <v>233</v>
      </c>
      <c r="B704" s="31" t="s">
        <v>2317</v>
      </c>
      <c r="C704" s="28"/>
      <c r="D704" s="28"/>
      <c r="E704" s="28" t="s">
        <v>1974</v>
      </c>
      <c r="F704" s="28" t="b">
        <v>0</v>
      </c>
      <c r="G704" s="28">
        <v>200</v>
      </c>
      <c r="H704" s="28" t="b">
        <v>1</v>
      </c>
      <c r="I704" s="34"/>
    </row>
    <row r="705" spans="1:9" ht="30" x14ac:dyDescent="0.25">
      <c r="A705" s="54" t="s">
        <v>233</v>
      </c>
      <c r="B705" s="43" t="s">
        <v>2318</v>
      </c>
      <c r="C705" s="37"/>
      <c r="D705" s="37"/>
      <c r="E705" s="37" t="s">
        <v>1974</v>
      </c>
      <c r="F705" s="37" t="b">
        <v>0</v>
      </c>
      <c r="G705" s="37">
        <v>200</v>
      </c>
      <c r="H705" s="37" t="b">
        <v>1</v>
      </c>
    </row>
    <row r="706" spans="1:9" ht="30" x14ac:dyDescent="0.25">
      <c r="A706" s="54" t="s">
        <v>233</v>
      </c>
      <c r="B706" s="31" t="s">
        <v>2319</v>
      </c>
      <c r="C706" s="28"/>
      <c r="D706" s="28"/>
      <c r="E706" s="28" t="s">
        <v>1974</v>
      </c>
      <c r="F706" s="28" t="b">
        <v>0</v>
      </c>
      <c r="G706" s="28">
        <v>200</v>
      </c>
      <c r="H706" s="28" t="b">
        <v>1</v>
      </c>
      <c r="I706" s="34"/>
    </row>
    <row r="707" spans="1:9" ht="30" x14ac:dyDescent="0.25">
      <c r="A707" s="54" t="s">
        <v>233</v>
      </c>
      <c r="B707" s="43" t="s">
        <v>2320</v>
      </c>
      <c r="C707" s="37"/>
      <c r="D707" s="37"/>
      <c r="E707" s="37" t="s">
        <v>1974</v>
      </c>
      <c r="F707" s="37" t="b">
        <v>0</v>
      </c>
      <c r="G707" s="37">
        <v>200</v>
      </c>
      <c r="H707" s="37" t="b">
        <v>1</v>
      </c>
    </row>
    <row r="708" spans="1:9" ht="30" x14ac:dyDescent="0.25">
      <c r="A708" s="54" t="s">
        <v>233</v>
      </c>
      <c r="B708" s="31" t="s">
        <v>2321</v>
      </c>
      <c r="C708" s="28"/>
      <c r="D708" s="28"/>
      <c r="E708" s="28" t="s">
        <v>1974</v>
      </c>
      <c r="F708" s="28" t="b">
        <v>0</v>
      </c>
      <c r="G708" s="28">
        <v>200</v>
      </c>
      <c r="H708" s="28" t="b">
        <v>1</v>
      </c>
      <c r="I708" s="34"/>
    </row>
    <row r="709" spans="1:9" ht="30" x14ac:dyDescent="0.25">
      <c r="A709" s="54" t="s">
        <v>233</v>
      </c>
      <c r="B709" s="43" t="s">
        <v>2322</v>
      </c>
      <c r="C709" s="37"/>
      <c r="D709" s="37"/>
      <c r="E709" s="37" t="s">
        <v>1974</v>
      </c>
      <c r="F709" s="37" t="b">
        <v>0</v>
      </c>
      <c r="G709" s="37">
        <v>200</v>
      </c>
      <c r="H709" s="37" t="b">
        <v>1</v>
      </c>
    </row>
    <row r="710" spans="1:9" ht="30" x14ac:dyDescent="0.25">
      <c r="A710" s="54" t="s">
        <v>233</v>
      </c>
      <c r="B710" s="31" t="s">
        <v>2323</v>
      </c>
      <c r="C710" s="28"/>
      <c r="D710" s="28"/>
      <c r="E710" s="28" t="s">
        <v>1974</v>
      </c>
      <c r="F710" s="28" t="b">
        <v>0</v>
      </c>
      <c r="G710" s="28">
        <v>200</v>
      </c>
      <c r="H710" s="28" t="b">
        <v>1</v>
      </c>
      <c r="I710" s="34"/>
    </row>
    <row r="711" spans="1:9" ht="30" x14ac:dyDescent="0.25">
      <c r="A711" s="54" t="s">
        <v>233</v>
      </c>
      <c r="B711" s="43" t="s">
        <v>2324</v>
      </c>
      <c r="C711" s="37"/>
      <c r="D711" s="37"/>
      <c r="E711" s="37" t="s">
        <v>1974</v>
      </c>
      <c r="F711" s="37" t="b">
        <v>0</v>
      </c>
      <c r="G711" s="37">
        <v>200</v>
      </c>
      <c r="H711" s="37" t="b">
        <v>1</v>
      </c>
    </row>
    <row r="712" spans="1:9" ht="30" x14ac:dyDescent="0.25">
      <c r="A712" s="54" t="s">
        <v>233</v>
      </c>
      <c r="B712" s="31" t="s">
        <v>2325</v>
      </c>
      <c r="C712" s="28"/>
      <c r="D712" s="28"/>
      <c r="E712" s="28" t="s">
        <v>1974</v>
      </c>
      <c r="F712" s="28" t="b">
        <v>0</v>
      </c>
      <c r="G712" s="28">
        <v>200</v>
      </c>
      <c r="H712" s="28" t="b">
        <v>1</v>
      </c>
      <c r="I712" s="34"/>
    </row>
    <row r="713" spans="1:9" ht="30" x14ac:dyDescent="0.25">
      <c r="A713" s="54" t="s">
        <v>233</v>
      </c>
      <c r="B713" s="43" t="s">
        <v>2326</v>
      </c>
      <c r="C713" s="37"/>
      <c r="D713" s="37"/>
      <c r="E713" s="37" t="s">
        <v>1974</v>
      </c>
      <c r="F713" s="37" t="b">
        <v>0</v>
      </c>
      <c r="G713" s="37">
        <v>200</v>
      </c>
      <c r="H713" s="37" t="b">
        <v>1</v>
      </c>
    </row>
    <row r="714" spans="1:9" ht="30" x14ac:dyDescent="0.25">
      <c r="A714" s="54" t="s">
        <v>233</v>
      </c>
      <c r="B714" s="31" t="s">
        <v>2327</v>
      </c>
      <c r="C714" s="28"/>
      <c r="D714" s="28"/>
      <c r="E714" s="28" t="s">
        <v>1974</v>
      </c>
      <c r="F714" s="28" t="b">
        <v>0</v>
      </c>
      <c r="G714" s="28">
        <v>200</v>
      </c>
      <c r="H714" s="28" t="b">
        <v>1</v>
      </c>
      <c r="I714" s="34"/>
    </row>
    <row r="715" spans="1:9" ht="30" x14ac:dyDescent="0.25">
      <c r="A715" s="54" t="s">
        <v>233</v>
      </c>
      <c r="B715" s="43" t="s">
        <v>2108</v>
      </c>
      <c r="C715" s="37"/>
      <c r="D715" s="37"/>
      <c r="E715" s="37" t="s">
        <v>1974</v>
      </c>
      <c r="F715" s="37" t="b">
        <v>0</v>
      </c>
      <c r="G715" s="37">
        <v>200</v>
      </c>
      <c r="H715" s="37" t="b">
        <v>1</v>
      </c>
    </row>
    <row r="716" spans="1:9" ht="30" x14ac:dyDescent="0.25">
      <c r="A716" s="54" t="s">
        <v>233</v>
      </c>
      <c r="B716" s="31" t="s">
        <v>2328</v>
      </c>
      <c r="C716" s="28"/>
      <c r="D716" s="28"/>
      <c r="E716" s="28" t="s">
        <v>1974</v>
      </c>
      <c r="F716" s="28" t="b">
        <v>0</v>
      </c>
      <c r="G716" s="28">
        <v>200</v>
      </c>
      <c r="H716" s="28" t="b">
        <v>1</v>
      </c>
      <c r="I716" s="34"/>
    </row>
    <row r="717" spans="1:9" ht="30" x14ac:dyDescent="0.25">
      <c r="A717" s="54" t="s">
        <v>233</v>
      </c>
      <c r="B717" s="43" t="s">
        <v>2329</v>
      </c>
      <c r="C717" s="37"/>
      <c r="D717" s="37"/>
      <c r="E717" s="37" t="s">
        <v>1974</v>
      </c>
      <c r="F717" s="37" t="b">
        <v>0</v>
      </c>
      <c r="G717" s="37">
        <v>200</v>
      </c>
      <c r="H717" s="37" t="b">
        <v>1</v>
      </c>
    </row>
    <row r="718" spans="1:9" ht="30" x14ac:dyDescent="0.25">
      <c r="A718" s="54" t="s">
        <v>233</v>
      </c>
      <c r="B718" s="31" t="s">
        <v>2330</v>
      </c>
      <c r="C718" s="28"/>
      <c r="D718" s="28"/>
      <c r="E718" s="28" t="s">
        <v>1974</v>
      </c>
      <c r="F718" s="28" t="b">
        <v>0</v>
      </c>
      <c r="G718" s="28">
        <v>200</v>
      </c>
      <c r="H718" s="28" t="b">
        <v>1</v>
      </c>
      <c r="I718" s="34"/>
    </row>
    <row r="719" spans="1:9" ht="30" x14ac:dyDescent="0.25">
      <c r="A719" s="54" t="s">
        <v>233</v>
      </c>
      <c r="B719" s="43" t="s">
        <v>2331</v>
      </c>
      <c r="C719" s="37"/>
      <c r="D719" s="37"/>
      <c r="E719" s="37" t="s">
        <v>1974</v>
      </c>
      <c r="F719" s="37" t="b">
        <v>0</v>
      </c>
      <c r="G719" s="37">
        <v>200</v>
      </c>
      <c r="H719" s="37" t="b">
        <v>1</v>
      </c>
    </row>
    <row r="720" spans="1:9" ht="30" x14ac:dyDescent="0.25">
      <c r="A720" s="54" t="s">
        <v>233</v>
      </c>
      <c r="B720" s="31" t="s">
        <v>2332</v>
      </c>
      <c r="C720" s="28"/>
      <c r="D720" s="28"/>
      <c r="E720" s="28" t="s">
        <v>1974</v>
      </c>
      <c r="F720" s="28" t="b">
        <v>0</v>
      </c>
      <c r="G720" s="28">
        <v>200</v>
      </c>
      <c r="H720" s="28" t="b">
        <v>1</v>
      </c>
      <c r="I720" s="34"/>
    </row>
    <row r="721" spans="1:9" ht="30" x14ac:dyDescent="0.25">
      <c r="A721" s="54" t="s">
        <v>233</v>
      </c>
      <c r="B721" s="43" t="s">
        <v>2333</v>
      </c>
      <c r="C721" s="37"/>
      <c r="D721" s="37"/>
      <c r="E721" s="37" t="s">
        <v>1974</v>
      </c>
      <c r="F721" s="37" t="b">
        <v>0</v>
      </c>
      <c r="G721" s="37">
        <v>200</v>
      </c>
      <c r="H721" s="37" t="b">
        <v>1</v>
      </c>
    </row>
    <row r="722" spans="1:9" ht="30" x14ac:dyDescent="0.25">
      <c r="A722" s="54" t="s">
        <v>233</v>
      </c>
      <c r="B722" s="31" t="s">
        <v>2334</v>
      </c>
      <c r="C722" s="28"/>
      <c r="D722" s="28"/>
      <c r="E722" s="28" t="s">
        <v>1974</v>
      </c>
      <c r="F722" s="28" t="b">
        <v>0</v>
      </c>
      <c r="G722" s="28">
        <v>200</v>
      </c>
      <c r="H722" s="28" t="b">
        <v>1</v>
      </c>
      <c r="I722" s="34"/>
    </row>
    <row r="723" spans="1:9" ht="30" x14ac:dyDescent="0.25">
      <c r="A723" s="54" t="s">
        <v>233</v>
      </c>
      <c r="B723" s="43" t="s">
        <v>2335</v>
      </c>
      <c r="C723" s="37"/>
      <c r="D723" s="37"/>
      <c r="E723" s="37" t="s">
        <v>1974</v>
      </c>
      <c r="F723" s="37" t="b">
        <v>0</v>
      </c>
      <c r="G723" s="37">
        <v>200</v>
      </c>
      <c r="H723" s="37" t="b">
        <v>1</v>
      </c>
    </row>
    <row r="724" spans="1:9" ht="30" x14ac:dyDescent="0.25">
      <c r="A724" s="54" t="s">
        <v>233</v>
      </c>
      <c r="B724" s="31" t="s">
        <v>2336</v>
      </c>
      <c r="C724" s="28"/>
      <c r="D724" s="28"/>
      <c r="E724" s="28" t="s">
        <v>1974</v>
      </c>
      <c r="F724" s="28" t="b">
        <v>0</v>
      </c>
      <c r="G724" s="28">
        <v>200</v>
      </c>
      <c r="H724" s="28" t="b">
        <v>1</v>
      </c>
      <c r="I724" s="34"/>
    </row>
    <row r="725" spans="1:9" ht="30" x14ac:dyDescent="0.25">
      <c r="A725" s="54" t="s">
        <v>233</v>
      </c>
      <c r="B725" s="43" t="s">
        <v>2337</v>
      </c>
      <c r="C725" s="37"/>
      <c r="D725" s="37"/>
      <c r="E725" s="37" t="s">
        <v>1974</v>
      </c>
      <c r="F725" s="37" t="b">
        <v>0</v>
      </c>
      <c r="G725" s="37">
        <v>200</v>
      </c>
      <c r="H725" s="37" t="b">
        <v>1</v>
      </c>
    </row>
    <row r="726" spans="1:9" ht="30" x14ac:dyDescent="0.25">
      <c r="A726" s="54" t="s">
        <v>233</v>
      </c>
      <c r="B726" s="31" t="s">
        <v>2338</v>
      </c>
      <c r="C726" s="28"/>
      <c r="D726" s="28"/>
      <c r="E726" s="28" t="s">
        <v>1974</v>
      </c>
      <c r="F726" s="28" t="b">
        <v>0</v>
      </c>
      <c r="G726" s="28">
        <v>200</v>
      </c>
      <c r="H726" s="28" t="b">
        <v>1</v>
      </c>
      <c r="I726" s="34"/>
    </row>
    <row r="727" spans="1:9" ht="30" x14ac:dyDescent="0.25">
      <c r="A727" s="54" t="s">
        <v>233</v>
      </c>
      <c r="B727" s="43" t="s">
        <v>2339</v>
      </c>
      <c r="C727" s="37"/>
      <c r="D727" s="37"/>
      <c r="E727" s="37" t="s">
        <v>1974</v>
      </c>
      <c r="F727" s="37" t="b">
        <v>0</v>
      </c>
      <c r="G727" s="37">
        <v>200</v>
      </c>
      <c r="H727" s="37" t="b">
        <v>1</v>
      </c>
    </row>
    <row r="728" spans="1:9" ht="30" x14ac:dyDescent="0.25">
      <c r="A728" s="54" t="s">
        <v>233</v>
      </c>
      <c r="B728" s="31" t="s">
        <v>2340</v>
      </c>
      <c r="C728" s="28"/>
      <c r="D728" s="28"/>
      <c r="E728" s="28" t="s">
        <v>1974</v>
      </c>
      <c r="F728" s="28" t="b">
        <v>0</v>
      </c>
      <c r="G728" s="28">
        <v>200</v>
      </c>
      <c r="H728" s="28" t="b">
        <v>1</v>
      </c>
      <c r="I728" s="34"/>
    </row>
    <row r="729" spans="1:9" ht="30" x14ac:dyDescent="0.25">
      <c r="A729" s="54" t="s">
        <v>233</v>
      </c>
      <c r="B729" s="43" t="s">
        <v>2341</v>
      </c>
      <c r="C729" s="37"/>
      <c r="D729" s="37"/>
      <c r="E729" s="37" t="s">
        <v>1974</v>
      </c>
      <c r="F729" s="37" t="b">
        <v>0</v>
      </c>
      <c r="G729" s="37">
        <v>200</v>
      </c>
      <c r="H729" s="37" t="b">
        <v>1</v>
      </c>
    </row>
    <row r="730" spans="1:9" ht="30" x14ac:dyDescent="0.25">
      <c r="A730" s="54" t="s">
        <v>233</v>
      </c>
      <c r="B730" s="31" t="s">
        <v>2342</v>
      </c>
      <c r="C730" s="28"/>
      <c r="D730" s="28"/>
      <c r="E730" s="28" t="s">
        <v>1974</v>
      </c>
      <c r="F730" s="28" t="b">
        <v>0</v>
      </c>
      <c r="G730" s="28">
        <v>200</v>
      </c>
      <c r="H730" s="28" t="b">
        <v>1</v>
      </c>
      <c r="I730" s="34"/>
    </row>
    <row r="731" spans="1:9" ht="30" x14ac:dyDescent="0.25">
      <c r="A731" s="54" t="s">
        <v>233</v>
      </c>
      <c r="B731" s="43" t="s">
        <v>2343</v>
      </c>
      <c r="C731" s="37"/>
      <c r="D731" s="37"/>
      <c r="E731" s="37" t="s">
        <v>1974</v>
      </c>
      <c r="F731" s="37" t="b">
        <v>0</v>
      </c>
      <c r="G731" s="37">
        <v>200</v>
      </c>
      <c r="H731" s="37" t="b">
        <v>1</v>
      </c>
    </row>
    <row r="732" spans="1:9" ht="30" x14ac:dyDescent="0.25">
      <c r="A732" s="54" t="s">
        <v>233</v>
      </c>
      <c r="B732" s="31" t="s">
        <v>2344</v>
      </c>
      <c r="C732" s="28"/>
      <c r="D732" s="28"/>
      <c r="E732" s="28" t="s">
        <v>1974</v>
      </c>
      <c r="F732" s="28" t="b">
        <v>0</v>
      </c>
      <c r="G732" s="28">
        <v>200</v>
      </c>
      <c r="H732" s="28" t="b">
        <v>1</v>
      </c>
      <c r="I732" s="34"/>
    </row>
    <row r="733" spans="1:9" ht="30" x14ac:dyDescent="0.25">
      <c r="A733" s="54" t="s">
        <v>233</v>
      </c>
      <c r="B733" s="43" t="s">
        <v>2345</v>
      </c>
      <c r="C733" s="37"/>
      <c r="D733" s="37"/>
      <c r="E733" s="37" t="s">
        <v>1974</v>
      </c>
      <c r="F733" s="37" t="b">
        <v>0</v>
      </c>
      <c r="G733" s="37">
        <v>200</v>
      </c>
      <c r="H733" s="37" t="b">
        <v>1</v>
      </c>
    </row>
    <row r="734" spans="1:9" ht="30" x14ac:dyDescent="0.25">
      <c r="A734" s="54" t="s">
        <v>233</v>
      </c>
      <c r="B734" s="31" t="s">
        <v>2346</v>
      </c>
      <c r="C734" s="28"/>
      <c r="D734" s="28"/>
      <c r="E734" s="28" t="s">
        <v>1974</v>
      </c>
      <c r="F734" s="28" t="b">
        <v>0</v>
      </c>
      <c r="G734" s="28">
        <v>200</v>
      </c>
      <c r="H734" s="28" t="b">
        <v>1</v>
      </c>
      <c r="I734" s="34"/>
    </row>
    <row r="735" spans="1:9" ht="30" x14ac:dyDescent="0.25">
      <c r="A735" s="54" t="s">
        <v>233</v>
      </c>
      <c r="B735" s="43" t="s">
        <v>2347</v>
      </c>
      <c r="C735" s="37"/>
      <c r="D735" s="37"/>
      <c r="E735" s="37" t="s">
        <v>1974</v>
      </c>
      <c r="F735" s="37" t="b">
        <v>0</v>
      </c>
      <c r="G735" s="37">
        <v>200</v>
      </c>
      <c r="H735" s="37" t="b">
        <v>1</v>
      </c>
    </row>
    <row r="736" spans="1:9" ht="30" x14ac:dyDescent="0.25">
      <c r="A736" s="54" t="s">
        <v>233</v>
      </c>
      <c r="B736" s="31" t="s">
        <v>2348</v>
      </c>
      <c r="C736" s="28"/>
      <c r="D736" s="28"/>
      <c r="E736" s="28" t="s">
        <v>1974</v>
      </c>
      <c r="F736" s="28" t="b">
        <v>0</v>
      </c>
      <c r="G736" s="28">
        <v>200</v>
      </c>
      <c r="H736" s="28" t="b">
        <v>1</v>
      </c>
      <c r="I736" s="34"/>
    </row>
    <row r="737" spans="1:9" ht="30" x14ac:dyDescent="0.25">
      <c r="A737" s="54" t="s">
        <v>233</v>
      </c>
      <c r="B737" s="43" t="s">
        <v>2349</v>
      </c>
      <c r="C737" s="37"/>
      <c r="D737" s="37"/>
      <c r="E737" s="37" t="s">
        <v>1974</v>
      </c>
      <c r="F737" s="37" t="b">
        <v>0</v>
      </c>
      <c r="G737" s="37">
        <v>200</v>
      </c>
      <c r="H737" s="37" t="b">
        <v>1</v>
      </c>
    </row>
    <row r="738" spans="1:9" ht="30" x14ac:dyDescent="0.25">
      <c r="A738" s="54" t="s">
        <v>233</v>
      </c>
      <c r="B738" s="31" t="s">
        <v>2350</v>
      </c>
      <c r="C738" s="28"/>
      <c r="D738" s="28"/>
      <c r="E738" s="28" t="s">
        <v>1974</v>
      </c>
      <c r="F738" s="28" t="b">
        <v>0</v>
      </c>
      <c r="G738" s="28">
        <v>200</v>
      </c>
      <c r="H738" s="28" t="b">
        <v>1</v>
      </c>
      <c r="I738" s="34"/>
    </row>
    <row r="739" spans="1:9" ht="30" x14ac:dyDescent="0.25">
      <c r="A739" s="54" t="s">
        <v>233</v>
      </c>
      <c r="B739" s="43" t="s">
        <v>2107</v>
      </c>
      <c r="C739" s="37"/>
      <c r="D739" s="37"/>
      <c r="E739" s="37" t="s">
        <v>1974</v>
      </c>
      <c r="F739" s="37" t="b">
        <v>0</v>
      </c>
      <c r="G739" s="37">
        <v>200</v>
      </c>
      <c r="H739" s="37" t="b">
        <v>1</v>
      </c>
    </row>
    <row r="740" spans="1:9" ht="30" x14ac:dyDescent="0.25">
      <c r="A740" s="54" t="s">
        <v>233</v>
      </c>
      <c r="B740" s="31" t="s">
        <v>2351</v>
      </c>
      <c r="C740" s="28"/>
      <c r="D740" s="28"/>
      <c r="E740" s="28" t="s">
        <v>1974</v>
      </c>
      <c r="F740" s="28" t="b">
        <v>0</v>
      </c>
      <c r="G740" s="28">
        <v>200</v>
      </c>
      <c r="H740" s="28" t="b">
        <v>1</v>
      </c>
      <c r="I740" s="34"/>
    </row>
    <row r="741" spans="1:9" ht="30" x14ac:dyDescent="0.25">
      <c r="A741" s="54" t="s">
        <v>233</v>
      </c>
      <c r="B741" s="43" t="s">
        <v>2352</v>
      </c>
      <c r="C741" s="37"/>
      <c r="D741" s="37"/>
      <c r="E741" s="37" t="s">
        <v>1974</v>
      </c>
      <c r="F741" s="37" t="b">
        <v>0</v>
      </c>
      <c r="G741" s="37">
        <v>200</v>
      </c>
      <c r="H741" s="37" t="b">
        <v>1</v>
      </c>
    </row>
    <row r="742" spans="1:9" ht="30" x14ac:dyDescent="0.25">
      <c r="A742" s="54" t="s">
        <v>233</v>
      </c>
      <c r="B742" s="31" t="s">
        <v>2353</v>
      </c>
      <c r="C742" s="28"/>
      <c r="D742" s="28"/>
      <c r="E742" s="28" t="s">
        <v>1974</v>
      </c>
      <c r="F742" s="28" t="b">
        <v>0</v>
      </c>
      <c r="G742" s="28">
        <v>200</v>
      </c>
      <c r="H742" s="28" t="b">
        <v>1</v>
      </c>
      <c r="I742" s="34"/>
    </row>
    <row r="743" spans="1:9" ht="30" x14ac:dyDescent="0.25">
      <c r="A743" s="54" t="s">
        <v>233</v>
      </c>
      <c r="B743" s="43" t="s">
        <v>2354</v>
      </c>
      <c r="C743" s="37"/>
      <c r="D743" s="37"/>
      <c r="E743" s="37" t="s">
        <v>1974</v>
      </c>
      <c r="F743" s="37" t="b">
        <v>0</v>
      </c>
      <c r="G743" s="37">
        <v>200</v>
      </c>
      <c r="H743" s="37" t="b">
        <v>1</v>
      </c>
    </row>
    <row r="744" spans="1:9" ht="30" x14ac:dyDescent="0.25">
      <c r="A744" s="54" t="s">
        <v>233</v>
      </c>
      <c r="B744" s="31" t="s">
        <v>2355</v>
      </c>
      <c r="C744" s="28"/>
      <c r="D744" s="28"/>
      <c r="E744" s="28" t="s">
        <v>1974</v>
      </c>
      <c r="F744" s="28" t="b">
        <v>0</v>
      </c>
      <c r="G744" s="28">
        <v>200</v>
      </c>
      <c r="H744" s="28" t="b">
        <v>1</v>
      </c>
      <c r="I744" s="34"/>
    </row>
    <row r="745" spans="1:9" ht="30" x14ac:dyDescent="0.25">
      <c r="A745" s="54" t="s">
        <v>233</v>
      </c>
      <c r="B745" s="43" t="s">
        <v>2356</v>
      </c>
      <c r="C745" s="37"/>
      <c r="D745" s="37"/>
      <c r="E745" s="37" t="s">
        <v>1974</v>
      </c>
      <c r="F745" s="37" t="b">
        <v>0</v>
      </c>
      <c r="G745" s="37">
        <v>200</v>
      </c>
      <c r="H745" s="37" t="b">
        <v>1</v>
      </c>
    </row>
    <row r="746" spans="1:9" ht="30" x14ac:dyDescent="0.25">
      <c r="A746" s="54" t="s">
        <v>233</v>
      </c>
      <c r="B746" s="31" t="s">
        <v>2357</v>
      </c>
      <c r="C746" s="28"/>
      <c r="D746" s="28"/>
      <c r="E746" s="28" t="s">
        <v>1974</v>
      </c>
      <c r="F746" s="28" t="b">
        <v>0</v>
      </c>
      <c r="G746" s="28">
        <v>200</v>
      </c>
      <c r="H746" s="28" t="b">
        <v>1</v>
      </c>
      <c r="I746" s="34"/>
    </row>
    <row r="747" spans="1:9" ht="30" x14ac:dyDescent="0.25">
      <c r="A747" s="54" t="s">
        <v>233</v>
      </c>
      <c r="B747" s="43" t="s">
        <v>2358</v>
      </c>
      <c r="C747" s="37"/>
      <c r="D747" s="37"/>
      <c r="E747" s="37" t="s">
        <v>1974</v>
      </c>
      <c r="F747" s="37" t="b">
        <v>0</v>
      </c>
      <c r="G747" s="37">
        <v>200</v>
      </c>
      <c r="H747" s="37" t="b">
        <v>1</v>
      </c>
    </row>
    <row r="748" spans="1:9" ht="30" x14ac:dyDescent="0.25">
      <c r="A748" s="54" t="s">
        <v>233</v>
      </c>
      <c r="B748" s="31" t="s">
        <v>2359</v>
      </c>
      <c r="C748" s="28"/>
      <c r="D748" s="28"/>
      <c r="E748" s="28" t="s">
        <v>1974</v>
      </c>
      <c r="F748" s="28" t="b">
        <v>0</v>
      </c>
      <c r="G748" s="28">
        <v>200</v>
      </c>
      <c r="H748" s="28" t="b">
        <v>1</v>
      </c>
      <c r="I748" s="34"/>
    </row>
    <row r="749" spans="1:9" ht="30" x14ac:dyDescent="0.25">
      <c r="A749" s="54" t="s">
        <v>233</v>
      </c>
      <c r="B749" s="43" t="s">
        <v>2106</v>
      </c>
      <c r="C749" s="37"/>
      <c r="D749" s="37"/>
      <c r="E749" s="37" t="s">
        <v>1974</v>
      </c>
      <c r="F749" s="37" t="b">
        <v>0</v>
      </c>
      <c r="G749" s="37">
        <v>200</v>
      </c>
      <c r="H749" s="37" t="b">
        <v>1</v>
      </c>
    </row>
    <row r="750" spans="1:9" ht="30" x14ac:dyDescent="0.25">
      <c r="A750" s="54" t="s">
        <v>233</v>
      </c>
      <c r="B750" s="31" t="s">
        <v>2360</v>
      </c>
      <c r="C750" s="28"/>
      <c r="D750" s="28"/>
      <c r="E750" s="28" t="s">
        <v>1974</v>
      </c>
      <c r="F750" s="28" t="b">
        <v>0</v>
      </c>
      <c r="G750" s="28">
        <v>200</v>
      </c>
      <c r="H750" s="28" t="b">
        <v>1</v>
      </c>
      <c r="I750" s="34"/>
    </row>
    <row r="751" spans="1:9" ht="30" x14ac:dyDescent="0.25">
      <c r="A751" s="54" t="s">
        <v>233</v>
      </c>
      <c r="B751" s="43" t="s">
        <v>2361</v>
      </c>
      <c r="C751" s="37"/>
      <c r="D751" s="37"/>
      <c r="E751" s="37" t="s">
        <v>1974</v>
      </c>
      <c r="F751" s="37" t="b">
        <v>0</v>
      </c>
      <c r="G751" s="37">
        <v>200</v>
      </c>
      <c r="H751" s="37" t="b">
        <v>1</v>
      </c>
    </row>
    <row r="752" spans="1:9" ht="30" x14ac:dyDescent="0.25">
      <c r="A752" s="54" t="s">
        <v>233</v>
      </c>
      <c r="B752" s="31" t="s">
        <v>2362</v>
      </c>
      <c r="C752" s="28"/>
      <c r="D752" s="28"/>
      <c r="E752" s="28" t="s">
        <v>1974</v>
      </c>
      <c r="F752" s="28" t="b">
        <v>0</v>
      </c>
      <c r="G752" s="28">
        <v>200</v>
      </c>
      <c r="H752" s="28" t="b">
        <v>1</v>
      </c>
      <c r="I752" s="34"/>
    </row>
    <row r="753" spans="1:9" ht="30" x14ac:dyDescent="0.25">
      <c r="A753" s="54" t="s">
        <v>233</v>
      </c>
      <c r="B753" s="43" t="s">
        <v>2363</v>
      </c>
      <c r="C753" s="37"/>
      <c r="D753" s="37"/>
      <c r="E753" s="37" t="s">
        <v>1974</v>
      </c>
      <c r="F753" s="37" t="b">
        <v>0</v>
      </c>
      <c r="G753" s="37">
        <v>200</v>
      </c>
      <c r="H753" s="37" t="b">
        <v>1</v>
      </c>
    </row>
    <row r="754" spans="1:9" ht="30" x14ac:dyDescent="0.25">
      <c r="A754" s="54" t="s">
        <v>233</v>
      </c>
      <c r="B754" s="31" t="s">
        <v>2364</v>
      </c>
      <c r="C754" s="28"/>
      <c r="D754" s="28"/>
      <c r="E754" s="28" t="s">
        <v>1974</v>
      </c>
      <c r="F754" s="28" t="b">
        <v>0</v>
      </c>
      <c r="G754" s="28">
        <v>200</v>
      </c>
      <c r="H754" s="28" t="b">
        <v>1</v>
      </c>
      <c r="I754" s="34"/>
    </row>
    <row r="755" spans="1:9" ht="30" x14ac:dyDescent="0.25">
      <c r="A755" s="54" t="s">
        <v>233</v>
      </c>
      <c r="B755" s="43" t="s">
        <v>2365</v>
      </c>
      <c r="C755" s="37"/>
      <c r="D755" s="37"/>
      <c r="E755" s="37" t="s">
        <v>1974</v>
      </c>
      <c r="F755" s="37" t="b">
        <v>0</v>
      </c>
      <c r="G755" s="37">
        <v>200</v>
      </c>
      <c r="H755" s="37" t="b">
        <v>1</v>
      </c>
    </row>
    <row r="756" spans="1:9" ht="30" x14ac:dyDescent="0.25">
      <c r="A756" s="54" t="s">
        <v>233</v>
      </c>
      <c r="B756" s="31" t="s">
        <v>2366</v>
      </c>
      <c r="C756" s="28"/>
      <c r="D756" s="28"/>
      <c r="E756" s="28" t="s">
        <v>1974</v>
      </c>
      <c r="F756" s="28" t="b">
        <v>0</v>
      </c>
      <c r="G756" s="28">
        <v>200</v>
      </c>
      <c r="H756" s="28" t="b">
        <v>1</v>
      </c>
      <c r="I756" s="34"/>
    </row>
    <row r="757" spans="1:9" ht="30" x14ac:dyDescent="0.25">
      <c r="A757" s="54" t="s">
        <v>233</v>
      </c>
      <c r="B757" s="43" t="s">
        <v>2367</v>
      </c>
      <c r="C757" s="37"/>
      <c r="D757" s="37"/>
      <c r="E757" s="37" t="s">
        <v>1974</v>
      </c>
      <c r="F757" s="37" t="b">
        <v>0</v>
      </c>
      <c r="G757" s="37">
        <v>200</v>
      </c>
      <c r="H757" s="37" t="b">
        <v>1</v>
      </c>
    </row>
    <row r="758" spans="1:9" ht="30" x14ac:dyDescent="0.25">
      <c r="A758" s="54" t="s">
        <v>233</v>
      </c>
      <c r="B758" s="31" t="s">
        <v>2368</v>
      </c>
      <c r="C758" s="28"/>
      <c r="D758" s="28"/>
      <c r="E758" s="28" t="s">
        <v>1974</v>
      </c>
      <c r="F758" s="28" t="b">
        <v>0</v>
      </c>
      <c r="G758" s="28">
        <v>200</v>
      </c>
      <c r="H758" s="28" t="b">
        <v>1</v>
      </c>
      <c r="I758" s="34"/>
    </row>
    <row r="759" spans="1:9" ht="30" x14ac:dyDescent="0.25">
      <c r="A759" s="54" t="s">
        <v>233</v>
      </c>
      <c r="B759" s="43" t="s">
        <v>2105</v>
      </c>
      <c r="C759" s="37"/>
      <c r="D759" s="37"/>
      <c r="E759" s="37" t="s">
        <v>1974</v>
      </c>
      <c r="F759" s="37" t="b">
        <v>0</v>
      </c>
      <c r="G759" s="37">
        <v>200</v>
      </c>
      <c r="H759" s="37" t="b">
        <v>1</v>
      </c>
    </row>
    <row r="760" spans="1:9" ht="30" x14ac:dyDescent="0.25">
      <c r="A760" s="54" t="s">
        <v>233</v>
      </c>
      <c r="B760" s="31" t="s">
        <v>2369</v>
      </c>
      <c r="C760" s="28"/>
      <c r="D760" s="28"/>
      <c r="E760" s="28" t="s">
        <v>1974</v>
      </c>
      <c r="F760" s="28" t="b">
        <v>0</v>
      </c>
      <c r="G760" s="28">
        <v>200</v>
      </c>
      <c r="H760" s="28" t="b">
        <v>1</v>
      </c>
      <c r="I760" s="34"/>
    </row>
    <row r="761" spans="1:9" ht="30" x14ac:dyDescent="0.25">
      <c r="A761" s="54" t="s">
        <v>233</v>
      </c>
      <c r="B761" s="43" t="s">
        <v>2370</v>
      </c>
      <c r="C761" s="37"/>
      <c r="D761" s="37"/>
      <c r="E761" s="37" t="s">
        <v>1974</v>
      </c>
      <c r="F761" s="37" t="b">
        <v>0</v>
      </c>
      <c r="G761" s="37">
        <v>200</v>
      </c>
      <c r="H761" s="37" t="b">
        <v>1</v>
      </c>
    </row>
    <row r="762" spans="1:9" ht="30" x14ac:dyDescent="0.25">
      <c r="A762" s="54" t="s">
        <v>233</v>
      </c>
      <c r="B762" s="31" t="s">
        <v>2371</v>
      </c>
      <c r="C762" s="28"/>
      <c r="D762" s="28"/>
      <c r="E762" s="28" t="s">
        <v>1974</v>
      </c>
      <c r="F762" s="28" t="b">
        <v>0</v>
      </c>
      <c r="G762" s="28">
        <v>200</v>
      </c>
      <c r="H762" s="28" t="b">
        <v>1</v>
      </c>
      <c r="I762" s="34"/>
    </row>
    <row r="763" spans="1:9" ht="30" x14ac:dyDescent="0.25">
      <c r="A763" s="54" t="s">
        <v>233</v>
      </c>
      <c r="B763" s="43" t="s">
        <v>2372</v>
      </c>
      <c r="C763" s="37"/>
      <c r="D763" s="37"/>
      <c r="E763" s="37" t="s">
        <v>1974</v>
      </c>
      <c r="F763" s="37" t="b">
        <v>0</v>
      </c>
      <c r="G763" s="37">
        <v>200</v>
      </c>
      <c r="H763" s="37" t="b">
        <v>1</v>
      </c>
    </row>
    <row r="764" spans="1:9" ht="30" x14ac:dyDescent="0.25">
      <c r="A764" s="54" t="s">
        <v>233</v>
      </c>
      <c r="B764" s="31" t="s">
        <v>2373</v>
      </c>
      <c r="C764" s="28"/>
      <c r="D764" s="28"/>
      <c r="E764" s="28" t="s">
        <v>1974</v>
      </c>
      <c r="F764" s="28" t="b">
        <v>0</v>
      </c>
      <c r="G764" s="28">
        <v>200</v>
      </c>
      <c r="H764" s="28" t="b">
        <v>1</v>
      </c>
      <c r="I764" s="34"/>
    </row>
    <row r="765" spans="1:9" ht="30" x14ac:dyDescent="0.25">
      <c r="A765" s="54" t="s">
        <v>233</v>
      </c>
      <c r="B765" s="43" t="s">
        <v>2374</v>
      </c>
      <c r="C765" s="37"/>
      <c r="D765" s="37"/>
      <c r="E765" s="37" t="s">
        <v>1974</v>
      </c>
      <c r="F765" s="37" t="b">
        <v>0</v>
      </c>
      <c r="G765" s="37">
        <v>200</v>
      </c>
      <c r="H765" s="37" t="b">
        <v>1</v>
      </c>
    </row>
    <row r="766" spans="1:9" ht="30" x14ac:dyDescent="0.25">
      <c r="A766" s="54" t="s">
        <v>233</v>
      </c>
      <c r="B766" s="31" t="s">
        <v>2375</v>
      </c>
      <c r="C766" s="28"/>
      <c r="D766" s="28"/>
      <c r="E766" s="28" t="s">
        <v>1974</v>
      </c>
      <c r="F766" s="28" t="b">
        <v>0</v>
      </c>
      <c r="G766" s="28">
        <v>200</v>
      </c>
      <c r="H766" s="28" t="b">
        <v>1</v>
      </c>
      <c r="I766" s="34"/>
    </row>
    <row r="767" spans="1:9" ht="30" x14ac:dyDescent="0.25">
      <c r="A767" s="54" t="s">
        <v>233</v>
      </c>
      <c r="B767" s="43" t="s">
        <v>2376</v>
      </c>
      <c r="C767" s="37"/>
      <c r="D767" s="37"/>
      <c r="E767" s="37" t="s">
        <v>1974</v>
      </c>
      <c r="F767" s="37" t="b">
        <v>0</v>
      </c>
      <c r="G767" s="37">
        <v>200</v>
      </c>
      <c r="H767" s="37" t="b">
        <v>1</v>
      </c>
    </row>
    <row r="768" spans="1:9" ht="30" x14ac:dyDescent="0.25">
      <c r="A768" s="54" t="s">
        <v>233</v>
      </c>
      <c r="B768" s="31" t="s">
        <v>2377</v>
      </c>
      <c r="C768" s="28"/>
      <c r="D768" s="28"/>
      <c r="E768" s="28" t="s">
        <v>1974</v>
      </c>
      <c r="F768" s="28" t="b">
        <v>0</v>
      </c>
      <c r="G768" s="28">
        <v>200</v>
      </c>
      <c r="H768" s="28" t="b">
        <v>1</v>
      </c>
      <c r="I768" s="34"/>
    </row>
    <row r="769" spans="1:9" ht="30" x14ac:dyDescent="0.25">
      <c r="A769" s="54" t="s">
        <v>233</v>
      </c>
      <c r="B769" s="43" t="s">
        <v>2378</v>
      </c>
      <c r="C769" s="37"/>
      <c r="D769" s="37"/>
      <c r="E769" s="37" t="s">
        <v>1974</v>
      </c>
      <c r="F769" s="37" t="b">
        <v>0</v>
      </c>
      <c r="G769" s="37">
        <v>200</v>
      </c>
      <c r="H769" s="37" t="b">
        <v>1</v>
      </c>
    </row>
    <row r="770" spans="1:9" ht="30" x14ac:dyDescent="0.25">
      <c r="A770" s="54" t="s">
        <v>233</v>
      </c>
      <c r="B770" s="31" t="s">
        <v>2379</v>
      </c>
      <c r="C770" s="28"/>
      <c r="D770" s="28"/>
      <c r="E770" s="28" t="s">
        <v>1974</v>
      </c>
      <c r="F770" s="28" t="b">
        <v>0</v>
      </c>
      <c r="G770" s="28">
        <v>200</v>
      </c>
      <c r="H770" s="28" t="b">
        <v>1</v>
      </c>
      <c r="I770" s="34"/>
    </row>
    <row r="771" spans="1:9" ht="30" x14ac:dyDescent="0.25">
      <c r="A771" s="54" t="s">
        <v>233</v>
      </c>
      <c r="B771" s="43" t="s">
        <v>2380</v>
      </c>
      <c r="C771" s="37"/>
      <c r="D771" s="37"/>
      <c r="E771" s="37" t="s">
        <v>1974</v>
      </c>
      <c r="F771" s="37" t="b">
        <v>0</v>
      </c>
      <c r="G771" s="37">
        <v>200</v>
      </c>
      <c r="H771" s="37" t="b">
        <v>1</v>
      </c>
    </row>
    <row r="772" spans="1:9" ht="30" x14ac:dyDescent="0.25">
      <c r="A772" s="54" t="s">
        <v>233</v>
      </c>
      <c r="B772" s="31" t="s">
        <v>2381</v>
      </c>
      <c r="C772" s="28"/>
      <c r="D772" s="28"/>
      <c r="E772" s="28" t="s">
        <v>1974</v>
      </c>
      <c r="F772" s="28" t="b">
        <v>0</v>
      </c>
      <c r="G772" s="28">
        <v>200</v>
      </c>
      <c r="H772" s="28" t="b">
        <v>1</v>
      </c>
      <c r="I772" s="34"/>
    </row>
    <row r="773" spans="1:9" ht="30" x14ac:dyDescent="0.25">
      <c r="A773" s="54" t="s">
        <v>233</v>
      </c>
      <c r="B773" s="43" t="s">
        <v>2382</v>
      </c>
      <c r="C773" s="37"/>
      <c r="D773" s="37"/>
      <c r="E773" s="37" t="s">
        <v>1974</v>
      </c>
      <c r="F773" s="37" t="b">
        <v>0</v>
      </c>
      <c r="G773" s="37">
        <v>200</v>
      </c>
      <c r="H773" s="37" t="b">
        <v>1</v>
      </c>
    </row>
    <row r="774" spans="1:9" ht="30" x14ac:dyDescent="0.25">
      <c r="A774" s="54" t="s">
        <v>233</v>
      </c>
      <c r="B774" s="31" t="s">
        <v>2383</v>
      </c>
      <c r="C774" s="28"/>
      <c r="D774" s="28"/>
      <c r="E774" s="28" t="s">
        <v>1974</v>
      </c>
      <c r="F774" s="28" t="b">
        <v>0</v>
      </c>
      <c r="G774" s="28">
        <v>200</v>
      </c>
      <c r="H774" s="28" t="b">
        <v>1</v>
      </c>
      <c r="I774" s="34"/>
    </row>
    <row r="775" spans="1:9" ht="30" x14ac:dyDescent="0.25">
      <c r="A775" s="54" t="s">
        <v>233</v>
      </c>
      <c r="B775" s="43" t="s">
        <v>2384</v>
      </c>
      <c r="C775" s="37"/>
      <c r="D775" s="37"/>
      <c r="E775" s="37" t="s">
        <v>1974</v>
      </c>
      <c r="F775" s="37" t="b">
        <v>0</v>
      </c>
      <c r="G775" s="37">
        <v>200</v>
      </c>
      <c r="H775" s="37" t="b">
        <v>1</v>
      </c>
    </row>
    <row r="776" spans="1:9" ht="30" x14ac:dyDescent="0.25">
      <c r="A776" s="54" t="s">
        <v>233</v>
      </c>
      <c r="B776" s="31" t="s">
        <v>2385</v>
      </c>
      <c r="C776" s="28"/>
      <c r="D776" s="28"/>
      <c r="E776" s="28" t="s">
        <v>1974</v>
      </c>
      <c r="F776" s="28" t="b">
        <v>0</v>
      </c>
      <c r="G776" s="28">
        <v>200</v>
      </c>
      <c r="H776" s="28" t="b">
        <v>1</v>
      </c>
      <c r="I776" s="34"/>
    </row>
    <row r="777" spans="1:9" ht="30" x14ac:dyDescent="0.25">
      <c r="A777" s="54" t="s">
        <v>233</v>
      </c>
      <c r="B777" s="43" t="s">
        <v>2386</v>
      </c>
      <c r="C777" s="37"/>
      <c r="D777" s="37"/>
      <c r="E777" s="37" t="s">
        <v>1974</v>
      </c>
      <c r="F777" s="37" t="b">
        <v>0</v>
      </c>
      <c r="G777" s="37">
        <v>200</v>
      </c>
      <c r="H777" s="37" t="b">
        <v>1</v>
      </c>
    </row>
    <row r="778" spans="1:9" ht="30" x14ac:dyDescent="0.25">
      <c r="A778" s="54" t="s">
        <v>233</v>
      </c>
      <c r="B778" s="31" t="s">
        <v>2387</v>
      </c>
      <c r="C778" s="28"/>
      <c r="D778" s="28"/>
      <c r="E778" s="28" t="s">
        <v>1974</v>
      </c>
      <c r="F778" s="28" t="b">
        <v>0</v>
      </c>
      <c r="G778" s="28">
        <v>200</v>
      </c>
      <c r="H778" s="28" t="b">
        <v>1</v>
      </c>
      <c r="I778" s="34"/>
    </row>
    <row r="779" spans="1:9" ht="30" x14ac:dyDescent="0.25">
      <c r="A779" s="54" t="s">
        <v>233</v>
      </c>
      <c r="B779" s="43" t="s">
        <v>2388</v>
      </c>
      <c r="C779" s="37"/>
      <c r="D779" s="37"/>
      <c r="E779" s="37" t="s">
        <v>1974</v>
      </c>
      <c r="F779" s="37" t="b">
        <v>0</v>
      </c>
      <c r="G779" s="37">
        <v>200</v>
      </c>
      <c r="H779" s="37" t="b">
        <v>1</v>
      </c>
    </row>
    <row r="780" spans="1:9" ht="30" x14ac:dyDescent="0.25">
      <c r="A780" s="54" t="s">
        <v>233</v>
      </c>
      <c r="B780" s="31" t="s">
        <v>2389</v>
      </c>
      <c r="C780" s="28"/>
      <c r="D780" s="28"/>
      <c r="E780" s="28" t="s">
        <v>1974</v>
      </c>
      <c r="F780" s="28" t="b">
        <v>0</v>
      </c>
      <c r="G780" s="28">
        <v>200</v>
      </c>
      <c r="H780" s="28" t="b">
        <v>1</v>
      </c>
      <c r="I780" s="34"/>
    </row>
    <row r="781" spans="1:9" ht="30" x14ac:dyDescent="0.25">
      <c r="A781" s="54" t="s">
        <v>233</v>
      </c>
      <c r="B781" s="43" t="s">
        <v>2390</v>
      </c>
      <c r="C781" s="37"/>
      <c r="D781" s="37"/>
      <c r="E781" s="37" t="s">
        <v>1974</v>
      </c>
      <c r="F781" s="37" t="b">
        <v>0</v>
      </c>
      <c r="G781" s="37">
        <v>200</v>
      </c>
      <c r="H781" s="37" t="b">
        <v>1</v>
      </c>
    </row>
    <row r="782" spans="1:9" ht="30" x14ac:dyDescent="0.25">
      <c r="A782" s="54" t="s">
        <v>233</v>
      </c>
      <c r="B782" s="31" t="s">
        <v>2391</v>
      </c>
      <c r="C782" s="28"/>
      <c r="D782" s="28"/>
      <c r="E782" s="28" t="s">
        <v>1974</v>
      </c>
      <c r="F782" s="28" t="b">
        <v>0</v>
      </c>
      <c r="G782" s="28">
        <v>200</v>
      </c>
      <c r="H782" s="28" t="b">
        <v>1</v>
      </c>
      <c r="I782" s="34"/>
    </row>
    <row r="783" spans="1:9" ht="30" x14ac:dyDescent="0.25">
      <c r="A783" s="54" t="s">
        <v>233</v>
      </c>
      <c r="B783" s="43" t="s">
        <v>2392</v>
      </c>
      <c r="C783" s="37"/>
      <c r="D783" s="37"/>
      <c r="E783" s="37" t="s">
        <v>1974</v>
      </c>
      <c r="F783" s="37" t="b">
        <v>0</v>
      </c>
      <c r="G783" s="37">
        <v>200</v>
      </c>
      <c r="H783" s="37" t="b">
        <v>1</v>
      </c>
    </row>
    <row r="784" spans="1:9" ht="30" x14ac:dyDescent="0.25">
      <c r="A784" s="54" t="s">
        <v>233</v>
      </c>
      <c r="B784" s="31" t="s">
        <v>2393</v>
      </c>
      <c r="C784" s="28"/>
      <c r="D784" s="28"/>
      <c r="E784" s="28" t="s">
        <v>1974</v>
      </c>
      <c r="F784" s="28" t="b">
        <v>0</v>
      </c>
      <c r="G784" s="28">
        <v>200</v>
      </c>
      <c r="H784" s="28" t="b">
        <v>1</v>
      </c>
      <c r="I784" s="34"/>
    </row>
    <row r="785" spans="1:9" ht="30" x14ac:dyDescent="0.25">
      <c r="A785" s="54" t="s">
        <v>233</v>
      </c>
      <c r="B785" s="43" t="s">
        <v>2394</v>
      </c>
      <c r="C785" s="37"/>
      <c r="D785" s="37"/>
      <c r="E785" s="37" t="s">
        <v>1974</v>
      </c>
      <c r="F785" s="37" t="b">
        <v>0</v>
      </c>
      <c r="G785" s="37">
        <v>200</v>
      </c>
      <c r="H785" s="37" t="b">
        <v>1</v>
      </c>
    </row>
    <row r="786" spans="1:9" ht="30" x14ac:dyDescent="0.25">
      <c r="A786" s="54" t="s">
        <v>233</v>
      </c>
      <c r="B786" s="31" t="s">
        <v>2395</v>
      </c>
      <c r="C786" s="28"/>
      <c r="D786" s="28"/>
      <c r="E786" s="28" t="s">
        <v>1974</v>
      </c>
      <c r="F786" s="28" t="b">
        <v>0</v>
      </c>
      <c r="G786" s="28">
        <v>200</v>
      </c>
      <c r="H786" s="28" t="b">
        <v>1</v>
      </c>
      <c r="I786" s="34"/>
    </row>
    <row r="787" spans="1:9" ht="30" x14ac:dyDescent="0.25">
      <c r="A787" s="54" t="s">
        <v>233</v>
      </c>
      <c r="B787" s="43" t="s">
        <v>2396</v>
      </c>
      <c r="C787" s="37"/>
      <c r="D787" s="37"/>
      <c r="E787" s="37" t="s">
        <v>1974</v>
      </c>
      <c r="F787" s="37" t="b">
        <v>0</v>
      </c>
      <c r="G787" s="37">
        <v>200</v>
      </c>
      <c r="H787" s="37" t="b">
        <v>1</v>
      </c>
    </row>
    <row r="788" spans="1:9" ht="30" x14ac:dyDescent="0.25">
      <c r="A788" s="54" t="s">
        <v>233</v>
      </c>
      <c r="B788" s="31" t="s">
        <v>2397</v>
      </c>
      <c r="C788" s="28"/>
      <c r="D788" s="28"/>
      <c r="E788" s="28" t="s">
        <v>1974</v>
      </c>
      <c r="F788" s="28" t="b">
        <v>0</v>
      </c>
      <c r="G788" s="28">
        <v>200</v>
      </c>
      <c r="H788" s="28" t="b">
        <v>1</v>
      </c>
      <c r="I788" s="34"/>
    </row>
    <row r="789" spans="1:9" ht="30" x14ac:dyDescent="0.25">
      <c r="A789" s="54" t="s">
        <v>233</v>
      </c>
      <c r="B789" s="43" t="s">
        <v>2398</v>
      </c>
      <c r="C789" s="37"/>
      <c r="D789" s="37"/>
      <c r="E789" s="37" t="s">
        <v>1974</v>
      </c>
      <c r="F789" s="37" t="b">
        <v>0</v>
      </c>
      <c r="G789" s="37">
        <v>200</v>
      </c>
      <c r="H789" s="37" t="b">
        <v>1</v>
      </c>
    </row>
    <row r="790" spans="1:9" ht="30" x14ac:dyDescent="0.25">
      <c r="A790" s="54" t="s">
        <v>233</v>
      </c>
      <c r="B790" s="31" t="s">
        <v>2399</v>
      </c>
      <c r="C790" s="28"/>
      <c r="D790" s="28"/>
      <c r="E790" s="28" t="s">
        <v>1974</v>
      </c>
      <c r="F790" s="28" t="b">
        <v>0</v>
      </c>
      <c r="G790" s="28">
        <v>200</v>
      </c>
      <c r="H790" s="28" t="b">
        <v>1</v>
      </c>
      <c r="I790" s="34"/>
    </row>
    <row r="791" spans="1:9" ht="30" x14ac:dyDescent="0.25">
      <c r="A791" s="54" t="s">
        <v>233</v>
      </c>
      <c r="B791" s="43" t="s">
        <v>2400</v>
      </c>
      <c r="C791" s="37"/>
      <c r="D791" s="37"/>
      <c r="E791" s="37" t="s">
        <v>1974</v>
      </c>
      <c r="F791" s="37" t="b">
        <v>0</v>
      </c>
      <c r="G791" s="37">
        <v>200</v>
      </c>
      <c r="H791" s="37" t="b">
        <v>1</v>
      </c>
    </row>
    <row r="792" spans="1:9" ht="30" x14ac:dyDescent="0.25">
      <c r="A792" s="54" t="s">
        <v>233</v>
      </c>
      <c r="B792" s="31" t="s">
        <v>2104</v>
      </c>
      <c r="C792" s="28"/>
      <c r="D792" s="28"/>
      <c r="E792" s="28" t="s">
        <v>1974</v>
      </c>
      <c r="F792" s="28" t="b">
        <v>0</v>
      </c>
      <c r="G792" s="28">
        <v>200</v>
      </c>
      <c r="H792" s="28" t="b">
        <v>1</v>
      </c>
      <c r="I792" s="34"/>
    </row>
    <row r="793" spans="1:9" ht="30" x14ac:dyDescent="0.25">
      <c r="A793" s="54" t="s">
        <v>233</v>
      </c>
      <c r="B793" s="43" t="s">
        <v>2401</v>
      </c>
      <c r="C793" s="37"/>
      <c r="D793" s="37"/>
      <c r="E793" s="37" t="s">
        <v>1974</v>
      </c>
      <c r="F793" s="37" t="b">
        <v>0</v>
      </c>
      <c r="G793" s="37">
        <v>200</v>
      </c>
      <c r="H793" s="37" t="b">
        <v>1</v>
      </c>
    </row>
    <row r="794" spans="1:9" ht="30" x14ac:dyDescent="0.25">
      <c r="A794" s="54" t="s">
        <v>233</v>
      </c>
      <c r="B794" s="31" t="s">
        <v>2402</v>
      </c>
      <c r="C794" s="28"/>
      <c r="D794" s="28"/>
      <c r="E794" s="28" t="s">
        <v>1974</v>
      </c>
      <c r="F794" s="28" t="b">
        <v>0</v>
      </c>
      <c r="G794" s="28">
        <v>200</v>
      </c>
      <c r="H794" s="28" t="b">
        <v>1</v>
      </c>
      <c r="I794" s="34"/>
    </row>
    <row r="795" spans="1:9" ht="30" x14ac:dyDescent="0.25">
      <c r="A795" s="54" t="s">
        <v>233</v>
      </c>
      <c r="B795" s="43" t="s">
        <v>2403</v>
      </c>
      <c r="C795" s="37"/>
      <c r="D795" s="37"/>
      <c r="E795" s="37" t="s">
        <v>1974</v>
      </c>
      <c r="F795" s="37" t="b">
        <v>0</v>
      </c>
      <c r="G795" s="37">
        <v>200</v>
      </c>
      <c r="H795" s="37" t="b">
        <v>1</v>
      </c>
    </row>
    <row r="796" spans="1:9" ht="30" x14ac:dyDescent="0.25">
      <c r="A796" s="54" t="s">
        <v>233</v>
      </c>
      <c r="B796" s="31" t="s">
        <v>2404</v>
      </c>
      <c r="C796" s="28"/>
      <c r="D796" s="28"/>
      <c r="E796" s="28" t="s">
        <v>1974</v>
      </c>
      <c r="F796" s="28" t="b">
        <v>0</v>
      </c>
      <c r="G796" s="28">
        <v>200</v>
      </c>
      <c r="H796" s="28" t="b">
        <v>1</v>
      </c>
      <c r="I796" s="34"/>
    </row>
    <row r="797" spans="1:9" ht="30" x14ac:dyDescent="0.25">
      <c r="A797" s="54" t="s">
        <v>233</v>
      </c>
      <c r="B797" s="43" t="s">
        <v>2405</v>
      </c>
      <c r="C797" s="37"/>
      <c r="D797" s="37"/>
      <c r="E797" s="37" t="s">
        <v>1974</v>
      </c>
      <c r="F797" s="37" t="b">
        <v>0</v>
      </c>
      <c r="G797" s="37">
        <v>200</v>
      </c>
      <c r="H797" s="37" t="b">
        <v>1</v>
      </c>
    </row>
    <row r="798" spans="1:9" ht="30" x14ac:dyDescent="0.25">
      <c r="A798" s="54" t="s">
        <v>233</v>
      </c>
      <c r="B798" s="31" t="s">
        <v>2406</v>
      </c>
      <c r="C798" s="28"/>
      <c r="D798" s="28"/>
      <c r="E798" s="28" t="s">
        <v>1974</v>
      </c>
      <c r="F798" s="28" t="b">
        <v>0</v>
      </c>
      <c r="G798" s="28">
        <v>200</v>
      </c>
      <c r="H798" s="28" t="b">
        <v>1</v>
      </c>
      <c r="I798" s="34"/>
    </row>
    <row r="799" spans="1:9" ht="30" x14ac:dyDescent="0.25">
      <c r="A799" s="54" t="s">
        <v>233</v>
      </c>
      <c r="B799" s="43" t="s">
        <v>2102</v>
      </c>
      <c r="C799" s="37"/>
      <c r="D799" s="37"/>
      <c r="E799" s="37" t="s">
        <v>1974</v>
      </c>
      <c r="F799" s="37" t="b">
        <v>0</v>
      </c>
      <c r="G799" s="37">
        <v>200</v>
      </c>
      <c r="H799" s="37" t="b">
        <v>1</v>
      </c>
    </row>
    <row r="800" spans="1:9" ht="30" x14ac:dyDescent="0.25">
      <c r="A800" s="54" t="s">
        <v>233</v>
      </c>
      <c r="B800" s="31" t="s">
        <v>2103</v>
      </c>
      <c r="C800" s="28"/>
      <c r="D800" s="28"/>
      <c r="E800" s="28" t="s">
        <v>1974</v>
      </c>
      <c r="F800" s="28" t="b">
        <v>0</v>
      </c>
      <c r="G800" s="28">
        <v>200</v>
      </c>
      <c r="H800" s="28" t="b">
        <v>1</v>
      </c>
      <c r="I800" s="34"/>
    </row>
    <row r="801" spans="1:9" ht="30" x14ac:dyDescent="0.25">
      <c r="A801" s="54" t="s">
        <v>233</v>
      </c>
      <c r="B801" s="43" t="s">
        <v>2407</v>
      </c>
      <c r="C801" s="37"/>
      <c r="D801" s="37"/>
      <c r="E801" s="37" t="s">
        <v>1974</v>
      </c>
      <c r="F801" s="37" t="b">
        <v>0</v>
      </c>
      <c r="G801" s="37">
        <v>200</v>
      </c>
      <c r="H801" s="37" t="b">
        <v>1</v>
      </c>
    </row>
    <row r="802" spans="1:9" ht="30" x14ac:dyDescent="0.25">
      <c r="A802" s="54" t="s">
        <v>233</v>
      </c>
      <c r="B802" s="31" t="s">
        <v>2408</v>
      </c>
      <c r="C802" s="28"/>
      <c r="D802" s="28"/>
      <c r="E802" s="28" t="s">
        <v>1974</v>
      </c>
      <c r="F802" s="28" t="b">
        <v>0</v>
      </c>
      <c r="G802" s="28">
        <v>200</v>
      </c>
      <c r="H802" s="28" t="b">
        <v>1</v>
      </c>
      <c r="I802" s="34"/>
    </row>
    <row r="803" spans="1:9" ht="30" x14ac:dyDescent="0.25">
      <c r="A803" s="54" t="s">
        <v>233</v>
      </c>
      <c r="B803" s="43" t="s">
        <v>2409</v>
      </c>
      <c r="C803" s="37"/>
      <c r="D803" s="37"/>
      <c r="E803" s="37" t="s">
        <v>1974</v>
      </c>
      <c r="F803" s="37" t="b">
        <v>0</v>
      </c>
      <c r="G803" s="37">
        <v>200</v>
      </c>
      <c r="H803" s="37" t="b">
        <v>1</v>
      </c>
    </row>
    <row r="804" spans="1:9" ht="30" x14ac:dyDescent="0.25">
      <c r="A804" s="54" t="s">
        <v>233</v>
      </c>
      <c r="B804" s="31" t="s">
        <v>2410</v>
      </c>
      <c r="C804" s="28"/>
      <c r="D804" s="28"/>
      <c r="E804" s="28" t="s">
        <v>1974</v>
      </c>
      <c r="F804" s="28" t="b">
        <v>0</v>
      </c>
      <c r="G804" s="28">
        <v>200</v>
      </c>
      <c r="H804" s="28" t="b">
        <v>1</v>
      </c>
      <c r="I804" s="34"/>
    </row>
    <row r="805" spans="1:9" ht="30" x14ac:dyDescent="0.25">
      <c r="A805" s="54" t="s">
        <v>233</v>
      </c>
      <c r="B805" s="43" t="s">
        <v>2411</v>
      </c>
      <c r="C805" s="37"/>
      <c r="D805" s="37"/>
      <c r="E805" s="37" t="s">
        <v>1974</v>
      </c>
      <c r="F805" s="37" t="b">
        <v>0</v>
      </c>
      <c r="G805" s="37">
        <v>200</v>
      </c>
      <c r="H805" s="37" t="b">
        <v>1</v>
      </c>
    </row>
    <row r="806" spans="1:9" ht="30" x14ac:dyDescent="0.25">
      <c r="A806" s="54" t="s">
        <v>233</v>
      </c>
      <c r="B806" s="31" t="s">
        <v>2412</v>
      </c>
      <c r="C806" s="28"/>
      <c r="D806" s="28"/>
      <c r="E806" s="28" t="s">
        <v>1974</v>
      </c>
      <c r="F806" s="28" t="b">
        <v>0</v>
      </c>
      <c r="G806" s="28">
        <v>200</v>
      </c>
      <c r="H806" s="28" t="b">
        <v>1</v>
      </c>
      <c r="I806" s="34"/>
    </row>
    <row r="807" spans="1:9" ht="30" x14ac:dyDescent="0.25">
      <c r="A807" s="54" t="s">
        <v>233</v>
      </c>
      <c r="B807" s="43" t="s">
        <v>2413</v>
      </c>
      <c r="C807" s="37"/>
      <c r="D807" s="37"/>
      <c r="E807" s="37" t="s">
        <v>1974</v>
      </c>
      <c r="F807" s="37" t="b">
        <v>0</v>
      </c>
      <c r="G807" s="37">
        <v>200</v>
      </c>
      <c r="H807" s="37" t="b">
        <v>1</v>
      </c>
    </row>
    <row r="808" spans="1:9" ht="30" x14ac:dyDescent="0.25">
      <c r="A808" s="54" t="s">
        <v>233</v>
      </c>
      <c r="B808" s="31" t="s">
        <v>2414</v>
      </c>
      <c r="C808" s="28"/>
      <c r="D808" s="28"/>
      <c r="E808" s="28" t="s">
        <v>1974</v>
      </c>
      <c r="F808" s="28" t="b">
        <v>0</v>
      </c>
      <c r="G808" s="28">
        <v>200</v>
      </c>
      <c r="H808" s="28" t="b">
        <v>1</v>
      </c>
      <c r="I808" s="34"/>
    </row>
    <row r="809" spans="1:9" ht="30" x14ac:dyDescent="0.25">
      <c r="A809" s="54" t="s">
        <v>233</v>
      </c>
      <c r="B809" s="43" t="s">
        <v>2415</v>
      </c>
      <c r="C809" s="37"/>
      <c r="D809" s="37"/>
      <c r="E809" s="37" t="s">
        <v>1974</v>
      </c>
      <c r="F809" s="37" t="b">
        <v>0</v>
      </c>
      <c r="G809" s="37">
        <v>200</v>
      </c>
      <c r="H809" s="37" t="b">
        <v>1</v>
      </c>
    </row>
    <row r="810" spans="1:9" ht="30" x14ac:dyDescent="0.25">
      <c r="A810" s="54" t="s">
        <v>233</v>
      </c>
      <c r="B810" s="31" t="s">
        <v>2416</v>
      </c>
      <c r="C810" s="28"/>
      <c r="D810" s="28"/>
      <c r="E810" s="28" t="s">
        <v>1974</v>
      </c>
      <c r="F810" s="28" t="b">
        <v>0</v>
      </c>
      <c r="G810" s="28">
        <v>200</v>
      </c>
      <c r="H810" s="28" t="b">
        <v>1</v>
      </c>
      <c r="I810" s="34"/>
    </row>
    <row r="811" spans="1:9" ht="30" x14ac:dyDescent="0.25">
      <c r="A811" s="54" t="s">
        <v>233</v>
      </c>
      <c r="B811" s="43" t="s">
        <v>2417</v>
      </c>
      <c r="C811" s="37"/>
      <c r="D811" s="37"/>
      <c r="E811" s="37" t="s">
        <v>1974</v>
      </c>
      <c r="F811" s="37" t="b">
        <v>0</v>
      </c>
      <c r="G811" s="37">
        <v>200</v>
      </c>
      <c r="H811" s="37" t="b">
        <v>1</v>
      </c>
    </row>
    <row r="812" spans="1:9" ht="30" x14ac:dyDescent="0.25">
      <c r="A812" s="54" t="s">
        <v>233</v>
      </c>
      <c r="B812" s="31" t="s">
        <v>2418</v>
      </c>
      <c r="C812" s="28"/>
      <c r="D812" s="28"/>
      <c r="E812" s="28" t="s">
        <v>1974</v>
      </c>
      <c r="F812" s="28" t="b">
        <v>0</v>
      </c>
      <c r="G812" s="28">
        <v>200</v>
      </c>
      <c r="H812" s="28" t="b">
        <v>1</v>
      </c>
      <c r="I812" s="34"/>
    </row>
    <row r="813" spans="1:9" ht="30" x14ac:dyDescent="0.25">
      <c r="A813" s="54" t="s">
        <v>233</v>
      </c>
      <c r="B813" s="43" t="s">
        <v>2419</v>
      </c>
      <c r="C813" s="37"/>
      <c r="D813" s="37"/>
      <c r="E813" s="37" t="s">
        <v>1974</v>
      </c>
      <c r="F813" s="37" t="b">
        <v>0</v>
      </c>
      <c r="G813" s="37">
        <v>200</v>
      </c>
      <c r="H813" s="37" t="b">
        <v>1</v>
      </c>
    </row>
    <row r="814" spans="1:9" ht="30" x14ac:dyDescent="0.25">
      <c r="A814" s="54" t="s">
        <v>233</v>
      </c>
      <c r="B814" s="31" t="s">
        <v>2420</v>
      </c>
      <c r="C814" s="28"/>
      <c r="D814" s="28"/>
      <c r="E814" s="28" t="s">
        <v>1974</v>
      </c>
      <c r="F814" s="28" t="b">
        <v>0</v>
      </c>
      <c r="G814" s="28">
        <v>200</v>
      </c>
      <c r="H814" s="28" t="b">
        <v>1</v>
      </c>
      <c r="I814" s="34"/>
    </row>
    <row r="815" spans="1:9" ht="30" x14ac:dyDescent="0.25">
      <c r="A815" s="54" t="s">
        <v>233</v>
      </c>
      <c r="B815" s="43" t="s">
        <v>2421</v>
      </c>
      <c r="C815" s="37"/>
      <c r="D815" s="37"/>
      <c r="E815" s="37" t="s">
        <v>1974</v>
      </c>
      <c r="F815" s="37" t="b">
        <v>0</v>
      </c>
      <c r="G815" s="37">
        <v>200</v>
      </c>
      <c r="H815" s="37" t="b">
        <v>1</v>
      </c>
    </row>
    <row r="816" spans="1:9" ht="30" x14ac:dyDescent="0.25">
      <c r="A816" s="54" t="s">
        <v>233</v>
      </c>
      <c r="B816" s="31" t="s">
        <v>2422</v>
      </c>
      <c r="C816" s="28"/>
      <c r="D816" s="28"/>
      <c r="E816" s="28" t="s">
        <v>1974</v>
      </c>
      <c r="F816" s="28" t="b">
        <v>0</v>
      </c>
      <c r="G816" s="28">
        <v>200</v>
      </c>
      <c r="H816" s="28" t="b">
        <v>1</v>
      </c>
      <c r="I816" s="34"/>
    </row>
    <row r="817" spans="1:9" ht="30" x14ac:dyDescent="0.25">
      <c r="A817" s="54" t="s">
        <v>233</v>
      </c>
      <c r="B817" s="43" t="s">
        <v>2423</v>
      </c>
      <c r="C817" s="37"/>
      <c r="D817" s="37"/>
      <c r="E817" s="37" t="s">
        <v>1974</v>
      </c>
      <c r="F817" s="37" t="b">
        <v>0</v>
      </c>
      <c r="G817" s="37">
        <v>200</v>
      </c>
      <c r="H817" s="37" t="b">
        <v>1</v>
      </c>
    </row>
    <row r="818" spans="1:9" ht="30" x14ac:dyDescent="0.25">
      <c r="A818" s="54" t="s">
        <v>233</v>
      </c>
      <c r="B818" s="31" t="s">
        <v>2424</v>
      </c>
      <c r="C818" s="28"/>
      <c r="D818" s="28"/>
      <c r="E818" s="28" t="s">
        <v>1974</v>
      </c>
      <c r="F818" s="28" t="b">
        <v>0</v>
      </c>
      <c r="G818" s="28">
        <v>200</v>
      </c>
      <c r="H818" s="28" t="b">
        <v>1</v>
      </c>
      <c r="I818" s="34"/>
    </row>
    <row r="819" spans="1:9" ht="30" x14ac:dyDescent="0.25">
      <c r="A819" s="54" t="s">
        <v>233</v>
      </c>
      <c r="B819" s="43" t="s">
        <v>2425</v>
      </c>
      <c r="C819" s="37"/>
      <c r="D819" s="37"/>
      <c r="E819" s="37" t="s">
        <v>1974</v>
      </c>
      <c r="F819" s="37" t="b">
        <v>0</v>
      </c>
      <c r="G819" s="37">
        <v>200</v>
      </c>
      <c r="H819" s="37" t="b">
        <v>1</v>
      </c>
    </row>
    <row r="820" spans="1:9" ht="30" x14ac:dyDescent="0.25">
      <c r="A820" s="54" t="s">
        <v>233</v>
      </c>
      <c r="B820" s="31" t="s">
        <v>2426</v>
      </c>
      <c r="C820" s="28"/>
      <c r="D820" s="28"/>
      <c r="E820" s="28" t="s">
        <v>1974</v>
      </c>
      <c r="F820" s="28" t="b">
        <v>0</v>
      </c>
      <c r="G820" s="28">
        <v>200</v>
      </c>
      <c r="H820" s="28" t="b">
        <v>1</v>
      </c>
      <c r="I820" s="34"/>
    </row>
    <row r="821" spans="1:9" ht="30" x14ac:dyDescent="0.25">
      <c r="A821" s="54" t="s">
        <v>233</v>
      </c>
      <c r="B821" s="43" t="s">
        <v>2427</v>
      </c>
      <c r="C821" s="37"/>
      <c r="D821" s="37"/>
      <c r="E821" s="37" t="s">
        <v>1974</v>
      </c>
      <c r="F821" s="37" t="b">
        <v>0</v>
      </c>
      <c r="G821" s="37">
        <v>200</v>
      </c>
      <c r="H821" s="37" t="b">
        <v>1</v>
      </c>
    </row>
    <row r="822" spans="1:9" ht="30" x14ac:dyDescent="0.25">
      <c r="A822" s="54" t="s">
        <v>233</v>
      </c>
      <c r="B822" s="31" t="s">
        <v>2428</v>
      </c>
      <c r="C822" s="28"/>
      <c r="D822" s="28"/>
      <c r="E822" s="28" t="s">
        <v>1974</v>
      </c>
      <c r="F822" s="28" t="b">
        <v>0</v>
      </c>
      <c r="G822" s="28">
        <v>200</v>
      </c>
      <c r="H822" s="28" t="b">
        <v>1</v>
      </c>
      <c r="I822" s="34"/>
    </row>
    <row r="823" spans="1:9" ht="30" x14ac:dyDescent="0.25">
      <c r="A823" s="54" t="s">
        <v>233</v>
      </c>
      <c r="B823" s="43" t="s">
        <v>2429</v>
      </c>
      <c r="C823" s="37"/>
      <c r="D823" s="37"/>
      <c r="E823" s="37" t="s">
        <v>1974</v>
      </c>
      <c r="F823" s="37" t="b">
        <v>0</v>
      </c>
      <c r="G823" s="37">
        <v>200</v>
      </c>
      <c r="H823" s="37" t="b">
        <v>1</v>
      </c>
    </row>
    <row r="824" spans="1:9" ht="30" x14ac:dyDescent="0.25">
      <c r="A824" s="54" t="s">
        <v>233</v>
      </c>
      <c r="B824" s="31" t="s">
        <v>2430</v>
      </c>
      <c r="C824" s="28"/>
      <c r="D824" s="28"/>
      <c r="E824" s="28" t="s">
        <v>1974</v>
      </c>
      <c r="F824" s="28" t="b">
        <v>0</v>
      </c>
      <c r="G824" s="28">
        <v>200</v>
      </c>
      <c r="H824" s="28" t="b">
        <v>1</v>
      </c>
      <c r="I824" s="34"/>
    </row>
    <row r="825" spans="1:9" ht="30" x14ac:dyDescent="0.25">
      <c r="A825" s="54" t="s">
        <v>233</v>
      </c>
      <c r="B825" s="43" t="s">
        <v>2431</v>
      </c>
      <c r="C825" s="37"/>
      <c r="D825" s="37"/>
      <c r="E825" s="37" t="s">
        <v>1974</v>
      </c>
      <c r="F825" s="37" t="b">
        <v>0</v>
      </c>
      <c r="G825" s="37">
        <v>200</v>
      </c>
      <c r="H825" s="37" t="b">
        <v>1</v>
      </c>
    </row>
    <row r="826" spans="1:9" ht="30" x14ac:dyDescent="0.25">
      <c r="A826" s="54" t="s">
        <v>233</v>
      </c>
      <c r="B826" s="31" t="s">
        <v>2432</v>
      </c>
      <c r="C826" s="28"/>
      <c r="D826" s="28"/>
      <c r="E826" s="28" t="s">
        <v>1974</v>
      </c>
      <c r="F826" s="28" t="b">
        <v>0</v>
      </c>
      <c r="G826" s="28">
        <v>200</v>
      </c>
      <c r="H826" s="28" t="b">
        <v>1</v>
      </c>
      <c r="I826" s="34"/>
    </row>
    <row r="827" spans="1:9" ht="30" x14ac:dyDescent="0.25">
      <c r="A827" s="54" t="s">
        <v>233</v>
      </c>
      <c r="B827" s="43" t="s">
        <v>2433</v>
      </c>
      <c r="C827" s="37"/>
      <c r="D827" s="37"/>
      <c r="E827" s="37" t="s">
        <v>1974</v>
      </c>
      <c r="F827" s="37" t="b">
        <v>0</v>
      </c>
      <c r="G827" s="37">
        <v>200</v>
      </c>
      <c r="H827" s="37" t="b">
        <v>1</v>
      </c>
    </row>
    <row r="828" spans="1:9" ht="30" x14ac:dyDescent="0.25">
      <c r="A828" s="54" t="s">
        <v>233</v>
      </c>
      <c r="B828" s="31" t="s">
        <v>2101</v>
      </c>
      <c r="C828" s="28"/>
      <c r="D828" s="28"/>
      <c r="E828" s="28" t="s">
        <v>1974</v>
      </c>
      <c r="F828" s="28" t="b">
        <v>0</v>
      </c>
      <c r="G828" s="28">
        <v>200</v>
      </c>
      <c r="H828" s="28" t="b">
        <v>1</v>
      </c>
      <c r="I828" s="34"/>
    </row>
    <row r="829" spans="1:9" ht="30" x14ac:dyDescent="0.25">
      <c r="A829" s="54" t="s">
        <v>233</v>
      </c>
      <c r="B829" s="43" t="s">
        <v>2434</v>
      </c>
      <c r="C829" s="37"/>
      <c r="D829" s="37"/>
      <c r="E829" s="37" t="s">
        <v>1974</v>
      </c>
      <c r="F829" s="37" t="b">
        <v>0</v>
      </c>
      <c r="G829" s="37">
        <v>200</v>
      </c>
      <c r="H829" s="37" t="b">
        <v>1</v>
      </c>
    </row>
    <row r="830" spans="1:9" ht="30" x14ac:dyDescent="0.25">
      <c r="A830" s="54" t="s">
        <v>233</v>
      </c>
      <c r="B830" s="31" t="s">
        <v>2435</v>
      </c>
      <c r="C830" s="28"/>
      <c r="D830" s="28"/>
      <c r="E830" s="28" t="s">
        <v>1974</v>
      </c>
      <c r="F830" s="28" t="b">
        <v>0</v>
      </c>
      <c r="G830" s="28">
        <v>200</v>
      </c>
      <c r="H830" s="28" t="b">
        <v>1</v>
      </c>
      <c r="I830" s="34"/>
    </row>
    <row r="831" spans="1:9" ht="30" x14ac:dyDescent="0.25">
      <c r="A831" s="54" t="s">
        <v>233</v>
      </c>
      <c r="B831" s="43" t="s">
        <v>2436</v>
      </c>
      <c r="C831" s="37"/>
      <c r="D831" s="37"/>
      <c r="E831" s="37" t="s">
        <v>1974</v>
      </c>
      <c r="F831" s="37" t="b">
        <v>0</v>
      </c>
      <c r="G831" s="37">
        <v>200</v>
      </c>
      <c r="H831" s="37" t="b">
        <v>1</v>
      </c>
    </row>
    <row r="832" spans="1:9" ht="30" x14ac:dyDescent="0.25">
      <c r="A832" s="54" t="s">
        <v>233</v>
      </c>
      <c r="B832" s="31" t="s">
        <v>2437</v>
      </c>
      <c r="C832" s="28"/>
      <c r="D832" s="28"/>
      <c r="E832" s="28" t="s">
        <v>1974</v>
      </c>
      <c r="F832" s="28" t="b">
        <v>0</v>
      </c>
      <c r="G832" s="28">
        <v>200</v>
      </c>
      <c r="H832" s="28" t="b">
        <v>1</v>
      </c>
      <c r="I832" s="34"/>
    </row>
    <row r="833" spans="1:9" ht="30" x14ac:dyDescent="0.25">
      <c r="A833" s="54" t="s">
        <v>233</v>
      </c>
      <c r="B833" s="43" t="s">
        <v>2438</v>
      </c>
      <c r="C833" s="37"/>
      <c r="D833" s="37"/>
      <c r="E833" s="37" t="s">
        <v>1974</v>
      </c>
      <c r="F833" s="37" t="b">
        <v>0</v>
      </c>
      <c r="G833" s="37">
        <v>200</v>
      </c>
      <c r="H833" s="37" t="b">
        <v>1</v>
      </c>
    </row>
    <row r="834" spans="1:9" ht="30" x14ac:dyDescent="0.25">
      <c r="A834" s="54" t="s">
        <v>233</v>
      </c>
      <c r="B834" s="31" t="s">
        <v>2439</v>
      </c>
      <c r="C834" s="28"/>
      <c r="D834" s="28"/>
      <c r="E834" s="28" t="s">
        <v>1974</v>
      </c>
      <c r="F834" s="28" t="b">
        <v>0</v>
      </c>
      <c r="G834" s="28">
        <v>200</v>
      </c>
      <c r="H834" s="28" t="b">
        <v>1</v>
      </c>
      <c r="I834" s="34"/>
    </row>
    <row r="835" spans="1:9" ht="30" x14ac:dyDescent="0.25">
      <c r="A835" s="54" t="s">
        <v>233</v>
      </c>
      <c r="B835" s="43" t="s">
        <v>2440</v>
      </c>
      <c r="C835" s="37"/>
      <c r="D835" s="37"/>
      <c r="E835" s="37" t="s">
        <v>1974</v>
      </c>
      <c r="F835" s="37" t="b">
        <v>0</v>
      </c>
      <c r="G835" s="37">
        <v>200</v>
      </c>
      <c r="H835" s="37" t="b">
        <v>1</v>
      </c>
    </row>
    <row r="836" spans="1:9" ht="30" x14ac:dyDescent="0.25">
      <c r="A836" s="54" t="s">
        <v>233</v>
      </c>
      <c r="B836" s="31" t="s">
        <v>2441</v>
      </c>
      <c r="C836" s="28"/>
      <c r="D836" s="28"/>
      <c r="E836" s="28" t="s">
        <v>1974</v>
      </c>
      <c r="F836" s="28" t="b">
        <v>0</v>
      </c>
      <c r="G836" s="28">
        <v>200</v>
      </c>
      <c r="H836" s="28" t="b">
        <v>1</v>
      </c>
      <c r="I836" s="34"/>
    </row>
    <row r="837" spans="1:9" ht="30" x14ac:dyDescent="0.25">
      <c r="A837" s="54" t="s">
        <v>233</v>
      </c>
      <c r="B837" s="43" t="s">
        <v>2442</v>
      </c>
      <c r="C837" s="37"/>
      <c r="D837" s="37"/>
      <c r="E837" s="37" t="s">
        <v>1974</v>
      </c>
      <c r="F837" s="37" t="b">
        <v>0</v>
      </c>
      <c r="G837" s="37">
        <v>200</v>
      </c>
      <c r="H837" s="37" t="b">
        <v>1</v>
      </c>
    </row>
    <row r="838" spans="1:9" ht="30" x14ac:dyDescent="0.25">
      <c r="A838" s="54" t="s">
        <v>233</v>
      </c>
      <c r="B838" s="31" t="s">
        <v>2443</v>
      </c>
      <c r="C838" s="28"/>
      <c r="D838" s="28"/>
      <c r="E838" s="28" t="s">
        <v>1974</v>
      </c>
      <c r="F838" s="28" t="b">
        <v>0</v>
      </c>
      <c r="G838" s="28">
        <v>200</v>
      </c>
      <c r="H838" s="28" t="b">
        <v>1</v>
      </c>
      <c r="I838" s="34"/>
    </row>
    <row r="839" spans="1:9" ht="30" x14ac:dyDescent="0.25">
      <c r="A839" s="54" t="s">
        <v>233</v>
      </c>
      <c r="B839" s="43" t="s">
        <v>2444</v>
      </c>
      <c r="C839" s="37"/>
      <c r="D839" s="37"/>
      <c r="E839" s="37" t="s">
        <v>1974</v>
      </c>
      <c r="F839" s="37" t="b">
        <v>0</v>
      </c>
      <c r="G839" s="37">
        <v>200</v>
      </c>
      <c r="H839" s="37" t="b">
        <v>1</v>
      </c>
    </row>
    <row r="840" spans="1:9" ht="30" x14ac:dyDescent="0.25">
      <c r="A840" s="54" t="s">
        <v>233</v>
      </c>
      <c r="B840" s="31" t="s">
        <v>2445</v>
      </c>
      <c r="C840" s="28"/>
      <c r="D840" s="28"/>
      <c r="E840" s="28" t="s">
        <v>1974</v>
      </c>
      <c r="F840" s="28" t="b">
        <v>0</v>
      </c>
      <c r="G840" s="28">
        <v>200</v>
      </c>
      <c r="H840" s="28" t="b">
        <v>1</v>
      </c>
      <c r="I840" s="34"/>
    </row>
    <row r="841" spans="1:9" ht="30" x14ac:dyDescent="0.25">
      <c r="A841" s="54" t="s">
        <v>233</v>
      </c>
      <c r="B841" s="43" t="s">
        <v>2446</v>
      </c>
      <c r="C841" s="37"/>
      <c r="D841" s="37"/>
      <c r="E841" s="37" t="s">
        <v>1974</v>
      </c>
      <c r="F841" s="37" t="b">
        <v>0</v>
      </c>
      <c r="G841" s="37">
        <v>200</v>
      </c>
      <c r="H841" s="37" t="b">
        <v>1</v>
      </c>
    </row>
    <row r="842" spans="1:9" ht="30" x14ac:dyDescent="0.25">
      <c r="A842" s="54" t="s">
        <v>233</v>
      </c>
      <c r="B842" s="31" t="s">
        <v>2447</v>
      </c>
      <c r="C842" s="28"/>
      <c r="D842" s="28"/>
      <c r="E842" s="28" t="s">
        <v>1974</v>
      </c>
      <c r="F842" s="28" t="b">
        <v>0</v>
      </c>
      <c r="G842" s="28">
        <v>200</v>
      </c>
      <c r="H842" s="28" t="b">
        <v>1</v>
      </c>
      <c r="I842" s="34"/>
    </row>
    <row r="843" spans="1:9" ht="30" x14ac:dyDescent="0.25">
      <c r="A843" s="54" t="s">
        <v>233</v>
      </c>
      <c r="B843" s="43" t="s">
        <v>2448</v>
      </c>
      <c r="C843" s="37"/>
      <c r="D843" s="37"/>
      <c r="E843" s="37" t="s">
        <v>1974</v>
      </c>
      <c r="F843" s="37" t="b">
        <v>0</v>
      </c>
      <c r="G843" s="37">
        <v>200</v>
      </c>
      <c r="H843" s="37" t="b">
        <v>1</v>
      </c>
    </row>
    <row r="844" spans="1:9" ht="30" x14ac:dyDescent="0.25">
      <c r="A844" s="54" t="s">
        <v>233</v>
      </c>
      <c r="B844" s="31" t="s">
        <v>2100</v>
      </c>
      <c r="C844" s="28"/>
      <c r="D844" s="28"/>
      <c r="E844" s="28" t="s">
        <v>1974</v>
      </c>
      <c r="F844" s="28" t="b">
        <v>0</v>
      </c>
      <c r="G844" s="28">
        <v>200</v>
      </c>
      <c r="H844" s="28" t="b">
        <v>1</v>
      </c>
      <c r="I844" s="34"/>
    </row>
    <row r="845" spans="1:9" ht="30" x14ac:dyDescent="0.25">
      <c r="A845" s="54" t="s">
        <v>233</v>
      </c>
      <c r="B845" s="43" t="s">
        <v>2449</v>
      </c>
      <c r="C845" s="37"/>
      <c r="D845" s="37"/>
      <c r="E845" s="37" t="s">
        <v>1974</v>
      </c>
      <c r="F845" s="37" t="b">
        <v>0</v>
      </c>
      <c r="G845" s="37">
        <v>200</v>
      </c>
      <c r="H845" s="37" t="b">
        <v>1</v>
      </c>
    </row>
    <row r="846" spans="1:9" ht="30" x14ac:dyDescent="0.25">
      <c r="A846" s="54" t="s">
        <v>233</v>
      </c>
      <c r="B846" s="31" t="s">
        <v>2450</v>
      </c>
      <c r="C846" s="28"/>
      <c r="D846" s="28"/>
      <c r="E846" s="28" t="s">
        <v>1974</v>
      </c>
      <c r="F846" s="28" t="b">
        <v>0</v>
      </c>
      <c r="G846" s="28">
        <v>200</v>
      </c>
      <c r="H846" s="28" t="b">
        <v>1</v>
      </c>
      <c r="I846" s="34"/>
    </row>
    <row r="847" spans="1:9" ht="30" x14ac:dyDescent="0.25">
      <c r="A847" s="54" t="s">
        <v>233</v>
      </c>
      <c r="B847" s="43" t="s">
        <v>2451</v>
      </c>
      <c r="C847" s="37"/>
      <c r="D847" s="37"/>
      <c r="E847" s="37" t="s">
        <v>1974</v>
      </c>
      <c r="F847" s="37" t="b">
        <v>0</v>
      </c>
      <c r="G847" s="37">
        <v>200</v>
      </c>
      <c r="H847" s="37" t="b">
        <v>1</v>
      </c>
    </row>
    <row r="848" spans="1:9" ht="30" x14ac:dyDescent="0.25">
      <c r="A848" s="54" t="s">
        <v>233</v>
      </c>
      <c r="B848" s="31" t="s">
        <v>2452</v>
      </c>
      <c r="C848" s="28"/>
      <c r="D848" s="28"/>
      <c r="E848" s="28" t="s">
        <v>1974</v>
      </c>
      <c r="F848" s="28" t="b">
        <v>0</v>
      </c>
      <c r="G848" s="28">
        <v>200</v>
      </c>
      <c r="H848" s="28" t="b">
        <v>1</v>
      </c>
      <c r="I848" s="34"/>
    </row>
    <row r="849" spans="1:9" ht="30" x14ac:dyDescent="0.25">
      <c r="A849" s="54" t="s">
        <v>233</v>
      </c>
      <c r="B849" s="43" t="s">
        <v>2453</v>
      </c>
      <c r="C849" s="37"/>
      <c r="D849" s="37"/>
      <c r="E849" s="37" t="s">
        <v>1974</v>
      </c>
      <c r="F849" s="37" t="b">
        <v>0</v>
      </c>
      <c r="G849" s="37">
        <v>200</v>
      </c>
      <c r="H849" s="37" t="b">
        <v>1</v>
      </c>
    </row>
    <row r="850" spans="1:9" ht="30" x14ac:dyDescent="0.25">
      <c r="A850" s="54" t="s">
        <v>233</v>
      </c>
      <c r="B850" s="31" t="s">
        <v>2454</v>
      </c>
      <c r="C850" s="28"/>
      <c r="D850" s="28"/>
      <c r="E850" s="28" t="s">
        <v>1974</v>
      </c>
      <c r="F850" s="28" t="b">
        <v>0</v>
      </c>
      <c r="G850" s="28">
        <v>200</v>
      </c>
      <c r="H850" s="28" t="b">
        <v>1</v>
      </c>
      <c r="I850" s="34"/>
    </row>
    <row r="851" spans="1:9" ht="30" x14ac:dyDescent="0.25">
      <c r="A851" s="54" t="s">
        <v>233</v>
      </c>
      <c r="B851" s="43" t="s">
        <v>2455</v>
      </c>
      <c r="C851" s="37"/>
      <c r="D851" s="37"/>
      <c r="E851" s="37" t="s">
        <v>1974</v>
      </c>
      <c r="F851" s="37" t="b">
        <v>0</v>
      </c>
      <c r="G851" s="37">
        <v>200</v>
      </c>
      <c r="H851" s="37" t="b">
        <v>1</v>
      </c>
    </row>
    <row r="852" spans="1:9" ht="30" x14ac:dyDescent="0.25">
      <c r="A852" s="54" t="s">
        <v>233</v>
      </c>
      <c r="B852" s="31" t="s">
        <v>2456</v>
      </c>
      <c r="C852" s="28"/>
      <c r="D852" s="28"/>
      <c r="E852" s="28" t="s">
        <v>1974</v>
      </c>
      <c r="F852" s="28" t="b">
        <v>0</v>
      </c>
      <c r="G852" s="28">
        <v>200</v>
      </c>
      <c r="H852" s="28" t="b">
        <v>1</v>
      </c>
      <c r="I852" s="34"/>
    </row>
    <row r="853" spans="1:9" ht="30" x14ac:dyDescent="0.25">
      <c r="A853" s="54" t="s">
        <v>233</v>
      </c>
      <c r="B853" s="43" t="s">
        <v>2457</v>
      </c>
      <c r="C853" s="37"/>
      <c r="D853" s="37"/>
      <c r="E853" s="37" t="s">
        <v>1974</v>
      </c>
      <c r="F853" s="37" t="b">
        <v>0</v>
      </c>
      <c r="G853" s="37">
        <v>200</v>
      </c>
      <c r="H853" s="37" t="b">
        <v>1</v>
      </c>
    </row>
    <row r="854" spans="1:9" ht="30" x14ac:dyDescent="0.25">
      <c r="A854" s="54" t="s">
        <v>233</v>
      </c>
      <c r="B854" s="31" t="s">
        <v>2458</v>
      </c>
      <c r="C854" s="28"/>
      <c r="D854" s="28"/>
      <c r="E854" s="28" t="s">
        <v>1974</v>
      </c>
      <c r="F854" s="28" t="b">
        <v>0</v>
      </c>
      <c r="G854" s="28">
        <v>200</v>
      </c>
      <c r="H854" s="28" t="b">
        <v>1</v>
      </c>
      <c r="I854" s="34"/>
    </row>
    <row r="855" spans="1:9" ht="30" x14ac:dyDescent="0.25">
      <c r="A855" s="54" t="s">
        <v>233</v>
      </c>
      <c r="B855" s="43" t="s">
        <v>2459</v>
      </c>
      <c r="C855" s="37"/>
      <c r="D855" s="37"/>
      <c r="E855" s="37" t="s">
        <v>1974</v>
      </c>
      <c r="F855" s="37" t="b">
        <v>0</v>
      </c>
      <c r="G855" s="37">
        <v>200</v>
      </c>
      <c r="H855" s="37" t="b">
        <v>1</v>
      </c>
    </row>
    <row r="856" spans="1:9" ht="30" x14ac:dyDescent="0.25">
      <c r="A856" s="54" t="s">
        <v>233</v>
      </c>
      <c r="B856" s="31" t="s">
        <v>2460</v>
      </c>
      <c r="C856" s="28"/>
      <c r="D856" s="28"/>
      <c r="E856" s="28" t="s">
        <v>1974</v>
      </c>
      <c r="F856" s="28" t="b">
        <v>0</v>
      </c>
      <c r="G856" s="28">
        <v>200</v>
      </c>
      <c r="H856" s="28" t="b">
        <v>1</v>
      </c>
      <c r="I856" s="34"/>
    </row>
    <row r="857" spans="1:9" ht="30" x14ac:dyDescent="0.25">
      <c r="A857" s="54" t="s">
        <v>233</v>
      </c>
      <c r="B857" s="43" t="s">
        <v>2461</v>
      </c>
      <c r="C857" s="37"/>
      <c r="D857" s="37"/>
      <c r="E857" s="37" t="s">
        <v>1974</v>
      </c>
      <c r="F857" s="37" t="b">
        <v>0</v>
      </c>
      <c r="G857" s="37">
        <v>200</v>
      </c>
      <c r="H857" s="37" t="b">
        <v>1</v>
      </c>
    </row>
    <row r="858" spans="1:9" ht="30" x14ac:dyDescent="0.25">
      <c r="A858" s="54" t="s">
        <v>233</v>
      </c>
      <c r="B858" s="31" t="s">
        <v>2462</v>
      </c>
      <c r="C858" s="28"/>
      <c r="D858" s="28"/>
      <c r="E858" s="28" t="s">
        <v>1974</v>
      </c>
      <c r="F858" s="28" t="b">
        <v>0</v>
      </c>
      <c r="G858" s="28">
        <v>200</v>
      </c>
      <c r="H858" s="28" t="b">
        <v>1</v>
      </c>
      <c r="I858" s="34"/>
    </row>
    <row r="859" spans="1:9" ht="30" x14ac:dyDescent="0.25">
      <c r="A859" s="54" t="s">
        <v>233</v>
      </c>
      <c r="B859" s="43" t="s">
        <v>2463</v>
      </c>
      <c r="C859" s="37"/>
      <c r="D859" s="37"/>
      <c r="E859" s="37" t="s">
        <v>1974</v>
      </c>
      <c r="F859" s="37" t="b">
        <v>0</v>
      </c>
      <c r="G859" s="37">
        <v>200</v>
      </c>
      <c r="H859" s="37" t="b">
        <v>1</v>
      </c>
    </row>
    <row r="860" spans="1:9" ht="30" x14ac:dyDescent="0.25">
      <c r="A860" s="54" t="s">
        <v>233</v>
      </c>
      <c r="B860" s="31" t="s">
        <v>2464</v>
      </c>
      <c r="C860" s="28"/>
      <c r="D860" s="28"/>
      <c r="E860" s="28" t="s">
        <v>1974</v>
      </c>
      <c r="F860" s="28" t="b">
        <v>0</v>
      </c>
      <c r="G860" s="28">
        <v>200</v>
      </c>
      <c r="H860" s="28" t="b">
        <v>1</v>
      </c>
      <c r="I860" s="34"/>
    </row>
    <row r="861" spans="1:9" ht="30" x14ac:dyDescent="0.25">
      <c r="A861" s="54" t="s">
        <v>233</v>
      </c>
      <c r="B861" s="43" t="s">
        <v>2465</v>
      </c>
      <c r="C861" s="37"/>
      <c r="D861" s="37"/>
      <c r="E861" s="37" t="s">
        <v>1974</v>
      </c>
      <c r="F861" s="37" t="b">
        <v>0</v>
      </c>
      <c r="G861" s="37">
        <v>200</v>
      </c>
      <c r="H861" s="37" t="b">
        <v>1</v>
      </c>
    </row>
    <row r="862" spans="1:9" ht="30" x14ac:dyDescent="0.25">
      <c r="A862" s="54" t="s">
        <v>233</v>
      </c>
      <c r="B862" s="31" t="s">
        <v>2466</v>
      </c>
      <c r="C862" s="28"/>
      <c r="D862" s="28"/>
      <c r="E862" s="28" t="s">
        <v>1974</v>
      </c>
      <c r="F862" s="28" t="b">
        <v>0</v>
      </c>
      <c r="G862" s="28">
        <v>200</v>
      </c>
      <c r="H862" s="28" t="b">
        <v>1</v>
      </c>
      <c r="I862" s="34"/>
    </row>
    <row r="863" spans="1:9" ht="30" x14ac:dyDescent="0.25">
      <c r="A863" s="54" t="s">
        <v>233</v>
      </c>
      <c r="B863" s="43" t="s">
        <v>2467</v>
      </c>
      <c r="C863" s="37"/>
      <c r="D863" s="37"/>
      <c r="E863" s="37" t="s">
        <v>1974</v>
      </c>
      <c r="F863" s="37" t="b">
        <v>0</v>
      </c>
      <c r="G863" s="37">
        <v>200</v>
      </c>
      <c r="H863" s="37" t="b">
        <v>1</v>
      </c>
    </row>
    <row r="864" spans="1:9" ht="30" x14ac:dyDescent="0.25">
      <c r="A864" s="54" t="s">
        <v>233</v>
      </c>
      <c r="B864" s="31" t="s">
        <v>2468</v>
      </c>
      <c r="C864" s="28"/>
      <c r="D864" s="28"/>
      <c r="E864" s="28" t="s">
        <v>1974</v>
      </c>
      <c r="F864" s="28" t="b">
        <v>0</v>
      </c>
      <c r="G864" s="28">
        <v>200</v>
      </c>
      <c r="H864" s="28" t="b">
        <v>1</v>
      </c>
      <c r="I864" s="34"/>
    </row>
    <row r="865" spans="1:9" ht="30" x14ac:dyDescent="0.25">
      <c r="A865" s="54" t="s">
        <v>233</v>
      </c>
      <c r="B865" s="43" t="s">
        <v>2469</v>
      </c>
      <c r="C865" s="37"/>
      <c r="D865" s="37"/>
      <c r="E865" s="37" t="s">
        <v>1974</v>
      </c>
      <c r="F865" s="37" t="b">
        <v>0</v>
      </c>
      <c r="G865" s="37">
        <v>200</v>
      </c>
      <c r="H865" s="37" t="b">
        <v>1</v>
      </c>
    </row>
    <row r="866" spans="1:9" ht="30" x14ac:dyDescent="0.25">
      <c r="A866" s="54" t="s">
        <v>233</v>
      </c>
      <c r="B866" s="31" t="s">
        <v>2470</v>
      </c>
      <c r="C866" s="28"/>
      <c r="D866" s="28"/>
      <c r="E866" s="28" t="s">
        <v>1974</v>
      </c>
      <c r="F866" s="28" t="b">
        <v>0</v>
      </c>
      <c r="G866" s="28">
        <v>200</v>
      </c>
      <c r="H866" s="28" t="b">
        <v>1</v>
      </c>
      <c r="I866" s="34"/>
    </row>
    <row r="867" spans="1:9" ht="30" x14ac:dyDescent="0.25">
      <c r="A867" s="54" t="s">
        <v>233</v>
      </c>
      <c r="B867" s="43" t="s">
        <v>2471</v>
      </c>
      <c r="C867" s="37"/>
      <c r="D867" s="37"/>
      <c r="E867" s="37" t="s">
        <v>1974</v>
      </c>
      <c r="F867" s="37" t="b">
        <v>0</v>
      </c>
      <c r="G867" s="37">
        <v>200</v>
      </c>
      <c r="H867" s="37" t="b">
        <v>1</v>
      </c>
    </row>
    <row r="868" spans="1:9" ht="30" x14ac:dyDescent="0.25">
      <c r="A868" s="54" t="s">
        <v>233</v>
      </c>
      <c r="B868" s="31" t="s">
        <v>2472</v>
      </c>
      <c r="C868" s="28"/>
      <c r="D868" s="28"/>
      <c r="E868" s="28" t="s">
        <v>1974</v>
      </c>
      <c r="F868" s="28" t="b">
        <v>0</v>
      </c>
      <c r="G868" s="28">
        <v>200</v>
      </c>
      <c r="H868" s="28" t="b">
        <v>1</v>
      </c>
      <c r="I868" s="34"/>
    </row>
    <row r="869" spans="1:9" ht="30" x14ac:dyDescent="0.25">
      <c r="A869" s="54" t="s">
        <v>233</v>
      </c>
      <c r="B869" s="43" t="s">
        <v>2473</v>
      </c>
      <c r="C869" s="37"/>
      <c r="D869" s="37"/>
      <c r="E869" s="37" t="s">
        <v>1974</v>
      </c>
      <c r="F869" s="37" t="b">
        <v>0</v>
      </c>
      <c r="G869" s="37">
        <v>200</v>
      </c>
      <c r="H869" s="37" t="b">
        <v>1</v>
      </c>
    </row>
    <row r="870" spans="1:9" ht="30" x14ac:dyDescent="0.25">
      <c r="A870" s="54" t="s">
        <v>233</v>
      </c>
      <c r="B870" s="31" t="s">
        <v>2474</v>
      </c>
      <c r="C870" s="28"/>
      <c r="D870" s="28"/>
      <c r="E870" s="28" t="s">
        <v>1974</v>
      </c>
      <c r="F870" s="28" t="b">
        <v>0</v>
      </c>
      <c r="G870" s="28">
        <v>200</v>
      </c>
      <c r="H870" s="28" t="b">
        <v>1</v>
      </c>
      <c r="I870" s="34"/>
    </row>
    <row r="871" spans="1:9" ht="30" x14ac:dyDescent="0.25">
      <c r="A871" s="54" t="s">
        <v>233</v>
      </c>
      <c r="B871" s="43" t="s">
        <v>2475</v>
      </c>
      <c r="C871" s="37"/>
      <c r="D871" s="37"/>
      <c r="E871" s="37" t="s">
        <v>1974</v>
      </c>
      <c r="F871" s="37" t="b">
        <v>0</v>
      </c>
      <c r="G871" s="37">
        <v>200</v>
      </c>
      <c r="H871" s="37" t="b">
        <v>1</v>
      </c>
    </row>
    <row r="872" spans="1:9" ht="30" x14ac:dyDescent="0.25">
      <c r="A872" s="54" t="s">
        <v>233</v>
      </c>
      <c r="B872" s="31" t="s">
        <v>2476</v>
      </c>
      <c r="C872" s="28"/>
      <c r="D872" s="28"/>
      <c r="E872" s="28" t="s">
        <v>1974</v>
      </c>
      <c r="F872" s="28" t="b">
        <v>0</v>
      </c>
      <c r="G872" s="28">
        <v>200</v>
      </c>
      <c r="H872" s="28" t="b">
        <v>1</v>
      </c>
      <c r="I872" s="34"/>
    </row>
    <row r="873" spans="1:9" ht="30" x14ac:dyDescent="0.25">
      <c r="A873" s="54" t="s">
        <v>233</v>
      </c>
      <c r="B873" s="43" t="s">
        <v>2477</v>
      </c>
      <c r="C873" s="37"/>
      <c r="D873" s="37"/>
      <c r="E873" s="37" t="s">
        <v>1974</v>
      </c>
      <c r="F873" s="37" t="b">
        <v>0</v>
      </c>
      <c r="G873" s="37">
        <v>200</v>
      </c>
      <c r="H873" s="37" t="b">
        <v>1</v>
      </c>
    </row>
    <row r="874" spans="1:9" ht="30" x14ac:dyDescent="0.25">
      <c r="A874" s="54" t="s">
        <v>233</v>
      </c>
      <c r="B874" s="31" t="s">
        <v>2478</v>
      </c>
      <c r="C874" s="28"/>
      <c r="D874" s="28"/>
      <c r="E874" s="28" t="s">
        <v>1974</v>
      </c>
      <c r="F874" s="28" t="b">
        <v>0</v>
      </c>
      <c r="G874" s="28">
        <v>200</v>
      </c>
      <c r="H874" s="28" t="b">
        <v>1</v>
      </c>
      <c r="I874" s="34"/>
    </row>
    <row r="875" spans="1:9" ht="30" x14ac:dyDescent="0.25">
      <c r="A875" s="54" t="s">
        <v>233</v>
      </c>
      <c r="B875" s="43" t="s">
        <v>2479</v>
      </c>
      <c r="C875" s="37"/>
      <c r="D875" s="37"/>
      <c r="E875" s="37" t="s">
        <v>1974</v>
      </c>
      <c r="F875" s="37" t="b">
        <v>0</v>
      </c>
      <c r="G875" s="37">
        <v>200</v>
      </c>
      <c r="H875" s="37" t="b">
        <v>1</v>
      </c>
    </row>
    <row r="876" spans="1:9" ht="30" x14ac:dyDescent="0.25">
      <c r="A876" s="54" t="s">
        <v>233</v>
      </c>
      <c r="B876" s="31" t="s">
        <v>2480</v>
      </c>
      <c r="C876" s="28"/>
      <c r="D876" s="28"/>
      <c r="E876" s="28" t="s">
        <v>1974</v>
      </c>
      <c r="F876" s="28" t="b">
        <v>0</v>
      </c>
      <c r="G876" s="28">
        <v>200</v>
      </c>
      <c r="H876" s="28" t="b">
        <v>1</v>
      </c>
      <c r="I876" s="34"/>
    </row>
    <row r="877" spans="1:9" ht="30" x14ac:dyDescent="0.25">
      <c r="A877" s="54" t="s">
        <v>233</v>
      </c>
      <c r="B877" s="43" t="s">
        <v>2481</v>
      </c>
      <c r="C877" s="37"/>
      <c r="D877" s="37"/>
      <c r="E877" s="37" t="s">
        <v>1974</v>
      </c>
      <c r="F877" s="37" t="b">
        <v>0</v>
      </c>
      <c r="G877" s="37">
        <v>200</v>
      </c>
      <c r="H877" s="37" t="b">
        <v>1</v>
      </c>
    </row>
    <row r="878" spans="1:9" ht="30" x14ac:dyDescent="0.25">
      <c r="A878" s="54" t="s">
        <v>233</v>
      </c>
      <c r="B878" s="31" t="s">
        <v>2482</v>
      </c>
      <c r="C878" s="28"/>
      <c r="D878" s="28"/>
      <c r="E878" s="28" t="s">
        <v>1974</v>
      </c>
      <c r="F878" s="28" t="b">
        <v>0</v>
      </c>
      <c r="G878" s="28">
        <v>200</v>
      </c>
      <c r="H878" s="28" t="b">
        <v>1</v>
      </c>
      <c r="I878" s="34"/>
    </row>
    <row r="879" spans="1:9" ht="30" x14ac:dyDescent="0.25">
      <c r="A879" s="54" t="s">
        <v>233</v>
      </c>
      <c r="B879" s="43" t="s">
        <v>2483</v>
      </c>
      <c r="C879" s="37"/>
      <c r="D879" s="37"/>
      <c r="E879" s="37" t="s">
        <v>1974</v>
      </c>
      <c r="F879" s="37" t="b">
        <v>0</v>
      </c>
      <c r="G879" s="37">
        <v>200</v>
      </c>
      <c r="H879" s="37" t="b">
        <v>1</v>
      </c>
    </row>
    <row r="880" spans="1:9" ht="30" x14ac:dyDescent="0.25">
      <c r="A880" s="54" t="s">
        <v>233</v>
      </c>
      <c r="B880" s="31" t="s">
        <v>2099</v>
      </c>
      <c r="C880" s="28"/>
      <c r="D880" s="28"/>
      <c r="E880" s="28" t="s">
        <v>1974</v>
      </c>
      <c r="F880" s="28" t="b">
        <v>0</v>
      </c>
      <c r="G880" s="28">
        <v>200</v>
      </c>
      <c r="H880" s="28" t="b">
        <v>1</v>
      </c>
      <c r="I880" s="34"/>
    </row>
    <row r="881" spans="1:9" ht="30" x14ac:dyDescent="0.25">
      <c r="A881" s="54" t="s">
        <v>233</v>
      </c>
      <c r="B881" s="43" t="s">
        <v>2484</v>
      </c>
      <c r="C881" s="37"/>
      <c r="D881" s="37"/>
      <c r="E881" s="37" t="s">
        <v>1974</v>
      </c>
      <c r="F881" s="37" t="b">
        <v>0</v>
      </c>
      <c r="G881" s="37">
        <v>200</v>
      </c>
      <c r="H881" s="37" t="b">
        <v>1</v>
      </c>
    </row>
    <row r="882" spans="1:9" ht="30" x14ac:dyDescent="0.25">
      <c r="A882" s="54" t="s">
        <v>233</v>
      </c>
      <c r="B882" s="31" t="s">
        <v>2098</v>
      </c>
      <c r="C882" s="28"/>
      <c r="D882" s="28"/>
      <c r="E882" s="28" t="s">
        <v>1974</v>
      </c>
      <c r="F882" s="28" t="b">
        <v>0</v>
      </c>
      <c r="G882" s="28">
        <v>200</v>
      </c>
      <c r="H882" s="28" t="b">
        <v>1</v>
      </c>
      <c r="I882" s="34"/>
    </row>
    <row r="883" spans="1:9" ht="30" x14ac:dyDescent="0.25">
      <c r="A883" s="54" t="s">
        <v>233</v>
      </c>
      <c r="B883" s="43" t="s">
        <v>2485</v>
      </c>
      <c r="C883" s="37"/>
      <c r="D883" s="37"/>
      <c r="E883" s="37" t="s">
        <v>1974</v>
      </c>
      <c r="F883" s="37" t="b">
        <v>0</v>
      </c>
      <c r="G883" s="37">
        <v>200</v>
      </c>
      <c r="H883" s="37" t="b">
        <v>1</v>
      </c>
    </row>
    <row r="884" spans="1:9" ht="30" x14ac:dyDescent="0.25">
      <c r="A884" s="54" t="s">
        <v>233</v>
      </c>
      <c r="B884" s="31" t="s">
        <v>2486</v>
      </c>
      <c r="C884" s="28"/>
      <c r="D884" s="28"/>
      <c r="E884" s="28" t="s">
        <v>1974</v>
      </c>
      <c r="F884" s="28" t="b">
        <v>0</v>
      </c>
      <c r="G884" s="28">
        <v>200</v>
      </c>
      <c r="H884" s="28" t="b">
        <v>1</v>
      </c>
      <c r="I884" s="34"/>
    </row>
    <row r="885" spans="1:9" ht="30" x14ac:dyDescent="0.25">
      <c r="A885" s="54" t="s">
        <v>233</v>
      </c>
      <c r="B885" s="43" t="s">
        <v>2487</v>
      </c>
      <c r="C885" s="37"/>
      <c r="D885" s="37"/>
      <c r="E885" s="37" t="s">
        <v>1974</v>
      </c>
      <c r="F885" s="37" t="b">
        <v>0</v>
      </c>
      <c r="G885" s="37">
        <v>200</v>
      </c>
      <c r="H885" s="37" t="b">
        <v>1</v>
      </c>
    </row>
    <row r="886" spans="1:9" ht="30" x14ac:dyDescent="0.25">
      <c r="A886" s="54" t="s">
        <v>233</v>
      </c>
      <c r="B886" s="31" t="s">
        <v>2488</v>
      </c>
      <c r="C886" s="28"/>
      <c r="D886" s="28"/>
      <c r="E886" s="28" t="s">
        <v>1974</v>
      </c>
      <c r="F886" s="28" t="b">
        <v>0</v>
      </c>
      <c r="G886" s="28">
        <v>200</v>
      </c>
      <c r="H886" s="28" t="b">
        <v>1</v>
      </c>
      <c r="I886" s="34"/>
    </row>
    <row r="887" spans="1:9" ht="30" x14ac:dyDescent="0.25">
      <c r="A887" s="54" t="s">
        <v>233</v>
      </c>
      <c r="B887" s="43" t="s">
        <v>2489</v>
      </c>
      <c r="C887" s="37"/>
      <c r="D887" s="37"/>
      <c r="E887" s="37" t="s">
        <v>1974</v>
      </c>
      <c r="F887" s="37" t="b">
        <v>0</v>
      </c>
      <c r="G887" s="37">
        <v>200</v>
      </c>
      <c r="H887" s="37" t="b">
        <v>1</v>
      </c>
    </row>
    <row r="888" spans="1:9" ht="30" x14ac:dyDescent="0.25">
      <c r="A888" s="54" t="s">
        <v>233</v>
      </c>
      <c r="B888" s="31" t="s">
        <v>2490</v>
      </c>
      <c r="C888" s="28"/>
      <c r="D888" s="28"/>
      <c r="E888" s="28" t="s">
        <v>1974</v>
      </c>
      <c r="F888" s="28" t="b">
        <v>0</v>
      </c>
      <c r="G888" s="28">
        <v>200</v>
      </c>
      <c r="H888" s="28" t="b">
        <v>1</v>
      </c>
      <c r="I888" s="34"/>
    </row>
    <row r="889" spans="1:9" ht="30" x14ac:dyDescent="0.25">
      <c r="A889" s="54" t="s">
        <v>233</v>
      </c>
      <c r="B889" s="43" t="s">
        <v>2491</v>
      </c>
      <c r="C889" s="37"/>
      <c r="D889" s="37"/>
      <c r="E889" s="37" t="s">
        <v>1974</v>
      </c>
      <c r="F889" s="37" t="b">
        <v>0</v>
      </c>
      <c r="G889" s="37">
        <v>200</v>
      </c>
      <c r="H889" s="37" t="b">
        <v>1</v>
      </c>
    </row>
    <row r="890" spans="1:9" ht="30" x14ac:dyDescent="0.25">
      <c r="A890" s="54" t="s">
        <v>233</v>
      </c>
      <c r="B890" s="31" t="s">
        <v>2492</v>
      </c>
      <c r="C890" s="28"/>
      <c r="D890" s="28"/>
      <c r="E890" s="28" t="s">
        <v>1974</v>
      </c>
      <c r="F890" s="28" t="b">
        <v>0</v>
      </c>
      <c r="G890" s="28">
        <v>200</v>
      </c>
      <c r="H890" s="28" t="b">
        <v>1</v>
      </c>
      <c r="I890" s="34"/>
    </row>
    <row r="891" spans="1:9" ht="30" x14ac:dyDescent="0.25">
      <c r="A891" s="54" t="s">
        <v>233</v>
      </c>
      <c r="B891" s="43" t="s">
        <v>2493</v>
      </c>
      <c r="C891" s="37"/>
      <c r="D891" s="37"/>
      <c r="E891" s="37" t="s">
        <v>1974</v>
      </c>
      <c r="F891" s="37" t="b">
        <v>0</v>
      </c>
      <c r="G891" s="37">
        <v>200</v>
      </c>
      <c r="H891" s="37" t="b">
        <v>1</v>
      </c>
    </row>
    <row r="892" spans="1:9" ht="30" x14ac:dyDescent="0.25">
      <c r="A892" s="54" t="s">
        <v>233</v>
      </c>
      <c r="B892" s="31" t="s">
        <v>2494</v>
      </c>
      <c r="C892" s="28"/>
      <c r="D892" s="28"/>
      <c r="E892" s="28" t="s">
        <v>1974</v>
      </c>
      <c r="F892" s="28" t="b">
        <v>0</v>
      </c>
      <c r="G892" s="28">
        <v>200</v>
      </c>
      <c r="H892" s="28" t="b">
        <v>1</v>
      </c>
      <c r="I892" s="34"/>
    </row>
    <row r="893" spans="1:9" ht="30" x14ac:dyDescent="0.25">
      <c r="A893" s="54" t="s">
        <v>233</v>
      </c>
      <c r="B893" s="43" t="s">
        <v>2495</v>
      </c>
      <c r="C893" s="37"/>
      <c r="D893" s="37"/>
      <c r="E893" s="37" t="s">
        <v>1974</v>
      </c>
      <c r="F893" s="37" t="b">
        <v>0</v>
      </c>
      <c r="G893" s="37">
        <v>200</v>
      </c>
      <c r="H893" s="37" t="b">
        <v>1</v>
      </c>
    </row>
    <row r="894" spans="1:9" ht="30" x14ac:dyDescent="0.25">
      <c r="A894" s="54" t="s">
        <v>233</v>
      </c>
      <c r="B894" s="31" t="s">
        <v>2496</v>
      </c>
      <c r="C894" s="28"/>
      <c r="D894" s="28"/>
      <c r="E894" s="28" t="s">
        <v>1974</v>
      </c>
      <c r="F894" s="28" t="b">
        <v>0</v>
      </c>
      <c r="G894" s="28">
        <v>200</v>
      </c>
      <c r="H894" s="28" t="b">
        <v>1</v>
      </c>
      <c r="I894" s="34"/>
    </row>
    <row r="895" spans="1:9" ht="30" x14ac:dyDescent="0.25">
      <c r="A895" s="54" t="s">
        <v>233</v>
      </c>
      <c r="B895" s="43" t="s">
        <v>2497</v>
      </c>
      <c r="C895" s="37"/>
      <c r="D895" s="37"/>
      <c r="E895" s="37" t="s">
        <v>1974</v>
      </c>
      <c r="F895" s="37" t="b">
        <v>0</v>
      </c>
      <c r="G895" s="37">
        <v>200</v>
      </c>
      <c r="H895" s="37" t="b">
        <v>1</v>
      </c>
    </row>
    <row r="896" spans="1:9" ht="30" x14ac:dyDescent="0.25">
      <c r="A896" s="54" t="s">
        <v>233</v>
      </c>
      <c r="B896" s="31" t="s">
        <v>2498</v>
      </c>
      <c r="C896" s="28"/>
      <c r="D896" s="28"/>
      <c r="E896" s="28" t="s">
        <v>1974</v>
      </c>
      <c r="F896" s="28" t="b">
        <v>0</v>
      </c>
      <c r="G896" s="28">
        <v>200</v>
      </c>
      <c r="H896" s="28" t="b">
        <v>1</v>
      </c>
      <c r="I896" s="34"/>
    </row>
    <row r="897" spans="1:9" ht="30" x14ac:dyDescent="0.25">
      <c r="A897" s="54" t="s">
        <v>233</v>
      </c>
      <c r="B897" s="43" t="s">
        <v>2499</v>
      </c>
      <c r="C897" s="37"/>
      <c r="D897" s="37"/>
      <c r="E897" s="37" t="s">
        <v>1974</v>
      </c>
      <c r="F897" s="37" t="b">
        <v>0</v>
      </c>
      <c r="G897" s="37">
        <v>200</v>
      </c>
      <c r="H897" s="37" t="b">
        <v>1</v>
      </c>
    </row>
    <row r="898" spans="1:9" ht="30" x14ac:dyDescent="0.25">
      <c r="A898" s="54" t="s">
        <v>233</v>
      </c>
      <c r="B898" s="31" t="s">
        <v>2500</v>
      </c>
      <c r="C898" s="28"/>
      <c r="D898" s="28"/>
      <c r="E898" s="28" t="s">
        <v>1974</v>
      </c>
      <c r="F898" s="28" t="b">
        <v>0</v>
      </c>
      <c r="G898" s="28">
        <v>200</v>
      </c>
      <c r="H898" s="28" t="b">
        <v>1</v>
      </c>
      <c r="I898" s="34"/>
    </row>
    <row r="899" spans="1:9" ht="30" x14ac:dyDescent="0.25">
      <c r="A899" s="54" t="s">
        <v>233</v>
      </c>
      <c r="B899" s="43" t="s">
        <v>2501</v>
      </c>
      <c r="C899" s="37"/>
      <c r="D899" s="37"/>
      <c r="E899" s="37" t="s">
        <v>1974</v>
      </c>
      <c r="F899" s="37" t="b">
        <v>0</v>
      </c>
      <c r="G899" s="37">
        <v>200</v>
      </c>
      <c r="H899" s="37" t="b">
        <v>1</v>
      </c>
    </row>
    <row r="900" spans="1:9" ht="30" x14ac:dyDescent="0.25">
      <c r="A900" s="54" t="s">
        <v>233</v>
      </c>
      <c r="B900" s="31" t="s">
        <v>2502</v>
      </c>
      <c r="C900" s="28"/>
      <c r="D900" s="28"/>
      <c r="E900" s="28" t="s">
        <v>1974</v>
      </c>
      <c r="F900" s="28" t="b">
        <v>0</v>
      </c>
      <c r="G900" s="28">
        <v>200</v>
      </c>
      <c r="H900" s="28" t="b">
        <v>1</v>
      </c>
      <c r="I900" s="34"/>
    </row>
    <row r="901" spans="1:9" ht="30" x14ac:dyDescent="0.25">
      <c r="A901" s="54" t="s">
        <v>233</v>
      </c>
      <c r="B901" s="43" t="s">
        <v>2503</v>
      </c>
      <c r="C901" s="37"/>
      <c r="D901" s="37"/>
      <c r="E901" s="37" t="s">
        <v>1974</v>
      </c>
      <c r="F901" s="37" t="b">
        <v>0</v>
      </c>
      <c r="G901" s="37">
        <v>200</v>
      </c>
      <c r="H901" s="37" t="b">
        <v>1</v>
      </c>
    </row>
    <row r="902" spans="1:9" ht="30" x14ac:dyDescent="0.25">
      <c r="A902" s="54" t="s">
        <v>233</v>
      </c>
      <c r="B902" s="31" t="s">
        <v>2504</v>
      </c>
      <c r="C902" s="28"/>
      <c r="D902" s="28"/>
      <c r="E902" s="28" t="s">
        <v>1974</v>
      </c>
      <c r="F902" s="28" t="b">
        <v>0</v>
      </c>
      <c r="G902" s="28">
        <v>200</v>
      </c>
      <c r="H902" s="28" t="b">
        <v>1</v>
      </c>
      <c r="I902" s="34"/>
    </row>
    <row r="903" spans="1:9" ht="30" x14ac:dyDescent="0.25">
      <c r="A903" s="54" t="s">
        <v>233</v>
      </c>
      <c r="B903" s="43" t="s">
        <v>2505</v>
      </c>
      <c r="C903" s="37"/>
      <c r="D903" s="37"/>
      <c r="E903" s="37" t="s">
        <v>1974</v>
      </c>
      <c r="F903" s="37" t="b">
        <v>0</v>
      </c>
      <c r="G903" s="37">
        <v>200</v>
      </c>
      <c r="H903" s="37" t="b">
        <v>1</v>
      </c>
    </row>
    <row r="904" spans="1:9" ht="30" x14ac:dyDescent="0.25">
      <c r="A904" s="54" t="s">
        <v>233</v>
      </c>
      <c r="B904" s="31" t="s">
        <v>2506</v>
      </c>
      <c r="C904" s="28"/>
      <c r="D904" s="28"/>
      <c r="E904" s="28" t="s">
        <v>1974</v>
      </c>
      <c r="F904" s="28" t="b">
        <v>0</v>
      </c>
      <c r="G904" s="28">
        <v>200</v>
      </c>
      <c r="H904" s="28" t="b">
        <v>1</v>
      </c>
      <c r="I904" s="34"/>
    </row>
    <row r="905" spans="1:9" ht="30" x14ac:dyDescent="0.25">
      <c r="A905" s="54" t="s">
        <v>233</v>
      </c>
      <c r="B905" s="43" t="s">
        <v>2507</v>
      </c>
      <c r="C905" s="37"/>
      <c r="D905" s="37"/>
      <c r="E905" s="37" t="s">
        <v>1974</v>
      </c>
      <c r="F905" s="37" t="b">
        <v>0</v>
      </c>
      <c r="G905" s="37">
        <v>200</v>
      </c>
      <c r="H905" s="37" t="b">
        <v>1</v>
      </c>
    </row>
    <row r="906" spans="1:9" ht="30" x14ac:dyDescent="0.25">
      <c r="A906" s="54" t="s">
        <v>233</v>
      </c>
      <c r="B906" s="31" t="s">
        <v>2508</v>
      </c>
      <c r="C906" s="28"/>
      <c r="D906" s="28"/>
      <c r="E906" s="28" t="s">
        <v>1974</v>
      </c>
      <c r="F906" s="28" t="b">
        <v>0</v>
      </c>
      <c r="G906" s="28">
        <v>200</v>
      </c>
      <c r="H906" s="28" t="b">
        <v>1</v>
      </c>
      <c r="I906" s="34"/>
    </row>
    <row r="907" spans="1:9" ht="30" x14ac:dyDescent="0.25">
      <c r="A907" s="54" t="s">
        <v>233</v>
      </c>
      <c r="B907" s="43" t="s">
        <v>2509</v>
      </c>
      <c r="C907" s="37"/>
      <c r="D907" s="37"/>
      <c r="E907" s="37" t="s">
        <v>1974</v>
      </c>
      <c r="F907" s="37" t="b">
        <v>0</v>
      </c>
      <c r="G907" s="37">
        <v>200</v>
      </c>
      <c r="H907" s="37" t="b">
        <v>1</v>
      </c>
    </row>
    <row r="908" spans="1:9" ht="30" x14ac:dyDescent="0.25">
      <c r="A908" s="54" t="s">
        <v>233</v>
      </c>
      <c r="B908" s="31" t="s">
        <v>2510</v>
      </c>
      <c r="C908" s="28"/>
      <c r="D908" s="28"/>
      <c r="E908" s="28" t="s">
        <v>1974</v>
      </c>
      <c r="F908" s="28" t="b">
        <v>0</v>
      </c>
      <c r="G908" s="28">
        <v>200</v>
      </c>
      <c r="H908" s="28" t="b">
        <v>1</v>
      </c>
      <c r="I908" s="34"/>
    </row>
    <row r="909" spans="1:9" ht="30" x14ac:dyDescent="0.25">
      <c r="A909" s="54" t="s">
        <v>233</v>
      </c>
      <c r="B909" s="43" t="s">
        <v>2097</v>
      </c>
      <c r="C909" s="37"/>
      <c r="D909" s="37"/>
      <c r="E909" s="37" t="s">
        <v>1974</v>
      </c>
      <c r="F909" s="37" t="b">
        <v>0</v>
      </c>
      <c r="G909" s="37">
        <v>200</v>
      </c>
      <c r="H909" s="37" t="b">
        <v>1</v>
      </c>
    </row>
    <row r="910" spans="1:9" ht="30" x14ac:dyDescent="0.25">
      <c r="A910" s="54" t="s">
        <v>233</v>
      </c>
      <c r="B910" s="31" t="s">
        <v>2511</v>
      </c>
      <c r="C910" s="28"/>
      <c r="D910" s="28"/>
      <c r="E910" s="28" t="s">
        <v>1974</v>
      </c>
      <c r="F910" s="28" t="b">
        <v>0</v>
      </c>
      <c r="G910" s="28">
        <v>200</v>
      </c>
      <c r="H910" s="28" t="b">
        <v>1</v>
      </c>
      <c r="I910" s="34"/>
    </row>
    <row r="911" spans="1:9" ht="30" x14ac:dyDescent="0.25">
      <c r="A911" s="54" t="s">
        <v>233</v>
      </c>
      <c r="B911" s="43" t="s">
        <v>2512</v>
      </c>
      <c r="C911" s="37"/>
      <c r="D911" s="37"/>
      <c r="E911" s="37" t="s">
        <v>1974</v>
      </c>
      <c r="F911" s="37" t="b">
        <v>0</v>
      </c>
      <c r="G911" s="37">
        <v>200</v>
      </c>
      <c r="H911" s="37" t="b">
        <v>1</v>
      </c>
    </row>
    <row r="912" spans="1:9" ht="30" x14ac:dyDescent="0.25">
      <c r="A912" s="54" t="s">
        <v>233</v>
      </c>
      <c r="B912" s="31" t="s">
        <v>2513</v>
      </c>
      <c r="C912" s="28"/>
      <c r="D912" s="28"/>
      <c r="E912" s="28" t="s">
        <v>1974</v>
      </c>
      <c r="F912" s="28" t="b">
        <v>0</v>
      </c>
      <c r="G912" s="28">
        <v>200</v>
      </c>
      <c r="H912" s="28" t="b">
        <v>1</v>
      </c>
      <c r="I912" s="34"/>
    </row>
    <row r="913" spans="1:9" ht="30" x14ac:dyDescent="0.25">
      <c r="A913" s="54" t="s">
        <v>233</v>
      </c>
      <c r="B913" s="43" t="s">
        <v>2514</v>
      </c>
      <c r="C913" s="37"/>
      <c r="D913" s="37"/>
      <c r="E913" s="37" t="s">
        <v>1974</v>
      </c>
      <c r="F913" s="37" t="b">
        <v>0</v>
      </c>
      <c r="G913" s="37">
        <v>200</v>
      </c>
      <c r="H913" s="37" t="b">
        <v>1</v>
      </c>
    </row>
    <row r="914" spans="1:9" ht="30" x14ac:dyDescent="0.25">
      <c r="A914" s="54" t="s">
        <v>233</v>
      </c>
      <c r="B914" s="31" t="s">
        <v>2515</v>
      </c>
      <c r="C914" s="28"/>
      <c r="D914" s="28"/>
      <c r="E914" s="28" t="s">
        <v>1974</v>
      </c>
      <c r="F914" s="28" t="b">
        <v>0</v>
      </c>
      <c r="G914" s="28">
        <v>200</v>
      </c>
      <c r="H914" s="28" t="b">
        <v>1</v>
      </c>
      <c r="I914" s="34"/>
    </row>
    <row r="915" spans="1:9" ht="30" x14ac:dyDescent="0.25">
      <c r="A915" s="54" t="s">
        <v>233</v>
      </c>
      <c r="B915" s="43" t="s">
        <v>2516</v>
      </c>
      <c r="C915" s="37"/>
      <c r="D915" s="37"/>
      <c r="E915" s="37" t="s">
        <v>1974</v>
      </c>
      <c r="F915" s="37" t="b">
        <v>0</v>
      </c>
      <c r="G915" s="37">
        <v>200</v>
      </c>
      <c r="H915" s="37" t="b">
        <v>1</v>
      </c>
    </row>
    <row r="916" spans="1:9" ht="30" x14ac:dyDescent="0.25">
      <c r="A916" s="54" t="s">
        <v>233</v>
      </c>
      <c r="B916" s="31" t="s">
        <v>2517</v>
      </c>
      <c r="C916" s="28"/>
      <c r="D916" s="28"/>
      <c r="E916" s="28" t="s">
        <v>1974</v>
      </c>
      <c r="F916" s="28" t="b">
        <v>0</v>
      </c>
      <c r="G916" s="28">
        <v>200</v>
      </c>
      <c r="H916" s="28" t="b">
        <v>1</v>
      </c>
      <c r="I916" s="34"/>
    </row>
    <row r="917" spans="1:9" ht="30" x14ac:dyDescent="0.25">
      <c r="A917" s="54" t="s">
        <v>233</v>
      </c>
      <c r="B917" s="43" t="s">
        <v>2518</v>
      </c>
      <c r="C917" s="37"/>
      <c r="D917" s="37"/>
      <c r="E917" s="37" t="s">
        <v>1974</v>
      </c>
      <c r="F917" s="37" t="b">
        <v>0</v>
      </c>
      <c r="G917" s="37">
        <v>200</v>
      </c>
      <c r="H917" s="37" t="b">
        <v>1</v>
      </c>
    </row>
    <row r="918" spans="1:9" ht="30" x14ac:dyDescent="0.25">
      <c r="A918" s="54" t="s">
        <v>233</v>
      </c>
      <c r="B918" s="31" t="s">
        <v>2519</v>
      </c>
      <c r="C918" s="28"/>
      <c r="D918" s="28"/>
      <c r="E918" s="28" t="s">
        <v>1974</v>
      </c>
      <c r="F918" s="28" t="b">
        <v>0</v>
      </c>
      <c r="G918" s="28">
        <v>200</v>
      </c>
      <c r="H918" s="28" t="b">
        <v>1</v>
      </c>
      <c r="I918" s="34"/>
    </row>
    <row r="919" spans="1:9" ht="30" x14ac:dyDescent="0.25">
      <c r="A919" s="54" t="s">
        <v>233</v>
      </c>
      <c r="B919" s="43" t="s">
        <v>2520</v>
      </c>
      <c r="C919" s="37"/>
      <c r="D919" s="37"/>
      <c r="E919" s="37" t="s">
        <v>1974</v>
      </c>
      <c r="F919" s="37" t="b">
        <v>0</v>
      </c>
      <c r="G919" s="37">
        <v>200</v>
      </c>
      <c r="H919" s="37" t="b">
        <v>1</v>
      </c>
    </row>
    <row r="920" spans="1:9" ht="30" x14ac:dyDescent="0.25">
      <c r="A920" s="54" t="s">
        <v>233</v>
      </c>
      <c r="B920" s="31" t="s">
        <v>2521</v>
      </c>
      <c r="C920" s="28"/>
      <c r="D920" s="28"/>
      <c r="E920" s="28" t="s">
        <v>1974</v>
      </c>
      <c r="F920" s="28" t="b">
        <v>0</v>
      </c>
      <c r="G920" s="28">
        <v>200</v>
      </c>
      <c r="H920" s="28" t="b">
        <v>1</v>
      </c>
      <c r="I920" s="34"/>
    </row>
    <row r="921" spans="1:9" ht="30" x14ac:dyDescent="0.25">
      <c r="A921" s="54" t="s">
        <v>233</v>
      </c>
      <c r="B921" s="43" t="s">
        <v>2522</v>
      </c>
      <c r="C921" s="37"/>
      <c r="D921" s="37"/>
      <c r="E921" s="37" t="s">
        <v>1974</v>
      </c>
      <c r="F921" s="37" t="b">
        <v>0</v>
      </c>
      <c r="G921" s="37">
        <v>200</v>
      </c>
      <c r="H921" s="37" t="b">
        <v>1</v>
      </c>
    </row>
    <row r="922" spans="1:9" ht="30" x14ac:dyDescent="0.25">
      <c r="A922" s="54" t="s">
        <v>233</v>
      </c>
      <c r="B922" s="31" t="s">
        <v>2523</v>
      </c>
      <c r="C922" s="28"/>
      <c r="D922" s="28"/>
      <c r="E922" s="28" t="s">
        <v>1974</v>
      </c>
      <c r="F922" s="28" t="b">
        <v>0</v>
      </c>
      <c r="G922" s="28">
        <v>200</v>
      </c>
      <c r="H922" s="28" t="b">
        <v>1</v>
      </c>
      <c r="I922" s="34"/>
    </row>
    <row r="923" spans="1:9" ht="30" x14ac:dyDescent="0.25">
      <c r="A923" s="54" t="s">
        <v>233</v>
      </c>
      <c r="B923" s="43" t="s">
        <v>2524</v>
      </c>
      <c r="C923" s="37"/>
      <c r="D923" s="37"/>
      <c r="E923" s="37" t="s">
        <v>1974</v>
      </c>
      <c r="F923" s="37" t="b">
        <v>0</v>
      </c>
      <c r="G923" s="37">
        <v>200</v>
      </c>
      <c r="H923" s="37" t="b">
        <v>1</v>
      </c>
    </row>
    <row r="924" spans="1:9" ht="30" x14ac:dyDescent="0.25">
      <c r="A924" s="54" t="s">
        <v>233</v>
      </c>
      <c r="B924" s="31" t="s">
        <v>2525</v>
      </c>
      <c r="C924" s="28"/>
      <c r="D924" s="28"/>
      <c r="E924" s="28" t="s">
        <v>1974</v>
      </c>
      <c r="F924" s="28" t="b">
        <v>0</v>
      </c>
      <c r="G924" s="28">
        <v>200</v>
      </c>
      <c r="H924" s="28" t="b">
        <v>1</v>
      </c>
      <c r="I924" s="34"/>
    </row>
    <row r="925" spans="1:9" ht="30" x14ac:dyDescent="0.25">
      <c r="A925" s="54" t="s">
        <v>233</v>
      </c>
      <c r="B925" s="43" t="s">
        <v>2526</v>
      </c>
      <c r="C925" s="37"/>
      <c r="D925" s="37"/>
      <c r="E925" s="37" t="s">
        <v>1974</v>
      </c>
      <c r="F925" s="37" t="b">
        <v>0</v>
      </c>
      <c r="G925" s="37">
        <v>200</v>
      </c>
      <c r="H925" s="37" t="b">
        <v>1</v>
      </c>
    </row>
    <row r="926" spans="1:9" ht="30" x14ac:dyDescent="0.25">
      <c r="A926" s="54" t="s">
        <v>233</v>
      </c>
      <c r="B926" s="31" t="s">
        <v>2527</v>
      </c>
      <c r="C926" s="28"/>
      <c r="D926" s="28"/>
      <c r="E926" s="28" t="s">
        <v>1974</v>
      </c>
      <c r="F926" s="28" t="b">
        <v>0</v>
      </c>
      <c r="G926" s="28">
        <v>200</v>
      </c>
      <c r="H926" s="28" t="b">
        <v>1</v>
      </c>
      <c r="I926" s="34"/>
    </row>
    <row r="927" spans="1:9" ht="30" x14ac:dyDescent="0.25">
      <c r="A927" s="54" t="s">
        <v>233</v>
      </c>
      <c r="B927" s="43" t="s">
        <v>2528</v>
      </c>
      <c r="C927" s="37"/>
      <c r="D927" s="37"/>
      <c r="E927" s="37" t="s">
        <v>1974</v>
      </c>
      <c r="F927" s="37" t="b">
        <v>0</v>
      </c>
      <c r="G927" s="37">
        <v>200</v>
      </c>
      <c r="H927" s="37" t="b">
        <v>1</v>
      </c>
    </row>
    <row r="928" spans="1:9" ht="30" x14ac:dyDescent="0.25">
      <c r="A928" s="54" t="s">
        <v>233</v>
      </c>
      <c r="B928" s="31" t="s">
        <v>2529</v>
      </c>
      <c r="C928" s="28"/>
      <c r="D928" s="28"/>
      <c r="E928" s="28" t="s">
        <v>1974</v>
      </c>
      <c r="F928" s="28" t="b">
        <v>0</v>
      </c>
      <c r="G928" s="28">
        <v>200</v>
      </c>
      <c r="H928" s="28" t="b">
        <v>1</v>
      </c>
      <c r="I928" s="34"/>
    </row>
    <row r="929" spans="1:9" ht="30" x14ac:dyDescent="0.25">
      <c r="A929" s="54" t="s">
        <v>233</v>
      </c>
      <c r="B929" s="43" t="s">
        <v>2530</v>
      </c>
      <c r="C929" s="37"/>
      <c r="D929" s="37"/>
      <c r="E929" s="37" t="s">
        <v>1974</v>
      </c>
      <c r="F929" s="37" t="b">
        <v>0</v>
      </c>
      <c r="G929" s="37">
        <v>200</v>
      </c>
      <c r="H929" s="37" t="b">
        <v>1</v>
      </c>
    </row>
    <row r="930" spans="1:9" ht="30" x14ac:dyDescent="0.25">
      <c r="A930" s="54" t="s">
        <v>233</v>
      </c>
      <c r="B930" s="31" t="s">
        <v>2531</v>
      </c>
      <c r="C930" s="28"/>
      <c r="D930" s="28"/>
      <c r="E930" s="28" t="s">
        <v>1974</v>
      </c>
      <c r="F930" s="28" t="b">
        <v>0</v>
      </c>
      <c r="G930" s="28">
        <v>200</v>
      </c>
      <c r="H930" s="28" t="b">
        <v>1</v>
      </c>
      <c r="I930" s="34"/>
    </row>
    <row r="931" spans="1:9" ht="30" x14ac:dyDescent="0.25">
      <c r="A931" s="54" t="s">
        <v>233</v>
      </c>
      <c r="B931" s="43" t="s">
        <v>2532</v>
      </c>
      <c r="C931" s="37"/>
      <c r="D931" s="37"/>
      <c r="E931" s="37" t="s">
        <v>1974</v>
      </c>
      <c r="F931" s="37" t="b">
        <v>0</v>
      </c>
      <c r="G931" s="37">
        <v>200</v>
      </c>
      <c r="H931" s="37" t="b">
        <v>1</v>
      </c>
    </row>
    <row r="932" spans="1:9" ht="30" x14ac:dyDescent="0.25">
      <c r="A932" s="54" t="s">
        <v>233</v>
      </c>
      <c r="B932" s="31" t="s">
        <v>2533</v>
      </c>
      <c r="C932" s="28"/>
      <c r="D932" s="28"/>
      <c r="E932" s="28" t="s">
        <v>1974</v>
      </c>
      <c r="F932" s="28" t="b">
        <v>0</v>
      </c>
      <c r="G932" s="28">
        <v>200</v>
      </c>
      <c r="H932" s="28" t="b">
        <v>1</v>
      </c>
      <c r="I932" s="34"/>
    </row>
    <row r="933" spans="1:9" ht="30" x14ac:dyDescent="0.25">
      <c r="A933" s="54" t="s">
        <v>233</v>
      </c>
      <c r="B933" s="43" t="s">
        <v>2534</v>
      </c>
      <c r="C933" s="37"/>
      <c r="D933" s="37"/>
      <c r="E933" s="37" t="s">
        <v>1974</v>
      </c>
      <c r="F933" s="37" t="b">
        <v>0</v>
      </c>
      <c r="G933" s="37">
        <v>200</v>
      </c>
      <c r="H933" s="37" t="b">
        <v>1</v>
      </c>
    </row>
    <row r="934" spans="1:9" ht="30" x14ac:dyDescent="0.25">
      <c r="A934" s="54" t="s">
        <v>233</v>
      </c>
      <c r="B934" s="31" t="s">
        <v>2535</v>
      </c>
      <c r="C934" s="28"/>
      <c r="D934" s="28"/>
      <c r="E934" s="28" t="s">
        <v>1974</v>
      </c>
      <c r="F934" s="28" t="b">
        <v>0</v>
      </c>
      <c r="G934" s="28">
        <v>200</v>
      </c>
      <c r="H934" s="28" t="b">
        <v>1</v>
      </c>
      <c r="I934" s="34"/>
    </row>
    <row r="935" spans="1:9" ht="30" x14ac:dyDescent="0.25">
      <c r="A935" s="54" t="s">
        <v>233</v>
      </c>
      <c r="B935" s="43" t="s">
        <v>2536</v>
      </c>
      <c r="C935" s="37"/>
      <c r="D935" s="37"/>
      <c r="E935" s="37" t="s">
        <v>1974</v>
      </c>
      <c r="F935" s="37" t="b">
        <v>0</v>
      </c>
      <c r="G935" s="37">
        <v>200</v>
      </c>
      <c r="H935" s="37" t="b">
        <v>1</v>
      </c>
    </row>
    <row r="936" spans="1:9" ht="30" x14ac:dyDescent="0.25">
      <c r="A936" s="54" t="s">
        <v>233</v>
      </c>
      <c r="B936" s="31" t="s">
        <v>2537</v>
      </c>
      <c r="C936" s="28"/>
      <c r="D936" s="28"/>
      <c r="E936" s="28" t="s">
        <v>1974</v>
      </c>
      <c r="F936" s="28" t="b">
        <v>0</v>
      </c>
      <c r="G936" s="28">
        <v>200</v>
      </c>
      <c r="H936" s="28" t="b">
        <v>1</v>
      </c>
      <c r="I936" s="34"/>
    </row>
    <row r="937" spans="1:9" ht="30" x14ac:dyDescent="0.25">
      <c r="A937" s="54" t="s">
        <v>233</v>
      </c>
      <c r="B937" s="43" t="s">
        <v>2538</v>
      </c>
      <c r="C937" s="37"/>
      <c r="D937" s="37"/>
      <c r="E937" s="37" t="s">
        <v>1974</v>
      </c>
      <c r="F937" s="37" t="b">
        <v>0</v>
      </c>
      <c r="G937" s="37">
        <v>200</v>
      </c>
      <c r="H937" s="37" t="b">
        <v>1</v>
      </c>
    </row>
    <row r="938" spans="1:9" ht="30" x14ac:dyDescent="0.25">
      <c r="A938" s="54" t="s">
        <v>233</v>
      </c>
      <c r="B938" s="31" t="s">
        <v>2539</v>
      </c>
      <c r="C938" s="28"/>
      <c r="D938" s="28"/>
      <c r="E938" s="28" t="s">
        <v>1974</v>
      </c>
      <c r="F938" s="28" t="b">
        <v>0</v>
      </c>
      <c r="G938" s="28">
        <v>200</v>
      </c>
      <c r="H938" s="28" t="b">
        <v>1</v>
      </c>
      <c r="I938" s="34"/>
    </row>
    <row r="939" spans="1:9" ht="30" x14ac:dyDescent="0.25">
      <c r="A939" s="54" t="s">
        <v>233</v>
      </c>
      <c r="B939" s="43" t="s">
        <v>2540</v>
      </c>
      <c r="C939" s="37"/>
      <c r="D939" s="37"/>
      <c r="E939" s="37" t="s">
        <v>1974</v>
      </c>
      <c r="F939" s="37" t="b">
        <v>0</v>
      </c>
      <c r="G939" s="37">
        <v>200</v>
      </c>
      <c r="H939" s="37" t="b">
        <v>1</v>
      </c>
    </row>
    <row r="940" spans="1:9" ht="30" x14ac:dyDescent="0.25">
      <c r="A940" s="54" t="s">
        <v>233</v>
      </c>
      <c r="B940" s="31" t="s">
        <v>2541</v>
      </c>
      <c r="C940" s="28"/>
      <c r="D940" s="28"/>
      <c r="E940" s="28" t="s">
        <v>1974</v>
      </c>
      <c r="F940" s="28" t="b">
        <v>0</v>
      </c>
      <c r="G940" s="28">
        <v>200</v>
      </c>
      <c r="H940" s="28" t="b">
        <v>1</v>
      </c>
      <c r="I940" s="34"/>
    </row>
    <row r="941" spans="1:9" ht="30" x14ac:dyDescent="0.25">
      <c r="A941" s="54" t="s">
        <v>233</v>
      </c>
      <c r="B941" s="43" t="s">
        <v>2542</v>
      </c>
      <c r="C941" s="37"/>
      <c r="D941" s="37"/>
      <c r="E941" s="37" t="s">
        <v>1974</v>
      </c>
      <c r="F941" s="37" t="b">
        <v>0</v>
      </c>
      <c r="G941" s="37">
        <v>200</v>
      </c>
      <c r="H941" s="37" t="b">
        <v>1</v>
      </c>
    </row>
    <row r="942" spans="1:9" ht="30" x14ac:dyDescent="0.25">
      <c r="A942" s="54" t="s">
        <v>233</v>
      </c>
      <c r="B942" s="31" t="s">
        <v>2543</v>
      </c>
      <c r="C942" s="28"/>
      <c r="D942" s="28"/>
      <c r="E942" s="28" t="s">
        <v>1974</v>
      </c>
      <c r="F942" s="28" t="b">
        <v>0</v>
      </c>
      <c r="G942" s="28">
        <v>200</v>
      </c>
      <c r="H942" s="28" t="b">
        <v>1</v>
      </c>
      <c r="I942" s="34"/>
    </row>
    <row r="943" spans="1:9" ht="30" x14ac:dyDescent="0.25">
      <c r="A943" s="54" t="s">
        <v>233</v>
      </c>
      <c r="B943" s="43" t="s">
        <v>2544</v>
      </c>
      <c r="C943" s="37"/>
      <c r="D943" s="37"/>
      <c r="E943" s="37" t="s">
        <v>1974</v>
      </c>
      <c r="F943" s="37" t="b">
        <v>0</v>
      </c>
      <c r="G943" s="37">
        <v>200</v>
      </c>
      <c r="H943" s="37" t="b">
        <v>1</v>
      </c>
    </row>
    <row r="944" spans="1:9" ht="30" x14ac:dyDescent="0.25">
      <c r="A944" s="54" t="s">
        <v>233</v>
      </c>
      <c r="B944" s="31" t="s">
        <v>2545</v>
      </c>
      <c r="C944" s="28"/>
      <c r="D944" s="28"/>
      <c r="E944" s="28" t="s">
        <v>1974</v>
      </c>
      <c r="F944" s="28" t="b">
        <v>0</v>
      </c>
      <c r="G944" s="28">
        <v>200</v>
      </c>
      <c r="H944" s="28" t="b">
        <v>1</v>
      </c>
      <c r="I944" s="34"/>
    </row>
    <row r="945" spans="1:9" ht="30" x14ac:dyDescent="0.25">
      <c r="A945" s="54" t="s">
        <v>233</v>
      </c>
      <c r="B945" s="43" t="s">
        <v>2546</v>
      </c>
      <c r="C945" s="37"/>
      <c r="D945" s="37"/>
      <c r="E945" s="37" t="s">
        <v>1974</v>
      </c>
      <c r="F945" s="37" t="b">
        <v>0</v>
      </c>
      <c r="G945" s="37">
        <v>200</v>
      </c>
      <c r="H945" s="37" t="b">
        <v>1</v>
      </c>
    </row>
    <row r="946" spans="1:9" ht="30" x14ac:dyDescent="0.25">
      <c r="A946" s="54" t="s">
        <v>233</v>
      </c>
      <c r="B946" s="31" t="s">
        <v>2547</v>
      </c>
      <c r="C946" s="28"/>
      <c r="D946" s="28"/>
      <c r="E946" s="28" t="s">
        <v>1974</v>
      </c>
      <c r="F946" s="28" t="b">
        <v>0</v>
      </c>
      <c r="G946" s="28">
        <v>200</v>
      </c>
      <c r="H946" s="28" t="b">
        <v>1</v>
      </c>
      <c r="I946" s="34"/>
    </row>
    <row r="947" spans="1:9" ht="30" x14ac:dyDescent="0.25">
      <c r="A947" s="54" t="s">
        <v>233</v>
      </c>
      <c r="B947" s="43" t="s">
        <v>2548</v>
      </c>
      <c r="C947" s="37"/>
      <c r="D947" s="37"/>
      <c r="E947" s="37" t="s">
        <v>1974</v>
      </c>
      <c r="F947" s="37" t="b">
        <v>0</v>
      </c>
      <c r="G947" s="37">
        <v>200</v>
      </c>
      <c r="H947" s="37" t="b">
        <v>1</v>
      </c>
    </row>
    <row r="948" spans="1:9" ht="30" x14ac:dyDescent="0.25">
      <c r="A948" s="54" t="s">
        <v>233</v>
      </c>
      <c r="B948" s="31" t="s">
        <v>2549</v>
      </c>
      <c r="C948" s="28"/>
      <c r="D948" s="28"/>
      <c r="E948" s="28" t="s">
        <v>1974</v>
      </c>
      <c r="F948" s="28" t="b">
        <v>0</v>
      </c>
      <c r="G948" s="28">
        <v>200</v>
      </c>
      <c r="H948" s="28" t="b">
        <v>1</v>
      </c>
      <c r="I948" s="34"/>
    </row>
    <row r="949" spans="1:9" ht="30" x14ac:dyDescent="0.25">
      <c r="A949" s="54" t="s">
        <v>233</v>
      </c>
      <c r="B949" s="43" t="s">
        <v>2550</v>
      </c>
      <c r="C949" s="37"/>
      <c r="D949" s="37"/>
      <c r="E949" s="37" t="s">
        <v>1974</v>
      </c>
      <c r="F949" s="37" t="b">
        <v>0</v>
      </c>
      <c r="G949" s="37">
        <v>200</v>
      </c>
      <c r="H949" s="37" t="b">
        <v>1</v>
      </c>
    </row>
    <row r="950" spans="1:9" ht="30" x14ac:dyDescent="0.25">
      <c r="A950" s="54" t="s">
        <v>233</v>
      </c>
      <c r="B950" s="31" t="s">
        <v>2551</v>
      </c>
      <c r="C950" s="28"/>
      <c r="D950" s="28"/>
      <c r="E950" s="28" t="s">
        <v>1974</v>
      </c>
      <c r="F950" s="28" t="b">
        <v>0</v>
      </c>
      <c r="G950" s="28">
        <v>200</v>
      </c>
      <c r="H950" s="28" t="b">
        <v>1</v>
      </c>
      <c r="I950" s="34"/>
    </row>
    <row r="951" spans="1:9" ht="30" x14ac:dyDescent="0.25">
      <c r="A951" s="54" t="s">
        <v>233</v>
      </c>
      <c r="B951" s="43" t="s">
        <v>2552</v>
      </c>
      <c r="C951" s="37"/>
      <c r="D951" s="37"/>
      <c r="E951" s="37" t="s">
        <v>1974</v>
      </c>
      <c r="F951" s="37" t="b">
        <v>0</v>
      </c>
      <c r="G951" s="37">
        <v>200</v>
      </c>
      <c r="H951" s="37" t="b">
        <v>1</v>
      </c>
    </row>
    <row r="952" spans="1:9" ht="30" x14ac:dyDescent="0.25">
      <c r="A952" s="54" t="s">
        <v>233</v>
      </c>
      <c r="B952" s="31" t="s">
        <v>2553</v>
      </c>
      <c r="C952" s="28"/>
      <c r="D952" s="28"/>
      <c r="E952" s="28" t="s">
        <v>1974</v>
      </c>
      <c r="F952" s="28" t="b">
        <v>0</v>
      </c>
      <c r="G952" s="28">
        <v>200</v>
      </c>
      <c r="H952" s="28" t="b">
        <v>1</v>
      </c>
      <c r="I952" s="34"/>
    </row>
    <row r="953" spans="1:9" ht="30" x14ac:dyDescent="0.25">
      <c r="A953" s="54" t="s">
        <v>233</v>
      </c>
      <c r="B953" s="43" t="s">
        <v>2554</v>
      </c>
      <c r="C953" s="37"/>
      <c r="D953" s="37"/>
      <c r="E953" s="37" t="s">
        <v>1974</v>
      </c>
      <c r="F953" s="37" t="b">
        <v>0</v>
      </c>
      <c r="G953" s="37">
        <v>200</v>
      </c>
      <c r="H953" s="37" t="b">
        <v>1</v>
      </c>
    </row>
    <row r="954" spans="1:9" ht="30" x14ac:dyDescent="0.25">
      <c r="A954" s="54" t="s">
        <v>233</v>
      </c>
      <c r="B954" s="31" t="s">
        <v>2555</v>
      </c>
      <c r="C954" s="28"/>
      <c r="D954" s="28"/>
      <c r="E954" s="28" t="s">
        <v>1974</v>
      </c>
      <c r="F954" s="28" t="b">
        <v>0</v>
      </c>
      <c r="G954" s="28">
        <v>200</v>
      </c>
      <c r="H954" s="28" t="b">
        <v>1</v>
      </c>
      <c r="I954" s="34"/>
    </row>
    <row r="955" spans="1:9" ht="30" x14ac:dyDescent="0.25">
      <c r="A955" s="54" t="s">
        <v>233</v>
      </c>
      <c r="B955" s="43" t="s">
        <v>2556</v>
      </c>
      <c r="C955" s="37"/>
      <c r="D955" s="37"/>
      <c r="E955" s="37" t="s">
        <v>1974</v>
      </c>
      <c r="F955" s="37" t="b">
        <v>0</v>
      </c>
      <c r="G955" s="37">
        <v>200</v>
      </c>
      <c r="H955" s="37" t="b">
        <v>1</v>
      </c>
    </row>
    <row r="956" spans="1:9" ht="30" x14ac:dyDescent="0.25">
      <c r="A956" s="54" t="s">
        <v>233</v>
      </c>
      <c r="B956" s="31" t="s">
        <v>2557</v>
      </c>
      <c r="C956" s="28"/>
      <c r="D956" s="28"/>
      <c r="E956" s="28" t="s">
        <v>1974</v>
      </c>
      <c r="F956" s="28" t="b">
        <v>0</v>
      </c>
      <c r="G956" s="28">
        <v>200</v>
      </c>
      <c r="H956" s="28" t="b">
        <v>1</v>
      </c>
      <c r="I956" s="34"/>
    </row>
    <row r="957" spans="1:9" ht="30" x14ac:dyDescent="0.25">
      <c r="A957" s="54" t="s">
        <v>233</v>
      </c>
      <c r="B957" s="43" t="s">
        <v>2558</v>
      </c>
      <c r="C957" s="37"/>
      <c r="D957" s="37"/>
      <c r="E957" s="37" t="s">
        <v>1974</v>
      </c>
      <c r="F957" s="37" t="b">
        <v>0</v>
      </c>
      <c r="G957" s="37">
        <v>200</v>
      </c>
      <c r="H957" s="37" t="b">
        <v>1</v>
      </c>
    </row>
    <row r="958" spans="1:9" ht="30" x14ac:dyDescent="0.25">
      <c r="A958" s="54" t="s">
        <v>233</v>
      </c>
      <c r="B958" s="31" t="s">
        <v>2559</v>
      </c>
      <c r="C958" s="28"/>
      <c r="D958" s="28"/>
      <c r="E958" s="28" t="s">
        <v>1974</v>
      </c>
      <c r="F958" s="28" t="b">
        <v>0</v>
      </c>
      <c r="G958" s="28">
        <v>200</v>
      </c>
      <c r="H958" s="28" t="b">
        <v>1</v>
      </c>
      <c r="I958" s="34"/>
    </row>
    <row r="959" spans="1:9" ht="30" x14ac:dyDescent="0.25">
      <c r="A959" s="54" t="s">
        <v>233</v>
      </c>
      <c r="B959" s="43" t="s">
        <v>2560</v>
      </c>
      <c r="C959" s="37"/>
      <c r="D959" s="37"/>
      <c r="E959" s="37" t="s">
        <v>1974</v>
      </c>
      <c r="F959" s="37" t="b">
        <v>0</v>
      </c>
      <c r="G959" s="37">
        <v>200</v>
      </c>
      <c r="H959" s="37" t="b">
        <v>1</v>
      </c>
    </row>
    <row r="960" spans="1:9" ht="30" x14ac:dyDescent="0.25">
      <c r="A960" s="54" t="s">
        <v>233</v>
      </c>
      <c r="B960" s="31" t="s">
        <v>2561</v>
      </c>
      <c r="C960" s="28"/>
      <c r="D960" s="28"/>
      <c r="E960" s="28" t="s">
        <v>1974</v>
      </c>
      <c r="F960" s="28" t="b">
        <v>0</v>
      </c>
      <c r="G960" s="28">
        <v>200</v>
      </c>
      <c r="H960" s="28" t="b">
        <v>1</v>
      </c>
      <c r="I960" s="34"/>
    </row>
    <row r="961" spans="1:9" ht="30" x14ac:dyDescent="0.25">
      <c r="A961" s="54" t="s">
        <v>233</v>
      </c>
      <c r="B961" s="43" t="s">
        <v>2562</v>
      </c>
      <c r="C961" s="37"/>
      <c r="D961" s="37"/>
      <c r="E961" s="37" t="s">
        <v>1974</v>
      </c>
      <c r="F961" s="37" t="b">
        <v>0</v>
      </c>
      <c r="G961" s="37">
        <v>200</v>
      </c>
      <c r="H961" s="37" t="b">
        <v>1</v>
      </c>
    </row>
    <row r="962" spans="1:9" ht="30" x14ac:dyDescent="0.25">
      <c r="A962" s="54" t="s">
        <v>233</v>
      </c>
      <c r="B962" s="31" t="s">
        <v>2563</v>
      </c>
      <c r="C962" s="28"/>
      <c r="D962" s="28"/>
      <c r="E962" s="28" t="s">
        <v>1974</v>
      </c>
      <c r="F962" s="28" t="b">
        <v>0</v>
      </c>
      <c r="G962" s="28">
        <v>200</v>
      </c>
      <c r="H962" s="28" t="b">
        <v>1</v>
      </c>
      <c r="I962" s="34"/>
    </row>
    <row r="963" spans="1:9" ht="30" x14ac:dyDescent="0.25">
      <c r="A963" s="54" t="s">
        <v>233</v>
      </c>
      <c r="B963" s="43" t="s">
        <v>2564</v>
      </c>
      <c r="C963" s="37"/>
      <c r="D963" s="37"/>
      <c r="E963" s="37" t="s">
        <v>1974</v>
      </c>
      <c r="F963" s="37" t="b">
        <v>0</v>
      </c>
      <c r="G963" s="37">
        <v>200</v>
      </c>
      <c r="H963" s="37" t="b">
        <v>1</v>
      </c>
    </row>
    <row r="964" spans="1:9" ht="30" x14ac:dyDescent="0.25">
      <c r="A964" s="54" t="s">
        <v>233</v>
      </c>
      <c r="B964" s="31" t="s">
        <v>2565</v>
      </c>
      <c r="C964" s="28"/>
      <c r="D964" s="28"/>
      <c r="E964" s="28" t="s">
        <v>1974</v>
      </c>
      <c r="F964" s="28" t="b">
        <v>0</v>
      </c>
      <c r="G964" s="28">
        <v>200</v>
      </c>
      <c r="H964" s="28" t="b">
        <v>1</v>
      </c>
      <c r="I964" s="34"/>
    </row>
    <row r="965" spans="1:9" ht="30" x14ac:dyDescent="0.25">
      <c r="A965" s="54" t="s">
        <v>233</v>
      </c>
      <c r="B965" s="43" t="s">
        <v>2566</v>
      </c>
      <c r="C965" s="37"/>
      <c r="D965" s="37"/>
      <c r="E965" s="37" t="s">
        <v>1974</v>
      </c>
      <c r="F965" s="37" t="b">
        <v>0</v>
      </c>
      <c r="G965" s="37">
        <v>200</v>
      </c>
      <c r="H965" s="37" t="b">
        <v>1</v>
      </c>
    </row>
    <row r="966" spans="1:9" ht="30" x14ac:dyDescent="0.25">
      <c r="A966" s="54" t="s">
        <v>233</v>
      </c>
      <c r="B966" s="31" t="s">
        <v>2567</v>
      </c>
      <c r="C966" s="28"/>
      <c r="D966" s="28"/>
      <c r="E966" s="28" t="s">
        <v>1974</v>
      </c>
      <c r="F966" s="28" t="b">
        <v>0</v>
      </c>
      <c r="G966" s="28">
        <v>200</v>
      </c>
      <c r="H966" s="28" t="b">
        <v>1</v>
      </c>
      <c r="I966" s="34"/>
    </row>
    <row r="967" spans="1:9" ht="30" x14ac:dyDescent="0.25">
      <c r="A967" s="54" t="s">
        <v>233</v>
      </c>
      <c r="B967" s="43" t="s">
        <v>2568</v>
      </c>
      <c r="C967" s="37"/>
      <c r="D967" s="37"/>
      <c r="E967" s="37" t="s">
        <v>1974</v>
      </c>
      <c r="F967" s="37" t="b">
        <v>0</v>
      </c>
      <c r="G967" s="37">
        <v>200</v>
      </c>
      <c r="H967" s="37" t="b">
        <v>1</v>
      </c>
    </row>
    <row r="968" spans="1:9" ht="30" x14ac:dyDescent="0.25">
      <c r="A968" s="54" t="s">
        <v>233</v>
      </c>
      <c r="B968" s="31" t="s">
        <v>2569</v>
      </c>
      <c r="C968" s="28"/>
      <c r="D968" s="28"/>
      <c r="E968" s="28" t="s">
        <v>1974</v>
      </c>
      <c r="F968" s="28" t="b">
        <v>0</v>
      </c>
      <c r="G968" s="28">
        <v>200</v>
      </c>
      <c r="H968" s="28" t="b">
        <v>1</v>
      </c>
      <c r="I968" s="34"/>
    </row>
    <row r="969" spans="1:9" ht="30" x14ac:dyDescent="0.25">
      <c r="A969" s="54" t="s">
        <v>233</v>
      </c>
      <c r="B969" s="43" t="s">
        <v>2570</v>
      </c>
      <c r="C969" s="37"/>
      <c r="D969" s="37"/>
      <c r="E969" s="37" t="s">
        <v>1974</v>
      </c>
      <c r="F969" s="37" t="b">
        <v>0</v>
      </c>
      <c r="G969" s="37">
        <v>200</v>
      </c>
      <c r="H969" s="37" t="b">
        <v>1</v>
      </c>
    </row>
    <row r="970" spans="1:9" ht="30" x14ac:dyDescent="0.25">
      <c r="A970" s="54" t="s">
        <v>233</v>
      </c>
      <c r="B970" s="31" t="s">
        <v>2571</v>
      </c>
      <c r="C970" s="28"/>
      <c r="D970" s="28"/>
      <c r="E970" s="28" t="s">
        <v>1974</v>
      </c>
      <c r="F970" s="28" t="b">
        <v>0</v>
      </c>
      <c r="G970" s="28">
        <v>200</v>
      </c>
      <c r="H970" s="28" t="b">
        <v>1</v>
      </c>
      <c r="I970" s="34"/>
    </row>
    <row r="971" spans="1:9" ht="30" x14ac:dyDescent="0.25">
      <c r="A971" s="54" t="s">
        <v>233</v>
      </c>
      <c r="B971" s="43" t="s">
        <v>2572</v>
      </c>
      <c r="C971" s="37"/>
      <c r="D971" s="37"/>
      <c r="E971" s="37" t="s">
        <v>1974</v>
      </c>
      <c r="F971" s="37" t="b">
        <v>0</v>
      </c>
      <c r="G971" s="37">
        <v>200</v>
      </c>
      <c r="H971" s="37" t="b">
        <v>1</v>
      </c>
    </row>
    <row r="972" spans="1:9" ht="30" x14ac:dyDescent="0.25">
      <c r="A972" s="54" t="s">
        <v>233</v>
      </c>
      <c r="B972" s="31" t="s">
        <v>2573</v>
      </c>
      <c r="C972" s="28"/>
      <c r="D972" s="28"/>
      <c r="E972" s="28" t="s">
        <v>1974</v>
      </c>
      <c r="F972" s="28" t="b">
        <v>0</v>
      </c>
      <c r="G972" s="28">
        <v>200</v>
      </c>
      <c r="H972" s="28" t="b">
        <v>1</v>
      </c>
      <c r="I972" s="34"/>
    </row>
    <row r="973" spans="1:9" ht="30" x14ac:dyDescent="0.25">
      <c r="A973" s="54" t="s">
        <v>233</v>
      </c>
      <c r="B973" s="43" t="s">
        <v>2574</v>
      </c>
      <c r="C973" s="37"/>
      <c r="D973" s="37"/>
      <c r="E973" s="37" t="s">
        <v>1974</v>
      </c>
      <c r="F973" s="37" t="b">
        <v>0</v>
      </c>
      <c r="G973" s="37">
        <v>200</v>
      </c>
      <c r="H973" s="37" t="b">
        <v>1</v>
      </c>
    </row>
    <row r="974" spans="1:9" ht="30" x14ac:dyDescent="0.25">
      <c r="A974" s="54" t="s">
        <v>233</v>
      </c>
      <c r="B974" s="31" t="s">
        <v>2575</v>
      </c>
      <c r="C974" s="28"/>
      <c r="D974" s="28"/>
      <c r="E974" s="28" t="s">
        <v>1974</v>
      </c>
      <c r="F974" s="28" t="b">
        <v>0</v>
      </c>
      <c r="G974" s="28">
        <v>200</v>
      </c>
      <c r="H974" s="28" t="b">
        <v>1</v>
      </c>
      <c r="I974" s="34"/>
    </row>
    <row r="975" spans="1:9" ht="30" x14ac:dyDescent="0.25">
      <c r="A975" s="54" t="s">
        <v>233</v>
      </c>
      <c r="B975" s="43" t="s">
        <v>2576</v>
      </c>
      <c r="C975" s="37"/>
      <c r="D975" s="37"/>
      <c r="E975" s="37" t="s">
        <v>1974</v>
      </c>
      <c r="F975" s="37" t="b">
        <v>0</v>
      </c>
      <c r="G975" s="37">
        <v>200</v>
      </c>
      <c r="H975" s="37" t="b">
        <v>1</v>
      </c>
    </row>
    <row r="976" spans="1:9" ht="30" x14ac:dyDescent="0.25">
      <c r="A976" s="54" t="s">
        <v>233</v>
      </c>
      <c r="B976" s="31" t="s">
        <v>2577</v>
      </c>
      <c r="C976" s="28"/>
      <c r="D976" s="28"/>
      <c r="E976" s="28" t="s">
        <v>1974</v>
      </c>
      <c r="F976" s="28" t="b">
        <v>0</v>
      </c>
      <c r="G976" s="28">
        <v>200</v>
      </c>
      <c r="H976" s="28" t="b">
        <v>1</v>
      </c>
      <c r="I976" s="34"/>
    </row>
    <row r="977" spans="1:9" ht="30" x14ac:dyDescent="0.25">
      <c r="A977" s="54" t="s">
        <v>233</v>
      </c>
      <c r="B977" s="43" t="s">
        <v>2578</v>
      </c>
      <c r="C977" s="37"/>
      <c r="D977" s="37"/>
      <c r="E977" s="37" t="s">
        <v>1974</v>
      </c>
      <c r="F977" s="37" t="b">
        <v>0</v>
      </c>
      <c r="G977" s="37">
        <v>200</v>
      </c>
      <c r="H977" s="37" t="b">
        <v>1</v>
      </c>
    </row>
    <row r="978" spans="1:9" ht="30" x14ac:dyDescent="0.25">
      <c r="A978" s="54" t="s">
        <v>233</v>
      </c>
      <c r="B978" s="31" t="s">
        <v>2579</v>
      </c>
      <c r="C978" s="28"/>
      <c r="D978" s="28"/>
      <c r="E978" s="28" t="s">
        <v>1974</v>
      </c>
      <c r="F978" s="28" t="b">
        <v>0</v>
      </c>
      <c r="G978" s="28">
        <v>200</v>
      </c>
      <c r="H978" s="28" t="b">
        <v>1</v>
      </c>
      <c r="I978" s="34"/>
    </row>
    <row r="979" spans="1:9" ht="30" x14ac:dyDescent="0.25">
      <c r="A979" s="54" t="s">
        <v>233</v>
      </c>
      <c r="B979" s="43" t="s">
        <v>2580</v>
      </c>
      <c r="C979" s="37"/>
      <c r="D979" s="37"/>
      <c r="E979" s="37" t="s">
        <v>1974</v>
      </c>
      <c r="F979" s="37" t="b">
        <v>0</v>
      </c>
      <c r="G979" s="37">
        <v>200</v>
      </c>
      <c r="H979" s="37" t="b">
        <v>1</v>
      </c>
    </row>
    <row r="980" spans="1:9" ht="30" x14ac:dyDescent="0.25">
      <c r="A980" s="54" t="s">
        <v>233</v>
      </c>
      <c r="B980" s="31" t="s">
        <v>2581</v>
      </c>
      <c r="C980" s="28"/>
      <c r="D980" s="28"/>
      <c r="E980" s="28" t="s">
        <v>1974</v>
      </c>
      <c r="F980" s="28" t="b">
        <v>0</v>
      </c>
      <c r="G980" s="28">
        <v>200</v>
      </c>
      <c r="H980" s="28" t="b">
        <v>1</v>
      </c>
      <c r="I980" s="34"/>
    </row>
    <row r="981" spans="1:9" ht="30" x14ac:dyDescent="0.25">
      <c r="A981" s="54" t="s">
        <v>233</v>
      </c>
      <c r="B981" s="43" t="s">
        <v>2582</v>
      </c>
      <c r="C981" s="37"/>
      <c r="D981" s="37"/>
      <c r="E981" s="37" t="s">
        <v>1974</v>
      </c>
      <c r="F981" s="37" t="b">
        <v>0</v>
      </c>
      <c r="G981" s="37">
        <v>200</v>
      </c>
      <c r="H981" s="37" t="b">
        <v>1</v>
      </c>
    </row>
    <row r="982" spans="1:9" ht="30" x14ac:dyDescent="0.25">
      <c r="A982" s="54" t="s">
        <v>233</v>
      </c>
      <c r="B982" s="31" t="s">
        <v>2583</v>
      </c>
      <c r="C982" s="28"/>
      <c r="D982" s="28"/>
      <c r="E982" s="28" t="s">
        <v>1974</v>
      </c>
      <c r="F982" s="28" t="b">
        <v>0</v>
      </c>
      <c r="G982" s="28">
        <v>200</v>
      </c>
      <c r="H982" s="28" t="b">
        <v>1</v>
      </c>
      <c r="I982" s="34"/>
    </row>
    <row r="983" spans="1:9" ht="30" x14ac:dyDescent="0.25">
      <c r="A983" s="54" t="s">
        <v>233</v>
      </c>
      <c r="B983" s="43" t="s">
        <v>2584</v>
      </c>
      <c r="C983" s="37"/>
      <c r="D983" s="37"/>
      <c r="E983" s="37" t="s">
        <v>1974</v>
      </c>
      <c r="F983" s="37" t="b">
        <v>0</v>
      </c>
      <c r="G983" s="37">
        <v>200</v>
      </c>
      <c r="H983" s="37" t="b">
        <v>1</v>
      </c>
    </row>
    <row r="984" spans="1:9" ht="30" x14ac:dyDescent="0.25">
      <c r="A984" s="54" t="s">
        <v>233</v>
      </c>
      <c r="B984" s="31" t="s">
        <v>2585</v>
      </c>
      <c r="C984" s="28"/>
      <c r="D984" s="28"/>
      <c r="E984" s="28" t="s">
        <v>1974</v>
      </c>
      <c r="F984" s="28" t="b">
        <v>0</v>
      </c>
      <c r="G984" s="28">
        <v>200</v>
      </c>
      <c r="H984" s="28" t="b">
        <v>1</v>
      </c>
      <c r="I984" s="34"/>
    </row>
    <row r="985" spans="1:9" ht="30" x14ac:dyDescent="0.25">
      <c r="A985" s="54" t="s">
        <v>233</v>
      </c>
      <c r="B985" s="43" t="s">
        <v>2586</v>
      </c>
      <c r="C985" s="37"/>
      <c r="D985" s="37"/>
      <c r="E985" s="37" t="s">
        <v>1974</v>
      </c>
      <c r="F985" s="37" t="b">
        <v>0</v>
      </c>
      <c r="G985" s="37">
        <v>200</v>
      </c>
      <c r="H985" s="37" t="b">
        <v>1</v>
      </c>
    </row>
    <row r="986" spans="1:9" ht="30" x14ac:dyDescent="0.25">
      <c r="A986" s="54" t="s">
        <v>233</v>
      </c>
      <c r="B986" s="31" t="s">
        <v>2587</v>
      </c>
      <c r="C986" s="28"/>
      <c r="D986" s="28"/>
      <c r="E986" s="28" t="s">
        <v>1974</v>
      </c>
      <c r="F986" s="28" t="b">
        <v>0</v>
      </c>
      <c r="G986" s="28">
        <v>200</v>
      </c>
      <c r="H986" s="28" t="b">
        <v>1</v>
      </c>
      <c r="I986" s="34"/>
    </row>
    <row r="987" spans="1:9" ht="30" x14ac:dyDescent="0.25">
      <c r="A987" s="54" t="s">
        <v>233</v>
      </c>
      <c r="B987" s="43" t="s">
        <v>2588</v>
      </c>
      <c r="C987" s="37"/>
      <c r="D987" s="37"/>
      <c r="E987" s="37" t="s">
        <v>1974</v>
      </c>
      <c r="F987" s="37" t="b">
        <v>0</v>
      </c>
      <c r="G987" s="37">
        <v>200</v>
      </c>
      <c r="H987" s="37" t="b">
        <v>1</v>
      </c>
    </row>
    <row r="988" spans="1:9" ht="30" x14ac:dyDescent="0.25">
      <c r="A988" s="54" t="s">
        <v>233</v>
      </c>
      <c r="B988" s="31" t="s">
        <v>2589</v>
      </c>
      <c r="C988" s="28"/>
      <c r="D988" s="28"/>
      <c r="E988" s="28" t="s">
        <v>1974</v>
      </c>
      <c r="F988" s="28" t="b">
        <v>0</v>
      </c>
      <c r="G988" s="28">
        <v>200</v>
      </c>
      <c r="H988" s="28" t="b">
        <v>1</v>
      </c>
      <c r="I988" s="34"/>
    </row>
    <row r="989" spans="1:9" ht="30" x14ac:dyDescent="0.25">
      <c r="A989" s="54" t="s">
        <v>233</v>
      </c>
      <c r="B989" s="43" t="s">
        <v>2590</v>
      </c>
      <c r="C989" s="37"/>
      <c r="D989" s="37"/>
      <c r="E989" s="37" t="s">
        <v>1974</v>
      </c>
      <c r="F989" s="37" t="b">
        <v>0</v>
      </c>
      <c r="G989" s="37">
        <v>200</v>
      </c>
      <c r="H989" s="37" t="b">
        <v>1</v>
      </c>
    </row>
    <row r="990" spans="1:9" ht="30" x14ac:dyDescent="0.25">
      <c r="A990" s="54" t="s">
        <v>233</v>
      </c>
      <c r="B990" s="31" t="s">
        <v>2591</v>
      </c>
      <c r="C990" s="28"/>
      <c r="D990" s="28"/>
      <c r="E990" s="28" t="s">
        <v>1974</v>
      </c>
      <c r="F990" s="28" t="b">
        <v>0</v>
      </c>
      <c r="G990" s="28">
        <v>200</v>
      </c>
      <c r="H990" s="28" t="b">
        <v>1</v>
      </c>
      <c r="I990" s="34"/>
    </row>
    <row r="991" spans="1:9" ht="30" x14ac:dyDescent="0.25">
      <c r="A991" s="54" t="s">
        <v>233</v>
      </c>
      <c r="B991" s="43" t="s">
        <v>2592</v>
      </c>
      <c r="C991" s="37"/>
      <c r="D991" s="37"/>
      <c r="E991" s="37" t="s">
        <v>1974</v>
      </c>
      <c r="F991" s="37" t="b">
        <v>0</v>
      </c>
      <c r="G991" s="37">
        <v>200</v>
      </c>
      <c r="H991" s="37" t="b">
        <v>1</v>
      </c>
    </row>
    <row r="992" spans="1:9" ht="30" x14ac:dyDescent="0.25">
      <c r="A992" s="54" t="s">
        <v>233</v>
      </c>
      <c r="B992" s="31" t="s">
        <v>2593</v>
      </c>
      <c r="C992" s="28"/>
      <c r="D992" s="28"/>
      <c r="E992" s="28" t="s">
        <v>1974</v>
      </c>
      <c r="F992" s="28" t="b">
        <v>0</v>
      </c>
      <c r="G992" s="28">
        <v>200</v>
      </c>
      <c r="H992" s="28" t="b">
        <v>1</v>
      </c>
      <c r="I992" s="34"/>
    </row>
    <row r="993" spans="1:9" ht="30" x14ac:dyDescent="0.25">
      <c r="A993" s="54" t="s">
        <v>233</v>
      </c>
      <c r="B993" s="43" t="s">
        <v>2096</v>
      </c>
      <c r="C993" s="37"/>
      <c r="D993" s="37"/>
      <c r="E993" s="37" t="s">
        <v>1974</v>
      </c>
      <c r="F993" s="37" t="b">
        <v>0</v>
      </c>
      <c r="G993" s="37">
        <v>200</v>
      </c>
      <c r="H993" s="37" t="b">
        <v>1</v>
      </c>
    </row>
    <row r="994" spans="1:9" ht="30" x14ac:dyDescent="0.25">
      <c r="A994" s="54" t="s">
        <v>233</v>
      </c>
      <c r="B994" s="31" t="s">
        <v>2594</v>
      </c>
      <c r="C994" s="28"/>
      <c r="D994" s="28"/>
      <c r="E994" s="28" t="s">
        <v>1974</v>
      </c>
      <c r="F994" s="28" t="b">
        <v>0</v>
      </c>
      <c r="G994" s="28">
        <v>200</v>
      </c>
      <c r="H994" s="28" t="b">
        <v>1</v>
      </c>
      <c r="I994" s="34"/>
    </row>
    <row r="995" spans="1:9" ht="30" x14ac:dyDescent="0.25">
      <c r="A995" s="54" t="s">
        <v>233</v>
      </c>
      <c r="B995" s="43" t="s">
        <v>2595</v>
      </c>
      <c r="C995" s="37"/>
      <c r="D995" s="37"/>
      <c r="E995" s="37" t="s">
        <v>1974</v>
      </c>
      <c r="F995" s="37" t="b">
        <v>0</v>
      </c>
      <c r="G995" s="37">
        <v>200</v>
      </c>
      <c r="H995" s="37" t="b">
        <v>1</v>
      </c>
    </row>
    <row r="996" spans="1:9" ht="30" x14ac:dyDescent="0.25">
      <c r="A996" s="54" t="s">
        <v>233</v>
      </c>
      <c r="B996" s="31" t="s">
        <v>2596</v>
      </c>
      <c r="C996" s="28"/>
      <c r="D996" s="28"/>
      <c r="E996" s="28" t="s">
        <v>1974</v>
      </c>
      <c r="F996" s="28" t="b">
        <v>0</v>
      </c>
      <c r="G996" s="28">
        <v>200</v>
      </c>
      <c r="H996" s="28" t="b">
        <v>1</v>
      </c>
      <c r="I996" s="34"/>
    </row>
    <row r="997" spans="1:9" ht="30" x14ac:dyDescent="0.25">
      <c r="A997" s="54" t="s">
        <v>233</v>
      </c>
      <c r="B997" s="43" t="s">
        <v>2597</v>
      </c>
      <c r="C997" s="37"/>
      <c r="D997" s="37"/>
      <c r="E997" s="37" t="s">
        <v>1974</v>
      </c>
      <c r="F997" s="37" t="b">
        <v>0</v>
      </c>
      <c r="G997" s="37">
        <v>200</v>
      </c>
      <c r="H997" s="37" t="b">
        <v>1</v>
      </c>
    </row>
    <row r="998" spans="1:9" ht="30" x14ac:dyDescent="0.25">
      <c r="A998" s="54" t="s">
        <v>233</v>
      </c>
      <c r="B998" s="31" t="s">
        <v>2598</v>
      </c>
      <c r="C998" s="28"/>
      <c r="D998" s="28"/>
      <c r="E998" s="28" t="s">
        <v>1974</v>
      </c>
      <c r="F998" s="28" t="b">
        <v>0</v>
      </c>
      <c r="G998" s="28">
        <v>200</v>
      </c>
      <c r="H998" s="28" t="b">
        <v>1</v>
      </c>
      <c r="I998" s="34"/>
    </row>
    <row r="999" spans="1:9" ht="30" x14ac:dyDescent="0.25">
      <c r="A999" s="54" t="s">
        <v>233</v>
      </c>
      <c r="B999" s="43" t="s">
        <v>2599</v>
      </c>
      <c r="C999" s="37"/>
      <c r="D999" s="37"/>
      <c r="E999" s="37" t="s">
        <v>1974</v>
      </c>
      <c r="F999" s="37" t="b">
        <v>0</v>
      </c>
      <c r="G999" s="37">
        <v>200</v>
      </c>
      <c r="H999" s="37" t="b">
        <v>1</v>
      </c>
    </row>
    <row r="1000" spans="1:9" ht="30" x14ac:dyDescent="0.25">
      <c r="A1000" s="54" t="s">
        <v>233</v>
      </c>
      <c r="B1000" s="31" t="s">
        <v>2600</v>
      </c>
      <c r="C1000" s="28"/>
      <c r="D1000" s="28"/>
      <c r="E1000" s="28" t="s">
        <v>1974</v>
      </c>
      <c r="F1000" s="28" t="b">
        <v>0</v>
      </c>
      <c r="G1000" s="28">
        <v>200</v>
      </c>
      <c r="H1000" s="28" t="b">
        <v>1</v>
      </c>
      <c r="I1000" s="34"/>
    </row>
    <row r="1001" spans="1:9" ht="30" x14ac:dyDescent="0.25">
      <c r="A1001" s="54" t="s">
        <v>233</v>
      </c>
      <c r="B1001" s="43" t="s">
        <v>2601</v>
      </c>
      <c r="C1001" s="37"/>
      <c r="D1001" s="37"/>
      <c r="E1001" s="37" t="s">
        <v>1974</v>
      </c>
      <c r="F1001" s="37" t="b">
        <v>0</v>
      </c>
      <c r="G1001" s="37">
        <v>200</v>
      </c>
      <c r="H1001" s="37" t="b">
        <v>1</v>
      </c>
    </row>
    <row r="1002" spans="1:9" ht="30" x14ac:dyDescent="0.25">
      <c r="A1002" s="54" t="s">
        <v>233</v>
      </c>
      <c r="B1002" s="31" t="s">
        <v>2602</v>
      </c>
      <c r="C1002" s="28"/>
      <c r="D1002" s="28"/>
      <c r="E1002" s="28" t="s">
        <v>1974</v>
      </c>
      <c r="F1002" s="28" t="b">
        <v>0</v>
      </c>
      <c r="G1002" s="28">
        <v>200</v>
      </c>
      <c r="H1002" s="28" t="b">
        <v>1</v>
      </c>
      <c r="I1002" s="34"/>
    </row>
    <row r="1003" spans="1:9" ht="30" x14ac:dyDescent="0.25">
      <c r="A1003" s="54" t="s">
        <v>233</v>
      </c>
      <c r="B1003" s="43" t="s">
        <v>2603</v>
      </c>
      <c r="C1003" s="37"/>
      <c r="D1003" s="37"/>
      <c r="E1003" s="37" t="s">
        <v>1974</v>
      </c>
      <c r="F1003" s="37" t="b">
        <v>0</v>
      </c>
      <c r="G1003" s="37">
        <v>200</v>
      </c>
      <c r="H1003" s="37" t="b">
        <v>1</v>
      </c>
    </row>
    <row r="1004" spans="1:9" ht="30" x14ac:dyDescent="0.25">
      <c r="A1004" s="54" t="s">
        <v>233</v>
      </c>
      <c r="B1004" s="31" t="s">
        <v>2604</v>
      </c>
      <c r="C1004" s="28"/>
      <c r="D1004" s="28"/>
      <c r="E1004" s="28" t="s">
        <v>1974</v>
      </c>
      <c r="F1004" s="28" t="b">
        <v>0</v>
      </c>
      <c r="G1004" s="28">
        <v>200</v>
      </c>
      <c r="H1004" s="28" t="b">
        <v>1</v>
      </c>
      <c r="I1004" s="34"/>
    </row>
    <row r="1005" spans="1:9" ht="30" x14ac:dyDescent="0.25">
      <c r="A1005" s="54" t="s">
        <v>233</v>
      </c>
      <c r="B1005" s="43" t="s">
        <v>2605</v>
      </c>
      <c r="C1005" s="37"/>
      <c r="D1005" s="37"/>
      <c r="E1005" s="37" t="s">
        <v>1974</v>
      </c>
      <c r="F1005" s="37" t="b">
        <v>0</v>
      </c>
      <c r="G1005" s="37">
        <v>200</v>
      </c>
      <c r="H1005" s="37" t="b">
        <v>1</v>
      </c>
    </row>
    <row r="1006" spans="1:9" ht="30" x14ac:dyDescent="0.25">
      <c r="A1006" s="54" t="s">
        <v>233</v>
      </c>
      <c r="B1006" s="31" t="s">
        <v>2606</v>
      </c>
      <c r="C1006" s="28"/>
      <c r="D1006" s="28"/>
      <c r="E1006" s="28" t="s">
        <v>1974</v>
      </c>
      <c r="F1006" s="28" t="b">
        <v>0</v>
      </c>
      <c r="G1006" s="28">
        <v>200</v>
      </c>
      <c r="H1006" s="28" t="b">
        <v>1</v>
      </c>
      <c r="I1006" s="34"/>
    </row>
    <row r="1007" spans="1:9" ht="30" x14ac:dyDescent="0.25">
      <c r="A1007" s="54" t="s">
        <v>233</v>
      </c>
      <c r="B1007" s="43" t="s">
        <v>2095</v>
      </c>
      <c r="C1007" s="37"/>
      <c r="D1007" s="37"/>
      <c r="E1007" s="37" t="s">
        <v>1974</v>
      </c>
      <c r="F1007" s="37" t="b">
        <v>0</v>
      </c>
      <c r="G1007" s="37">
        <v>200</v>
      </c>
      <c r="H1007" s="37" t="b">
        <v>1</v>
      </c>
    </row>
    <row r="1008" spans="1:9" ht="30" x14ac:dyDescent="0.25">
      <c r="A1008" s="54" t="s">
        <v>233</v>
      </c>
      <c r="B1008" s="31" t="s">
        <v>2607</v>
      </c>
      <c r="C1008" s="28"/>
      <c r="D1008" s="28"/>
      <c r="E1008" s="28" t="s">
        <v>1974</v>
      </c>
      <c r="F1008" s="28" t="b">
        <v>0</v>
      </c>
      <c r="G1008" s="28">
        <v>200</v>
      </c>
      <c r="H1008" s="28" t="b">
        <v>1</v>
      </c>
      <c r="I1008" s="34"/>
    </row>
    <row r="1009" spans="1:9" ht="30" x14ac:dyDescent="0.25">
      <c r="A1009" s="54" t="s">
        <v>233</v>
      </c>
      <c r="B1009" s="43" t="s">
        <v>2608</v>
      </c>
      <c r="C1009" s="37"/>
      <c r="D1009" s="37"/>
      <c r="E1009" s="37" t="s">
        <v>1974</v>
      </c>
      <c r="F1009" s="37" t="b">
        <v>0</v>
      </c>
      <c r="G1009" s="37">
        <v>200</v>
      </c>
      <c r="H1009" s="37" t="b">
        <v>1</v>
      </c>
    </row>
    <row r="1010" spans="1:9" ht="30" x14ac:dyDescent="0.25">
      <c r="A1010" s="54" t="s">
        <v>233</v>
      </c>
      <c r="B1010" s="31" t="s">
        <v>2609</v>
      </c>
      <c r="C1010" s="28"/>
      <c r="D1010" s="28"/>
      <c r="E1010" s="28" t="s">
        <v>1974</v>
      </c>
      <c r="F1010" s="28" t="b">
        <v>0</v>
      </c>
      <c r="G1010" s="28">
        <v>200</v>
      </c>
      <c r="H1010" s="28" t="b">
        <v>1</v>
      </c>
      <c r="I1010" s="34"/>
    </row>
    <row r="1011" spans="1:9" ht="30" x14ac:dyDescent="0.25">
      <c r="A1011" s="54" t="s">
        <v>233</v>
      </c>
      <c r="B1011" s="43" t="s">
        <v>2610</v>
      </c>
      <c r="C1011" s="37"/>
      <c r="D1011" s="37"/>
      <c r="E1011" s="37" t="s">
        <v>1974</v>
      </c>
      <c r="F1011" s="37" t="b">
        <v>0</v>
      </c>
      <c r="G1011" s="37">
        <v>200</v>
      </c>
      <c r="H1011" s="37" t="b">
        <v>1</v>
      </c>
    </row>
    <row r="1012" spans="1:9" ht="30" x14ac:dyDescent="0.25">
      <c r="A1012" s="54" t="s">
        <v>233</v>
      </c>
      <c r="B1012" s="31" t="s">
        <v>2611</v>
      </c>
      <c r="C1012" s="28"/>
      <c r="D1012" s="28"/>
      <c r="E1012" s="28" t="s">
        <v>1974</v>
      </c>
      <c r="F1012" s="28" t="b">
        <v>0</v>
      </c>
      <c r="G1012" s="28">
        <v>200</v>
      </c>
      <c r="H1012" s="28" t="b">
        <v>1</v>
      </c>
      <c r="I1012" s="34"/>
    </row>
    <row r="1013" spans="1:9" ht="30" x14ac:dyDescent="0.25">
      <c r="A1013" s="54" t="s">
        <v>233</v>
      </c>
      <c r="B1013" s="43" t="s">
        <v>2612</v>
      </c>
      <c r="C1013" s="37"/>
      <c r="D1013" s="37"/>
      <c r="E1013" s="37" t="s">
        <v>1974</v>
      </c>
      <c r="F1013" s="37" t="b">
        <v>0</v>
      </c>
      <c r="G1013" s="37">
        <v>200</v>
      </c>
      <c r="H1013" s="37" t="b">
        <v>1</v>
      </c>
    </row>
    <row r="1014" spans="1:9" ht="30" x14ac:dyDescent="0.25">
      <c r="A1014" s="54" t="s">
        <v>233</v>
      </c>
      <c r="B1014" s="31" t="s">
        <v>2613</v>
      </c>
      <c r="C1014" s="28"/>
      <c r="D1014" s="28"/>
      <c r="E1014" s="28" t="s">
        <v>1974</v>
      </c>
      <c r="F1014" s="28" t="b">
        <v>0</v>
      </c>
      <c r="G1014" s="28">
        <v>200</v>
      </c>
      <c r="H1014" s="28" t="b">
        <v>1</v>
      </c>
      <c r="I1014" s="34"/>
    </row>
    <row r="1015" spans="1:9" ht="30" x14ac:dyDescent="0.25">
      <c r="A1015" s="54" t="s">
        <v>233</v>
      </c>
      <c r="B1015" s="43" t="s">
        <v>2614</v>
      </c>
      <c r="C1015" s="37"/>
      <c r="D1015" s="37"/>
      <c r="E1015" s="37" t="s">
        <v>1974</v>
      </c>
      <c r="F1015" s="37" t="b">
        <v>0</v>
      </c>
      <c r="G1015" s="37">
        <v>200</v>
      </c>
      <c r="H1015" s="37" t="b">
        <v>1</v>
      </c>
    </row>
    <row r="1016" spans="1:9" ht="30" x14ac:dyDescent="0.25">
      <c r="A1016" s="54" t="s">
        <v>233</v>
      </c>
      <c r="B1016" s="31" t="s">
        <v>2615</v>
      </c>
      <c r="C1016" s="28"/>
      <c r="D1016" s="28"/>
      <c r="E1016" s="28" t="s">
        <v>1974</v>
      </c>
      <c r="F1016" s="28" t="b">
        <v>0</v>
      </c>
      <c r="G1016" s="28">
        <v>200</v>
      </c>
      <c r="H1016" s="28" t="b">
        <v>1</v>
      </c>
      <c r="I1016" s="34"/>
    </row>
    <row r="1017" spans="1:9" ht="30" x14ac:dyDescent="0.25">
      <c r="A1017" s="54" t="s">
        <v>233</v>
      </c>
      <c r="B1017" s="43" t="s">
        <v>2616</v>
      </c>
      <c r="C1017" s="37"/>
      <c r="D1017" s="37"/>
      <c r="E1017" s="37" t="s">
        <v>1974</v>
      </c>
      <c r="F1017" s="37" t="b">
        <v>0</v>
      </c>
      <c r="G1017" s="37">
        <v>200</v>
      </c>
      <c r="H1017" s="37" t="b">
        <v>1</v>
      </c>
    </row>
    <row r="1018" spans="1:9" ht="30" x14ac:dyDescent="0.25">
      <c r="A1018" s="54" t="s">
        <v>233</v>
      </c>
      <c r="B1018" s="31" t="s">
        <v>2617</v>
      </c>
      <c r="C1018" s="28"/>
      <c r="D1018" s="28"/>
      <c r="E1018" s="28" t="s">
        <v>1974</v>
      </c>
      <c r="F1018" s="28" t="b">
        <v>0</v>
      </c>
      <c r="G1018" s="28">
        <v>200</v>
      </c>
      <c r="H1018" s="28" t="b">
        <v>1</v>
      </c>
      <c r="I1018" s="34"/>
    </row>
    <row r="1019" spans="1:9" ht="30" x14ac:dyDescent="0.25">
      <c r="A1019" s="54" t="s">
        <v>233</v>
      </c>
      <c r="B1019" s="43" t="s">
        <v>2618</v>
      </c>
      <c r="C1019" s="37"/>
      <c r="D1019" s="37"/>
      <c r="E1019" s="37" t="s">
        <v>1974</v>
      </c>
      <c r="F1019" s="37" t="b">
        <v>0</v>
      </c>
      <c r="G1019" s="37">
        <v>200</v>
      </c>
      <c r="H1019" s="37" t="b">
        <v>1</v>
      </c>
    </row>
    <row r="1020" spans="1:9" ht="30" x14ac:dyDescent="0.25">
      <c r="A1020" s="54" t="s">
        <v>233</v>
      </c>
      <c r="B1020" s="31" t="s">
        <v>2094</v>
      </c>
      <c r="C1020" s="28"/>
      <c r="D1020" s="28"/>
      <c r="E1020" s="28" t="s">
        <v>1974</v>
      </c>
      <c r="F1020" s="28" t="b">
        <v>0</v>
      </c>
      <c r="G1020" s="28">
        <v>200</v>
      </c>
      <c r="H1020" s="28" t="b">
        <v>1</v>
      </c>
      <c r="I1020" s="34"/>
    </row>
    <row r="1021" spans="1:9" ht="30" x14ac:dyDescent="0.25">
      <c r="A1021" s="54" t="s">
        <v>233</v>
      </c>
      <c r="B1021" s="43" t="s">
        <v>2619</v>
      </c>
      <c r="C1021" s="37"/>
      <c r="D1021" s="37"/>
      <c r="E1021" s="37" t="s">
        <v>1974</v>
      </c>
      <c r="F1021" s="37" t="b">
        <v>0</v>
      </c>
      <c r="G1021" s="37">
        <v>200</v>
      </c>
      <c r="H1021" s="37" t="b">
        <v>1</v>
      </c>
    </row>
    <row r="1022" spans="1:9" ht="30" x14ac:dyDescent="0.25">
      <c r="A1022" s="54" t="s">
        <v>233</v>
      </c>
      <c r="B1022" s="31" t="s">
        <v>2620</v>
      </c>
      <c r="C1022" s="28"/>
      <c r="D1022" s="28"/>
      <c r="E1022" s="28" t="s">
        <v>1974</v>
      </c>
      <c r="F1022" s="28" t="b">
        <v>0</v>
      </c>
      <c r="G1022" s="28">
        <v>200</v>
      </c>
      <c r="H1022" s="28" t="b">
        <v>1</v>
      </c>
      <c r="I1022" s="34"/>
    </row>
    <row r="1023" spans="1:9" ht="30" x14ac:dyDescent="0.25">
      <c r="A1023" s="54" t="s">
        <v>233</v>
      </c>
      <c r="B1023" s="43" t="s">
        <v>2621</v>
      </c>
      <c r="C1023" s="37"/>
      <c r="D1023" s="37"/>
      <c r="E1023" s="37" t="s">
        <v>1974</v>
      </c>
      <c r="F1023" s="37" t="b">
        <v>0</v>
      </c>
      <c r="G1023" s="37">
        <v>200</v>
      </c>
      <c r="H1023" s="37" t="b">
        <v>1</v>
      </c>
    </row>
    <row r="1024" spans="1:9" ht="30" x14ac:dyDescent="0.25">
      <c r="A1024" s="54" t="s">
        <v>233</v>
      </c>
      <c r="B1024" s="31" t="s">
        <v>2622</v>
      </c>
      <c r="C1024" s="28"/>
      <c r="D1024" s="28"/>
      <c r="E1024" s="28" t="s">
        <v>1974</v>
      </c>
      <c r="F1024" s="28" t="b">
        <v>0</v>
      </c>
      <c r="G1024" s="28">
        <v>200</v>
      </c>
      <c r="H1024" s="28" t="b">
        <v>1</v>
      </c>
      <c r="I1024" s="34"/>
    </row>
    <row r="1025" spans="1:9" ht="30" x14ac:dyDescent="0.25">
      <c r="A1025" s="54" t="s">
        <v>233</v>
      </c>
      <c r="B1025" s="43" t="s">
        <v>2623</v>
      </c>
      <c r="C1025" s="37"/>
      <c r="D1025" s="37"/>
      <c r="E1025" s="37" t="s">
        <v>1974</v>
      </c>
      <c r="F1025" s="37" t="b">
        <v>0</v>
      </c>
      <c r="G1025" s="37">
        <v>200</v>
      </c>
      <c r="H1025" s="37" t="b">
        <v>1</v>
      </c>
    </row>
    <row r="1026" spans="1:9" ht="30" x14ac:dyDescent="0.25">
      <c r="A1026" s="54" t="s">
        <v>233</v>
      </c>
      <c r="B1026" s="31" t="s">
        <v>2093</v>
      </c>
      <c r="C1026" s="28"/>
      <c r="D1026" s="28"/>
      <c r="E1026" s="28" t="s">
        <v>1974</v>
      </c>
      <c r="F1026" s="28" t="b">
        <v>0</v>
      </c>
      <c r="G1026" s="28">
        <v>200</v>
      </c>
      <c r="H1026" s="28" t="b">
        <v>1</v>
      </c>
      <c r="I1026" s="34"/>
    </row>
    <row r="1027" spans="1:9" ht="30" x14ac:dyDescent="0.25">
      <c r="A1027" s="54" t="s">
        <v>233</v>
      </c>
      <c r="B1027" s="43" t="s">
        <v>2624</v>
      </c>
      <c r="C1027" s="37"/>
      <c r="D1027" s="37"/>
      <c r="E1027" s="37" t="s">
        <v>1974</v>
      </c>
      <c r="F1027" s="37" t="b">
        <v>0</v>
      </c>
      <c r="G1027" s="37">
        <v>200</v>
      </c>
      <c r="H1027" s="37" t="b">
        <v>1</v>
      </c>
    </row>
    <row r="1028" spans="1:9" ht="30" x14ac:dyDescent="0.25">
      <c r="A1028" s="54" t="s">
        <v>233</v>
      </c>
      <c r="B1028" s="31" t="s">
        <v>2625</v>
      </c>
      <c r="C1028" s="28"/>
      <c r="D1028" s="28"/>
      <c r="E1028" s="28" t="s">
        <v>1974</v>
      </c>
      <c r="F1028" s="28" t="b">
        <v>0</v>
      </c>
      <c r="G1028" s="28">
        <v>200</v>
      </c>
      <c r="H1028" s="28" t="b">
        <v>1</v>
      </c>
      <c r="I1028" s="34"/>
    </row>
    <row r="1029" spans="1:9" ht="30" x14ac:dyDescent="0.25">
      <c r="A1029" s="54" t="s">
        <v>233</v>
      </c>
      <c r="B1029" s="43" t="s">
        <v>2626</v>
      </c>
      <c r="C1029" s="37"/>
      <c r="D1029" s="37"/>
      <c r="E1029" s="37" t="s">
        <v>1974</v>
      </c>
      <c r="F1029" s="37" t="b">
        <v>0</v>
      </c>
      <c r="G1029" s="37">
        <v>200</v>
      </c>
      <c r="H1029" s="37" t="b">
        <v>1</v>
      </c>
    </row>
    <row r="1030" spans="1:9" ht="30" x14ac:dyDescent="0.25">
      <c r="A1030" s="54" t="s">
        <v>233</v>
      </c>
      <c r="B1030" s="31" t="s">
        <v>2627</v>
      </c>
      <c r="C1030" s="28"/>
      <c r="D1030" s="28"/>
      <c r="E1030" s="28" t="s">
        <v>1974</v>
      </c>
      <c r="F1030" s="28" t="b">
        <v>0</v>
      </c>
      <c r="G1030" s="28">
        <v>200</v>
      </c>
      <c r="H1030" s="28" t="b">
        <v>1</v>
      </c>
      <c r="I1030" s="34"/>
    </row>
    <row r="1031" spans="1:9" ht="30" x14ac:dyDescent="0.25">
      <c r="A1031" s="54" t="s">
        <v>233</v>
      </c>
      <c r="B1031" s="43" t="s">
        <v>2092</v>
      </c>
      <c r="C1031" s="37"/>
      <c r="D1031" s="37"/>
      <c r="E1031" s="37" t="s">
        <v>1974</v>
      </c>
      <c r="F1031" s="37" t="b">
        <v>0</v>
      </c>
      <c r="G1031" s="37">
        <v>200</v>
      </c>
      <c r="H1031" s="37" t="b">
        <v>1</v>
      </c>
    </row>
    <row r="1032" spans="1:9" ht="30" x14ac:dyDescent="0.25">
      <c r="A1032" s="54" t="s">
        <v>233</v>
      </c>
      <c r="B1032" s="31" t="s">
        <v>2628</v>
      </c>
      <c r="C1032" s="28"/>
      <c r="D1032" s="28"/>
      <c r="E1032" s="28" t="s">
        <v>1974</v>
      </c>
      <c r="F1032" s="28" t="b">
        <v>0</v>
      </c>
      <c r="G1032" s="28">
        <v>200</v>
      </c>
      <c r="H1032" s="28" t="b">
        <v>1</v>
      </c>
      <c r="I1032" s="34"/>
    </row>
    <row r="1033" spans="1:9" ht="30" x14ac:dyDescent="0.25">
      <c r="A1033" s="54" t="s">
        <v>233</v>
      </c>
      <c r="B1033" s="43" t="s">
        <v>2629</v>
      </c>
      <c r="C1033" s="37"/>
      <c r="D1033" s="37"/>
      <c r="E1033" s="37" t="s">
        <v>1974</v>
      </c>
      <c r="F1033" s="37" t="b">
        <v>0</v>
      </c>
      <c r="G1033" s="37">
        <v>200</v>
      </c>
      <c r="H1033" s="37" t="b">
        <v>1</v>
      </c>
    </row>
    <row r="1034" spans="1:9" ht="30" x14ac:dyDescent="0.25">
      <c r="A1034" s="54" t="s">
        <v>233</v>
      </c>
      <c r="B1034" s="31" t="s">
        <v>2630</v>
      </c>
      <c r="C1034" s="28"/>
      <c r="D1034" s="28"/>
      <c r="E1034" s="28" t="s">
        <v>1974</v>
      </c>
      <c r="F1034" s="28" t="b">
        <v>0</v>
      </c>
      <c r="G1034" s="28">
        <v>200</v>
      </c>
      <c r="H1034" s="28" t="b">
        <v>1</v>
      </c>
      <c r="I1034" s="34"/>
    </row>
    <row r="1035" spans="1:9" ht="30" x14ac:dyDescent="0.25">
      <c r="A1035" s="54" t="s">
        <v>233</v>
      </c>
      <c r="B1035" s="43" t="s">
        <v>2631</v>
      </c>
      <c r="C1035" s="37"/>
      <c r="D1035" s="37"/>
      <c r="E1035" s="37" t="s">
        <v>1974</v>
      </c>
      <c r="F1035" s="37" t="b">
        <v>0</v>
      </c>
      <c r="G1035" s="37">
        <v>200</v>
      </c>
      <c r="H1035" s="37" t="b">
        <v>1</v>
      </c>
    </row>
    <row r="1036" spans="1:9" ht="30" x14ac:dyDescent="0.25">
      <c r="A1036" s="54" t="s">
        <v>233</v>
      </c>
      <c r="B1036" s="31" t="s">
        <v>2632</v>
      </c>
      <c r="C1036" s="28"/>
      <c r="D1036" s="28"/>
      <c r="E1036" s="28" t="s">
        <v>1974</v>
      </c>
      <c r="F1036" s="28" t="b">
        <v>0</v>
      </c>
      <c r="G1036" s="28">
        <v>200</v>
      </c>
      <c r="H1036" s="28" t="b">
        <v>1</v>
      </c>
      <c r="I1036" s="34"/>
    </row>
    <row r="1037" spans="1:9" ht="30" x14ac:dyDescent="0.25">
      <c r="A1037" s="54" t="s">
        <v>233</v>
      </c>
      <c r="B1037" s="43" t="s">
        <v>2091</v>
      </c>
      <c r="C1037" s="37"/>
      <c r="D1037" s="37"/>
      <c r="E1037" s="37" t="s">
        <v>1974</v>
      </c>
      <c r="F1037" s="37" t="b">
        <v>0</v>
      </c>
      <c r="G1037" s="37">
        <v>200</v>
      </c>
      <c r="H1037" s="37" t="b">
        <v>1</v>
      </c>
    </row>
    <row r="1038" spans="1:9" ht="30" x14ac:dyDescent="0.25">
      <c r="A1038" s="54" t="s">
        <v>233</v>
      </c>
      <c r="B1038" s="31" t="s">
        <v>2633</v>
      </c>
      <c r="C1038" s="28"/>
      <c r="D1038" s="28"/>
      <c r="E1038" s="28" t="s">
        <v>1974</v>
      </c>
      <c r="F1038" s="28" t="b">
        <v>0</v>
      </c>
      <c r="G1038" s="28">
        <v>200</v>
      </c>
      <c r="H1038" s="28" t="b">
        <v>1</v>
      </c>
      <c r="I1038" s="34"/>
    </row>
    <row r="1039" spans="1:9" ht="30" x14ac:dyDescent="0.25">
      <c r="A1039" s="54" t="s">
        <v>233</v>
      </c>
      <c r="B1039" s="43" t="s">
        <v>2634</v>
      </c>
      <c r="C1039" s="37"/>
      <c r="D1039" s="37"/>
      <c r="E1039" s="37" t="s">
        <v>1974</v>
      </c>
      <c r="F1039" s="37" t="b">
        <v>0</v>
      </c>
      <c r="G1039" s="37">
        <v>200</v>
      </c>
      <c r="H1039" s="37" t="b">
        <v>1</v>
      </c>
    </row>
    <row r="1040" spans="1:9" ht="30" x14ac:dyDescent="0.25">
      <c r="A1040" s="54" t="s">
        <v>233</v>
      </c>
      <c r="B1040" s="31" t="s">
        <v>2635</v>
      </c>
      <c r="C1040" s="28"/>
      <c r="D1040" s="28"/>
      <c r="E1040" s="28" t="s">
        <v>1974</v>
      </c>
      <c r="F1040" s="28" t="b">
        <v>0</v>
      </c>
      <c r="G1040" s="28">
        <v>200</v>
      </c>
      <c r="H1040" s="28" t="b">
        <v>1</v>
      </c>
      <c r="I1040" s="34"/>
    </row>
    <row r="1041" spans="1:9" ht="30" x14ac:dyDescent="0.25">
      <c r="A1041" s="54" t="s">
        <v>233</v>
      </c>
      <c r="B1041" s="43" t="s">
        <v>2636</v>
      </c>
      <c r="C1041" s="37"/>
      <c r="D1041" s="37"/>
      <c r="E1041" s="37" t="s">
        <v>1974</v>
      </c>
      <c r="F1041" s="37" t="b">
        <v>0</v>
      </c>
      <c r="G1041" s="37">
        <v>200</v>
      </c>
      <c r="H1041" s="37" t="b">
        <v>1</v>
      </c>
    </row>
    <row r="1042" spans="1:9" ht="30" x14ac:dyDescent="0.25">
      <c r="A1042" s="54" t="s">
        <v>233</v>
      </c>
      <c r="B1042" s="31" t="s">
        <v>2637</v>
      </c>
      <c r="C1042" s="28"/>
      <c r="D1042" s="28"/>
      <c r="E1042" s="28" t="s">
        <v>1974</v>
      </c>
      <c r="F1042" s="28" t="b">
        <v>0</v>
      </c>
      <c r="G1042" s="28">
        <v>200</v>
      </c>
      <c r="H1042" s="28" t="b">
        <v>1</v>
      </c>
      <c r="I1042" s="34"/>
    </row>
    <row r="1043" spans="1:9" ht="30" x14ac:dyDescent="0.25">
      <c r="A1043" s="54" t="s">
        <v>233</v>
      </c>
      <c r="B1043" s="43" t="s">
        <v>2638</v>
      </c>
      <c r="C1043" s="37"/>
      <c r="D1043" s="37"/>
      <c r="E1043" s="37" t="s">
        <v>1974</v>
      </c>
      <c r="F1043" s="37" t="b">
        <v>0</v>
      </c>
      <c r="G1043" s="37">
        <v>200</v>
      </c>
      <c r="H1043" s="37" t="b">
        <v>1</v>
      </c>
    </row>
    <row r="1044" spans="1:9" ht="30" x14ac:dyDescent="0.25">
      <c r="A1044" s="54" t="s">
        <v>233</v>
      </c>
      <c r="B1044" s="31" t="s">
        <v>2639</v>
      </c>
      <c r="C1044" s="28"/>
      <c r="D1044" s="28"/>
      <c r="E1044" s="28" t="s">
        <v>1974</v>
      </c>
      <c r="F1044" s="28" t="b">
        <v>0</v>
      </c>
      <c r="G1044" s="28">
        <v>200</v>
      </c>
      <c r="H1044" s="28" t="b">
        <v>1</v>
      </c>
      <c r="I1044" s="34"/>
    </row>
    <row r="1045" spans="1:9" ht="30" x14ac:dyDescent="0.25">
      <c r="A1045" s="54" t="s">
        <v>233</v>
      </c>
      <c r="B1045" s="43" t="s">
        <v>2110</v>
      </c>
      <c r="C1045" s="37"/>
      <c r="D1045" s="37"/>
      <c r="E1045" s="37" t="s">
        <v>1974</v>
      </c>
      <c r="F1045" s="37" t="b">
        <v>0</v>
      </c>
      <c r="G1045" s="37">
        <v>200</v>
      </c>
      <c r="H1045" s="37" t="b">
        <v>1</v>
      </c>
    </row>
    <row r="1046" spans="1:9" ht="30" x14ac:dyDescent="0.25">
      <c r="A1046" s="54" t="s">
        <v>233</v>
      </c>
      <c r="B1046" s="31" t="s">
        <v>2640</v>
      </c>
      <c r="C1046" s="28"/>
      <c r="D1046" s="28"/>
      <c r="E1046" s="28" t="s">
        <v>1974</v>
      </c>
      <c r="F1046" s="28" t="b">
        <v>0</v>
      </c>
      <c r="G1046" s="28">
        <v>200</v>
      </c>
      <c r="H1046" s="28" t="b">
        <v>1</v>
      </c>
      <c r="I1046" s="34"/>
    </row>
    <row r="1047" spans="1:9" ht="30" x14ac:dyDescent="0.25">
      <c r="A1047" s="54" t="s">
        <v>233</v>
      </c>
      <c r="B1047" s="43" t="s">
        <v>2641</v>
      </c>
      <c r="C1047" s="37"/>
      <c r="D1047" s="37"/>
      <c r="E1047" s="37" t="s">
        <v>1974</v>
      </c>
      <c r="F1047" s="37" t="b">
        <v>0</v>
      </c>
      <c r="G1047" s="37">
        <v>200</v>
      </c>
      <c r="H1047" s="37" t="b">
        <v>1</v>
      </c>
    </row>
    <row r="1048" spans="1:9" ht="30" x14ac:dyDescent="0.25">
      <c r="A1048" s="54" t="s">
        <v>233</v>
      </c>
      <c r="B1048" s="31" t="s">
        <v>2642</v>
      </c>
      <c r="C1048" s="28"/>
      <c r="D1048" s="28"/>
      <c r="E1048" s="28" t="s">
        <v>1974</v>
      </c>
      <c r="F1048" s="28" t="b">
        <v>0</v>
      </c>
      <c r="G1048" s="28">
        <v>200</v>
      </c>
      <c r="H1048" s="28" t="b">
        <v>1</v>
      </c>
      <c r="I1048" s="34"/>
    </row>
    <row r="1049" spans="1:9" ht="30" x14ac:dyDescent="0.25">
      <c r="A1049" s="54" t="s">
        <v>233</v>
      </c>
      <c r="B1049" s="43" t="s">
        <v>2643</v>
      </c>
      <c r="C1049" s="37"/>
      <c r="D1049" s="37"/>
      <c r="E1049" s="37" t="s">
        <v>1974</v>
      </c>
      <c r="F1049" s="37" t="b">
        <v>0</v>
      </c>
      <c r="G1049" s="37">
        <v>200</v>
      </c>
      <c r="H1049" s="37" t="b">
        <v>1</v>
      </c>
    </row>
    <row r="1050" spans="1:9" ht="30" x14ac:dyDescent="0.25">
      <c r="A1050" s="54" t="s">
        <v>233</v>
      </c>
      <c r="B1050" s="31" t="s">
        <v>2644</v>
      </c>
      <c r="C1050" s="28"/>
      <c r="D1050" s="28"/>
      <c r="E1050" s="28" t="s">
        <v>1974</v>
      </c>
      <c r="F1050" s="28" t="b">
        <v>0</v>
      </c>
      <c r="G1050" s="28">
        <v>200</v>
      </c>
      <c r="H1050" s="28" t="b">
        <v>1</v>
      </c>
      <c r="I1050" s="34"/>
    </row>
    <row r="1051" spans="1:9" ht="30" x14ac:dyDescent="0.25">
      <c r="A1051" s="54" t="s">
        <v>233</v>
      </c>
      <c r="B1051" s="43" t="s">
        <v>2645</v>
      </c>
      <c r="C1051" s="37"/>
      <c r="D1051" s="37"/>
      <c r="E1051" s="37" t="s">
        <v>1974</v>
      </c>
      <c r="F1051" s="37" t="b">
        <v>0</v>
      </c>
      <c r="G1051" s="37">
        <v>200</v>
      </c>
      <c r="H1051" s="37" t="b">
        <v>1</v>
      </c>
    </row>
    <row r="1052" spans="1:9" ht="30" x14ac:dyDescent="0.25">
      <c r="A1052" s="54" t="s">
        <v>233</v>
      </c>
      <c r="B1052" s="31" t="s">
        <v>2646</v>
      </c>
      <c r="C1052" s="28"/>
      <c r="D1052" s="28"/>
      <c r="E1052" s="28" t="s">
        <v>1974</v>
      </c>
      <c r="F1052" s="28" t="b">
        <v>0</v>
      </c>
      <c r="G1052" s="28">
        <v>200</v>
      </c>
      <c r="H1052" s="28" t="b">
        <v>1</v>
      </c>
      <c r="I1052" s="34"/>
    </row>
    <row r="1053" spans="1:9" ht="30" x14ac:dyDescent="0.25">
      <c r="A1053" s="54" t="s">
        <v>233</v>
      </c>
      <c r="B1053" s="43" t="s">
        <v>2647</v>
      </c>
      <c r="C1053" s="37"/>
      <c r="D1053" s="37"/>
      <c r="E1053" s="37" t="s">
        <v>1974</v>
      </c>
      <c r="F1053" s="37" t="b">
        <v>0</v>
      </c>
      <c r="G1053" s="37">
        <v>200</v>
      </c>
      <c r="H1053" s="37" t="b">
        <v>1</v>
      </c>
    </row>
    <row r="1054" spans="1:9" ht="30" x14ac:dyDescent="0.25">
      <c r="A1054" s="54" t="s">
        <v>233</v>
      </c>
      <c r="B1054" s="31" t="s">
        <v>2648</v>
      </c>
      <c r="C1054" s="28"/>
      <c r="D1054" s="28"/>
      <c r="E1054" s="28" t="s">
        <v>1974</v>
      </c>
      <c r="F1054" s="28" t="b">
        <v>0</v>
      </c>
      <c r="G1054" s="28">
        <v>200</v>
      </c>
      <c r="H1054" s="28" t="b">
        <v>1</v>
      </c>
      <c r="I1054" s="34"/>
    </row>
    <row r="1055" spans="1:9" ht="30" x14ac:dyDescent="0.25">
      <c r="A1055" s="54" t="s">
        <v>233</v>
      </c>
      <c r="B1055" s="43" t="s">
        <v>2649</v>
      </c>
      <c r="C1055" s="37"/>
      <c r="D1055" s="37"/>
      <c r="E1055" s="37" t="s">
        <v>1974</v>
      </c>
      <c r="F1055" s="37" t="b">
        <v>0</v>
      </c>
      <c r="G1055" s="37">
        <v>200</v>
      </c>
      <c r="H1055" s="37" t="b">
        <v>1</v>
      </c>
    </row>
    <row r="1056" spans="1:9" ht="30" x14ac:dyDescent="0.25">
      <c r="A1056" s="54" t="s">
        <v>233</v>
      </c>
      <c r="B1056" s="31" t="s">
        <v>2650</v>
      </c>
      <c r="C1056" s="28"/>
      <c r="D1056" s="28"/>
      <c r="E1056" s="28" t="s">
        <v>1974</v>
      </c>
      <c r="F1056" s="28" t="b">
        <v>0</v>
      </c>
      <c r="G1056" s="28">
        <v>200</v>
      </c>
      <c r="H1056" s="28" t="b">
        <v>1</v>
      </c>
      <c r="I1056" s="34"/>
    </row>
    <row r="1057" spans="1:9" ht="30" x14ac:dyDescent="0.25">
      <c r="A1057" s="54" t="s">
        <v>233</v>
      </c>
      <c r="B1057" s="43" t="s">
        <v>2651</v>
      </c>
      <c r="C1057" s="37"/>
      <c r="D1057" s="37"/>
      <c r="E1057" s="37" t="s">
        <v>1974</v>
      </c>
      <c r="F1057" s="37" t="b">
        <v>0</v>
      </c>
      <c r="G1057" s="37">
        <v>200</v>
      </c>
      <c r="H1057" s="37" t="b">
        <v>1</v>
      </c>
    </row>
    <row r="1058" spans="1:9" ht="30" x14ac:dyDescent="0.25">
      <c r="A1058" s="54" t="s">
        <v>233</v>
      </c>
      <c r="B1058" s="31" t="s">
        <v>2652</v>
      </c>
      <c r="C1058" s="28"/>
      <c r="D1058" s="28"/>
      <c r="E1058" s="28" t="s">
        <v>1974</v>
      </c>
      <c r="F1058" s="28" t="b">
        <v>0</v>
      </c>
      <c r="G1058" s="28">
        <v>200</v>
      </c>
      <c r="H1058" s="28" t="b">
        <v>1</v>
      </c>
      <c r="I1058" s="34"/>
    </row>
    <row r="1059" spans="1:9" ht="30" x14ac:dyDescent="0.25">
      <c r="A1059" s="54" t="s">
        <v>233</v>
      </c>
      <c r="B1059" s="43" t="s">
        <v>2653</v>
      </c>
      <c r="C1059" s="37"/>
      <c r="D1059" s="37"/>
      <c r="E1059" s="37" t="s">
        <v>1974</v>
      </c>
      <c r="F1059" s="37" t="b">
        <v>0</v>
      </c>
      <c r="G1059" s="37">
        <v>200</v>
      </c>
      <c r="H1059" s="37" t="b">
        <v>1</v>
      </c>
    </row>
    <row r="1060" spans="1:9" ht="30" x14ac:dyDescent="0.25">
      <c r="A1060" s="54" t="s">
        <v>233</v>
      </c>
      <c r="B1060" s="31" t="s">
        <v>2654</v>
      </c>
      <c r="C1060" s="28"/>
      <c r="D1060" s="28"/>
      <c r="E1060" s="28" t="s">
        <v>1974</v>
      </c>
      <c r="F1060" s="28" t="b">
        <v>0</v>
      </c>
      <c r="G1060" s="28">
        <v>200</v>
      </c>
      <c r="H1060" s="28" t="b">
        <v>1</v>
      </c>
      <c r="I1060" s="34"/>
    </row>
    <row r="1061" spans="1:9" ht="30" x14ac:dyDescent="0.25">
      <c r="A1061" s="54" t="s">
        <v>233</v>
      </c>
      <c r="B1061" s="43" t="s">
        <v>2655</v>
      </c>
      <c r="C1061" s="37"/>
      <c r="D1061" s="37"/>
      <c r="E1061" s="37" t="s">
        <v>1974</v>
      </c>
      <c r="F1061" s="37" t="b">
        <v>0</v>
      </c>
      <c r="G1061" s="37">
        <v>200</v>
      </c>
      <c r="H1061" s="37" t="b">
        <v>1</v>
      </c>
    </row>
    <row r="1062" spans="1:9" ht="30" x14ac:dyDescent="0.25">
      <c r="A1062" s="54" t="s">
        <v>233</v>
      </c>
      <c r="B1062" s="31" t="s">
        <v>2656</v>
      </c>
      <c r="C1062" s="28"/>
      <c r="D1062" s="28"/>
      <c r="E1062" s="28" t="s">
        <v>1974</v>
      </c>
      <c r="F1062" s="28" t="b">
        <v>0</v>
      </c>
      <c r="G1062" s="28">
        <v>200</v>
      </c>
      <c r="H1062" s="28" t="b">
        <v>1</v>
      </c>
      <c r="I1062" s="34"/>
    </row>
    <row r="1063" spans="1:9" ht="30" x14ac:dyDescent="0.25">
      <c r="A1063" s="54" t="s">
        <v>233</v>
      </c>
      <c r="B1063" s="43" t="s">
        <v>2657</v>
      </c>
      <c r="C1063" s="37"/>
      <c r="D1063" s="37"/>
      <c r="E1063" s="37" t="s">
        <v>1974</v>
      </c>
      <c r="F1063" s="37" t="b">
        <v>0</v>
      </c>
      <c r="G1063" s="37">
        <v>200</v>
      </c>
      <c r="H1063" s="37" t="b">
        <v>1</v>
      </c>
    </row>
    <row r="1064" spans="1:9" ht="30" x14ac:dyDescent="0.25">
      <c r="A1064" s="54" t="s">
        <v>233</v>
      </c>
      <c r="B1064" s="31" t="s">
        <v>2658</v>
      </c>
      <c r="C1064" s="28"/>
      <c r="D1064" s="28"/>
      <c r="E1064" s="28" t="s">
        <v>1974</v>
      </c>
      <c r="F1064" s="28" t="b">
        <v>0</v>
      </c>
      <c r="G1064" s="28">
        <v>200</v>
      </c>
      <c r="H1064" s="28" t="b">
        <v>1</v>
      </c>
      <c r="I1064" s="34"/>
    </row>
    <row r="1065" spans="1:9" ht="30" x14ac:dyDescent="0.25">
      <c r="A1065" s="54" t="s">
        <v>233</v>
      </c>
      <c r="B1065" s="43" t="s">
        <v>2659</v>
      </c>
      <c r="C1065" s="37"/>
      <c r="D1065" s="37"/>
      <c r="E1065" s="37" t="s">
        <v>1974</v>
      </c>
      <c r="F1065" s="37" t="b">
        <v>0</v>
      </c>
      <c r="G1065" s="37">
        <v>200</v>
      </c>
      <c r="H1065" s="37" t="b">
        <v>1</v>
      </c>
    </row>
    <row r="1066" spans="1:9" ht="30" x14ac:dyDescent="0.25">
      <c r="A1066" s="54" t="s">
        <v>233</v>
      </c>
      <c r="B1066" s="31" t="s">
        <v>2660</v>
      </c>
      <c r="C1066" s="28"/>
      <c r="D1066" s="28"/>
      <c r="E1066" s="28" t="s">
        <v>1974</v>
      </c>
      <c r="F1066" s="28" t="b">
        <v>0</v>
      </c>
      <c r="G1066" s="28">
        <v>200</v>
      </c>
      <c r="H1066" s="28" t="b">
        <v>1</v>
      </c>
      <c r="I1066" s="34"/>
    </row>
    <row r="1067" spans="1:9" ht="30" x14ac:dyDescent="0.25">
      <c r="A1067" s="54" t="s">
        <v>233</v>
      </c>
      <c r="B1067" s="43" t="s">
        <v>2661</v>
      </c>
      <c r="C1067" s="37"/>
      <c r="D1067" s="37"/>
      <c r="E1067" s="37" t="s">
        <v>1974</v>
      </c>
      <c r="F1067" s="37" t="b">
        <v>0</v>
      </c>
      <c r="G1067" s="37">
        <v>200</v>
      </c>
      <c r="H1067" s="37" t="b">
        <v>1</v>
      </c>
    </row>
    <row r="1068" spans="1:9" ht="30" x14ac:dyDescent="0.25">
      <c r="A1068" s="54" t="s">
        <v>233</v>
      </c>
      <c r="B1068" s="31" t="s">
        <v>2662</v>
      </c>
      <c r="C1068" s="28"/>
      <c r="D1068" s="28"/>
      <c r="E1068" s="28" t="s">
        <v>1974</v>
      </c>
      <c r="F1068" s="28" t="b">
        <v>0</v>
      </c>
      <c r="G1068" s="28">
        <v>200</v>
      </c>
      <c r="H1068" s="28" t="b">
        <v>1</v>
      </c>
      <c r="I1068" s="34"/>
    </row>
    <row r="1069" spans="1:9" ht="30" x14ac:dyDescent="0.25">
      <c r="A1069" s="54" t="s">
        <v>233</v>
      </c>
      <c r="B1069" s="43" t="s">
        <v>2663</v>
      </c>
      <c r="C1069" s="37"/>
      <c r="D1069" s="37"/>
      <c r="E1069" s="37" t="s">
        <v>1974</v>
      </c>
      <c r="F1069" s="37" t="b">
        <v>0</v>
      </c>
      <c r="G1069" s="37">
        <v>200</v>
      </c>
      <c r="H1069" s="37" t="b">
        <v>1</v>
      </c>
    </row>
    <row r="1070" spans="1:9" ht="30" x14ac:dyDescent="0.25">
      <c r="A1070" s="54" t="s">
        <v>233</v>
      </c>
      <c r="B1070" s="31" t="s">
        <v>2664</v>
      </c>
      <c r="C1070" s="28"/>
      <c r="D1070" s="28"/>
      <c r="E1070" s="28" t="s">
        <v>1974</v>
      </c>
      <c r="F1070" s="28" t="b">
        <v>0</v>
      </c>
      <c r="G1070" s="28">
        <v>200</v>
      </c>
      <c r="H1070" s="28" t="b">
        <v>1</v>
      </c>
      <c r="I1070" s="34"/>
    </row>
    <row r="1071" spans="1:9" ht="30" x14ac:dyDescent="0.25">
      <c r="A1071" s="54" t="s">
        <v>233</v>
      </c>
      <c r="B1071" s="43" t="s">
        <v>2665</v>
      </c>
      <c r="C1071" s="37"/>
      <c r="D1071" s="37"/>
      <c r="E1071" s="37" t="s">
        <v>1974</v>
      </c>
      <c r="F1071" s="37" t="b">
        <v>0</v>
      </c>
      <c r="G1071" s="37">
        <v>200</v>
      </c>
      <c r="H1071" s="37" t="b">
        <v>1</v>
      </c>
    </row>
    <row r="1072" spans="1:9" ht="30" x14ac:dyDescent="0.25">
      <c r="A1072" s="54" t="s">
        <v>233</v>
      </c>
      <c r="B1072" s="31" t="s">
        <v>2666</v>
      </c>
      <c r="C1072" s="28"/>
      <c r="D1072" s="28"/>
      <c r="E1072" s="28" t="s">
        <v>1974</v>
      </c>
      <c r="F1072" s="28" t="b">
        <v>0</v>
      </c>
      <c r="G1072" s="28">
        <v>200</v>
      </c>
      <c r="H1072" s="28" t="b">
        <v>1</v>
      </c>
      <c r="I1072" s="34"/>
    </row>
    <row r="1073" spans="1:9" ht="30" x14ac:dyDescent="0.25">
      <c r="A1073" s="54" t="s">
        <v>233</v>
      </c>
      <c r="B1073" s="43" t="s">
        <v>2667</v>
      </c>
      <c r="C1073" s="37"/>
      <c r="D1073" s="37"/>
      <c r="E1073" s="37" t="s">
        <v>1974</v>
      </c>
      <c r="F1073" s="37" t="b">
        <v>0</v>
      </c>
      <c r="G1073" s="37">
        <v>200</v>
      </c>
      <c r="H1073" s="37" t="b">
        <v>1</v>
      </c>
    </row>
    <row r="1074" spans="1:9" ht="30" x14ac:dyDescent="0.25">
      <c r="A1074" s="54" t="s">
        <v>233</v>
      </c>
      <c r="B1074" s="31" t="s">
        <v>2668</v>
      </c>
      <c r="C1074" s="28"/>
      <c r="D1074" s="28"/>
      <c r="E1074" s="28" t="s">
        <v>1974</v>
      </c>
      <c r="F1074" s="28" t="b">
        <v>0</v>
      </c>
      <c r="G1074" s="28">
        <v>200</v>
      </c>
      <c r="H1074" s="28" t="b">
        <v>1</v>
      </c>
      <c r="I1074" s="34"/>
    </row>
    <row r="1075" spans="1:9" ht="30" x14ac:dyDescent="0.25">
      <c r="A1075" s="54" t="s">
        <v>233</v>
      </c>
      <c r="B1075" s="43" t="s">
        <v>2669</v>
      </c>
      <c r="C1075" s="37"/>
      <c r="D1075" s="37"/>
      <c r="E1075" s="37" t="s">
        <v>1974</v>
      </c>
      <c r="F1075" s="37" t="b">
        <v>0</v>
      </c>
      <c r="G1075" s="37">
        <v>200</v>
      </c>
      <c r="H1075" s="37" t="b">
        <v>1</v>
      </c>
    </row>
    <row r="1076" spans="1:9" ht="30" x14ac:dyDescent="0.25">
      <c r="A1076" s="54" t="s">
        <v>233</v>
      </c>
      <c r="B1076" s="31" t="s">
        <v>2670</v>
      </c>
      <c r="C1076" s="28"/>
      <c r="D1076" s="28"/>
      <c r="E1076" s="28" t="s">
        <v>1974</v>
      </c>
      <c r="F1076" s="28" t="b">
        <v>0</v>
      </c>
      <c r="G1076" s="28">
        <v>200</v>
      </c>
      <c r="H1076" s="28" t="b">
        <v>1</v>
      </c>
      <c r="I1076" s="34"/>
    </row>
    <row r="1077" spans="1:9" ht="30" x14ac:dyDescent="0.25">
      <c r="A1077" s="54" t="s">
        <v>233</v>
      </c>
      <c r="B1077" s="43" t="s">
        <v>2671</v>
      </c>
      <c r="C1077" s="37"/>
      <c r="D1077" s="37"/>
      <c r="E1077" s="37" t="s">
        <v>1974</v>
      </c>
      <c r="F1077" s="37" t="b">
        <v>0</v>
      </c>
      <c r="G1077" s="37">
        <v>200</v>
      </c>
      <c r="H1077" s="37" t="b">
        <v>1</v>
      </c>
    </row>
    <row r="1078" spans="1:9" ht="30" x14ac:dyDescent="0.25">
      <c r="A1078" s="54" t="s">
        <v>233</v>
      </c>
      <c r="B1078" s="31" t="s">
        <v>2672</v>
      </c>
      <c r="C1078" s="28"/>
      <c r="D1078" s="28"/>
      <c r="E1078" s="28" t="s">
        <v>1974</v>
      </c>
      <c r="F1078" s="28" t="b">
        <v>0</v>
      </c>
      <c r="G1078" s="28">
        <v>200</v>
      </c>
      <c r="H1078" s="28" t="b">
        <v>1</v>
      </c>
      <c r="I1078" s="34"/>
    </row>
    <row r="1079" spans="1:9" ht="30" x14ac:dyDescent="0.25">
      <c r="A1079" s="54" t="s">
        <v>233</v>
      </c>
      <c r="B1079" s="43" t="s">
        <v>2673</v>
      </c>
      <c r="C1079" s="37"/>
      <c r="D1079" s="37"/>
      <c r="E1079" s="37" t="s">
        <v>1974</v>
      </c>
      <c r="F1079" s="37" t="b">
        <v>0</v>
      </c>
      <c r="G1079" s="37">
        <v>200</v>
      </c>
      <c r="H1079" s="37" t="b">
        <v>1</v>
      </c>
    </row>
    <row r="1080" spans="1:9" ht="30" x14ac:dyDescent="0.25">
      <c r="A1080" s="54" t="s">
        <v>233</v>
      </c>
      <c r="B1080" s="31" t="s">
        <v>2674</v>
      </c>
      <c r="C1080" s="28"/>
      <c r="D1080" s="28"/>
      <c r="E1080" s="28" t="s">
        <v>1974</v>
      </c>
      <c r="F1080" s="28" t="b">
        <v>0</v>
      </c>
      <c r="G1080" s="28">
        <v>200</v>
      </c>
      <c r="H1080" s="28" t="b">
        <v>1</v>
      </c>
      <c r="I1080" s="34"/>
    </row>
    <row r="1081" spans="1:9" ht="30" x14ac:dyDescent="0.25">
      <c r="A1081" s="54" t="s">
        <v>233</v>
      </c>
      <c r="B1081" s="43" t="s">
        <v>2675</v>
      </c>
      <c r="C1081" s="37"/>
      <c r="D1081" s="37"/>
      <c r="E1081" s="37" t="s">
        <v>1974</v>
      </c>
      <c r="F1081" s="37" t="b">
        <v>0</v>
      </c>
      <c r="G1081" s="37">
        <v>200</v>
      </c>
      <c r="H1081" s="37" t="b">
        <v>1</v>
      </c>
    </row>
    <row r="1082" spans="1:9" ht="30" x14ac:dyDescent="0.25">
      <c r="A1082" s="54" t="s">
        <v>233</v>
      </c>
      <c r="B1082" s="31" t="s">
        <v>2676</v>
      </c>
      <c r="C1082" s="28"/>
      <c r="D1082" s="28"/>
      <c r="E1082" s="28" t="s">
        <v>1974</v>
      </c>
      <c r="F1082" s="28" t="b">
        <v>0</v>
      </c>
      <c r="G1082" s="28">
        <v>200</v>
      </c>
      <c r="H1082" s="28" t="b">
        <v>1</v>
      </c>
      <c r="I1082" s="34"/>
    </row>
    <row r="1083" spans="1:9" ht="30" x14ac:dyDescent="0.25">
      <c r="A1083" s="54" t="s">
        <v>233</v>
      </c>
      <c r="B1083" s="43" t="s">
        <v>2677</v>
      </c>
      <c r="C1083" s="37"/>
      <c r="D1083" s="37"/>
      <c r="E1083" s="37" t="s">
        <v>1974</v>
      </c>
      <c r="F1083" s="37" t="b">
        <v>0</v>
      </c>
      <c r="G1083" s="37">
        <v>200</v>
      </c>
      <c r="H1083" s="37" t="b">
        <v>1</v>
      </c>
    </row>
    <row r="1084" spans="1:9" ht="30" x14ac:dyDescent="0.25">
      <c r="A1084" s="54" t="s">
        <v>233</v>
      </c>
      <c r="B1084" s="31" t="s">
        <v>2678</v>
      </c>
      <c r="C1084" s="28"/>
      <c r="D1084" s="28"/>
      <c r="E1084" s="28" t="s">
        <v>1974</v>
      </c>
      <c r="F1084" s="28" t="b">
        <v>0</v>
      </c>
      <c r="G1084" s="28">
        <v>200</v>
      </c>
      <c r="H1084" s="28" t="b">
        <v>1</v>
      </c>
      <c r="I1084" s="34"/>
    </row>
    <row r="1085" spans="1:9" ht="30" x14ac:dyDescent="0.25">
      <c r="A1085" s="54" t="s">
        <v>233</v>
      </c>
      <c r="B1085" s="43" t="s">
        <v>2679</v>
      </c>
      <c r="C1085" s="37"/>
      <c r="D1085" s="37"/>
      <c r="E1085" s="37" t="s">
        <v>1974</v>
      </c>
      <c r="F1085" s="37" t="b">
        <v>0</v>
      </c>
      <c r="G1085" s="37">
        <v>200</v>
      </c>
      <c r="H1085" s="37" t="b">
        <v>1</v>
      </c>
    </row>
    <row r="1086" spans="1:9" ht="30" x14ac:dyDescent="0.25">
      <c r="A1086" s="54" t="s">
        <v>233</v>
      </c>
      <c r="B1086" s="31" t="s">
        <v>2680</v>
      </c>
      <c r="C1086" s="28"/>
      <c r="D1086" s="28"/>
      <c r="E1086" s="28" t="s">
        <v>1974</v>
      </c>
      <c r="F1086" s="28" t="b">
        <v>0</v>
      </c>
      <c r="G1086" s="28">
        <v>200</v>
      </c>
      <c r="H1086" s="28" t="b">
        <v>1</v>
      </c>
      <c r="I1086" s="34"/>
    </row>
    <row r="1087" spans="1:9" ht="30" x14ac:dyDescent="0.25">
      <c r="A1087" s="54" t="s">
        <v>233</v>
      </c>
      <c r="B1087" s="43" t="s">
        <v>2681</v>
      </c>
      <c r="C1087" s="37"/>
      <c r="D1087" s="37"/>
      <c r="E1087" s="37" t="s">
        <v>1974</v>
      </c>
      <c r="F1087" s="37" t="b">
        <v>0</v>
      </c>
      <c r="G1087" s="37">
        <v>200</v>
      </c>
      <c r="H1087" s="37" t="b">
        <v>1</v>
      </c>
    </row>
    <row r="1088" spans="1:9" ht="30" x14ac:dyDescent="0.25">
      <c r="A1088" s="54" t="s">
        <v>233</v>
      </c>
      <c r="B1088" s="31" t="s">
        <v>2682</v>
      </c>
      <c r="C1088" s="28"/>
      <c r="D1088" s="28"/>
      <c r="E1088" s="28" t="s">
        <v>1974</v>
      </c>
      <c r="F1088" s="28" t="b">
        <v>0</v>
      </c>
      <c r="G1088" s="28">
        <v>200</v>
      </c>
      <c r="H1088" s="28" t="b">
        <v>1</v>
      </c>
      <c r="I1088" s="34"/>
    </row>
    <row r="1089" spans="1:9" ht="30" x14ac:dyDescent="0.25">
      <c r="A1089" s="54" t="s">
        <v>233</v>
      </c>
      <c r="B1089" s="43" t="s">
        <v>2683</v>
      </c>
      <c r="C1089" s="37"/>
      <c r="D1089" s="37"/>
      <c r="E1089" s="37" t="s">
        <v>1974</v>
      </c>
      <c r="F1089" s="37" t="b">
        <v>0</v>
      </c>
      <c r="G1089" s="37">
        <v>200</v>
      </c>
      <c r="H1089" s="37" t="b">
        <v>1</v>
      </c>
    </row>
    <row r="1090" spans="1:9" ht="30" x14ac:dyDescent="0.25">
      <c r="A1090" s="54" t="s">
        <v>233</v>
      </c>
      <c r="B1090" s="31" t="s">
        <v>2684</v>
      </c>
      <c r="C1090" s="28"/>
      <c r="D1090" s="28"/>
      <c r="E1090" s="28" t="s">
        <v>1974</v>
      </c>
      <c r="F1090" s="28" t="b">
        <v>0</v>
      </c>
      <c r="G1090" s="28">
        <v>200</v>
      </c>
      <c r="H1090" s="28" t="b">
        <v>1</v>
      </c>
      <c r="I1090" s="34"/>
    </row>
    <row r="1091" spans="1:9" ht="30" x14ac:dyDescent="0.25">
      <c r="A1091" s="54" t="s">
        <v>233</v>
      </c>
      <c r="B1091" s="43" t="s">
        <v>2685</v>
      </c>
      <c r="C1091" s="37"/>
      <c r="D1091" s="37"/>
      <c r="E1091" s="37" t="s">
        <v>1974</v>
      </c>
      <c r="F1091" s="37" t="b">
        <v>0</v>
      </c>
      <c r="G1091" s="37">
        <v>200</v>
      </c>
      <c r="H1091" s="37" t="b">
        <v>1</v>
      </c>
    </row>
    <row r="1092" spans="1:9" ht="30" x14ac:dyDescent="0.25">
      <c r="A1092" s="54" t="s">
        <v>233</v>
      </c>
      <c r="B1092" s="31" t="s">
        <v>2686</v>
      </c>
      <c r="C1092" s="28"/>
      <c r="D1092" s="28"/>
      <c r="E1092" s="28" t="s">
        <v>1974</v>
      </c>
      <c r="F1092" s="28" t="b">
        <v>0</v>
      </c>
      <c r="G1092" s="28">
        <v>200</v>
      </c>
      <c r="H1092" s="28" t="b">
        <v>1</v>
      </c>
      <c r="I1092" s="34"/>
    </row>
    <row r="1093" spans="1:9" ht="30" x14ac:dyDescent="0.25">
      <c r="A1093" s="54" t="s">
        <v>233</v>
      </c>
      <c r="B1093" s="43" t="s">
        <v>2687</v>
      </c>
      <c r="C1093" s="37"/>
      <c r="D1093" s="37"/>
      <c r="E1093" s="37" t="s">
        <v>1974</v>
      </c>
      <c r="F1093" s="37" t="b">
        <v>0</v>
      </c>
      <c r="G1093" s="37">
        <v>200</v>
      </c>
      <c r="H1093" s="37" t="b">
        <v>1</v>
      </c>
    </row>
    <row r="1094" spans="1:9" ht="30" x14ac:dyDescent="0.25">
      <c r="A1094" s="54" t="s">
        <v>233</v>
      </c>
      <c r="B1094" s="31" t="s">
        <v>2688</v>
      </c>
      <c r="C1094" s="28"/>
      <c r="D1094" s="28"/>
      <c r="E1094" s="28" t="s">
        <v>1974</v>
      </c>
      <c r="F1094" s="28" t="b">
        <v>0</v>
      </c>
      <c r="G1094" s="28">
        <v>200</v>
      </c>
      <c r="H1094" s="28" t="b">
        <v>1</v>
      </c>
      <c r="I1094" s="34"/>
    </row>
    <row r="1095" spans="1:9" ht="30" x14ac:dyDescent="0.25">
      <c r="A1095" s="54" t="s">
        <v>233</v>
      </c>
      <c r="B1095" s="43" t="s">
        <v>2689</v>
      </c>
      <c r="C1095" s="37"/>
      <c r="D1095" s="37"/>
      <c r="E1095" s="37" t="s">
        <v>1974</v>
      </c>
      <c r="F1095" s="37" t="b">
        <v>0</v>
      </c>
      <c r="G1095" s="37">
        <v>200</v>
      </c>
      <c r="H1095" s="37" t="b">
        <v>1</v>
      </c>
    </row>
    <row r="1096" spans="1:9" ht="30" x14ac:dyDescent="0.25">
      <c r="A1096" s="54" t="s">
        <v>233</v>
      </c>
      <c r="B1096" s="31" t="s">
        <v>2690</v>
      </c>
      <c r="C1096" s="28"/>
      <c r="D1096" s="28"/>
      <c r="E1096" s="28" t="s">
        <v>1974</v>
      </c>
      <c r="F1096" s="28" t="b">
        <v>0</v>
      </c>
      <c r="G1096" s="28">
        <v>200</v>
      </c>
      <c r="H1096" s="28" t="b">
        <v>1</v>
      </c>
      <c r="I1096" s="34"/>
    </row>
    <row r="1097" spans="1:9" ht="30" x14ac:dyDescent="0.25">
      <c r="A1097" s="54" t="s">
        <v>233</v>
      </c>
      <c r="B1097" s="43" t="s">
        <v>2691</v>
      </c>
      <c r="C1097" s="37"/>
      <c r="D1097" s="37"/>
      <c r="E1097" s="37" t="s">
        <v>1974</v>
      </c>
      <c r="F1097" s="37" t="b">
        <v>0</v>
      </c>
      <c r="G1097" s="37">
        <v>200</v>
      </c>
      <c r="H1097" s="37" t="b">
        <v>1</v>
      </c>
    </row>
    <row r="1098" spans="1:9" ht="30" x14ac:dyDescent="0.25">
      <c r="A1098" s="54" t="s">
        <v>233</v>
      </c>
      <c r="B1098" s="31" t="s">
        <v>2692</v>
      </c>
      <c r="C1098" s="28"/>
      <c r="D1098" s="28"/>
      <c r="E1098" s="28" t="s">
        <v>1974</v>
      </c>
      <c r="F1098" s="28" t="b">
        <v>0</v>
      </c>
      <c r="G1098" s="28">
        <v>200</v>
      </c>
      <c r="H1098" s="28" t="b">
        <v>1</v>
      </c>
      <c r="I1098" s="34"/>
    </row>
    <row r="1099" spans="1:9" ht="30" x14ac:dyDescent="0.25">
      <c r="A1099" s="54" t="s">
        <v>233</v>
      </c>
      <c r="B1099" s="43" t="s">
        <v>2693</v>
      </c>
      <c r="C1099" s="37"/>
      <c r="D1099" s="37"/>
      <c r="E1099" s="37" t="s">
        <v>1974</v>
      </c>
      <c r="F1099" s="37" t="b">
        <v>0</v>
      </c>
      <c r="G1099" s="37">
        <v>200</v>
      </c>
      <c r="H1099" s="37" t="b">
        <v>1</v>
      </c>
    </row>
    <row r="1100" spans="1:9" ht="30" x14ac:dyDescent="0.25">
      <c r="A1100" s="54" t="s">
        <v>233</v>
      </c>
      <c r="B1100" s="31" t="s">
        <v>2694</v>
      </c>
      <c r="C1100" s="28"/>
      <c r="D1100" s="28"/>
      <c r="E1100" s="28" t="s">
        <v>1974</v>
      </c>
      <c r="F1100" s="28" t="b">
        <v>0</v>
      </c>
      <c r="G1100" s="28">
        <v>200</v>
      </c>
      <c r="H1100" s="28" t="b">
        <v>1</v>
      </c>
      <c r="I1100" s="34"/>
    </row>
    <row r="1101" spans="1:9" ht="30" x14ac:dyDescent="0.25">
      <c r="A1101" s="54" t="s">
        <v>233</v>
      </c>
      <c r="B1101" s="43" t="s">
        <v>2695</v>
      </c>
      <c r="C1101" s="37"/>
      <c r="D1101" s="37"/>
      <c r="E1101" s="37" t="s">
        <v>1974</v>
      </c>
      <c r="F1101" s="37" t="b">
        <v>0</v>
      </c>
      <c r="G1101" s="37">
        <v>200</v>
      </c>
      <c r="H1101" s="37" t="b">
        <v>1</v>
      </c>
    </row>
    <row r="1102" spans="1:9" ht="30" x14ac:dyDescent="0.25">
      <c r="A1102" s="54" t="s">
        <v>233</v>
      </c>
      <c r="B1102" s="31" t="s">
        <v>2696</v>
      </c>
      <c r="C1102" s="28"/>
      <c r="D1102" s="28"/>
      <c r="E1102" s="28" t="s">
        <v>1974</v>
      </c>
      <c r="F1102" s="28" t="b">
        <v>0</v>
      </c>
      <c r="G1102" s="28">
        <v>200</v>
      </c>
      <c r="H1102" s="28" t="b">
        <v>1</v>
      </c>
      <c r="I1102" s="34"/>
    </row>
    <row r="1103" spans="1:9" ht="30" x14ac:dyDescent="0.25">
      <c r="A1103" s="54" t="s">
        <v>233</v>
      </c>
      <c r="B1103" s="43" t="s">
        <v>2697</v>
      </c>
      <c r="C1103" s="37"/>
      <c r="D1103" s="37"/>
      <c r="E1103" s="37" t="s">
        <v>1974</v>
      </c>
      <c r="F1103" s="37" t="b">
        <v>0</v>
      </c>
      <c r="G1103" s="37">
        <v>200</v>
      </c>
      <c r="H1103" s="37" t="b">
        <v>1</v>
      </c>
    </row>
    <row r="1104" spans="1:9" ht="30" x14ac:dyDescent="0.25">
      <c r="A1104" s="54" t="s">
        <v>233</v>
      </c>
      <c r="B1104" s="31" t="s">
        <v>2698</v>
      </c>
      <c r="C1104" s="28"/>
      <c r="D1104" s="28"/>
      <c r="E1104" s="28" t="s">
        <v>1974</v>
      </c>
      <c r="F1104" s="28" t="b">
        <v>0</v>
      </c>
      <c r="G1104" s="28">
        <v>200</v>
      </c>
      <c r="H1104" s="28" t="b">
        <v>1</v>
      </c>
      <c r="I1104" s="34"/>
    </row>
    <row r="1105" spans="1:9" ht="30" x14ac:dyDescent="0.25">
      <c r="A1105" s="54" t="s">
        <v>233</v>
      </c>
      <c r="B1105" s="43" t="s">
        <v>2699</v>
      </c>
      <c r="C1105" s="37"/>
      <c r="D1105" s="37"/>
      <c r="E1105" s="37" t="s">
        <v>1974</v>
      </c>
      <c r="F1105" s="37" t="b">
        <v>0</v>
      </c>
      <c r="G1105" s="37">
        <v>200</v>
      </c>
      <c r="H1105" s="37" t="b">
        <v>1</v>
      </c>
    </row>
    <row r="1106" spans="1:9" ht="30" x14ac:dyDescent="0.25">
      <c r="A1106" s="54" t="s">
        <v>233</v>
      </c>
      <c r="B1106" s="31" t="s">
        <v>2700</v>
      </c>
      <c r="C1106" s="28"/>
      <c r="D1106" s="28"/>
      <c r="E1106" s="28" t="s">
        <v>1974</v>
      </c>
      <c r="F1106" s="28" t="b">
        <v>0</v>
      </c>
      <c r="G1106" s="28">
        <v>200</v>
      </c>
      <c r="H1106" s="28" t="b">
        <v>1</v>
      </c>
      <c r="I1106" s="34"/>
    </row>
    <row r="1107" spans="1:9" ht="30" x14ac:dyDescent="0.25">
      <c r="A1107" s="54" t="s">
        <v>233</v>
      </c>
      <c r="B1107" s="43" t="s">
        <v>2701</v>
      </c>
      <c r="C1107" s="37"/>
      <c r="D1107" s="37"/>
      <c r="E1107" s="37" t="s">
        <v>1974</v>
      </c>
      <c r="F1107" s="37" t="b">
        <v>0</v>
      </c>
      <c r="G1107" s="37">
        <v>200</v>
      </c>
      <c r="H1107" s="37" t="b">
        <v>1</v>
      </c>
    </row>
    <row r="1108" spans="1:9" ht="30" x14ac:dyDescent="0.25">
      <c r="A1108" s="54" t="s">
        <v>233</v>
      </c>
      <c r="B1108" s="31" t="s">
        <v>2702</v>
      </c>
      <c r="C1108" s="28"/>
      <c r="D1108" s="28"/>
      <c r="E1108" s="28" t="s">
        <v>1974</v>
      </c>
      <c r="F1108" s="28" t="b">
        <v>0</v>
      </c>
      <c r="G1108" s="28">
        <v>200</v>
      </c>
      <c r="H1108" s="28" t="b">
        <v>1</v>
      </c>
      <c r="I1108" s="34"/>
    </row>
    <row r="1109" spans="1:9" ht="30" x14ac:dyDescent="0.25">
      <c r="A1109" s="54" t="s">
        <v>233</v>
      </c>
      <c r="B1109" s="43" t="s">
        <v>2703</v>
      </c>
      <c r="C1109" s="37"/>
      <c r="D1109" s="37"/>
      <c r="E1109" s="37" t="s">
        <v>1974</v>
      </c>
      <c r="F1109" s="37" t="b">
        <v>0</v>
      </c>
      <c r="G1109" s="37">
        <v>200</v>
      </c>
      <c r="H1109" s="37" t="b">
        <v>1</v>
      </c>
    </row>
    <row r="1110" spans="1:9" ht="30" x14ac:dyDescent="0.25">
      <c r="A1110" s="54" t="s">
        <v>233</v>
      </c>
      <c r="B1110" s="31" t="s">
        <v>2704</v>
      </c>
      <c r="C1110" s="28"/>
      <c r="D1110" s="28"/>
      <c r="E1110" s="28" t="s">
        <v>1974</v>
      </c>
      <c r="F1110" s="28" t="b">
        <v>0</v>
      </c>
      <c r="G1110" s="28">
        <v>200</v>
      </c>
      <c r="H1110" s="28" t="b">
        <v>1</v>
      </c>
      <c r="I1110" s="34"/>
    </row>
    <row r="1111" spans="1:9" ht="30" x14ac:dyDescent="0.25">
      <c r="A1111" s="54" t="s">
        <v>233</v>
      </c>
      <c r="B1111" s="43" t="s">
        <v>2705</v>
      </c>
      <c r="C1111" s="37"/>
      <c r="D1111" s="37"/>
      <c r="E1111" s="37" t="s">
        <v>1974</v>
      </c>
      <c r="F1111" s="37" t="b">
        <v>0</v>
      </c>
      <c r="G1111" s="37">
        <v>200</v>
      </c>
      <c r="H1111" s="37" t="b">
        <v>1</v>
      </c>
    </row>
    <row r="1112" spans="1:9" ht="30" x14ac:dyDescent="0.25">
      <c r="A1112" s="54" t="s">
        <v>233</v>
      </c>
      <c r="B1112" s="31" t="s">
        <v>2706</v>
      </c>
      <c r="C1112" s="28"/>
      <c r="D1112" s="28"/>
      <c r="E1112" s="28" t="s">
        <v>1974</v>
      </c>
      <c r="F1112" s="28" t="b">
        <v>0</v>
      </c>
      <c r="G1112" s="28">
        <v>200</v>
      </c>
      <c r="H1112" s="28" t="b">
        <v>1</v>
      </c>
      <c r="I1112" s="34"/>
    </row>
    <row r="1113" spans="1:9" ht="30" x14ac:dyDescent="0.25">
      <c r="A1113" s="54" t="s">
        <v>233</v>
      </c>
      <c r="B1113" s="43" t="s">
        <v>2707</v>
      </c>
      <c r="C1113" s="37"/>
      <c r="D1113" s="37"/>
      <c r="E1113" s="37" t="s">
        <v>1974</v>
      </c>
      <c r="F1113" s="37" t="b">
        <v>0</v>
      </c>
      <c r="G1113" s="37">
        <v>200</v>
      </c>
      <c r="H1113" s="37" t="b">
        <v>1</v>
      </c>
    </row>
    <row r="1114" spans="1:9" ht="30" x14ac:dyDescent="0.25">
      <c r="A1114" s="54" t="s">
        <v>233</v>
      </c>
      <c r="B1114" s="31" t="s">
        <v>2708</v>
      </c>
      <c r="C1114" s="28"/>
      <c r="D1114" s="28"/>
      <c r="E1114" s="28" t="s">
        <v>1974</v>
      </c>
      <c r="F1114" s="28" t="b">
        <v>0</v>
      </c>
      <c r="G1114" s="28">
        <v>200</v>
      </c>
      <c r="H1114" s="28" t="b">
        <v>1</v>
      </c>
      <c r="I1114" s="34"/>
    </row>
    <row r="1115" spans="1:9" ht="30" x14ac:dyDescent="0.25">
      <c r="A1115" s="54" t="s">
        <v>233</v>
      </c>
      <c r="B1115" s="43" t="s">
        <v>2709</v>
      </c>
      <c r="C1115" s="37"/>
      <c r="D1115" s="37"/>
      <c r="E1115" s="37" t="s">
        <v>1974</v>
      </c>
      <c r="F1115" s="37" t="b">
        <v>0</v>
      </c>
      <c r="G1115" s="37">
        <v>200</v>
      </c>
      <c r="H1115" s="37" t="b">
        <v>1</v>
      </c>
    </row>
    <row r="1116" spans="1:9" ht="30" x14ac:dyDescent="0.25">
      <c r="A1116" s="54" t="s">
        <v>233</v>
      </c>
      <c r="B1116" s="31" t="s">
        <v>647</v>
      </c>
      <c r="C1116" s="28" t="s">
        <v>2010</v>
      </c>
      <c r="D1116" s="28"/>
      <c r="E1116" s="28" t="s">
        <v>1974</v>
      </c>
      <c r="F1116" s="28" t="b">
        <v>0</v>
      </c>
      <c r="G1116" s="28">
        <v>200</v>
      </c>
      <c r="H1116" s="28" t="b">
        <v>1</v>
      </c>
      <c r="I1116" s="34"/>
    </row>
    <row r="1117" spans="1:9" ht="30" x14ac:dyDescent="0.25">
      <c r="A1117" s="54" t="s">
        <v>233</v>
      </c>
      <c r="B1117" s="43" t="s">
        <v>2011</v>
      </c>
      <c r="C1117" s="37"/>
      <c r="D1117" s="37"/>
      <c r="E1117" s="37" t="s">
        <v>2012</v>
      </c>
      <c r="F1117" s="37" t="b">
        <v>0</v>
      </c>
      <c r="G1117" s="37"/>
      <c r="H1117" s="37" t="b">
        <v>1</v>
      </c>
    </row>
    <row r="1118" spans="1:9" ht="30" x14ac:dyDescent="0.25">
      <c r="A1118" s="54" t="s">
        <v>233</v>
      </c>
      <c r="B1118" s="31" t="s">
        <v>2013</v>
      </c>
      <c r="C1118" s="28"/>
      <c r="D1118" s="28"/>
      <c r="E1118" s="28" t="s">
        <v>2012</v>
      </c>
      <c r="F1118" s="28" t="b">
        <v>0</v>
      </c>
      <c r="G1118" s="28"/>
      <c r="H1118" s="28" t="b">
        <v>1</v>
      </c>
      <c r="I1118" s="34"/>
    </row>
    <row r="1119" spans="1:9" ht="30" x14ac:dyDescent="0.25">
      <c r="A1119" s="54" t="s">
        <v>233</v>
      </c>
      <c r="B1119" s="43" t="s">
        <v>641</v>
      </c>
      <c r="C1119" s="37" t="s">
        <v>2014</v>
      </c>
      <c r="D1119" s="37"/>
      <c r="E1119" s="37" t="s">
        <v>1974</v>
      </c>
      <c r="F1119" s="37" t="b">
        <v>0</v>
      </c>
      <c r="G1119" s="37">
        <v>200</v>
      </c>
      <c r="H1119" s="37" t="b">
        <v>1</v>
      </c>
    </row>
    <row r="1120" spans="1:9" ht="30" x14ac:dyDescent="0.25">
      <c r="A1120" s="54" t="s">
        <v>233</v>
      </c>
      <c r="B1120" s="31" t="s">
        <v>2015</v>
      </c>
      <c r="C1120" s="28" t="s">
        <v>2016</v>
      </c>
      <c r="D1120" s="28"/>
      <c r="E1120" s="28" t="s">
        <v>1974</v>
      </c>
      <c r="F1120" s="28" t="b">
        <v>0</v>
      </c>
      <c r="G1120" s="28">
        <v>404</v>
      </c>
      <c r="H1120" s="28" t="b">
        <v>0</v>
      </c>
      <c r="I1120" s="34"/>
    </row>
    <row r="1121" spans="1:9" ht="30" x14ac:dyDescent="0.25">
      <c r="A1121" s="54" t="s">
        <v>233</v>
      </c>
      <c r="B1121" s="43" t="s">
        <v>2015</v>
      </c>
      <c r="C1121" s="37" t="s">
        <v>2017</v>
      </c>
      <c r="D1121" s="37"/>
      <c r="E1121" s="37" t="s">
        <v>1974</v>
      </c>
      <c r="F1121" s="37" t="b">
        <v>0</v>
      </c>
      <c r="G1121" s="37">
        <v>404</v>
      </c>
      <c r="H1121" s="37" t="b">
        <v>0</v>
      </c>
    </row>
    <row r="1122" spans="1:9" ht="30" x14ac:dyDescent="0.25">
      <c r="A1122" s="54" t="s">
        <v>241</v>
      </c>
      <c r="B1122" s="31" t="s">
        <v>127</v>
      </c>
      <c r="C1122" s="28" t="s">
        <v>904</v>
      </c>
      <c r="D1122" s="28"/>
      <c r="E1122" s="28" t="s">
        <v>1974</v>
      </c>
      <c r="F1122" s="28" t="b">
        <v>0</v>
      </c>
      <c r="G1122" s="28">
        <v>200</v>
      </c>
      <c r="H1122" s="28" t="b">
        <v>1</v>
      </c>
      <c r="I1122" s="34"/>
    </row>
    <row r="1123" spans="1:9" ht="30" x14ac:dyDescent="0.25">
      <c r="A1123" s="54" t="s">
        <v>241</v>
      </c>
      <c r="B1123" s="43" t="s">
        <v>185</v>
      </c>
      <c r="C1123" s="37" t="s">
        <v>2125</v>
      </c>
      <c r="D1123" s="37"/>
      <c r="E1123" s="37" t="s">
        <v>1974</v>
      </c>
      <c r="F1123" s="37" t="b">
        <v>0</v>
      </c>
      <c r="G1123" s="37">
        <v>200</v>
      </c>
      <c r="H1123" s="37" t="b">
        <v>1</v>
      </c>
    </row>
    <row r="1124" spans="1:9" ht="30" x14ac:dyDescent="0.25">
      <c r="A1124" s="54" t="s">
        <v>241</v>
      </c>
      <c r="B1124" s="31" t="s">
        <v>485</v>
      </c>
      <c r="C1124" s="28" t="s">
        <v>2126</v>
      </c>
      <c r="D1124" s="28"/>
      <c r="E1124" s="28" t="s">
        <v>1974</v>
      </c>
      <c r="F1124" s="28" t="b">
        <v>0</v>
      </c>
      <c r="G1124" s="28">
        <v>200</v>
      </c>
      <c r="H1124" s="28" t="b">
        <v>1</v>
      </c>
      <c r="I1124" s="34"/>
    </row>
    <row r="1125" spans="1:9" ht="30" x14ac:dyDescent="0.25">
      <c r="A1125" s="54" t="s">
        <v>241</v>
      </c>
      <c r="B1125" s="43" t="s">
        <v>488</v>
      </c>
      <c r="C1125" s="37" t="s">
        <v>2127</v>
      </c>
      <c r="D1125" s="37"/>
      <c r="E1125" s="37" t="s">
        <v>1974</v>
      </c>
      <c r="F1125" s="37" t="b">
        <v>0</v>
      </c>
      <c r="G1125" s="37">
        <v>200</v>
      </c>
      <c r="H1125" s="37" t="b">
        <v>1</v>
      </c>
    </row>
    <row r="1126" spans="1:9" ht="30" x14ac:dyDescent="0.25">
      <c r="A1126" s="54" t="s">
        <v>241</v>
      </c>
      <c r="B1126" s="31" t="s">
        <v>193</v>
      </c>
      <c r="C1126" s="28" t="s">
        <v>2128</v>
      </c>
      <c r="D1126" s="28"/>
      <c r="E1126" s="28" t="s">
        <v>1974</v>
      </c>
      <c r="F1126" s="28" t="b">
        <v>0</v>
      </c>
      <c r="G1126" s="28">
        <v>200</v>
      </c>
      <c r="H1126" s="28" t="b">
        <v>1</v>
      </c>
      <c r="I1126" s="34"/>
    </row>
    <row r="1127" spans="1:9" ht="30" x14ac:dyDescent="0.25">
      <c r="A1127" s="54" t="s">
        <v>241</v>
      </c>
      <c r="B1127" s="43" t="s">
        <v>241</v>
      </c>
      <c r="C1127" s="37" t="s">
        <v>243</v>
      </c>
      <c r="D1127" s="37"/>
      <c r="E1127" s="37" t="s">
        <v>1974</v>
      </c>
      <c r="F1127" s="37" t="b">
        <v>0</v>
      </c>
      <c r="G1127" s="37">
        <v>200</v>
      </c>
      <c r="H1127" s="37" t="b">
        <v>1</v>
      </c>
    </row>
    <row r="1128" spans="1:9" ht="30" x14ac:dyDescent="0.25">
      <c r="A1128" s="54" t="s">
        <v>241</v>
      </c>
      <c r="B1128" s="31" t="s">
        <v>233</v>
      </c>
      <c r="C1128" s="28" t="s">
        <v>235</v>
      </c>
      <c r="D1128" s="28"/>
      <c r="E1128" s="28" t="s">
        <v>1974</v>
      </c>
      <c r="F1128" s="28" t="b">
        <v>0</v>
      </c>
      <c r="G1128" s="28">
        <v>200</v>
      </c>
      <c r="H1128" s="28" t="b">
        <v>1</v>
      </c>
      <c r="I1128" s="34"/>
    </row>
    <row r="1129" spans="1:9" ht="30" x14ac:dyDescent="0.25">
      <c r="A1129" s="54" t="s">
        <v>241</v>
      </c>
      <c r="B1129" s="43" t="s">
        <v>127</v>
      </c>
      <c r="C1129" s="37" t="s">
        <v>904</v>
      </c>
      <c r="D1129" s="37"/>
      <c r="E1129" s="37" t="s">
        <v>1974</v>
      </c>
      <c r="F1129" s="37" t="b">
        <v>0</v>
      </c>
      <c r="G1129" s="37">
        <v>200</v>
      </c>
      <c r="H1129" s="37" t="b">
        <v>1</v>
      </c>
    </row>
    <row r="1130" spans="1:9" ht="30" x14ac:dyDescent="0.25">
      <c r="A1130" s="54" t="s">
        <v>241</v>
      </c>
      <c r="B1130" s="31" t="s">
        <v>185</v>
      </c>
      <c r="C1130" s="28" t="s">
        <v>2125</v>
      </c>
      <c r="D1130" s="28"/>
      <c r="E1130" s="28" t="s">
        <v>1974</v>
      </c>
      <c r="F1130" s="28" t="b">
        <v>0</v>
      </c>
      <c r="G1130" s="28">
        <v>200</v>
      </c>
      <c r="H1130" s="28" t="b">
        <v>1</v>
      </c>
      <c r="I1130" s="34"/>
    </row>
    <row r="1131" spans="1:9" ht="30" x14ac:dyDescent="0.25">
      <c r="A1131" s="54" t="s">
        <v>241</v>
      </c>
      <c r="B1131" s="43" t="s">
        <v>485</v>
      </c>
      <c r="C1131" s="37" t="s">
        <v>2126</v>
      </c>
      <c r="D1131" s="37"/>
      <c r="E1131" s="37" t="s">
        <v>1974</v>
      </c>
      <c r="F1131" s="37" t="b">
        <v>0</v>
      </c>
      <c r="G1131" s="37">
        <v>200</v>
      </c>
      <c r="H1131" s="37" t="b">
        <v>1</v>
      </c>
    </row>
    <row r="1132" spans="1:9" ht="30" x14ac:dyDescent="0.25">
      <c r="A1132" s="54" t="s">
        <v>241</v>
      </c>
      <c r="B1132" s="31" t="s">
        <v>488</v>
      </c>
      <c r="C1132" s="28" t="s">
        <v>2127</v>
      </c>
      <c r="D1132" s="28"/>
      <c r="E1132" s="28" t="s">
        <v>1974</v>
      </c>
      <c r="F1132" s="28" t="b">
        <v>0</v>
      </c>
      <c r="G1132" s="28">
        <v>200</v>
      </c>
      <c r="H1132" s="28" t="b">
        <v>1</v>
      </c>
      <c r="I1132" s="34"/>
    </row>
    <row r="1133" spans="1:9" ht="30" x14ac:dyDescent="0.25">
      <c r="A1133" s="54" t="s">
        <v>241</v>
      </c>
      <c r="B1133" s="43" t="s">
        <v>193</v>
      </c>
      <c r="C1133" s="37" t="s">
        <v>2128</v>
      </c>
      <c r="D1133" s="37"/>
      <c r="E1133" s="37" t="s">
        <v>1974</v>
      </c>
      <c r="F1133" s="37" t="b">
        <v>0</v>
      </c>
      <c r="G1133" s="37">
        <v>200</v>
      </c>
      <c r="H1133" s="37" t="b">
        <v>1</v>
      </c>
    </row>
    <row r="1134" spans="1:9" ht="30" x14ac:dyDescent="0.25">
      <c r="A1134" s="54" t="s">
        <v>241</v>
      </c>
      <c r="B1134" s="31" t="s">
        <v>241</v>
      </c>
      <c r="C1134" s="28" t="s">
        <v>243</v>
      </c>
      <c r="D1134" s="28"/>
      <c r="E1134" s="28" t="s">
        <v>1974</v>
      </c>
      <c r="F1134" s="28" t="b">
        <v>0</v>
      </c>
      <c r="G1134" s="28">
        <v>200</v>
      </c>
      <c r="H1134" s="28" t="b">
        <v>1</v>
      </c>
      <c r="I1134" s="34"/>
    </row>
    <row r="1135" spans="1:9" ht="30" x14ac:dyDescent="0.25">
      <c r="A1135" s="54" t="s">
        <v>241</v>
      </c>
      <c r="B1135" s="43" t="s">
        <v>233</v>
      </c>
      <c r="C1135" s="37" t="s">
        <v>235</v>
      </c>
      <c r="D1135" s="37"/>
      <c r="E1135" s="37" t="s">
        <v>1974</v>
      </c>
      <c r="F1135" s="37" t="b">
        <v>0</v>
      </c>
      <c r="G1135" s="37">
        <v>200</v>
      </c>
      <c r="H1135" s="37" t="b">
        <v>1</v>
      </c>
    </row>
    <row r="1136" spans="1:9" ht="30" x14ac:dyDescent="0.25">
      <c r="A1136" s="54" t="s">
        <v>241</v>
      </c>
      <c r="B1136" s="31" t="s">
        <v>185</v>
      </c>
      <c r="C1136" s="28" t="s">
        <v>2129</v>
      </c>
      <c r="D1136" s="28"/>
      <c r="E1136" s="28" t="s">
        <v>1974</v>
      </c>
      <c r="F1136" s="28" t="b">
        <v>0</v>
      </c>
      <c r="G1136" s="28">
        <v>200</v>
      </c>
      <c r="H1136" s="28" t="b">
        <v>1</v>
      </c>
      <c r="I1136" s="34"/>
    </row>
    <row r="1137" spans="1:9" ht="30" x14ac:dyDescent="0.25">
      <c r="A1137" s="54" t="s">
        <v>241</v>
      </c>
      <c r="B1137" s="43" t="s">
        <v>2113</v>
      </c>
      <c r="C1137" s="37"/>
      <c r="D1137" s="37"/>
      <c r="E1137" s="37" t="s">
        <v>2012</v>
      </c>
      <c r="F1137" s="37" t="b">
        <v>0</v>
      </c>
      <c r="G1137" s="37"/>
      <c r="H1137" s="37" t="b">
        <v>1</v>
      </c>
    </row>
    <row r="1138" spans="1:9" ht="30" x14ac:dyDescent="0.25">
      <c r="A1138" s="54" t="s">
        <v>241</v>
      </c>
      <c r="B1138" s="31" t="s">
        <v>2114</v>
      </c>
      <c r="C1138" s="28"/>
      <c r="D1138" s="28"/>
      <c r="E1138" s="28" t="s">
        <v>2012</v>
      </c>
      <c r="F1138" s="28" t="b">
        <v>0</v>
      </c>
      <c r="G1138" s="28"/>
      <c r="H1138" s="28" t="b">
        <v>1</v>
      </c>
      <c r="I1138" s="34"/>
    </row>
    <row r="1139" spans="1:9" ht="30" x14ac:dyDescent="0.25">
      <c r="A1139" s="54" t="s">
        <v>241</v>
      </c>
      <c r="B1139" s="43" t="s">
        <v>2115</v>
      </c>
      <c r="C1139" s="37"/>
      <c r="D1139" s="37"/>
      <c r="E1139" s="37" t="s">
        <v>2012</v>
      </c>
      <c r="F1139" s="37" t="b">
        <v>0</v>
      </c>
      <c r="G1139" s="37"/>
      <c r="H1139" s="37" t="b">
        <v>1</v>
      </c>
    </row>
    <row r="1140" spans="1:9" ht="30" x14ac:dyDescent="0.25">
      <c r="A1140" s="54" t="s">
        <v>241</v>
      </c>
      <c r="B1140" s="31" t="s">
        <v>2116</v>
      </c>
      <c r="C1140" s="28"/>
      <c r="D1140" s="28"/>
      <c r="E1140" s="28" t="s">
        <v>2012</v>
      </c>
      <c r="F1140" s="28" t="b">
        <v>0</v>
      </c>
      <c r="G1140" s="28"/>
      <c r="H1140" s="28" t="b">
        <v>1</v>
      </c>
      <c r="I1140" s="34"/>
    </row>
    <row r="1141" spans="1:9" ht="30" x14ac:dyDescent="0.25">
      <c r="A1141" s="54" t="s">
        <v>241</v>
      </c>
      <c r="B1141" s="43" t="s">
        <v>2117</v>
      </c>
      <c r="C1141" s="37"/>
      <c r="D1141" s="37"/>
      <c r="E1141" s="37" t="s">
        <v>2012</v>
      </c>
      <c r="F1141" s="37" t="b">
        <v>0</v>
      </c>
      <c r="G1141" s="37"/>
      <c r="H1141" s="37" t="b">
        <v>1</v>
      </c>
    </row>
    <row r="1142" spans="1:9" ht="30" x14ac:dyDescent="0.25">
      <c r="A1142" s="54" t="s">
        <v>241</v>
      </c>
      <c r="B1142" s="31" t="s">
        <v>2118</v>
      </c>
      <c r="C1142" s="28"/>
      <c r="D1142" s="28"/>
      <c r="E1142" s="28" t="s">
        <v>2012</v>
      </c>
      <c r="F1142" s="28" t="b">
        <v>0</v>
      </c>
      <c r="G1142" s="28"/>
      <c r="H1142" s="28" t="b">
        <v>1</v>
      </c>
      <c r="I1142" s="34"/>
    </row>
    <row r="1143" spans="1:9" ht="30" x14ac:dyDescent="0.25">
      <c r="A1143" s="54" t="s">
        <v>241</v>
      </c>
      <c r="B1143" s="43" t="s">
        <v>2119</v>
      </c>
      <c r="C1143" s="37"/>
      <c r="D1143" s="37"/>
      <c r="E1143" s="37" t="s">
        <v>2012</v>
      </c>
      <c r="F1143" s="37" t="b">
        <v>0</v>
      </c>
      <c r="G1143" s="37"/>
      <c r="H1143" s="37" t="b">
        <v>1</v>
      </c>
    </row>
    <row r="1144" spans="1:9" ht="30" x14ac:dyDescent="0.25">
      <c r="A1144" s="54" t="s">
        <v>241</v>
      </c>
      <c r="B1144" s="31" t="s">
        <v>2120</v>
      </c>
      <c r="C1144" s="28"/>
      <c r="D1144" s="28"/>
      <c r="E1144" s="28" t="s">
        <v>2012</v>
      </c>
      <c r="F1144" s="28" t="b">
        <v>0</v>
      </c>
      <c r="G1144" s="28"/>
      <c r="H1144" s="28" t="b">
        <v>1</v>
      </c>
      <c r="I1144" s="34"/>
    </row>
    <row r="1145" spans="1:9" ht="30" x14ac:dyDescent="0.25">
      <c r="A1145" s="54" t="s">
        <v>241</v>
      </c>
      <c r="B1145" s="43" t="s">
        <v>2121</v>
      </c>
      <c r="C1145" s="37"/>
      <c r="D1145" s="37"/>
      <c r="E1145" s="37" t="s">
        <v>2012</v>
      </c>
      <c r="F1145" s="37" t="b">
        <v>0</v>
      </c>
      <c r="G1145" s="37"/>
      <c r="H1145" s="37" t="b">
        <v>1</v>
      </c>
    </row>
    <row r="1146" spans="1:9" ht="30" x14ac:dyDescent="0.25">
      <c r="A1146" s="54" t="s">
        <v>241</v>
      </c>
      <c r="B1146" s="31" t="s">
        <v>2122</v>
      </c>
      <c r="C1146" s="28"/>
      <c r="D1146" s="28"/>
      <c r="E1146" s="28" t="s">
        <v>2012</v>
      </c>
      <c r="F1146" s="28" t="b">
        <v>0</v>
      </c>
      <c r="G1146" s="28"/>
      <c r="H1146" s="28" t="b">
        <v>1</v>
      </c>
      <c r="I1146" s="34"/>
    </row>
    <row r="1147" spans="1:9" ht="30" x14ac:dyDescent="0.25">
      <c r="A1147" s="54" t="s">
        <v>241</v>
      </c>
      <c r="B1147" s="43" t="s">
        <v>647</v>
      </c>
      <c r="C1147" s="37" t="s">
        <v>2010</v>
      </c>
      <c r="D1147" s="37"/>
      <c r="E1147" s="37" t="s">
        <v>1974</v>
      </c>
      <c r="F1147" s="37" t="b">
        <v>0</v>
      </c>
      <c r="G1147" s="37">
        <v>200</v>
      </c>
      <c r="H1147" s="37" t="b">
        <v>1</v>
      </c>
    </row>
    <row r="1148" spans="1:9" ht="30" x14ac:dyDescent="0.25">
      <c r="A1148" s="54" t="s">
        <v>241</v>
      </c>
      <c r="B1148" s="31" t="s">
        <v>2011</v>
      </c>
      <c r="C1148" s="28"/>
      <c r="D1148" s="28"/>
      <c r="E1148" s="28" t="s">
        <v>2012</v>
      </c>
      <c r="F1148" s="28" t="b">
        <v>0</v>
      </c>
      <c r="G1148" s="28"/>
      <c r="H1148" s="28" t="b">
        <v>1</v>
      </c>
      <c r="I1148" s="34"/>
    </row>
    <row r="1149" spans="1:9" ht="30" x14ac:dyDescent="0.25">
      <c r="A1149" s="54" t="s">
        <v>241</v>
      </c>
      <c r="B1149" s="43" t="s">
        <v>2013</v>
      </c>
      <c r="C1149" s="37"/>
      <c r="D1149" s="37"/>
      <c r="E1149" s="37" t="s">
        <v>2012</v>
      </c>
      <c r="F1149" s="37" t="b">
        <v>0</v>
      </c>
      <c r="G1149" s="37"/>
      <c r="H1149" s="37" t="b">
        <v>1</v>
      </c>
    </row>
    <row r="1150" spans="1:9" ht="30" x14ac:dyDescent="0.25">
      <c r="A1150" s="54" t="s">
        <v>241</v>
      </c>
      <c r="B1150" s="31" t="s">
        <v>641</v>
      </c>
      <c r="C1150" s="28" t="s">
        <v>2014</v>
      </c>
      <c r="D1150" s="28"/>
      <c r="E1150" s="28" t="s">
        <v>1974</v>
      </c>
      <c r="F1150" s="28" t="b">
        <v>0</v>
      </c>
      <c r="G1150" s="28">
        <v>200</v>
      </c>
      <c r="H1150" s="28" t="b">
        <v>1</v>
      </c>
      <c r="I1150" s="34"/>
    </row>
    <row r="1151" spans="1:9" ht="30" x14ac:dyDescent="0.25">
      <c r="A1151" s="54" t="s">
        <v>241</v>
      </c>
      <c r="B1151" s="43" t="s">
        <v>2015</v>
      </c>
      <c r="C1151" s="37" t="s">
        <v>2016</v>
      </c>
      <c r="D1151" s="37"/>
      <c r="E1151" s="37" t="s">
        <v>1974</v>
      </c>
      <c r="F1151" s="37" t="b">
        <v>0</v>
      </c>
      <c r="G1151" s="37">
        <v>404</v>
      </c>
      <c r="H1151" s="37" t="b">
        <v>0</v>
      </c>
    </row>
    <row r="1152" spans="1:9" ht="30" x14ac:dyDescent="0.25">
      <c r="A1152" s="54" t="s">
        <v>241</v>
      </c>
      <c r="B1152" s="31" t="s">
        <v>2015</v>
      </c>
      <c r="C1152" s="28" t="s">
        <v>2017</v>
      </c>
      <c r="D1152" s="28"/>
      <c r="E1152" s="28" t="s">
        <v>1974</v>
      </c>
      <c r="F1152" s="28" t="b">
        <v>0</v>
      </c>
      <c r="G1152" s="28">
        <v>404</v>
      </c>
      <c r="H1152" s="28" t="b">
        <v>0</v>
      </c>
      <c r="I1152" s="34"/>
    </row>
    <row r="1153" spans="1:9" ht="30" x14ac:dyDescent="0.25">
      <c r="A1153" s="54" t="s">
        <v>485</v>
      </c>
      <c r="B1153" s="43" t="s">
        <v>127</v>
      </c>
      <c r="C1153" s="37" t="s">
        <v>904</v>
      </c>
      <c r="D1153" s="37"/>
      <c r="E1153" s="37" t="s">
        <v>1974</v>
      </c>
      <c r="F1153" s="37" t="b">
        <v>0</v>
      </c>
      <c r="G1153" s="37">
        <v>200</v>
      </c>
      <c r="H1153" s="37" t="b">
        <v>1</v>
      </c>
    </row>
    <row r="1154" spans="1:9" ht="30" x14ac:dyDescent="0.25">
      <c r="A1154" s="54" t="s">
        <v>485</v>
      </c>
      <c r="B1154" s="31" t="s">
        <v>185</v>
      </c>
      <c r="C1154" s="28" t="s">
        <v>2125</v>
      </c>
      <c r="D1154" s="28"/>
      <c r="E1154" s="28" t="s">
        <v>1974</v>
      </c>
      <c r="F1154" s="28" t="b">
        <v>0</v>
      </c>
      <c r="G1154" s="28">
        <v>200</v>
      </c>
      <c r="H1154" s="28" t="b">
        <v>1</v>
      </c>
      <c r="I1154" s="34"/>
    </row>
    <row r="1155" spans="1:9" ht="30" x14ac:dyDescent="0.25">
      <c r="A1155" s="54" t="s">
        <v>485</v>
      </c>
      <c r="B1155" s="43" t="s">
        <v>485</v>
      </c>
      <c r="C1155" s="37" t="s">
        <v>2126</v>
      </c>
      <c r="D1155" s="37"/>
      <c r="E1155" s="37" t="s">
        <v>1974</v>
      </c>
      <c r="F1155" s="37" t="b">
        <v>0</v>
      </c>
      <c r="G1155" s="37">
        <v>200</v>
      </c>
      <c r="H1155" s="37" t="b">
        <v>1</v>
      </c>
    </row>
    <row r="1156" spans="1:9" ht="30" x14ac:dyDescent="0.25">
      <c r="A1156" s="54" t="s">
        <v>485</v>
      </c>
      <c r="B1156" s="31" t="s">
        <v>488</v>
      </c>
      <c r="C1156" s="28" t="s">
        <v>2127</v>
      </c>
      <c r="D1156" s="28"/>
      <c r="E1156" s="28" t="s">
        <v>1974</v>
      </c>
      <c r="F1156" s="28" t="b">
        <v>0</v>
      </c>
      <c r="G1156" s="28">
        <v>200</v>
      </c>
      <c r="H1156" s="28" t="b">
        <v>1</v>
      </c>
      <c r="I1156" s="34"/>
    </row>
    <row r="1157" spans="1:9" ht="30" x14ac:dyDescent="0.25">
      <c r="A1157" s="54" t="s">
        <v>485</v>
      </c>
      <c r="B1157" s="43" t="s">
        <v>193</v>
      </c>
      <c r="C1157" s="37" t="s">
        <v>2128</v>
      </c>
      <c r="D1157" s="37"/>
      <c r="E1157" s="37" t="s">
        <v>1974</v>
      </c>
      <c r="F1157" s="37" t="b">
        <v>0</v>
      </c>
      <c r="G1157" s="37">
        <v>200</v>
      </c>
      <c r="H1157" s="37" t="b">
        <v>1</v>
      </c>
    </row>
    <row r="1158" spans="1:9" ht="30" x14ac:dyDescent="0.25">
      <c r="A1158" s="54" t="s">
        <v>485</v>
      </c>
      <c r="B1158" s="31" t="s">
        <v>241</v>
      </c>
      <c r="C1158" s="28" t="s">
        <v>243</v>
      </c>
      <c r="D1158" s="28"/>
      <c r="E1158" s="28" t="s">
        <v>1974</v>
      </c>
      <c r="F1158" s="28" t="b">
        <v>0</v>
      </c>
      <c r="G1158" s="28">
        <v>200</v>
      </c>
      <c r="H1158" s="28" t="b">
        <v>1</v>
      </c>
      <c r="I1158" s="34"/>
    </row>
    <row r="1159" spans="1:9" ht="30" x14ac:dyDescent="0.25">
      <c r="A1159" s="54" t="s">
        <v>485</v>
      </c>
      <c r="B1159" s="43" t="s">
        <v>233</v>
      </c>
      <c r="C1159" s="37" t="s">
        <v>235</v>
      </c>
      <c r="D1159" s="37"/>
      <c r="E1159" s="37" t="s">
        <v>1974</v>
      </c>
      <c r="F1159" s="37" t="b">
        <v>0</v>
      </c>
      <c r="G1159" s="37">
        <v>200</v>
      </c>
      <c r="H1159" s="37" t="b">
        <v>1</v>
      </c>
    </row>
    <row r="1160" spans="1:9" ht="30" x14ac:dyDescent="0.25">
      <c r="A1160" s="54" t="s">
        <v>485</v>
      </c>
      <c r="B1160" s="31" t="s">
        <v>127</v>
      </c>
      <c r="C1160" s="28" t="s">
        <v>904</v>
      </c>
      <c r="D1160" s="28"/>
      <c r="E1160" s="28" t="s">
        <v>1974</v>
      </c>
      <c r="F1160" s="28" t="b">
        <v>0</v>
      </c>
      <c r="G1160" s="28">
        <v>200</v>
      </c>
      <c r="H1160" s="28" t="b">
        <v>1</v>
      </c>
      <c r="I1160" s="34"/>
    </row>
    <row r="1161" spans="1:9" ht="30" x14ac:dyDescent="0.25">
      <c r="A1161" s="54" t="s">
        <v>485</v>
      </c>
      <c r="B1161" s="43" t="s">
        <v>185</v>
      </c>
      <c r="C1161" s="37" t="s">
        <v>2125</v>
      </c>
      <c r="D1161" s="37"/>
      <c r="E1161" s="37" t="s">
        <v>1974</v>
      </c>
      <c r="F1161" s="37" t="b">
        <v>0</v>
      </c>
      <c r="G1161" s="37">
        <v>200</v>
      </c>
      <c r="H1161" s="37" t="b">
        <v>1</v>
      </c>
    </row>
    <row r="1162" spans="1:9" ht="30" x14ac:dyDescent="0.25">
      <c r="A1162" s="54" t="s">
        <v>485</v>
      </c>
      <c r="B1162" s="31" t="s">
        <v>485</v>
      </c>
      <c r="C1162" s="28" t="s">
        <v>2126</v>
      </c>
      <c r="D1162" s="28"/>
      <c r="E1162" s="28" t="s">
        <v>1974</v>
      </c>
      <c r="F1162" s="28" t="b">
        <v>0</v>
      </c>
      <c r="G1162" s="28">
        <v>200</v>
      </c>
      <c r="H1162" s="28" t="b">
        <v>1</v>
      </c>
      <c r="I1162" s="34"/>
    </row>
    <row r="1163" spans="1:9" ht="30" x14ac:dyDescent="0.25">
      <c r="A1163" s="54" t="s">
        <v>485</v>
      </c>
      <c r="B1163" s="43" t="s">
        <v>488</v>
      </c>
      <c r="C1163" s="37" t="s">
        <v>2127</v>
      </c>
      <c r="D1163" s="37"/>
      <c r="E1163" s="37" t="s">
        <v>1974</v>
      </c>
      <c r="F1163" s="37" t="b">
        <v>0</v>
      </c>
      <c r="G1163" s="37">
        <v>200</v>
      </c>
      <c r="H1163" s="37" t="b">
        <v>1</v>
      </c>
    </row>
    <row r="1164" spans="1:9" ht="30" x14ac:dyDescent="0.25">
      <c r="A1164" s="54" t="s">
        <v>485</v>
      </c>
      <c r="B1164" s="31" t="s">
        <v>193</v>
      </c>
      <c r="C1164" s="28" t="s">
        <v>2128</v>
      </c>
      <c r="D1164" s="28"/>
      <c r="E1164" s="28" t="s">
        <v>1974</v>
      </c>
      <c r="F1164" s="28" t="b">
        <v>0</v>
      </c>
      <c r="G1164" s="28">
        <v>200</v>
      </c>
      <c r="H1164" s="28" t="b">
        <v>1</v>
      </c>
      <c r="I1164" s="34"/>
    </row>
    <row r="1165" spans="1:9" ht="30" x14ac:dyDescent="0.25">
      <c r="A1165" s="54" t="s">
        <v>485</v>
      </c>
      <c r="B1165" s="43" t="s">
        <v>241</v>
      </c>
      <c r="C1165" s="37" t="s">
        <v>243</v>
      </c>
      <c r="D1165" s="37"/>
      <c r="E1165" s="37" t="s">
        <v>1974</v>
      </c>
      <c r="F1165" s="37" t="b">
        <v>0</v>
      </c>
      <c r="G1165" s="37">
        <v>200</v>
      </c>
      <c r="H1165" s="37" t="b">
        <v>1</v>
      </c>
    </row>
    <row r="1166" spans="1:9" ht="30" x14ac:dyDescent="0.25">
      <c r="A1166" s="54" t="s">
        <v>485</v>
      </c>
      <c r="B1166" s="31" t="s">
        <v>233</v>
      </c>
      <c r="C1166" s="28" t="s">
        <v>235</v>
      </c>
      <c r="D1166" s="28"/>
      <c r="E1166" s="28" t="s">
        <v>1974</v>
      </c>
      <c r="F1166" s="28" t="b">
        <v>0</v>
      </c>
      <c r="G1166" s="28">
        <v>200</v>
      </c>
      <c r="H1166" s="28" t="b">
        <v>1</v>
      </c>
      <c r="I1166" s="34"/>
    </row>
    <row r="1167" spans="1:9" ht="30" x14ac:dyDescent="0.25">
      <c r="A1167" s="54" t="s">
        <v>485</v>
      </c>
      <c r="B1167" s="43" t="s">
        <v>185</v>
      </c>
      <c r="C1167" s="37" t="s">
        <v>2129</v>
      </c>
      <c r="D1167" s="37"/>
      <c r="E1167" s="37" t="s">
        <v>1974</v>
      </c>
      <c r="F1167" s="37" t="b">
        <v>0</v>
      </c>
      <c r="G1167" s="37">
        <v>200</v>
      </c>
      <c r="H1167" s="37" t="b">
        <v>1</v>
      </c>
    </row>
    <row r="1168" spans="1:9" ht="45" x14ac:dyDescent="0.25">
      <c r="A1168" s="54" t="s">
        <v>485</v>
      </c>
      <c r="B1168" s="31" t="s">
        <v>2710</v>
      </c>
      <c r="C1168" s="28" t="s">
        <v>2711</v>
      </c>
      <c r="D1168" s="28"/>
      <c r="E1168" s="28" t="s">
        <v>1974</v>
      </c>
      <c r="F1168" s="28" t="b">
        <v>0</v>
      </c>
      <c r="G1168" s="28">
        <v>200</v>
      </c>
      <c r="H1168" s="28" t="b">
        <v>1</v>
      </c>
      <c r="I1168" s="34"/>
    </row>
    <row r="1169" spans="1:9" ht="45" x14ac:dyDescent="0.25">
      <c r="A1169" s="54" t="s">
        <v>485</v>
      </c>
      <c r="B1169" s="43" t="s">
        <v>2712</v>
      </c>
      <c r="C1169" s="37" t="s">
        <v>2713</v>
      </c>
      <c r="D1169" s="37"/>
      <c r="E1169" s="37" t="s">
        <v>1974</v>
      </c>
      <c r="F1169" s="37" t="b">
        <v>0</v>
      </c>
      <c r="G1169" s="37">
        <v>200</v>
      </c>
      <c r="H1169" s="37" t="b">
        <v>1</v>
      </c>
    </row>
    <row r="1170" spans="1:9" ht="45" x14ac:dyDescent="0.25">
      <c r="A1170" s="54" t="s">
        <v>485</v>
      </c>
      <c r="B1170" s="31" t="s">
        <v>2714</v>
      </c>
      <c r="C1170" s="28" t="s">
        <v>2715</v>
      </c>
      <c r="D1170" s="28"/>
      <c r="E1170" s="28" t="s">
        <v>1974</v>
      </c>
      <c r="F1170" s="28" t="b">
        <v>0</v>
      </c>
      <c r="G1170" s="28">
        <v>200</v>
      </c>
      <c r="H1170" s="28" t="b">
        <v>1</v>
      </c>
      <c r="I1170" s="34"/>
    </row>
    <row r="1171" spans="1:9" ht="45" x14ac:dyDescent="0.25">
      <c r="A1171" s="54" t="s">
        <v>485</v>
      </c>
      <c r="B1171" s="43" t="s">
        <v>2716</v>
      </c>
      <c r="C1171" s="37" t="s">
        <v>2717</v>
      </c>
      <c r="D1171" s="37"/>
      <c r="E1171" s="37" t="s">
        <v>1974</v>
      </c>
      <c r="F1171" s="37" t="b">
        <v>0</v>
      </c>
      <c r="G1171" s="37">
        <v>200</v>
      </c>
      <c r="H1171" s="37" t="b">
        <v>1</v>
      </c>
    </row>
    <row r="1172" spans="1:9" ht="30" x14ac:dyDescent="0.25">
      <c r="A1172" s="54" t="s">
        <v>485</v>
      </c>
      <c r="B1172" s="31" t="s">
        <v>2718</v>
      </c>
      <c r="C1172" s="28" t="s">
        <v>2719</v>
      </c>
      <c r="D1172" s="28"/>
      <c r="E1172" s="28" t="s">
        <v>1974</v>
      </c>
      <c r="F1172" s="28" t="b">
        <v>0</v>
      </c>
      <c r="G1172" s="28">
        <v>200</v>
      </c>
      <c r="H1172" s="28" t="b">
        <v>1</v>
      </c>
      <c r="I1172" s="34"/>
    </row>
    <row r="1173" spans="1:9" ht="45" x14ac:dyDescent="0.25">
      <c r="A1173" s="54" t="s">
        <v>485</v>
      </c>
      <c r="B1173" s="43" t="s">
        <v>2710</v>
      </c>
      <c r="C1173" s="37" t="s">
        <v>2720</v>
      </c>
      <c r="D1173" s="37"/>
      <c r="E1173" s="37" t="s">
        <v>1974</v>
      </c>
      <c r="F1173" s="37" t="b">
        <v>0</v>
      </c>
      <c r="G1173" s="37">
        <v>200</v>
      </c>
      <c r="H1173" s="37" t="b">
        <v>1</v>
      </c>
    </row>
    <row r="1174" spans="1:9" ht="45" x14ac:dyDescent="0.25">
      <c r="A1174" s="54" t="s">
        <v>485</v>
      </c>
      <c r="B1174" s="31" t="s">
        <v>2721</v>
      </c>
      <c r="C1174" s="28" t="s">
        <v>2722</v>
      </c>
      <c r="D1174" s="28"/>
      <c r="E1174" s="28" t="s">
        <v>1974</v>
      </c>
      <c r="F1174" s="28" t="b">
        <v>0</v>
      </c>
      <c r="G1174" s="28">
        <v>200</v>
      </c>
      <c r="H1174" s="28" t="b">
        <v>1</v>
      </c>
      <c r="I1174" s="34"/>
    </row>
    <row r="1175" spans="1:9" ht="45" x14ac:dyDescent="0.25">
      <c r="A1175" s="54" t="s">
        <v>485</v>
      </c>
      <c r="B1175" s="43" t="s">
        <v>2723</v>
      </c>
      <c r="C1175" s="37" t="s">
        <v>2724</v>
      </c>
      <c r="D1175" s="37"/>
      <c r="E1175" s="37" t="s">
        <v>1974</v>
      </c>
      <c r="F1175" s="37" t="b">
        <v>0</v>
      </c>
      <c r="G1175" s="37">
        <v>200</v>
      </c>
      <c r="H1175" s="37" t="b">
        <v>1</v>
      </c>
    </row>
    <row r="1176" spans="1:9" ht="45" x14ac:dyDescent="0.25">
      <c r="A1176" s="54" t="s">
        <v>485</v>
      </c>
      <c r="B1176" s="31" t="s">
        <v>2725</v>
      </c>
      <c r="C1176" s="28" t="s">
        <v>2726</v>
      </c>
      <c r="D1176" s="28"/>
      <c r="E1176" s="28" t="s">
        <v>1974</v>
      </c>
      <c r="F1176" s="28" t="b">
        <v>0</v>
      </c>
      <c r="G1176" s="28">
        <v>200</v>
      </c>
      <c r="H1176" s="28" t="b">
        <v>1</v>
      </c>
      <c r="I1176" s="34"/>
    </row>
    <row r="1177" spans="1:9" ht="30" x14ac:dyDescent="0.25">
      <c r="A1177" s="54" t="s">
        <v>485</v>
      </c>
      <c r="B1177" s="43" t="s">
        <v>647</v>
      </c>
      <c r="C1177" s="37" t="s">
        <v>2010</v>
      </c>
      <c r="D1177" s="37"/>
      <c r="E1177" s="37" t="s">
        <v>1974</v>
      </c>
      <c r="F1177" s="37" t="b">
        <v>0</v>
      </c>
      <c r="G1177" s="37">
        <v>200</v>
      </c>
      <c r="H1177" s="37" t="b">
        <v>1</v>
      </c>
    </row>
    <row r="1178" spans="1:9" ht="30" x14ac:dyDescent="0.25">
      <c r="A1178" s="54" t="s">
        <v>485</v>
      </c>
      <c r="B1178" s="31" t="s">
        <v>2011</v>
      </c>
      <c r="C1178" s="28"/>
      <c r="D1178" s="28"/>
      <c r="E1178" s="28" t="s">
        <v>2012</v>
      </c>
      <c r="F1178" s="28" t="b">
        <v>0</v>
      </c>
      <c r="G1178" s="28"/>
      <c r="H1178" s="28" t="b">
        <v>1</v>
      </c>
      <c r="I1178" s="34"/>
    </row>
    <row r="1179" spans="1:9" ht="30" x14ac:dyDescent="0.25">
      <c r="A1179" s="54" t="s">
        <v>485</v>
      </c>
      <c r="B1179" s="43" t="s">
        <v>2013</v>
      </c>
      <c r="C1179" s="37"/>
      <c r="D1179" s="37"/>
      <c r="E1179" s="37" t="s">
        <v>2012</v>
      </c>
      <c r="F1179" s="37" t="b">
        <v>0</v>
      </c>
      <c r="G1179" s="37"/>
      <c r="H1179" s="37" t="b">
        <v>1</v>
      </c>
    </row>
    <row r="1180" spans="1:9" ht="30" x14ac:dyDescent="0.25">
      <c r="A1180" s="54" t="s">
        <v>485</v>
      </c>
      <c r="B1180" s="31" t="s">
        <v>641</v>
      </c>
      <c r="C1180" s="28" t="s">
        <v>2014</v>
      </c>
      <c r="D1180" s="28"/>
      <c r="E1180" s="28" t="s">
        <v>1974</v>
      </c>
      <c r="F1180" s="28" t="b">
        <v>0</v>
      </c>
      <c r="G1180" s="28">
        <v>200</v>
      </c>
      <c r="H1180" s="28" t="b">
        <v>1</v>
      </c>
      <c r="I1180" s="34"/>
    </row>
    <row r="1181" spans="1:9" ht="30" x14ac:dyDescent="0.25">
      <c r="A1181" s="54" t="s">
        <v>485</v>
      </c>
      <c r="B1181" s="43" t="s">
        <v>2015</v>
      </c>
      <c r="C1181" s="37" t="s">
        <v>2016</v>
      </c>
      <c r="D1181" s="37"/>
      <c r="E1181" s="37" t="s">
        <v>1974</v>
      </c>
      <c r="F1181" s="37" t="b">
        <v>0</v>
      </c>
      <c r="G1181" s="37">
        <v>404</v>
      </c>
      <c r="H1181" s="37" t="b">
        <v>0</v>
      </c>
    </row>
    <row r="1182" spans="1:9" ht="30" x14ac:dyDescent="0.25">
      <c r="A1182" s="54" t="s">
        <v>485</v>
      </c>
      <c r="B1182" s="31" t="s">
        <v>2015</v>
      </c>
      <c r="C1182" s="28" t="s">
        <v>2017</v>
      </c>
      <c r="D1182" s="28"/>
      <c r="E1182" s="28" t="s">
        <v>1974</v>
      </c>
      <c r="F1182" s="28" t="b">
        <v>0</v>
      </c>
      <c r="G1182" s="28">
        <v>404</v>
      </c>
      <c r="H1182" s="28" t="b">
        <v>0</v>
      </c>
      <c r="I1182" s="34"/>
    </row>
    <row r="1183" spans="1:9" ht="30" x14ac:dyDescent="0.25">
      <c r="A1183" s="54" t="s">
        <v>491</v>
      </c>
      <c r="B1183" s="43" t="s">
        <v>2025</v>
      </c>
      <c r="C1183" s="37"/>
      <c r="D1183" s="37"/>
      <c r="E1183" s="37" t="s">
        <v>2012</v>
      </c>
      <c r="F1183" s="37" t="b">
        <v>0</v>
      </c>
      <c r="G1183" s="37"/>
      <c r="H1183" s="37" t="b">
        <v>1</v>
      </c>
    </row>
    <row r="1184" spans="1:9" ht="30" x14ac:dyDescent="0.25">
      <c r="A1184" s="54" t="s">
        <v>491</v>
      </c>
      <c r="B1184" s="31" t="s">
        <v>497</v>
      </c>
      <c r="C1184" s="28" t="s">
        <v>2027</v>
      </c>
      <c r="D1184" s="28"/>
      <c r="E1184" s="28" t="s">
        <v>1974</v>
      </c>
      <c r="F1184" s="28" t="b">
        <v>0</v>
      </c>
      <c r="G1184" s="28">
        <v>200</v>
      </c>
      <c r="H1184" s="28" t="b">
        <v>1</v>
      </c>
      <c r="I1184" s="34"/>
    </row>
    <row r="1185" spans="1:9" ht="30" x14ac:dyDescent="0.25">
      <c r="A1185" s="54" t="s">
        <v>491</v>
      </c>
      <c r="B1185" s="43" t="s">
        <v>652</v>
      </c>
      <c r="C1185" s="37" t="s">
        <v>2028</v>
      </c>
      <c r="D1185" s="37"/>
      <c r="E1185" s="37" t="s">
        <v>1974</v>
      </c>
      <c r="F1185" s="37" t="b">
        <v>0</v>
      </c>
      <c r="G1185" s="37">
        <v>200</v>
      </c>
      <c r="H1185" s="37" t="b">
        <v>1</v>
      </c>
    </row>
    <row r="1186" spans="1:9" ht="30" x14ac:dyDescent="0.25">
      <c r="A1186" s="54" t="s">
        <v>491</v>
      </c>
      <c r="B1186" s="31" t="s">
        <v>537</v>
      </c>
      <c r="C1186" s="28" t="s">
        <v>2029</v>
      </c>
      <c r="D1186" s="28"/>
      <c r="E1186" s="28" t="s">
        <v>1974</v>
      </c>
      <c r="F1186" s="28" t="b">
        <v>0</v>
      </c>
      <c r="G1186" s="28">
        <v>200</v>
      </c>
      <c r="H1186" s="28" t="b">
        <v>1</v>
      </c>
      <c r="I1186" s="34"/>
    </row>
    <row r="1187" spans="1:9" ht="30" x14ac:dyDescent="0.25">
      <c r="A1187" s="54" t="s">
        <v>491</v>
      </c>
      <c r="B1187" s="43" t="s">
        <v>543</v>
      </c>
      <c r="C1187" s="37" t="s">
        <v>2030</v>
      </c>
      <c r="D1187" s="37"/>
      <c r="E1187" s="37" t="s">
        <v>1974</v>
      </c>
      <c r="F1187" s="37" t="b">
        <v>0</v>
      </c>
      <c r="G1187" s="37">
        <v>200</v>
      </c>
      <c r="H1187" s="37" t="b">
        <v>1</v>
      </c>
    </row>
    <row r="1188" spans="1:9" ht="30" x14ac:dyDescent="0.25">
      <c r="A1188" s="54" t="s">
        <v>491</v>
      </c>
      <c r="B1188" s="31" t="s">
        <v>566</v>
      </c>
      <c r="C1188" s="28" t="s">
        <v>2031</v>
      </c>
      <c r="D1188" s="28"/>
      <c r="E1188" s="28" t="s">
        <v>1974</v>
      </c>
      <c r="F1188" s="28" t="b">
        <v>0</v>
      </c>
      <c r="G1188" s="28">
        <v>200</v>
      </c>
      <c r="H1188" s="28" t="b">
        <v>1</v>
      </c>
      <c r="I1188" s="34"/>
    </row>
    <row r="1189" spans="1:9" ht="30" x14ac:dyDescent="0.25">
      <c r="A1189" s="54" t="s">
        <v>491</v>
      </c>
      <c r="B1189" s="43" t="s">
        <v>601</v>
      </c>
      <c r="C1189" s="37" t="s">
        <v>2032</v>
      </c>
      <c r="D1189" s="37"/>
      <c r="E1189" s="37" t="s">
        <v>1974</v>
      </c>
      <c r="F1189" s="37" t="b">
        <v>0</v>
      </c>
      <c r="G1189" s="37">
        <v>200</v>
      </c>
      <c r="H1189" s="37" t="b">
        <v>1</v>
      </c>
    </row>
    <row r="1190" spans="1:9" ht="30" x14ac:dyDescent="0.25">
      <c r="A1190" s="54" t="s">
        <v>491</v>
      </c>
      <c r="B1190" s="31" t="s">
        <v>497</v>
      </c>
      <c r="C1190" s="28" t="s">
        <v>2027</v>
      </c>
      <c r="D1190" s="28"/>
      <c r="E1190" s="28" t="s">
        <v>1974</v>
      </c>
      <c r="F1190" s="28" t="b">
        <v>0</v>
      </c>
      <c r="G1190" s="28">
        <v>200</v>
      </c>
      <c r="H1190" s="28" t="b">
        <v>1</v>
      </c>
      <c r="I1190" s="34"/>
    </row>
    <row r="1191" spans="1:9" ht="30" x14ac:dyDescent="0.25">
      <c r="A1191" s="54" t="s">
        <v>491</v>
      </c>
      <c r="B1191" s="43" t="s">
        <v>652</v>
      </c>
      <c r="C1191" s="37" t="s">
        <v>2028</v>
      </c>
      <c r="D1191" s="37"/>
      <c r="E1191" s="37" t="s">
        <v>1974</v>
      </c>
      <c r="F1191" s="37" t="b">
        <v>0</v>
      </c>
      <c r="G1191" s="37">
        <v>200</v>
      </c>
      <c r="H1191" s="37" t="b">
        <v>1</v>
      </c>
    </row>
    <row r="1192" spans="1:9" ht="30" x14ac:dyDescent="0.25">
      <c r="A1192" s="54" t="s">
        <v>491</v>
      </c>
      <c r="B1192" s="31" t="s">
        <v>537</v>
      </c>
      <c r="C1192" s="28" t="s">
        <v>2029</v>
      </c>
      <c r="D1192" s="28"/>
      <c r="E1192" s="28" t="s">
        <v>1974</v>
      </c>
      <c r="F1192" s="28" t="b">
        <v>0</v>
      </c>
      <c r="G1192" s="28">
        <v>200</v>
      </c>
      <c r="H1192" s="28" t="b">
        <v>1</v>
      </c>
      <c r="I1192" s="34"/>
    </row>
    <row r="1193" spans="1:9" ht="30" x14ac:dyDescent="0.25">
      <c r="A1193" s="54" t="s">
        <v>491</v>
      </c>
      <c r="B1193" s="43" t="s">
        <v>543</v>
      </c>
      <c r="C1193" s="37" t="s">
        <v>2030</v>
      </c>
      <c r="D1193" s="37"/>
      <c r="E1193" s="37" t="s">
        <v>1974</v>
      </c>
      <c r="F1193" s="37" t="b">
        <v>0</v>
      </c>
      <c r="G1193" s="37">
        <v>200</v>
      </c>
      <c r="H1193" s="37" t="b">
        <v>1</v>
      </c>
    </row>
    <row r="1194" spans="1:9" ht="30" x14ac:dyDescent="0.25">
      <c r="A1194" s="54" t="s">
        <v>491</v>
      </c>
      <c r="B1194" s="31" t="s">
        <v>566</v>
      </c>
      <c r="C1194" s="28" t="s">
        <v>2031</v>
      </c>
      <c r="D1194" s="28"/>
      <c r="E1194" s="28" t="s">
        <v>1974</v>
      </c>
      <c r="F1194" s="28" t="b">
        <v>0</v>
      </c>
      <c r="G1194" s="28">
        <v>200</v>
      </c>
      <c r="H1194" s="28" t="b">
        <v>1</v>
      </c>
      <c r="I1194" s="34"/>
    </row>
    <row r="1195" spans="1:9" ht="30" x14ac:dyDescent="0.25">
      <c r="A1195" s="54" t="s">
        <v>491</v>
      </c>
      <c r="B1195" s="43" t="s">
        <v>601</v>
      </c>
      <c r="C1195" s="37" t="s">
        <v>2032</v>
      </c>
      <c r="D1195" s="37"/>
      <c r="E1195" s="37" t="s">
        <v>1974</v>
      </c>
      <c r="F1195" s="37" t="b">
        <v>0</v>
      </c>
      <c r="G1195" s="37">
        <v>200</v>
      </c>
      <c r="H1195" s="37" t="b">
        <v>1</v>
      </c>
    </row>
    <row r="1196" spans="1:9" ht="30" x14ac:dyDescent="0.25">
      <c r="A1196" s="54" t="s">
        <v>491</v>
      </c>
      <c r="B1196" s="31" t="s">
        <v>570</v>
      </c>
      <c r="C1196" s="28" t="s">
        <v>2727</v>
      </c>
      <c r="D1196" s="28"/>
      <c r="E1196" s="28" t="s">
        <v>1974</v>
      </c>
      <c r="F1196" s="28" t="b">
        <v>0</v>
      </c>
      <c r="G1196" s="28">
        <v>200</v>
      </c>
      <c r="H1196" s="28" t="b">
        <v>1</v>
      </c>
      <c r="I1196" s="34"/>
    </row>
    <row r="1197" spans="1:9" ht="30" x14ac:dyDescent="0.25">
      <c r="A1197" s="54" t="s">
        <v>491</v>
      </c>
      <c r="B1197" s="43" t="s">
        <v>570</v>
      </c>
      <c r="C1197" s="37" t="s">
        <v>2727</v>
      </c>
      <c r="D1197" s="37"/>
      <c r="E1197" s="37" t="s">
        <v>1974</v>
      </c>
      <c r="F1197" s="37" t="b">
        <v>0</v>
      </c>
      <c r="G1197" s="37">
        <v>200</v>
      </c>
      <c r="H1197" s="37" t="b">
        <v>1</v>
      </c>
    </row>
    <row r="1198" spans="1:9" ht="30" x14ac:dyDescent="0.25">
      <c r="A1198" s="54" t="s">
        <v>491</v>
      </c>
      <c r="B1198" s="31" t="s">
        <v>2728</v>
      </c>
      <c r="C1198" s="28"/>
      <c r="D1198" s="28"/>
      <c r="E1198" s="28" t="s">
        <v>2012</v>
      </c>
      <c r="F1198" s="28" t="b">
        <v>0</v>
      </c>
      <c r="G1198" s="28"/>
      <c r="H1198" s="28" t="b">
        <v>1</v>
      </c>
      <c r="I1198" s="34"/>
    </row>
    <row r="1199" spans="1:9" ht="30" x14ac:dyDescent="0.25">
      <c r="A1199" s="54" t="s">
        <v>491</v>
      </c>
      <c r="B1199" s="43" t="s">
        <v>2728</v>
      </c>
      <c r="C1199" s="37"/>
      <c r="D1199" s="37"/>
      <c r="E1199" s="37" t="s">
        <v>2012</v>
      </c>
      <c r="F1199" s="37" t="b">
        <v>0</v>
      </c>
      <c r="G1199" s="37"/>
      <c r="H1199" s="37" t="b">
        <v>1</v>
      </c>
    </row>
    <row r="1200" spans="1:9" ht="30" x14ac:dyDescent="0.25">
      <c r="A1200" s="54" t="s">
        <v>491</v>
      </c>
      <c r="B1200" s="31" t="s">
        <v>2729</v>
      </c>
      <c r="C1200" s="28"/>
      <c r="D1200" s="28"/>
      <c r="E1200" s="28" t="s">
        <v>2012</v>
      </c>
      <c r="F1200" s="28" t="b">
        <v>0</v>
      </c>
      <c r="G1200" s="28"/>
      <c r="H1200" s="28" t="b">
        <v>1</v>
      </c>
      <c r="I1200" s="34"/>
    </row>
    <row r="1201" spans="1:9" ht="30" x14ac:dyDescent="0.25">
      <c r="A1201" s="54" t="s">
        <v>491</v>
      </c>
      <c r="B1201" s="43" t="s">
        <v>2729</v>
      </c>
      <c r="C1201" s="37"/>
      <c r="D1201" s="37"/>
      <c r="E1201" s="37" t="s">
        <v>2012</v>
      </c>
      <c r="F1201" s="37" t="b">
        <v>0</v>
      </c>
      <c r="G1201" s="37"/>
      <c r="H1201" s="37" t="b">
        <v>1</v>
      </c>
    </row>
    <row r="1202" spans="1:9" ht="30" x14ac:dyDescent="0.25">
      <c r="A1202" s="54" t="s">
        <v>491</v>
      </c>
      <c r="B1202" s="31" t="s">
        <v>2730</v>
      </c>
      <c r="C1202" s="28"/>
      <c r="D1202" s="28"/>
      <c r="E1202" s="28" t="s">
        <v>2012</v>
      </c>
      <c r="F1202" s="28" t="b">
        <v>0</v>
      </c>
      <c r="G1202" s="28"/>
      <c r="H1202" s="28" t="b">
        <v>1</v>
      </c>
      <c r="I1202" s="34"/>
    </row>
    <row r="1203" spans="1:9" ht="45" x14ac:dyDescent="0.25">
      <c r="A1203" s="54" t="s">
        <v>491</v>
      </c>
      <c r="B1203" s="43" t="s">
        <v>2731</v>
      </c>
      <c r="C1203" s="37"/>
      <c r="D1203" s="37"/>
      <c r="E1203" s="37" t="s">
        <v>1974</v>
      </c>
      <c r="F1203" s="37" t="b">
        <v>0</v>
      </c>
      <c r="G1203" s="37">
        <v>200</v>
      </c>
      <c r="H1203" s="37" t="b">
        <v>1</v>
      </c>
    </row>
    <row r="1204" spans="1:9" ht="45" x14ac:dyDescent="0.25">
      <c r="A1204" s="54" t="s">
        <v>491</v>
      </c>
      <c r="B1204" s="31" t="s">
        <v>2732</v>
      </c>
      <c r="C1204" s="28"/>
      <c r="D1204" s="28"/>
      <c r="E1204" s="28" t="s">
        <v>1974</v>
      </c>
      <c r="F1204" s="28" t="b">
        <v>0</v>
      </c>
      <c r="G1204" s="28">
        <v>200</v>
      </c>
      <c r="H1204" s="28" t="b">
        <v>1</v>
      </c>
      <c r="I1204" s="34"/>
    </row>
    <row r="1205" spans="1:9" ht="30" x14ac:dyDescent="0.25">
      <c r="A1205" s="54" t="s">
        <v>491</v>
      </c>
      <c r="B1205" s="43" t="s">
        <v>2733</v>
      </c>
      <c r="C1205" s="37"/>
      <c r="D1205" s="37"/>
      <c r="E1205" s="37" t="s">
        <v>1974</v>
      </c>
      <c r="F1205" s="37" t="b">
        <v>0</v>
      </c>
      <c r="G1205" s="37">
        <v>200</v>
      </c>
      <c r="H1205" s="37" t="b">
        <v>1</v>
      </c>
    </row>
    <row r="1206" spans="1:9" ht="30" x14ac:dyDescent="0.25">
      <c r="A1206" s="54" t="s">
        <v>491</v>
      </c>
      <c r="B1206" s="31" t="s">
        <v>2734</v>
      </c>
      <c r="C1206" s="28"/>
      <c r="D1206" s="28"/>
      <c r="E1206" s="28" t="s">
        <v>1974</v>
      </c>
      <c r="F1206" s="28" t="b">
        <v>0</v>
      </c>
      <c r="G1206" s="28">
        <v>200</v>
      </c>
      <c r="H1206" s="28" t="b">
        <v>1</v>
      </c>
      <c r="I1206" s="34"/>
    </row>
    <row r="1207" spans="1:9" ht="45" x14ac:dyDescent="0.25">
      <c r="A1207" s="54" t="s">
        <v>491</v>
      </c>
      <c r="B1207" s="43" t="s">
        <v>2735</v>
      </c>
      <c r="C1207" s="37"/>
      <c r="D1207" s="37"/>
      <c r="E1207" s="37" t="s">
        <v>1974</v>
      </c>
      <c r="F1207" s="37" t="b">
        <v>0</v>
      </c>
      <c r="G1207" s="37">
        <v>200</v>
      </c>
      <c r="H1207" s="37" t="b">
        <v>1</v>
      </c>
    </row>
    <row r="1208" spans="1:9" ht="45" x14ac:dyDescent="0.25">
      <c r="A1208" s="54" t="s">
        <v>491</v>
      </c>
      <c r="B1208" s="31" t="s">
        <v>2736</v>
      </c>
      <c r="C1208" s="28"/>
      <c r="D1208" s="28"/>
      <c r="E1208" s="28" t="s">
        <v>1974</v>
      </c>
      <c r="F1208" s="28" t="b">
        <v>0</v>
      </c>
      <c r="G1208" s="28">
        <v>200</v>
      </c>
      <c r="H1208" s="28" t="b">
        <v>1</v>
      </c>
      <c r="I1208" s="34"/>
    </row>
    <row r="1209" spans="1:9" ht="30" x14ac:dyDescent="0.25">
      <c r="A1209" s="54" t="s">
        <v>491</v>
      </c>
      <c r="B1209" s="43" t="s">
        <v>2737</v>
      </c>
      <c r="C1209" s="37"/>
      <c r="D1209" s="37"/>
      <c r="E1209" s="37" t="s">
        <v>1974</v>
      </c>
      <c r="F1209" s="37" t="b">
        <v>0</v>
      </c>
      <c r="G1209" s="37">
        <v>200</v>
      </c>
      <c r="H1209" s="37" t="b">
        <v>1</v>
      </c>
    </row>
    <row r="1210" spans="1:9" ht="30" x14ac:dyDescent="0.25">
      <c r="A1210" s="54" t="s">
        <v>491</v>
      </c>
      <c r="B1210" s="31" t="s">
        <v>2738</v>
      </c>
      <c r="C1210" s="28"/>
      <c r="D1210" s="28"/>
      <c r="E1210" s="28" t="s">
        <v>2012</v>
      </c>
      <c r="F1210" s="28" t="b">
        <v>0</v>
      </c>
      <c r="G1210" s="28"/>
      <c r="H1210" s="28" t="b">
        <v>1</v>
      </c>
      <c r="I1210" s="34"/>
    </row>
    <row r="1211" spans="1:9" ht="30" x14ac:dyDescent="0.25">
      <c r="A1211" s="54" t="s">
        <v>491</v>
      </c>
      <c r="B1211" s="43" t="s">
        <v>2739</v>
      </c>
      <c r="C1211" s="37"/>
      <c r="D1211" s="37"/>
      <c r="E1211" s="37" t="s">
        <v>2012</v>
      </c>
      <c r="F1211" s="37" t="b">
        <v>0</v>
      </c>
      <c r="G1211" s="37"/>
      <c r="H1211" s="37" t="b">
        <v>1</v>
      </c>
    </row>
    <row r="1212" spans="1:9" ht="30" x14ac:dyDescent="0.25">
      <c r="A1212" s="54" t="s">
        <v>491</v>
      </c>
      <c r="B1212" s="31" t="s">
        <v>2740</v>
      </c>
      <c r="C1212" s="28"/>
      <c r="D1212" s="28"/>
      <c r="E1212" s="28" t="s">
        <v>2012</v>
      </c>
      <c r="F1212" s="28" t="b">
        <v>0</v>
      </c>
      <c r="G1212" s="28"/>
      <c r="H1212" s="28" t="b">
        <v>1</v>
      </c>
      <c r="I1212" s="34"/>
    </row>
    <row r="1213" spans="1:9" ht="30" x14ac:dyDescent="0.25">
      <c r="A1213" s="54" t="s">
        <v>491</v>
      </c>
      <c r="B1213" s="43" t="s">
        <v>2741</v>
      </c>
      <c r="C1213" s="37"/>
      <c r="D1213" s="37"/>
      <c r="E1213" s="37" t="s">
        <v>2012</v>
      </c>
      <c r="F1213" s="37" t="b">
        <v>0</v>
      </c>
      <c r="G1213" s="37"/>
      <c r="H1213" s="37" t="b">
        <v>1</v>
      </c>
    </row>
    <row r="1214" spans="1:9" ht="30" x14ac:dyDescent="0.25">
      <c r="A1214" s="54" t="s">
        <v>491</v>
      </c>
      <c r="B1214" s="31" t="s">
        <v>2742</v>
      </c>
      <c r="C1214" s="28"/>
      <c r="D1214" s="28"/>
      <c r="E1214" s="28" t="s">
        <v>2012</v>
      </c>
      <c r="F1214" s="28" t="b">
        <v>0</v>
      </c>
      <c r="G1214" s="28"/>
      <c r="H1214" s="28" t="b">
        <v>1</v>
      </c>
      <c r="I1214" s="34"/>
    </row>
    <row r="1215" spans="1:9" ht="30" x14ac:dyDescent="0.25">
      <c r="A1215" s="54" t="s">
        <v>491</v>
      </c>
      <c r="B1215" s="43" t="s">
        <v>2743</v>
      </c>
      <c r="C1215" s="37"/>
      <c r="D1215" s="37"/>
      <c r="E1215" s="37" t="s">
        <v>2012</v>
      </c>
      <c r="F1215" s="37" t="b">
        <v>0</v>
      </c>
      <c r="G1215" s="37"/>
      <c r="H1215" s="37" t="b">
        <v>1</v>
      </c>
    </row>
    <row r="1216" spans="1:9" ht="30" x14ac:dyDescent="0.25">
      <c r="A1216" s="54" t="s">
        <v>491</v>
      </c>
      <c r="B1216" s="31" t="s">
        <v>2744</v>
      </c>
      <c r="C1216" s="28"/>
      <c r="D1216" s="28"/>
      <c r="E1216" s="28" t="s">
        <v>2012</v>
      </c>
      <c r="F1216" s="28" t="b">
        <v>0</v>
      </c>
      <c r="G1216" s="28"/>
      <c r="H1216" s="28" t="b">
        <v>1</v>
      </c>
      <c r="I1216" s="34"/>
    </row>
    <row r="1217" spans="1:9" ht="30" x14ac:dyDescent="0.25">
      <c r="A1217" s="54" t="s">
        <v>491</v>
      </c>
      <c r="B1217" s="43" t="s">
        <v>2745</v>
      </c>
      <c r="C1217" s="37"/>
      <c r="D1217" s="37"/>
      <c r="E1217" s="37" t="s">
        <v>2012</v>
      </c>
      <c r="F1217" s="37" t="b">
        <v>0</v>
      </c>
      <c r="G1217" s="37"/>
      <c r="H1217" s="37" t="b">
        <v>1</v>
      </c>
    </row>
    <row r="1218" spans="1:9" ht="30" x14ac:dyDescent="0.25">
      <c r="A1218" s="54" t="s">
        <v>491</v>
      </c>
      <c r="B1218" s="31" t="s">
        <v>2746</v>
      </c>
      <c r="C1218" s="28"/>
      <c r="D1218" s="28"/>
      <c r="E1218" s="28" t="s">
        <v>2012</v>
      </c>
      <c r="F1218" s="28" t="b">
        <v>0</v>
      </c>
      <c r="G1218" s="28"/>
      <c r="H1218" s="28" t="b">
        <v>1</v>
      </c>
      <c r="I1218" s="34"/>
    </row>
    <row r="1219" spans="1:9" ht="30" x14ac:dyDescent="0.25">
      <c r="A1219" s="54" t="s">
        <v>491</v>
      </c>
      <c r="B1219" s="43" t="s">
        <v>647</v>
      </c>
      <c r="C1219" s="37" t="s">
        <v>2010</v>
      </c>
      <c r="D1219" s="37"/>
      <c r="E1219" s="37" t="s">
        <v>1974</v>
      </c>
      <c r="F1219" s="37" t="b">
        <v>0</v>
      </c>
      <c r="G1219" s="37">
        <v>200</v>
      </c>
      <c r="H1219" s="37" t="b">
        <v>1</v>
      </c>
    </row>
    <row r="1220" spans="1:9" ht="30" x14ac:dyDescent="0.25">
      <c r="A1220" s="54" t="s">
        <v>491</v>
      </c>
      <c r="B1220" s="31" t="s">
        <v>2011</v>
      </c>
      <c r="C1220" s="28"/>
      <c r="D1220" s="28"/>
      <c r="E1220" s="28" t="s">
        <v>2012</v>
      </c>
      <c r="F1220" s="28" t="b">
        <v>0</v>
      </c>
      <c r="G1220" s="28"/>
      <c r="H1220" s="28" t="b">
        <v>1</v>
      </c>
      <c r="I1220" s="34"/>
    </row>
    <row r="1221" spans="1:9" ht="30" x14ac:dyDescent="0.25">
      <c r="A1221" s="54" t="s">
        <v>491</v>
      </c>
      <c r="B1221" s="43" t="s">
        <v>2013</v>
      </c>
      <c r="C1221" s="37"/>
      <c r="D1221" s="37"/>
      <c r="E1221" s="37" t="s">
        <v>2012</v>
      </c>
      <c r="F1221" s="37" t="b">
        <v>0</v>
      </c>
      <c r="G1221" s="37"/>
      <c r="H1221" s="37" t="b">
        <v>1</v>
      </c>
    </row>
    <row r="1222" spans="1:9" ht="30" x14ac:dyDescent="0.25">
      <c r="A1222" s="54" t="s">
        <v>491</v>
      </c>
      <c r="B1222" s="31" t="s">
        <v>2033</v>
      </c>
      <c r="C1222" s="28"/>
      <c r="D1222" s="28"/>
      <c r="E1222" s="28" t="s">
        <v>2012</v>
      </c>
      <c r="F1222" s="28" t="b">
        <v>0</v>
      </c>
      <c r="G1222" s="28"/>
      <c r="H1222" s="28" t="b">
        <v>1</v>
      </c>
      <c r="I1222" s="34"/>
    </row>
    <row r="1223" spans="1:9" ht="30" x14ac:dyDescent="0.25">
      <c r="A1223" s="54" t="s">
        <v>491</v>
      </c>
      <c r="B1223" s="43" t="s">
        <v>641</v>
      </c>
      <c r="C1223" s="37" t="s">
        <v>2034</v>
      </c>
      <c r="D1223" s="37"/>
      <c r="E1223" s="37" t="s">
        <v>1974</v>
      </c>
      <c r="F1223" s="37" t="b">
        <v>0</v>
      </c>
      <c r="G1223" s="37">
        <v>200</v>
      </c>
      <c r="H1223" s="37" t="b">
        <v>1</v>
      </c>
    </row>
    <row r="1224" spans="1:9" ht="30" x14ac:dyDescent="0.25">
      <c r="A1224" s="54" t="s">
        <v>491</v>
      </c>
      <c r="B1224" s="31" t="s">
        <v>2015</v>
      </c>
      <c r="C1224" s="28" t="s">
        <v>2016</v>
      </c>
      <c r="D1224" s="28"/>
      <c r="E1224" s="28" t="s">
        <v>1974</v>
      </c>
      <c r="F1224" s="28" t="b">
        <v>0</v>
      </c>
      <c r="G1224" s="28">
        <v>404</v>
      </c>
      <c r="H1224" s="28" t="b">
        <v>0</v>
      </c>
      <c r="I1224" s="34"/>
    </row>
    <row r="1225" spans="1:9" ht="30" x14ac:dyDescent="0.25">
      <c r="A1225" s="54" t="s">
        <v>491</v>
      </c>
      <c r="B1225" s="43" t="s">
        <v>2015</v>
      </c>
      <c r="C1225" s="37" t="s">
        <v>2017</v>
      </c>
      <c r="D1225" s="37"/>
      <c r="E1225" s="37" t="s">
        <v>1974</v>
      </c>
      <c r="F1225" s="37" t="b">
        <v>0</v>
      </c>
      <c r="G1225" s="37">
        <v>404</v>
      </c>
      <c r="H1225" s="37" t="b">
        <v>0</v>
      </c>
    </row>
    <row r="1226" spans="1:9" ht="30" x14ac:dyDescent="0.25">
      <c r="A1226" s="54" t="s">
        <v>488</v>
      </c>
      <c r="B1226" s="31" t="s">
        <v>127</v>
      </c>
      <c r="C1226" s="28" t="s">
        <v>904</v>
      </c>
      <c r="D1226" s="28"/>
      <c r="E1226" s="28" t="s">
        <v>1974</v>
      </c>
      <c r="F1226" s="28" t="b">
        <v>0</v>
      </c>
      <c r="G1226" s="28">
        <v>200</v>
      </c>
      <c r="H1226" s="28" t="b">
        <v>1</v>
      </c>
      <c r="I1226" s="34"/>
    </row>
    <row r="1227" spans="1:9" ht="30" x14ac:dyDescent="0.25">
      <c r="A1227" s="54" t="s">
        <v>488</v>
      </c>
      <c r="B1227" s="43" t="s">
        <v>185</v>
      </c>
      <c r="C1227" s="37" t="s">
        <v>2125</v>
      </c>
      <c r="D1227" s="37"/>
      <c r="E1227" s="37" t="s">
        <v>1974</v>
      </c>
      <c r="F1227" s="37" t="b">
        <v>0</v>
      </c>
      <c r="G1227" s="37">
        <v>200</v>
      </c>
      <c r="H1227" s="37" t="b">
        <v>1</v>
      </c>
    </row>
    <row r="1228" spans="1:9" ht="30" x14ac:dyDescent="0.25">
      <c r="A1228" s="54" t="s">
        <v>488</v>
      </c>
      <c r="B1228" s="31" t="s">
        <v>485</v>
      </c>
      <c r="C1228" s="28" t="s">
        <v>2126</v>
      </c>
      <c r="D1228" s="28"/>
      <c r="E1228" s="28" t="s">
        <v>1974</v>
      </c>
      <c r="F1228" s="28" t="b">
        <v>0</v>
      </c>
      <c r="G1228" s="28">
        <v>200</v>
      </c>
      <c r="H1228" s="28" t="b">
        <v>1</v>
      </c>
      <c r="I1228" s="34"/>
    </row>
    <row r="1229" spans="1:9" ht="30" x14ac:dyDescent="0.25">
      <c r="A1229" s="54" t="s">
        <v>488</v>
      </c>
      <c r="B1229" s="43" t="s">
        <v>488</v>
      </c>
      <c r="C1229" s="37" t="s">
        <v>2127</v>
      </c>
      <c r="D1229" s="37"/>
      <c r="E1229" s="37" t="s">
        <v>1974</v>
      </c>
      <c r="F1229" s="37" t="b">
        <v>0</v>
      </c>
      <c r="G1229" s="37">
        <v>200</v>
      </c>
      <c r="H1229" s="37" t="b">
        <v>1</v>
      </c>
    </row>
    <row r="1230" spans="1:9" ht="30" x14ac:dyDescent="0.25">
      <c r="A1230" s="54" t="s">
        <v>488</v>
      </c>
      <c r="B1230" s="31" t="s">
        <v>193</v>
      </c>
      <c r="C1230" s="28" t="s">
        <v>2128</v>
      </c>
      <c r="D1230" s="28"/>
      <c r="E1230" s="28" t="s">
        <v>1974</v>
      </c>
      <c r="F1230" s="28" t="b">
        <v>0</v>
      </c>
      <c r="G1230" s="28">
        <v>200</v>
      </c>
      <c r="H1230" s="28" t="b">
        <v>1</v>
      </c>
      <c r="I1230" s="34"/>
    </row>
    <row r="1231" spans="1:9" ht="30" x14ac:dyDescent="0.25">
      <c r="A1231" s="54" t="s">
        <v>488</v>
      </c>
      <c r="B1231" s="43" t="s">
        <v>241</v>
      </c>
      <c r="C1231" s="37" t="s">
        <v>243</v>
      </c>
      <c r="D1231" s="37"/>
      <c r="E1231" s="37" t="s">
        <v>1974</v>
      </c>
      <c r="F1231" s="37" t="b">
        <v>0</v>
      </c>
      <c r="G1231" s="37">
        <v>200</v>
      </c>
      <c r="H1231" s="37" t="b">
        <v>1</v>
      </c>
    </row>
    <row r="1232" spans="1:9" ht="30" x14ac:dyDescent="0.25">
      <c r="A1232" s="54" t="s">
        <v>488</v>
      </c>
      <c r="B1232" s="31" t="s">
        <v>233</v>
      </c>
      <c r="C1232" s="28" t="s">
        <v>235</v>
      </c>
      <c r="D1232" s="28"/>
      <c r="E1232" s="28" t="s">
        <v>1974</v>
      </c>
      <c r="F1232" s="28" t="b">
        <v>0</v>
      </c>
      <c r="G1232" s="28">
        <v>200</v>
      </c>
      <c r="H1232" s="28" t="b">
        <v>1</v>
      </c>
      <c r="I1232" s="34"/>
    </row>
    <row r="1233" spans="1:9" ht="30" x14ac:dyDescent="0.25">
      <c r="A1233" s="54" t="s">
        <v>488</v>
      </c>
      <c r="B1233" s="43" t="s">
        <v>127</v>
      </c>
      <c r="C1233" s="37" t="s">
        <v>904</v>
      </c>
      <c r="D1233" s="37"/>
      <c r="E1233" s="37" t="s">
        <v>1974</v>
      </c>
      <c r="F1233" s="37" t="b">
        <v>0</v>
      </c>
      <c r="G1233" s="37">
        <v>200</v>
      </c>
      <c r="H1233" s="37" t="b">
        <v>1</v>
      </c>
    </row>
    <row r="1234" spans="1:9" ht="30" x14ac:dyDescent="0.25">
      <c r="A1234" s="54" t="s">
        <v>488</v>
      </c>
      <c r="B1234" s="31" t="s">
        <v>185</v>
      </c>
      <c r="C1234" s="28" t="s">
        <v>2125</v>
      </c>
      <c r="D1234" s="28"/>
      <c r="E1234" s="28" t="s">
        <v>1974</v>
      </c>
      <c r="F1234" s="28" t="b">
        <v>0</v>
      </c>
      <c r="G1234" s="28">
        <v>200</v>
      </c>
      <c r="H1234" s="28" t="b">
        <v>1</v>
      </c>
      <c r="I1234" s="34"/>
    </row>
    <row r="1235" spans="1:9" ht="30" x14ac:dyDescent="0.25">
      <c r="A1235" s="54" t="s">
        <v>488</v>
      </c>
      <c r="B1235" s="43" t="s">
        <v>485</v>
      </c>
      <c r="C1235" s="37" t="s">
        <v>2126</v>
      </c>
      <c r="D1235" s="37"/>
      <c r="E1235" s="37" t="s">
        <v>1974</v>
      </c>
      <c r="F1235" s="37" t="b">
        <v>0</v>
      </c>
      <c r="G1235" s="37">
        <v>200</v>
      </c>
      <c r="H1235" s="37" t="b">
        <v>1</v>
      </c>
    </row>
    <row r="1236" spans="1:9" ht="30" x14ac:dyDescent="0.25">
      <c r="A1236" s="54" t="s">
        <v>488</v>
      </c>
      <c r="B1236" s="31" t="s">
        <v>488</v>
      </c>
      <c r="C1236" s="28" t="s">
        <v>2127</v>
      </c>
      <c r="D1236" s="28"/>
      <c r="E1236" s="28" t="s">
        <v>1974</v>
      </c>
      <c r="F1236" s="28" t="b">
        <v>0</v>
      </c>
      <c r="G1236" s="28">
        <v>200</v>
      </c>
      <c r="H1236" s="28" t="b">
        <v>1</v>
      </c>
      <c r="I1236" s="34"/>
    </row>
    <row r="1237" spans="1:9" ht="30" x14ac:dyDescent="0.25">
      <c r="A1237" s="54" t="s">
        <v>488</v>
      </c>
      <c r="B1237" s="43" t="s">
        <v>193</v>
      </c>
      <c r="C1237" s="37" t="s">
        <v>2128</v>
      </c>
      <c r="D1237" s="37"/>
      <c r="E1237" s="37" t="s">
        <v>1974</v>
      </c>
      <c r="F1237" s="37" t="b">
        <v>0</v>
      </c>
      <c r="G1237" s="37">
        <v>200</v>
      </c>
      <c r="H1237" s="37" t="b">
        <v>1</v>
      </c>
    </row>
    <row r="1238" spans="1:9" ht="30" x14ac:dyDescent="0.25">
      <c r="A1238" s="54" t="s">
        <v>488</v>
      </c>
      <c r="B1238" s="31" t="s">
        <v>241</v>
      </c>
      <c r="C1238" s="28" t="s">
        <v>243</v>
      </c>
      <c r="D1238" s="28"/>
      <c r="E1238" s="28" t="s">
        <v>1974</v>
      </c>
      <c r="F1238" s="28" t="b">
        <v>0</v>
      </c>
      <c r="G1238" s="28">
        <v>200</v>
      </c>
      <c r="H1238" s="28" t="b">
        <v>1</v>
      </c>
      <c r="I1238" s="34"/>
    </row>
    <row r="1239" spans="1:9" ht="30" x14ac:dyDescent="0.25">
      <c r="A1239" s="54" t="s">
        <v>488</v>
      </c>
      <c r="B1239" s="43" t="s">
        <v>233</v>
      </c>
      <c r="C1239" s="37" t="s">
        <v>235</v>
      </c>
      <c r="D1239" s="37"/>
      <c r="E1239" s="37" t="s">
        <v>1974</v>
      </c>
      <c r="F1239" s="37" t="b">
        <v>0</v>
      </c>
      <c r="G1239" s="37">
        <v>200</v>
      </c>
      <c r="H1239" s="37" t="b">
        <v>1</v>
      </c>
    </row>
    <row r="1240" spans="1:9" ht="30" x14ac:dyDescent="0.25">
      <c r="A1240" s="54" t="s">
        <v>488</v>
      </c>
      <c r="B1240" s="31" t="s">
        <v>185</v>
      </c>
      <c r="C1240" s="28" t="s">
        <v>2129</v>
      </c>
      <c r="D1240" s="28"/>
      <c r="E1240" s="28" t="s">
        <v>1974</v>
      </c>
      <c r="F1240" s="28" t="b">
        <v>0</v>
      </c>
      <c r="G1240" s="28">
        <v>200</v>
      </c>
      <c r="H1240" s="28" t="b">
        <v>1</v>
      </c>
      <c r="I1240" s="34"/>
    </row>
    <row r="1241" spans="1:9" ht="30" x14ac:dyDescent="0.25">
      <c r="A1241" s="54" t="s">
        <v>488</v>
      </c>
      <c r="B1241" s="43" t="s">
        <v>647</v>
      </c>
      <c r="C1241" s="37" t="s">
        <v>2010</v>
      </c>
      <c r="D1241" s="37"/>
      <c r="E1241" s="37" t="s">
        <v>1974</v>
      </c>
      <c r="F1241" s="37" t="b">
        <v>0</v>
      </c>
      <c r="G1241" s="37">
        <v>200</v>
      </c>
      <c r="H1241" s="37" t="b">
        <v>1</v>
      </c>
    </row>
    <row r="1242" spans="1:9" ht="30" x14ac:dyDescent="0.25">
      <c r="A1242" s="54" t="s">
        <v>488</v>
      </c>
      <c r="B1242" s="31" t="s">
        <v>2011</v>
      </c>
      <c r="C1242" s="28"/>
      <c r="D1242" s="28"/>
      <c r="E1242" s="28" t="s">
        <v>2012</v>
      </c>
      <c r="F1242" s="28" t="b">
        <v>0</v>
      </c>
      <c r="G1242" s="28"/>
      <c r="H1242" s="28" t="b">
        <v>1</v>
      </c>
      <c r="I1242" s="34"/>
    </row>
    <row r="1243" spans="1:9" ht="30" x14ac:dyDescent="0.25">
      <c r="A1243" s="54" t="s">
        <v>488</v>
      </c>
      <c r="B1243" s="43" t="s">
        <v>2013</v>
      </c>
      <c r="C1243" s="37"/>
      <c r="D1243" s="37"/>
      <c r="E1243" s="37" t="s">
        <v>2012</v>
      </c>
      <c r="F1243" s="37" t="b">
        <v>0</v>
      </c>
      <c r="G1243" s="37"/>
      <c r="H1243" s="37" t="b">
        <v>1</v>
      </c>
    </row>
    <row r="1244" spans="1:9" ht="30" x14ac:dyDescent="0.25">
      <c r="A1244" s="54" t="s">
        <v>488</v>
      </c>
      <c r="B1244" s="31" t="s">
        <v>641</v>
      </c>
      <c r="C1244" s="28" t="s">
        <v>2014</v>
      </c>
      <c r="D1244" s="28"/>
      <c r="E1244" s="28" t="s">
        <v>1974</v>
      </c>
      <c r="F1244" s="28" t="b">
        <v>0</v>
      </c>
      <c r="G1244" s="28">
        <v>200</v>
      </c>
      <c r="H1244" s="28" t="b">
        <v>1</v>
      </c>
      <c r="I1244" s="34"/>
    </row>
    <row r="1245" spans="1:9" ht="30" x14ac:dyDescent="0.25">
      <c r="A1245" s="54" t="s">
        <v>488</v>
      </c>
      <c r="B1245" s="43" t="s">
        <v>2015</v>
      </c>
      <c r="C1245" s="37" t="s">
        <v>2016</v>
      </c>
      <c r="D1245" s="37"/>
      <c r="E1245" s="37" t="s">
        <v>1974</v>
      </c>
      <c r="F1245" s="37" t="b">
        <v>0</v>
      </c>
      <c r="G1245" s="37">
        <v>404</v>
      </c>
      <c r="H1245" s="37" t="b">
        <v>0</v>
      </c>
    </row>
    <row r="1246" spans="1:9" ht="30" x14ac:dyDescent="0.25">
      <c r="A1246" s="54" t="s">
        <v>488</v>
      </c>
      <c r="B1246" s="31" t="s">
        <v>2015</v>
      </c>
      <c r="C1246" s="28" t="s">
        <v>2017</v>
      </c>
      <c r="D1246" s="28"/>
      <c r="E1246" s="28" t="s">
        <v>1974</v>
      </c>
      <c r="F1246" s="28" t="b">
        <v>0</v>
      </c>
      <c r="G1246" s="28">
        <v>404</v>
      </c>
      <c r="H1246" s="28" t="b">
        <v>0</v>
      </c>
      <c r="I1246" s="34"/>
    </row>
    <row r="1247" spans="1:9" ht="30" x14ac:dyDescent="0.25">
      <c r="A1247" s="54" t="s">
        <v>494</v>
      </c>
      <c r="B1247" s="43" t="s">
        <v>2025</v>
      </c>
      <c r="C1247" s="37"/>
      <c r="D1247" s="37"/>
      <c r="E1247" s="37" t="s">
        <v>2012</v>
      </c>
      <c r="F1247" s="37" t="b">
        <v>0</v>
      </c>
      <c r="G1247" s="37"/>
      <c r="H1247" s="37" t="b">
        <v>1</v>
      </c>
    </row>
    <row r="1248" spans="1:9" ht="30" x14ac:dyDescent="0.25">
      <c r="A1248" s="54" t="s">
        <v>494</v>
      </c>
      <c r="B1248" s="31" t="s">
        <v>497</v>
      </c>
      <c r="C1248" s="28" t="s">
        <v>2027</v>
      </c>
      <c r="D1248" s="28"/>
      <c r="E1248" s="28" t="s">
        <v>1974</v>
      </c>
      <c r="F1248" s="28" t="b">
        <v>0</v>
      </c>
      <c r="G1248" s="28">
        <v>200</v>
      </c>
      <c r="H1248" s="28" t="b">
        <v>1</v>
      </c>
      <c r="I1248" s="34"/>
    </row>
    <row r="1249" spans="1:9" ht="30" x14ac:dyDescent="0.25">
      <c r="A1249" s="54" t="s">
        <v>494</v>
      </c>
      <c r="B1249" s="43" t="s">
        <v>652</v>
      </c>
      <c r="C1249" s="37" t="s">
        <v>2028</v>
      </c>
      <c r="D1249" s="37"/>
      <c r="E1249" s="37" t="s">
        <v>1974</v>
      </c>
      <c r="F1249" s="37" t="b">
        <v>0</v>
      </c>
      <c r="G1249" s="37">
        <v>200</v>
      </c>
      <c r="H1249" s="37" t="b">
        <v>1</v>
      </c>
    </row>
    <row r="1250" spans="1:9" ht="30" x14ac:dyDescent="0.25">
      <c r="A1250" s="54" t="s">
        <v>494</v>
      </c>
      <c r="B1250" s="31" t="s">
        <v>537</v>
      </c>
      <c r="C1250" s="28" t="s">
        <v>2029</v>
      </c>
      <c r="D1250" s="28"/>
      <c r="E1250" s="28" t="s">
        <v>1974</v>
      </c>
      <c r="F1250" s="28" t="b">
        <v>0</v>
      </c>
      <c r="G1250" s="28">
        <v>200</v>
      </c>
      <c r="H1250" s="28" t="b">
        <v>1</v>
      </c>
      <c r="I1250" s="34"/>
    </row>
    <row r="1251" spans="1:9" ht="30" x14ac:dyDescent="0.25">
      <c r="A1251" s="54" t="s">
        <v>494</v>
      </c>
      <c r="B1251" s="43" t="s">
        <v>543</v>
      </c>
      <c r="C1251" s="37" t="s">
        <v>2030</v>
      </c>
      <c r="D1251" s="37"/>
      <c r="E1251" s="37" t="s">
        <v>1974</v>
      </c>
      <c r="F1251" s="37" t="b">
        <v>0</v>
      </c>
      <c r="G1251" s="37">
        <v>200</v>
      </c>
      <c r="H1251" s="37" t="b">
        <v>1</v>
      </c>
    </row>
    <row r="1252" spans="1:9" ht="30" x14ac:dyDescent="0.25">
      <c r="A1252" s="54" t="s">
        <v>494</v>
      </c>
      <c r="B1252" s="31" t="s">
        <v>566</v>
      </c>
      <c r="C1252" s="28" t="s">
        <v>2031</v>
      </c>
      <c r="D1252" s="28"/>
      <c r="E1252" s="28" t="s">
        <v>1974</v>
      </c>
      <c r="F1252" s="28" t="b">
        <v>0</v>
      </c>
      <c r="G1252" s="28">
        <v>200</v>
      </c>
      <c r="H1252" s="28" t="b">
        <v>1</v>
      </c>
      <c r="I1252" s="34"/>
    </row>
    <row r="1253" spans="1:9" ht="30" x14ac:dyDescent="0.25">
      <c r="A1253" s="54" t="s">
        <v>494</v>
      </c>
      <c r="B1253" s="43" t="s">
        <v>601</v>
      </c>
      <c r="C1253" s="37" t="s">
        <v>2032</v>
      </c>
      <c r="D1253" s="37"/>
      <c r="E1253" s="37" t="s">
        <v>1974</v>
      </c>
      <c r="F1253" s="37" t="b">
        <v>0</v>
      </c>
      <c r="G1253" s="37">
        <v>200</v>
      </c>
      <c r="H1253" s="37" t="b">
        <v>1</v>
      </c>
    </row>
    <row r="1254" spans="1:9" ht="30" x14ac:dyDescent="0.25">
      <c r="A1254" s="54" t="s">
        <v>494</v>
      </c>
      <c r="B1254" s="31" t="s">
        <v>497</v>
      </c>
      <c r="C1254" s="28" t="s">
        <v>2027</v>
      </c>
      <c r="D1254" s="28"/>
      <c r="E1254" s="28" t="s">
        <v>1974</v>
      </c>
      <c r="F1254" s="28" t="b">
        <v>0</v>
      </c>
      <c r="G1254" s="28">
        <v>200</v>
      </c>
      <c r="H1254" s="28" t="b">
        <v>1</v>
      </c>
      <c r="I1254" s="34"/>
    </row>
    <row r="1255" spans="1:9" ht="30" x14ac:dyDescent="0.25">
      <c r="A1255" s="54" t="s">
        <v>494</v>
      </c>
      <c r="B1255" s="43" t="s">
        <v>652</v>
      </c>
      <c r="C1255" s="37" t="s">
        <v>2028</v>
      </c>
      <c r="D1255" s="37"/>
      <c r="E1255" s="37" t="s">
        <v>1974</v>
      </c>
      <c r="F1255" s="37" t="b">
        <v>0</v>
      </c>
      <c r="G1255" s="37">
        <v>200</v>
      </c>
      <c r="H1255" s="37" t="b">
        <v>1</v>
      </c>
    </row>
    <row r="1256" spans="1:9" ht="30" x14ac:dyDescent="0.25">
      <c r="A1256" s="54" t="s">
        <v>494</v>
      </c>
      <c r="B1256" s="31" t="s">
        <v>537</v>
      </c>
      <c r="C1256" s="28" t="s">
        <v>2029</v>
      </c>
      <c r="D1256" s="28"/>
      <c r="E1256" s="28" t="s">
        <v>1974</v>
      </c>
      <c r="F1256" s="28" t="b">
        <v>0</v>
      </c>
      <c r="G1256" s="28">
        <v>200</v>
      </c>
      <c r="H1256" s="28" t="b">
        <v>1</v>
      </c>
      <c r="I1256" s="34"/>
    </row>
    <row r="1257" spans="1:9" ht="30" x14ac:dyDescent="0.25">
      <c r="A1257" s="54" t="s">
        <v>494</v>
      </c>
      <c r="B1257" s="43" t="s">
        <v>543</v>
      </c>
      <c r="C1257" s="37" t="s">
        <v>2030</v>
      </c>
      <c r="D1257" s="37"/>
      <c r="E1257" s="37" t="s">
        <v>1974</v>
      </c>
      <c r="F1257" s="37" t="b">
        <v>0</v>
      </c>
      <c r="G1257" s="37">
        <v>200</v>
      </c>
      <c r="H1257" s="37" t="b">
        <v>1</v>
      </c>
    </row>
    <row r="1258" spans="1:9" ht="30" x14ac:dyDescent="0.25">
      <c r="A1258" s="54" t="s">
        <v>494</v>
      </c>
      <c r="B1258" s="31" t="s">
        <v>566</v>
      </c>
      <c r="C1258" s="28" t="s">
        <v>2031</v>
      </c>
      <c r="D1258" s="28"/>
      <c r="E1258" s="28" t="s">
        <v>1974</v>
      </c>
      <c r="F1258" s="28" t="b">
        <v>0</v>
      </c>
      <c r="G1258" s="28">
        <v>200</v>
      </c>
      <c r="H1258" s="28" t="b">
        <v>1</v>
      </c>
      <c r="I1258" s="34"/>
    </row>
    <row r="1259" spans="1:9" ht="30" x14ac:dyDescent="0.25">
      <c r="A1259" s="54" t="s">
        <v>494</v>
      </c>
      <c r="B1259" s="43" t="s">
        <v>601</v>
      </c>
      <c r="C1259" s="37" t="s">
        <v>2032</v>
      </c>
      <c r="D1259" s="37"/>
      <c r="E1259" s="37" t="s">
        <v>1974</v>
      </c>
      <c r="F1259" s="37" t="b">
        <v>0</v>
      </c>
      <c r="G1259" s="37">
        <v>200</v>
      </c>
      <c r="H1259" s="37" t="b">
        <v>1</v>
      </c>
    </row>
    <row r="1260" spans="1:9" ht="30" x14ac:dyDescent="0.25">
      <c r="A1260" s="54" t="s">
        <v>494</v>
      </c>
      <c r="B1260" s="31" t="s">
        <v>2747</v>
      </c>
      <c r="C1260" s="28"/>
      <c r="D1260" s="28"/>
      <c r="E1260" s="28" t="s">
        <v>1974</v>
      </c>
      <c r="F1260" s="28" t="b">
        <v>0</v>
      </c>
      <c r="G1260" s="28">
        <v>200</v>
      </c>
      <c r="H1260" s="28" t="b">
        <v>1</v>
      </c>
      <c r="I1260" s="34"/>
    </row>
    <row r="1261" spans="1:9" ht="30" x14ac:dyDescent="0.25">
      <c r="A1261" s="54" t="s">
        <v>494</v>
      </c>
      <c r="B1261" s="43" t="s">
        <v>2747</v>
      </c>
      <c r="C1261" s="37" t="s">
        <v>2748</v>
      </c>
      <c r="D1261" s="37"/>
      <c r="E1261" s="37" t="s">
        <v>1974</v>
      </c>
      <c r="F1261" s="37" t="b">
        <v>0</v>
      </c>
      <c r="G1261" s="37">
        <v>200</v>
      </c>
      <c r="H1261" s="37" t="b">
        <v>1</v>
      </c>
    </row>
    <row r="1262" spans="1:9" ht="30" x14ac:dyDescent="0.25">
      <c r="A1262" s="54" t="s">
        <v>494</v>
      </c>
      <c r="B1262" s="31" t="s">
        <v>2749</v>
      </c>
      <c r="C1262" s="28"/>
      <c r="D1262" s="28"/>
      <c r="E1262" s="28" t="s">
        <v>1974</v>
      </c>
      <c r="F1262" s="28" t="b">
        <v>0</v>
      </c>
      <c r="G1262" s="28">
        <v>200</v>
      </c>
      <c r="H1262" s="28" t="b">
        <v>1</v>
      </c>
      <c r="I1262" s="34"/>
    </row>
    <row r="1263" spans="1:9" ht="30" x14ac:dyDescent="0.25">
      <c r="A1263" s="54" t="s">
        <v>494</v>
      </c>
      <c r="B1263" s="43" t="s">
        <v>2749</v>
      </c>
      <c r="C1263" s="37" t="s">
        <v>2750</v>
      </c>
      <c r="D1263" s="37"/>
      <c r="E1263" s="37" t="s">
        <v>1974</v>
      </c>
      <c r="F1263" s="37" t="b">
        <v>0</v>
      </c>
      <c r="G1263" s="37">
        <v>200</v>
      </c>
      <c r="H1263" s="37" t="b">
        <v>1</v>
      </c>
    </row>
    <row r="1264" spans="1:9" ht="30" x14ac:dyDescent="0.25">
      <c r="A1264" s="54" t="s">
        <v>494</v>
      </c>
      <c r="B1264" s="31" t="s">
        <v>2751</v>
      </c>
      <c r="C1264" s="28"/>
      <c r="D1264" s="28"/>
      <c r="E1264" s="28" t="s">
        <v>1974</v>
      </c>
      <c r="F1264" s="28" t="b">
        <v>0</v>
      </c>
      <c r="G1264" s="28">
        <v>200</v>
      </c>
      <c r="H1264" s="28" t="b">
        <v>1</v>
      </c>
      <c r="I1264" s="34"/>
    </row>
    <row r="1265" spans="1:9" ht="30" x14ac:dyDescent="0.25">
      <c r="A1265" s="54" t="s">
        <v>494</v>
      </c>
      <c r="B1265" s="43" t="s">
        <v>2751</v>
      </c>
      <c r="C1265" s="37" t="s">
        <v>2752</v>
      </c>
      <c r="D1265" s="37"/>
      <c r="E1265" s="37" t="s">
        <v>1974</v>
      </c>
      <c r="F1265" s="37" t="b">
        <v>0</v>
      </c>
      <c r="G1265" s="37">
        <v>200</v>
      </c>
      <c r="H1265" s="37" t="b">
        <v>1</v>
      </c>
    </row>
    <row r="1266" spans="1:9" ht="30" x14ac:dyDescent="0.25">
      <c r="A1266" s="54" t="s">
        <v>494</v>
      </c>
      <c r="B1266" s="31" t="s">
        <v>2753</v>
      </c>
      <c r="C1266" s="28"/>
      <c r="D1266" s="28"/>
      <c r="E1266" s="28" t="s">
        <v>1974</v>
      </c>
      <c r="F1266" s="28" t="b">
        <v>0</v>
      </c>
      <c r="G1266" s="28">
        <v>200</v>
      </c>
      <c r="H1266" s="28" t="b">
        <v>1</v>
      </c>
      <c r="I1266" s="34"/>
    </row>
    <row r="1267" spans="1:9" ht="30" x14ac:dyDescent="0.25">
      <c r="A1267" s="54" t="s">
        <v>494</v>
      </c>
      <c r="B1267" s="43" t="s">
        <v>2753</v>
      </c>
      <c r="C1267" s="37" t="s">
        <v>2754</v>
      </c>
      <c r="D1267" s="37"/>
      <c r="E1267" s="37" t="s">
        <v>1974</v>
      </c>
      <c r="F1267" s="37" t="b">
        <v>0</v>
      </c>
      <c r="G1267" s="37">
        <v>200</v>
      </c>
      <c r="H1267" s="37" t="b">
        <v>1</v>
      </c>
    </row>
    <row r="1268" spans="1:9" ht="30" x14ac:dyDescent="0.25">
      <c r="A1268" s="54" t="s">
        <v>494</v>
      </c>
      <c r="B1268" s="31" t="s">
        <v>647</v>
      </c>
      <c r="C1268" s="28" t="s">
        <v>2010</v>
      </c>
      <c r="D1268" s="28"/>
      <c r="E1268" s="28" t="s">
        <v>1974</v>
      </c>
      <c r="F1268" s="28" t="b">
        <v>0</v>
      </c>
      <c r="G1268" s="28">
        <v>200</v>
      </c>
      <c r="H1268" s="28" t="b">
        <v>1</v>
      </c>
      <c r="I1268" s="34"/>
    </row>
    <row r="1269" spans="1:9" ht="30" x14ac:dyDescent="0.25">
      <c r="A1269" s="54" t="s">
        <v>494</v>
      </c>
      <c r="B1269" s="43" t="s">
        <v>2011</v>
      </c>
      <c r="C1269" s="37"/>
      <c r="D1269" s="37"/>
      <c r="E1269" s="37" t="s">
        <v>2012</v>
      </c>
      <c r="F1269" s="37" t="b">
        <v>0</v>
      </c>
      <c r="G1269" s="37"/>
      <c r="H1269" s="37" t="b">
        <v>1</v>
      </c>
    </row>
    <row r="1270" spans="1:9" ht="30" x14ac:dyDescent="0.25">
      <c r="A1270" s="54" t="s">
        <v>494</v>
      </c>
      <c r="B1270" s="31" t="s">
        <v>2013</v>
      </c>
      <c r="C1270" s="28"/>
      <c r="D1270" s="28"/>
      <c r="E1270" s="28" t="s">
        <v>2012</v>
      </c>
      <c r="F1270" s="28" t="b">
        <v>0</v>
      </c>
      <c r="G1270" s="28"/>
      <c r="H1270" s="28" t="b">
        <v>1</v>
      </c>
      <c r="I1270" s="34"/>
    </row>
    <row r="1271" spans="1:9" ht="30" x14ac:dyDescent="0.25">
      <c r="A1271" s="54" t="s">
        <v>494</v>
      </c>
      <c r="B1271" s="43" t="s">
        <v>2033</v>
      </c>
      <c r="C1271" s="37"/>
      <c r="D1271" s="37"/>
      <c r="E1271" s="37" t="s">
        <v>2012</v>
      </c>
      <c r="F1271" s="37" t="b">
        <v>0</v>
      </c>
      <c r="G1271" s="37"/>
      <c r="H1271" s="37" t="b">
        <v>1</v>
      </c>
    </row>
    <row r="1272" spans="1:9" ht="30" x14ac:dyDescent="0.25">
      <c r="A1272" s="54" t="s">
        <v>494</v>
      </c>
      <c r="B1272" s="31" t="s">
        <v>2123</v>
      </c>
      <c r="C1272" s="28"/>
      <c r="D1272" s="28"/>
      <c r="E1272" s="28" t="s">
        <v>1974</v>
      </c>
      <c r="F1272" s="28" t="b">
        <v>0</v>
      </c>
      <c r="G1272" s="28">
        <v>404</v>
      </c>
      <c r="H1272" s="28" t="b">
        <v>0</v>
      </c>
      <c r="I1272" s="34"/>
    </row>
    <row r="1273" spans="1:9" ht="30" x14ac:dyDescent="0.25">
      <c r="A1273" s="54" t="s">
        <v>494</v>
      </c>
      <c r="B1273" s="43" t="s">
        <v>2123</v>
      </c>
      <c r="C1273" s="37" t="s">
        <v>2124</v>
      </c>
      <c r="D1273" s="37"/>
      <c r="E1273" s="37" t="s">
        <v>1974</v>
      </c>
      <c r="F1273" s="37" t="b">
        <v>0</v>
      </c>
      <c r="G1273" s="37">
        <v>404</v>
      </c>
      <c r="H1273" s="37" t="b">
        <v>0</v>
      </c>
    </row>
    <row r="1274" spans="1:9" ht="30" x14ac:dyDescent="0.25">
      <c r="A1274" s="54" t="s">
        <v>494</v>
      </c>
      <c r="B1274" s="31" t="s">
        <v>641</v>
      </c>
      <c r="C1274" s="28" t="s">
        <v>2034</v>
      </c>
      <c r="D1274" s="28"/>
      <c r="E1274" s="28" t="s">
        <v>1974</v>
      </c>
      <c r="F1274" s="28" t="b">
        <v>0</v>
      </c>
      <c r="G1274" s="28">
        <v>200</v>
      </c>
      <c r="H1274" s="28" t="b">
        <v>1</v>
      </c>
      <c r="I1274" s="34"/>
    </row>
    <row r="1275" spans="1:9" ht="30" x14ac:dyDescent="0.25">
      <c r="A1275" s="54" t="s">
        <v>494</v>
      </c>
      <c r="B1275" s="43" t="s">
        <v>2015</v>
      </c>
      <c r="C1275" s="37" t="s">
        <v>2016</v>
      </c>
      <c r="D1275" s="37"/>
      <c r="E1275" s="37" t="s">
        <v>1974</v>
      </c>
      <c r="F1275" s="37" t="b">
        <v>0</v>
      </c>
      <c r="G1275" s="37">
        <v>404</v>
      </c>
      <c r="H1275" s="37" t="b">
        <v>0</v>
      </c>
    </row>
    <row r="1276" spans="1:9" ht="30" x14ac:dyDescent="0.25">
      <c r="A1276" s="54" t="s">
        <v>494</v>
      </c>
      <c r="B1276" s="31" t="s">
        <v>2015</v>
      </c>
      <c r="C1276" s="28" t="s">
        <v>2017</v>
      </c>
      <c r="D1276" s="28"/>
      <c r="E1276" s="28" t="s">
        <v>1974</v>
      </c>
      <c r="F1276" s="28" t="b">
        <v>0</v>
      </c>
      <c r="G1276" s="28">
        <v>404</v>
      </c>
      <c r="H1276" s="28" t="b">
        <v>0</v>
      </c>
      <c r="I1276" s="34"/>
    </row>
    <row r="1277" spans="1:9" ht="30" x14ac:dyDescent="0.25">
      <c r="A1277" s="54" t="s">
        <v>500</v>
      </c>
      <c r="B1277" s="43" t="s">
        <v>2025</v>
      </c>
      <c r="C1277" s="37"/>
      <c r="D1277" s="37"/>
      <c r="E1277" s="37" t="s">
        <v>2012</v>
      </c>
      <c r="F1277" s="37" t="b">
        <v>0</v>
      </c>
      <c r="G1277" s="37"/>
      <c r="H1277" s="37" t="b">
        <v>1</v>
      </c>
    </row>
    <row r="1278" spans="1:9" ht="30" x14ac:dyDescent="0.25">
      <c r="A1278" s="54" t="s">
        <v>500</v>
      </c>
      <c r="B1278" s="31" t="s">
        <v>497</v>
      </c>
      <c r="C1278" s="28" t="s">
        <v>2027</v>
      </c>
      <c r="D1278" s="28"/>
      <c r="E1278" s="28" t="s">
        <v>1974</v>
      </c>
      <c r="F1278" s="28" t="b">
        <v>0</v>
      </c>
      <c r="G1278" s="28">
        <v>200</v>
      </c>
      <c r="H1278" s="28" t="b">
        <v>1</v>
      </c>
      <c r="I1278" s="34"/>
    </row>
    <row r="1279" spans="1:9" ht="30" x14ac:dyDescent="0.25">
      <c r="A1279" s="54" t="s">
        <v>500</v>
      </c>
      <c r="B1279" s="43" t="s">
        <v>652</v>
      </c>
      <c r="C1279" s="37" t="s">
        <v>2028</v>
      </c>
      <c r="D1279" s="37"/>
      <c r="E1279" s="37" t="s">
        <v>1974</v>
      </c>
      <c r="F1279" s="37" t="b">
        <v>0</v>
      </c>
      <c r="G1279" s="37">
        <v>200</v>
      </c>
      <c r="H1279" s="37" t="b">
        <v>1</v>
      </c>
    </row>
    <row r="1280" spans="1:9" ht="30" x14ac:dyDescent="0.25">
      <c r="A1280" s="54" t="s">
        <v>500</v>
      </c>
      <c r="B1280" s="31" t="s">
        <v>537</v>
      </c>
      <c r="C1280" s="28" t="s">
        <v>2029</v>
      </c>
      <c r="D1280" s="28"/>
      <c r="E1280" s="28" t="s">
        <v>1974</v>
      </c>
      <c r="F1280" s="28" t="b">
        <v>0</v>
      </c>
      <c r="G1280" s="28">
        <v>200</v>
      </c>
      <c r="H1280" s="28" t="b">
        <v>1</v>
      </c>
      <c r="I1280" s="34"/>
    </row>
    <row r="1281" spans="1:9" ht="30" x14ac:dyDescent="0.25">
      <c r="A1281" s="54" t="s">
        <v>500</v>
      </c>
      <c r="B1281" s="43" t="s">
        <v>543</v>
      </c>
      <c r="C1281" s="37" t="s">
        <v>2030</v>
      </c>
      <c r="D1281" s="37"/>
      <c r="E1281" s="37" t="s">
        <v>1974</v>
      </c>
      <c r="F1281" s="37" t="b">
        <v>0</v>
      </c>
      <c r="G1281" s="37">
        <v>200</v>
      </c>
      <c r="H1281" s="37" t="b">
        <v>1</v>
      </c>
    </row>
    <row r="1282" spans="1:9" ht="30" x14ac:dyDescent="0.25">
      <c r="A1282" s="54" t="s">
        <v>500</v>
      </c>
      <c r="B1282" s="31" t="s">
        <v>566</v>
      </c>
      <c r="C1282" s="28" t="s">
        <v>2031</v>
      </c>
      <c r="D1282" s="28"/>
      <c r="E1282" s="28" t="s">
        <v>1974</v>
      </c>
      <c r="F1282" s="28" t="b">
        <v>0</v>
      </c>
      <c r="G1282" s="28">
        <v>200</v>
      </c>
      <c r="H1282" s="28" t="b">
        <v>1</v>
      </c>
      <c r="I1282" s="34"/>
    </row>
    <row r="1283" spans="1:9" ht="30" x14ac:dyDescent="0.25">
      <c r="A1283" s="54" t="s">
        <v>500</v>
      </c>
      <c r="B1283" s="43" t="s">
        <v>601</v>
      </c>
      <c r="C1283" s="37" t="s">
        <v>2032</v>
      </c>
      <c r="D1283" s="37"/>
      <c r="E1283" s="37" t="s">
        <v>1974</v>
      </c>
      <c r="F1283" s="37" t="b">
        <v>0</v>
      </c>
      <c r="G1283" s="37">
        <v>200</v>
      </c>
      <c r="H1283" s="37" t="b">
        <v>1</v>
      </c>
    </row>
    <row r="1284" spans="1:9" ht="30" x14ac:dyDescent="0.25">
      <c r="A1284" s="54" t="s">
        <v>500</v>
      </c>
      <c r="B1284" s="31" t="s">
        <v>497</v>
      </c>
      <c r="C1284" s="28" t="s">
        <v>2027</v>
      </c>
      <c r="D1284" s="28"/>
      <c r="E1284" s="28" t="s">
        <v>1974</v>
      </c>
      <c r="F1284" s="28" t="b">
        <v>0</v>
      </c>
      <c r="G1284" s="28">
        <v>200</v>
      </c>
      <c r="H1284" s="28" t="b">
        <v>1</v>
      </c>
      <c r="I1284" s="34"/>
    </row>
    <row r="1285" spans="1:9" ht="30" x14ac:dyDescent="0.25">
      <c r="A1285" s="54" t="s">
        <v>500</v>
      </c>
      <c r="B1285" s="43" t="s">
        <v>652</v>
      </c>
      <c r="C1285" s="37" t="s">
        <v>2028</v>
      </c>
      <c r="D1285" s="37"/>
      <c r="E1285" s="37" t="s">
        <v>1974</v>
      </c>
      <c r="F1285" s="37" t="b">
        <v>0</v>
      </c>
      <c r="G1285" s="37">
        <v>200</v>
      </c>
      <c r="H1285" s="37" t="b">
        <v>1</v>
      </c>
    </row>
    <row r="1286" spans="1:9" ht="30" x14ac:dyDescent="0.25">
      <c r="A1286" s="54" t="s">
        <v>500</v>
      </c>
      <c r="B1286" s="31" t="s">
        <v>537</v>
      </c>
      <c r="C1286" s="28" t="s">
        <v>2029</v>
      </c>
      <c r="D1286" s="28"/>
      <c r="E1286" s="28" t="s">
        <v>1974</v>
      </c>
      <c r="F1286" s="28" t="b">
        <v>0</v>
      </c>
      <c r="G1286" s="28">
        <v>200</v>
      </c>
      <c r="H1286" s="28" t="b">
        <v>1</v>
      </c>
      <c r="I1286" s="34"/>
    </row>
    <row r="1287" spans="1:9" ht="30" x14ac:dyDescent="0.25">
      <c r="A1287" s="54" t="s">
        <v>500</v>
      </c>
      <c r="B1287" s="43" t="s">
        <v>543</v>
      </c>
      <c r="C1287" s="37" t="s">
        <v>2030</v>
      </c>
      <c r="D1287" s="37"/>
      <c r="E1287" s="37" t="s">
        <v>1974</v>
      </c>
      <c r="F1287" s="37" t="b">
        <v>0</v>
      </c>
      <c r="G1287" s="37">
        <v>200</v>
      </c>
      <c r="H1287" s="37" t="b">
        <v>1</v>
      </c>
    </row>
    <row r="1288" spans="1:9" ht="30" x14ac:dyDescent="0.25">
      <c r="A1288" s="54" t="s">
        <v>500</v>
      </c>
      <c r="B1288" s="31" t="s">
        <v>566</v>
      </c>
      <c r="C1288" s="28" t="s">
        <v>2031</v>
      </c>
      <c r="D1288" s="28"/>
      <c r="E1288" s="28" t="s">
        <v>1974</v>
      </c>
      <c r="F1288" s="28" t="b">
        <v>0</v>
      </c>
      <c r="G1288" s="28">
        <v>200</v>
      </c>
      <c r="H1288" s="28" t="b">
        <v>1</v>
      </c>
      <c r="I1288" s="34"/>
    </row>
    <row r="1289" spans="1:9" ht="30" x14ac:dyDescent="0.25">
      <c r="A1289" s="54" t="s">
        <v>500</v>
      </c>
      <c r="B1289" s="43" t="s">
        <v>601</v>
      </c>
      <c r="C1289" s="37" t="s">
        <v>2032</v>
      </c>
      <c r="D1289" s="37"/>
      <c r="E1289" s="37" t="s">
        <v>1974</v>
      </c>
      <c r="F1289" s="37" t="b">
        <v>0</v>
      </c>
      <c r="G1289" s="37">
        <v>200</v>
      </c>
      <c r="H1289" s="37" t="b">
        <v>1</v>
      </c>
    </row>
    <row r="1290" spans="1:9" ht="30" x14ac:dyDescent="0.25">
      <c r="A1290" s="54" t="s">
        <v>500</v>
      </c>
      <c r="B1290" s="31" t="s">
        <v>2755</v>
      </c>
      <c r="C1290" s="28" t="s">
        <v>2756</v>
      </c>
      <c r="D1290" s="28"/>
      <c r="E1290" s="28" t="s">
        <v>2012</v>
      </c>
      <c r="F1290" s="28" t="b">
        <v>0</v>
      </c>
      <c r="G1290" s="28"/>
      <c r="H1290" s="28" t="b">
        <v>1</v>
      </c>
      <c r="I1290" s="34"/>
    </row>
    <row r="1291" spans="1:9" ht="30" x14ac:dyDescent="0.25">
      <c r="A1291" s="54" t="s">
        <v>500</v>
      </c>
      <c r="B1291" s="43" t="s">
        <v>2757</v>
      </c>
      <c r="C1291" s="37" t="s">
        <v>2758</v>
      </c>
      <c r="D1291" s="37"/>
      <c r="E1291" s="37" t="s">
        <v>2012</v>
      </c>
      <c r="F1291" s="37" t="b">
        <v>0</v>
      </c>
      <c r="G1291" s="37"/>
      <c r="H1291" s="37" t="b">
        <v>1</v>
      </c>
    </row>
    <row r="1292" spans="1:9" ht="30" x14ac:dyDescent="0.25">
      <c r="A1292" s="54" t="s">
        <v>500</v>
      </c>
      <c r="B1292" s="31" t="s">
        <v>2759</v>
      </c>
      <c r="C1292" s="28" t="s">
        <v>2760</v>
      </c>
      <c r="D1292" s="28"/>
      <c r="E1292" s="28" t="s">
        <v>2012</v>
      </c>
      <c r="F1292" s="28" t="b">
        <v>0</v>
      </c>
      <c r="G1292" s="28"/>
      <c r="H1292" s="28" t="b">
        <v>1</v>
      </c>
      <c r="I1292" s="34"/>
    </row>
    <row r="1293" spans="1:9" ht="30" x14ac:dyDescent="0.25">
      <c r="A1293" s="54" t="s">
        <v>500</v>
      </c>
      <c r="B1293" s="43" t="s">
        <v>2761</v>
      </c>
      <c r="C1293" s="37" t="s">
        <v>2762</v>
      </c>
      <c r="D1293" s="37"/>
      <c r="E1293" s="37" t="s">
        <v>2012</v>
      </c>
      <c r="F1293" s="37" t="b">
        <v>0</v>
      </c>
      <c r="G1293" s="37"/>
      <c r="H1293" s="37" t="b">
        <v>1</v>
      </c>
    </row>
    <row r="1294" spans="1:9" ht="30" x14ac:dyDescent="0.25">
      <c r="A1294" s="54" t="s">
        <v>500</v>
      </c>
      <c r="B1294" s="31" t="s">
        <v>2763</v>
      </c>
      <c r="C1294" s="28" t="s">
        <v>2764</v>
      </c>
      <c r="D1294" s="28"/>
      <c r="E1294" s="28" t="s">
        <v>2012</v>
      </c>
      <c r="F1294" s="28" t="b">
        <v>0</v>
      </c>
      <c r="G1294" s="28"/>
      <c r="H1294" s="28" t="b">
        <v>1</v>
      </c>
      <c r="I1294" s="34"/>
    </row>
    <row r="1295" spans="1:9" ht="30" x14ac:dyDescent="0.25">
      <c r="A1295" s="54" t="s">
        <v>500</v>
      </c>
      <c r="B1295" s="43" t="s">
        <v>2765</v>
      </c>
      <c r="C1295" s="37" t="s">
        <v>2766</v>
      </c>
      <c r="D1295" s="37"/>
      <c r="E1295" s="37" t="s">
        <v>2012</v>
      </c>
      <c r="F1295" s="37" t="b">
        <v>0</v>
      </c>
      <c r="G1295" s="37"/>
      <c r="H1295" s="37" t="b">
        <v>1</v>
      </c>
    </row>
    <row r="1296" spans="1:9" ht="30" x14ac:dyDescent="0.25">
      <c r="A1296" s="54" t="s">
        <v>500</v>
      </c>
      <c r="B1296" s="31" t="s">
        <v>2767</v>
      </c>
      <c r="C1296" s="28" t="s">
        <v>2768</v>
      </c>
      <c r="D1296" s="28"/>
      <c r="E1296" s="28" t="s">
        <v>2012</v>
      </c>
      <c r="F1296" s="28" t="b">
        <v>0</v>
      </c>
      <c r="G1296" s="28"/>
      <c r="H1296" s="28" t="b">
        <v>1</v>
      </c>
      <c r="I1296" s="34"/>
    </row>
    <row r="1297" spans="1:9" ht="30" x14ac:dyDescent="0.25">
      <c r="A1297" s="54" t="s">
        <v>500</v>
      </c>
      <c r="B1297" s="43" t="s">
        <v>2769</v>
      </c>
      <c r="C1297" s="37" t="s">
        <v>2770</v>
      </c>
      <c r="D1297" s="37"/>
      <c r="E1297" s="37" t="s">
        <v>2012</v>
      </c>
      <c r="F1297" s="37" t="b">
        <v>0</v>
      </c>
      <c r="G1297" s="37"/>
      <c r="H1297" s="37" t="b">
        <v>1</v>
      </c>
    </row>
    <row r="1298" spans="1:9" ht="30" x14ac:dyDescent="0.25">
      <c r="A1298" s="54" t="s">
        <v>500</v>
      </c>
      <c r="B1298" s="31" t="s">
        <v>2771</v>
      </c>
      <c r="C1298" s="28" t="s">
        <v>2772</v>
      </c>
      <c r="D1298" s="28"/>
      <c r="E1298" s="28" t="s">
        <v>2012</v>
      </c>
      <c r="F1298" s="28" t="b">
        <v>0</v>
      </c>
      <c r="G1298" s="28"/>
      <c r="H1298" s="28" t="b">
        <v>1</v>
      </c>
      <c r="I1298" s="34"/>
    </row>
    <row r="1299" spans="1:9" ht="30" x14ac:dyDescent="0.25">
      <c r="A1299" s="54" t="s">
        <v>500</v>
      </c>
      <c r="B1299" s="43" t="s">
        <v>2773</v>
      </c>
      <c r="C1299" s="37" t="s">
        <v>2774</v>
      </c>
      <c r="D1299" s="37"/>
      <c r="E1299" s="37" t="s">
        <v>2012</v>
      </c>
      <c r="F1299" s="37" t="b">
        <v>0</v>
      </c>
      <c r="G1299" s="37"/>
      <c r="H1299" s="37" t="b">
        <v>1</v>
      </c>
    </row>
    <row r="1300" spans="1:9" ht="30" x14ac:dyDescent="0.25">
      <c r="A1300" s="54" t="s">
        <v>500</v>
      </c>
      <c r="B1300" s="31" t="s">
        <v>2775</v>
      </c>
      <c r="C1300" s="28" t="s">
        <v>2776</v>
      </c>
      <c r="D1300" s="28"/>
      <c r="E1300" s="28" t="s">
        <v>2012</v>
      </c>
      <c r="F1300" s="28" t="b">
        <v>0</v>
      </c>
      <c r="G1300" s="28"/>
      <c r="H1300" s="28" t="b">
        <v>1</v>
      </c>
      <c r="I1300" s="34"/>
    </row>
    <row r="1301" spans="1:9" ht="30" x14ac:dyDescent="0.25">
      <c r="A1301" s="54" t="s">
        <v>500</v>
      </c>
      <c r="B1301" s="43" t="s">
        <v>2777</v>
      </c>
      <c r="C1301" s="37" t="s">
        <v>2762</v>
      </c>
      <c r="D1301" s="37"/>
      <c r="E1301" s="37" t="s">
        <v>2012</v>
      </c>
      <c r="F1301" s="37" t="b">
        <v>0</v>
      </c>
      <c r="G1301" s="37"/>
      <c r="H1301" s="37" t="b">
        <v>1</v>
      </c>
    </row>
    <row r="1302" spans="1:9" ht="30" x14ac:dyDescent="0.25">
      <c r="A1302" s="54" t="s">
        <v>500</v>
      </c>
      <c r="B1302" s="31" t="s">
        <v>2778</v>
      </c>
      <c r="C1302" s="28" t="s">
        <v>2779</v>
      </c>
      <c r="D1302" s="28"/>
      <c r="E1302" s="28" t="s">
        <v>2012</v>
      </c>
      <c r="F1302" s="28" t="b">
        <v>0</v>
      </c>
      <c r="G1302" s="28"/>
      <c r="H1302" s="28" t="b">
        <v>1</v>
      </c>
      <c r="I1302" s="34"/>
    </row>
    <row r="1303" spans="1:9" ht="30" x14ac:dyDescent="0.25">
      <c r="A1303" s="54" t="s">
        <v>500</v>
      </c>
      <c r="B1303" s="43" t="s">
        <v>2780</v>
      </c>
      <c r="C1303" s="37" t="s">
        <v>2781</v>
      </c>
      <c r="D1303" s="37"/>
      <c r="E1303" s="37" t="s">
        <v>2012</v>
      </c>
      <c r="F1303" s="37" t="b">
        <v>0</v>
      </c>
      <c r="G1303" s="37"/>
      <c r="H1303" s="37" t="b">
        <v>1</v>
      </c>
    </row>
    <row r="1304" spans="1:9" ht="30" x14ac:dyDescent="0.25">
      <c r="A1304" s="54" t="s">
        <v>500</v>
      </c>
      <c r="B1304" s="31" t="s">
        <v>2782</v>
      </c>
      <c r="C1304" s="28" t="s">
        <v>2783</v>
      </c>
      <c r="D1304" s="28"/>
      <c r="E1304" s="28" t="s">
        <v>2012</v>
      </c>
      <c r="F1304" s="28" t="b">
        <v>0</v>
      </c>
      <c r="G1304" s="28"/>
      <c r="H1304" s="28" t="b">
        <v>1</v>
      </c>
      <c r="I1304" s="34"/>
    </row>
    <row r="1305" spans="1:9" ht="30" x14ac:dyDescent="0.25">
      <c r="A1305" s="54" t="s">
        <v>500</v>
      </c>
      <c r="B1305" s="43" t="s">
        <v>2784</v>
      </c>
      <c r="C1305" s="37" t="s">
        <v>2785</v>
      </c>
      <c r="D1305" s="37"/>
      <c r="E1305" s="37" t="s">
        <v>2012</v>
      </c>
      <c r="F1305" s="37" t="b">
        <v>0</v>
      </c>
      <c r="G1305" s="37"/>
      <c r="H1305" s="37" t="b">
        <v>1</v>
      </c>
    </row>
    <row r="1306" spans="1:9" ht="30" x14ac:dyDescent="0.25">
      <c r="A1306" s="54" t="s">
        <v>500</v>
      </c>
      <c r="B1306" s="31" t="s">
        <v>2786</v>
      </c>
      <c r="C1306" s="28" t="s">
        <v>2787</v>
      </c>
      <c r="D1306" s="28"/>
      <c r="E1306" s="28" t="s">
        <v>2012</v>
      </c>
      <c r="F1306" s="28" t="b">
        <v>0</v>
      </c>
      <c r="G1306" s="28"/>
      <c r="H1306" s="28" t="b">
        <v>1</v>
      </c>
      <c r="I1306" s="34"/>
    </row>
    <row r="1307" spans="1:9" ht="30" x14ac:dyDescent="0.25">
      <c r="A1307" s="54" t="s">
        <v>500</v>
      </c>
      <c r="B1307" s="43" t="s">
        <v>2788</v>
      </c>
      <c r="C1307" s="37" t="s">
        <v>2789</v>
      </c>
      <c r="D1307" s="37"/>
      <c r="E1307" s="37" t="s">
        <v>2012</v>
      </c>
      <c r="F1307" s="37" t="b">
        <v>0</v>
      </c>
      <c r="G1307" s="37"/>
      <c r="H1307" s="37" t="b">
        <v>1</v>
      </c>
    </row>
    <row r="1308" spans="1:9" ht="30" x14ac:dyDescent="0.25">
      <c r="A1308" s="54" t="s">
        <v>500</v>
      </c>
      <c r="B1308" s="31" t="s">
        <v>2790</v>
      </c>
      <c r="C1308" s="28" t="s">
        <v>2791</v>
      </c>
      <c r="D1308" s="28"/>
      <c r="E1308" s="28" t="s">
        <v>2012</v>
      </c>
      <c r="F1308" s="28" t="b">
        <v>0</v>
      </c>
      <c r="G1308" s="28"/>
      <c r="H1308" s="28" t="b">
        <v>1</v>
      </c>
      <c r="I1308" s="34"/>
    </row>
    <row r="1309" spans="1:9" ht="30" x14ac:dyDescent="0.25">
      <c r="A1309" s="54" t="s">
        <v>500</v>
      </c>
      <c r="B1309" s="43" t="s">
        <v>2792</v>
      </c>
      <c r="C1309" s="37" t="s">
        <v>2793</v>
      </c>
      <c r="D1309" s="37"/>
      <c r="E1309" s="37" t="s">
        <v>2012</v>
      </c>
      <c r="F1309" s="37" t="b">
        <v>0</v>
      </c>
      <c r="G1309" s="37"/>
      <c r="H1309" s="37" t="b">
        <v>1</v>
      </c>
    </row>
    <row r="1310" spans="1:9" ht="30" x14ac:dyDescent="0.25">
      <c r="A1310" s="54" t="s">
        <v>500</v>
      </c>
      <c r="B1310" s="31" t="s">
        <v>2788</v>
      </c>
      <c r="C1310" s="28" t="s">
        <v>2789</v>
      </c>
      <c r="D1310" s="28"/>
      <c r="E1310" s="28" t="s">
        <v>2012</v>
      </c>
      <c r="F1310" s="28" t="b">
        <v>0</v>
      </c>
      <c r="G1310" s="28"/>
      <c r="H1310" s="28" t="b">
        <v>1</v>
      </c>
      <c r="I1310" s="34"/>
    </row>
    <row r="1311" spans="1:9" ht="30" x14ac:dyDescent="0.25">
      <c r="A1311" s="54" t="s">
        <v>500</v>
      </c>
      <c r="B1311" s="43" t="s">
        <v>2792</v>
      </c>
      <c r="C1311" s="37" t="s">
        <v>2793</v>
      </c>
      <c r="D1311" s="37"/>
      <c r="E1311" s="37" t="s">
        <v>2012</v>
      </c>
      <c r="F1311" s="37" t="b">
        <v>0</v>
      </c>
      <c r="G1311" s="37"/>
      <c r="H1311" s="37" t="b">
        <v>1</v>
      </c>
    </row>
    <row r="1312" spans="1:9" ht="30" x14ac:dyDescent="0.25">
      <c r="A1312" s="54" t="s">
        <v>500</v>
      </c>
      <c r="B1312" s="31" t="s">
        <v>2794</v>
      </c>
      <c r="C1312" s="28" t="s">
        <v>2795</v>
      </c>
      <c r="D1312" s="28"/>
      <c r="E1312" s="28" t="s">
        <v>2012</v>
      </c>
      <c r="F1312" s="28" t="b">
        <v>0</v>
      </c>
      <c r="G1312" s="28"/>
      <c r="H1312" s="28" t="b">
        <v>1</v>
      </c>
      <c r="I1312" s="34"/>
    </row>
    <row r="1313" spans="1:9" ht="30" x14ac:dyDescent="0.25">
      <c r="A1313" s="54" t="s">
        <v>500</v>
      </c>
      <c r="B1313" s="43" t="s">
        <v>2790</v>
      </c>
      <c r="C1313" s="37" t="s">
        <v>2796</v>
      </c>
      <c r="D1313" s="37"/>
      <c r="E1313" s="37" t="s">
        <v>2012</v>
      </c>
      <c r="F1313" s="37" t="b">
        <v>0</v>
      </c>
      <c r="G1313" s="37"/>
      <c r="H1313" s="37" t="b">
        <v>1</v>
      </c>
    </row>
    <row r="1314" spans="1:9" ht="30" x14ac:dyDescent="0.25">
      <c r="A1314" s="54" t="s">
        <v>500</v>
      </c>
      <c r="B1314" s="31" t="s">
        <v>2759</v>
      </c>
      <c r="C1314" s="28" t="s">
        <v>2760</v>
      </c>
      <c r="D1314" s="28"/>
      <c r="E1314" s="28" t="s">
        <v>2012</v>
      </c>
      <c r="F1314" s="28" t="b">
        <v>0</v>
      </c>
      <c r="G1314" s="28"/>
      <c r="H1314" s="28" t="b">
        <v>1</v>
      </c>
      <c r="I1314" s="34"/>
    </row>
    <row r="1315" spans="1:9" ht="30" x14ac:dyDescent="0.25">
      <c r="A1315" s="54" t="s">
        <v>500</v>
      </c>
      <c r="B1315" s="43" t="s">
        <v>2777</v>
      </c>
      <c r="C1315" s="37" t="s">
        <v>2762</v>
      </c>
      <c r="D1315" s="37"/>
      <c r="E1315" s="37" t="s">
        <v>2012</v>
      </c>
      <c r="F1315" s="37" t="b">
        <v>0</v>
      </c>
      <c r="G1315" s="37"/>
      <c r="H1315" s="37" t="b">
        <v>1</v>
      </c>
    </row>
    <row r="1316" spans="1:9" ht="30" x14ac:dyDescent="0.25">
      <c r="A1316" s="54" t="s">
        <v>500</v>
      </c>
      <c r="B1316" s="31" t="s">
        <v>2763</v>
      </c>
      <c r="C1316" s="28" t="s">
        <v>2764</v>
      </c>
      <c r="D1316" s="28"/>
      <c r="E1316" s="28" t="s">
        <v>2012</v>
      </c>
      <c r="F1316" s="28" t="b">
        <v>0</v>
      </c>
      <c r="G1316" s="28"/>
      <c r="H1316" s="28" t="b">
        <v>1</v>
      </c>
      <c r="I1316" s="34"/>
    </row>
    <row r="1317" spans="1:9" ht="30" x14ac:dyDescent="0.25">
      <c r="A1317" s="54" t="s">
        <v>500</v>
      </c>
      <c r="B1317" s="43" t="s">
        <v>2765</v>
      </c>
      <c r="C1317" s="37" t="s">
        <v>2766</v>
      </c>
      <c r="D1317" s="37"/>
      <c r="E1317" s="37" t="s">
        <v>2012</v>
      </c>
      <c r="F1317" s="37" t="b">
        <v>0</v>
      </c>
      <c r="G1317" s="37"/>
      <c r="H1317" s="37" t="b">
        <v>1</v>
      </c>
    </row>
    <row r="1318" spans="1:9" ht="30" x14ac:dyDescent="0.25">
      <c r="A1318" s="54" t="s">
        <v>500</v>
      </c>
      <c r="B1318" s="31" t="s">
        <v>2775</v>
      </c>
      <c r="C1318" s="28" t="s">
        <v>2776</v>
      </c>
      <c r="D1318" s="28"/>
      <c r="E1318" s="28" t="s">
        <v>2012</v>
      </c>
      <c r="F1318" s="28" t="b">
        <v>0</v>
      </c>
      <c r="G1318" s="28"/>
      <c r="H1318" s="28" t="b">
        <v>1</v>
      </c>
      <c r="I1318" s="34"/>
    </row>
    <row r="1319" spans="1:9" ht="30" x14ac:dyDescent="0.25">
      <c r="A1319" s="54" t="s">
        <v>500</v>
      </c>
      <c r="B1319" s="43" t="s">
        <v>2777</v>
      </c>
      <c r="C1319" s="37" t="s">
        <v>2762</v>
      </c>
      <c r="D1319" s="37"/>
      <c r="E1319" s="37" t="s">
        <v>2012</v>
      </c>
      <c r="F1319" s="37" t="b">
        <v>0</v>
      </c>
      <c r="G1319" s="37"/>
      <c r="H1319" s="37" t="b">
        <v>1</v>
      </c>
    </row>
    <row r="1320" spans="1:9" ht="30" x14ac:dyDescent="0.25">
      <c r="A1320" s="54" t="s">
        <v>500</v>
      </c>
      <c r="B1320" s="31" t="s">
        <v>2797</v>
      </c>
      <c r="C1320" s="28" t="s">
        <v>2779</v>
      </c>
      <c r="D1320" s="28"/>
      <c r="E1320" s="28" t="s">
        <v>2012</v>
      </c>
      <c r="F1320" s="28" t="b">
        <v>0</v>
      </c>
      <c r="G1320" s="28"/>
      <c r="H1320" s="28" t="b">
        <v>1</v>
      </c>
      <c r="I1320" s="34"/>
    </row>
    <row r="1321" spans="1:9" ht="30" x14ac:dyDescent="0.25">
      <c r="A1321" s="54" t="s">
        <v>500</v>
      </c>
      <c r="B1321" s="43" t="s">
        <v>2798</v>
      </c>
      <c r="C1321" s="37" t="s">
        <v>2799</v>
      </c>
      <c r="D1321" s="37"/>
      <c r="E1321" s="37" t="s">
        <v>2012</v>
      </c>
      <c r="F1321" s="37" t="b">
        <v>0</v>
      </c>
      <c r="G1321" s="37"/>
      <c r="H1321" s="37" t="b">
        <v>1</v>
      </c>
    </row>
    <row r="1322" spans="1:9" ht="30" x14ac:dyDescent="0.25">
      <c r="A1322" s="54" t="s">
        <v>500</v>
      </c>
      <c r="B1322" s="31" t="s">
        <v>2800</v>
      </c>
      <c r="C1322" s="28" t="s">
        <v>2801</v>
      </c>
      <c r="D1322" s="28"/>
      <c r="E1322" s="28" t="s">
        <v>2012</v>
      </c>
      <c r="F1322" s="28" t="b">
        <v>0</v>
      </c>
      <c r="G1322" s="28"/>
      <c r="H1322" s="28" t="b">
        <v>1</v>
      </c>
      <c r="I1322" s="34"/>
    </row>
    <row r="1323" spans="1:9" ht="30" x14ac:dyDescent="0.25">
      <c r="A1323" s="54" t="s">
        <v>500</v>
      </c>
      <c r="B1323" s="43" t="s">
        <v>2802</v>
      </c>
      <c r="C1323" s="37" t="s">
        <v>2803</v>
      </c>
      <c r="D1323" s="37"/>
      <c r="E1323" s="37" t="s">
        <v>2012</v>
      </c>
      <c r="F1323" s="37" t="b">
        <v>0</v>
      </c>
      <c r="G1323" s="37"/>
      <c r="H1323" s="37" t="b">
        <v>1</v>
      </c>
    </row>
    <row r="1324" spans="1:9" ht="30" x14ac:dyDescent="0.25">
      <c r="A1324" s="54" t="s">
        <v>500</v>
      </c>
      <c r="B1324" s="31" t="s">
        <v>2804</v>
      </c>
      <c r="C1324" s="28" t="s">
        <v>2805</v>
      </c>
      <c r="D1324" s="28"/>
      <c r="E1324" s="28" t="s">
        <v>2012</v>
      </c>
      <c r="F1324" s="28" t="b">
        <v>0</v>
      </c>
      <c r="G1324" s="28"/>
      <c r="H1324" s="28" t="b">
        <v>1</v>
      </c>
      <c r="I1324" s="34"/>
    </row>
    <row r="1325" spans="1:9" ht="30" x14ac:dyDescent="0.25">
      <c r="A1325" s="54" t="s">
        <v>500</v>
      </c>
      <c r="B1325" s="43" t="s">
        <v>2806</v>
      </c>
      <c r="C1325" s="37" t="s">
        <v>2807</v>
      </c>
      <c r="D1325" s="37"/>
      <c r="E1325" s="37" t="s">
        <v>2012</v>
      </c>
      <c r="F1325" s="37" t="b">
        <v>0</v>
      </c>
      <c r="G1325" s="37"/>
      <c r="H1325" s="37" t="b">
        <v>1</v>
      </c>
    </row>
    <row r="1326" spans="1:9" ht="30" x14ac:dyDescent="0.25">
      <c r="A1326" s="54" t="s">
        <v>500</v>
      </c>
      <c r="B1326" s="31" t="s">
        <v>2808</v>
      </c>
      <c r="C1326" s="28" t="s">
        <v>2809</v>
      </c>
      <c r="D1326" s="28"/>
      <c r="E1326" s="28" t="s">
        <v>2012</v>
      </c>
      <c r="F1326" s="28" t="b">
        <v>0</v>
      </c>
      <c r="G1326" s="28"/>
      <c r="H1326" s="28" t="b">
        <v>1</v>
      </c>
      <c r="I1326" s="34"/>
    </row>
    <row r="1327" spans="1:9" ht="30" x14ac:dyDescent="0.25">
      <c r="A1327" s="54" t="s">
        <v>500</v>
      </c>
      <c r="B1327" s="43" t="s">
        <v>2810</v>
      </c>
      <c r="C1327" s="37" t="s">
        <v>2811</v>
      </c>
      <c r="D1327" s="37"/>
      <c r="E1327" s="37" t="s">
        <v>2012</v>
      </c>
      <c r="F1327" s="37" t="b">
        <v>0</v>
      </c>
      <c r="G1327" s="37"/>
      <c r="H1327" s="37" t="b">
        <v>1</v>
      </c>
    </row>
    <row r="1328" spans="1:9" ht="30" x14ac:dyDescent="0.25">
      <c r="A1328" s="54" t="s">
        <v>500</v>
      </c>
      <c r="B1328" s="31" t="s">
        <v>2812</v>
      </c>
      <c r="C1328" s="28" t="s">
        <v>2813</v>
      </c>
      <c r="D1328" s="28"/>
      <c r="E1328" s="28" t="s">
        <v>2012</v>
      </c>
      <c r="F1328" s="28" t="b">
        <v>0</v>
      </c>
      <c r="G1328" s="28"/>
      <c r="H1328" s="28" t="b">
        <v>1</v>
      </c>
      <c r="I1328" s="34"/>
    </row>
    <row r="1329" spans="1:9" ht="30" x14ac:dyDescent="0.25">
      <c r="A1329" s="54" t="s">
        <v>500</v>
      </c>
      <c r="B1329" s="43" t="s">
        <v>2814</v>
      </c>
      <c r="C1329" s="37" t="s">
        <v>2815</v>
      </c>
      <c r="D1329" s="37"/>
      <c r="E1329" s="37" t="s">
        <v>2012</v>
      </c>
      <c r="F1329" s="37" t="b">
        <v>0</v>
      </c>
      <c r="G1329" s="37"/>
      <c r="H1329" s="37" t="b">
        <v>1</v>
      </c>
    </row>
    <row r="1330" spans="1:9" ht="45" x14ac:dyDescent="0.25">
      <c r="A1330" s="54" t="s">
        <v>500</v>
      </c>
      <c r="B1330" s="31" t="s">
        <v>2816</v>
      </c>
      <c r="C1330" s="28" t="s">
        <v>2817</v>
      </c>
      <c r="D1330" s="28"/>
      <c r="E1330" s="28" t="s">
        <v>2012</v>
      </c>
      <c r="F1330" s="28" t="b">
        <v>0</v>
      </c>
      <c r="G1330" s="28"/>
      <c r="H1330" s="28" t="b">
        <v>1</v>
      </c>
      <c r="I1330" s="34"/>
    </row>
    <row r="1331" spans="1:9" ht="30" x14ac:dyDescent="0.25">
      <c r="A1331" s="54" t="s">
        <v>500</v>
      </c>
      <c r="B1331" s="43" t="s">
        <v>2818</v>
      </c>
      <c r="C1331" s="37" t="s">
        <v>2819</v>
      </c>
      <c r="D1331" s="37"/>
      <c r="E1331" s="37" t="s">
        <v>2012</v>
      </c>
      <c r="F1331" s="37" t="b">
        <v>0</v>
      </c>
      <c r="G1331" s="37"/>
      <c r="H1331" s="37" t="b">
        <v>1</v>
      </c>
    </row>
    <row r="1332" spans="1:9" ht="30" x14ac:dyDescent="0.25">
      <c r="A1332" s="54" t="s">
        <v>500</v>
      </c>
      <c r="B1332" s="31" t="s">
        <v>2812</v>
      </c>
      <c r="C1332" s="28" t="s">
        <v>2813</v>
      </c>
      <c r="D1332" s="28"/>
      <c r="E1332" s="28" t="s">
        <v>2012</v>
      </c>
      <c r="F1332" s="28" t="b">
        <v>0</v>
      </c>
      <c r="G1332" s="28"/>
      <c r="H1332" s="28" t="b">
        <v>1</v>
      </c>
      <c r="I1332" s="34"/>
    </row>
    <row r="1333" spans="1:9" ht="30" x14ac:dyDescent="0.25">
      <c r="A1333" s="54" t="s">
        <v>500</v>
      </c>
      <c r="B1333" s="43" t="s">
        <v>2820</v>
      </c>
      <c r="C1333" s="37" t="s">
        <v>2821</v>
      </c>
      <c r="D1333" s="37"/>
      <c r="E1333" s="37" t="s">
        <v>2012</v>
      </c>
      <c r="F1333" s="37" t="b">
        <v>0</v>
      </c>
      <c r="G1333" s="37"/>
      <c r="H1333" s="37" t="b">
        <v>1</v>
      </c>
    </row>
    <row r="1334" spans="1:9" ht="30" x14ac:dyDescent="0.25">
      <c r="A1334" s="54" t="s">
        <v>500</v>
      </c>
      <c r="B1334" s="31" t="s">
        <v>2822</v>
      </c>
      <c r="C1334" s="28" t="s">
        <v>2823</v>
      </c>
      <c r="D1334" s="28"/>
      <c r="E1334" s="28" t="s">
        <v>2012</v>
      </c>
      <c r="F1334" s="28" t="b">
        <v>0</v>
      </c>
      <c r="G1334" s="28"/>
      <c r="H1334" s="28" t="b">
        <v>1</v>
      </c>
      <c r="I1334" s="34"/>
    </row>
    <row r="1335" spans="1:9" ht="30" x14ac:dyDescent="0.25">
      <c r="A1335" s="54" t="s">
        <v>500</v>
      </c>
      <c r="B1335" s="43" t="s">
        <v>647</v>
      </c>
      <c r="C1335" s="37" t="s">
        <v>2010</v>
      </c>
      <c r="D1335" s="37"/>
      <c r="E1335" s="37" t="s">
        <v>1974</v>
      </c>
      <c r="F1335" s="37" t="b">
        <v>0</v>
      </c>
      <c r="G1335" s="37">
        <v>200</v>
      </c>
      <c r="H1335" s="37" t="b">
        <v>1</v>
      </c>
    </row>
    <row r="1336" spans="1:9" ht="30" x14ac:dyDescent="0.25">
      <c r="A1336" s="54" t="s">
        <v>500</v>
      </c>
      <c r="B1336" s="31" t="s">
        <v>2011</v>
      </c>
      <c r="C1336" s="28"/>
      <c r="D1336" s="28"/>
      <c r="E1336" s="28" t="s">
        <v>2012</v>
      </c>
      <c r="F1336" s="28" t="b">
        <v>0</v>
      </c>
      <c r="G1336" s="28"/>
      <c r="H1336" s="28" t="b">
        <v>1</v>
      </c>
      <c r="I1336" s="34"/>
    </row>
    <row r="1337" spans="1:9" ht="30" x14ac:dyDescent="0.25">
      <c r="A1337" s="54" t="s">
        <v>500</v>
      </c>
      <c r="B1337" s="43" t="s">
        <v>2013</v>
      </c>
      <c r="C1337" s="37"/>
      <c r="D1337" s="37"/>
      <c r="E1337" s="37" t="s">
        <v>2012</v>
      </c>
      <c r="F1337" s="37" t="b">
        <v>0</v>
      </c>
      <c r="G1337" s="37"/>
      <c r="H1337" s="37" t="b">
        <v>1</v>
      </c>
    </row>
    <row r="1338" spans="1:9" ht="30" x14ac:dyDescent="0.25">
      <c r="A1338" s="54" t="s">
        <v>500</v>
      </c>
      <c r="B1338" s="31" t="s">
        <v>2033</v>
      </c>
      <c r="C1338" s="28"/>
      <c r="D1338" s="28"/>
      <c r="E1338" s="28" t="s">
        <v>2012</v>
      </c>
      <c r="F1338" s="28" t="b">
        <v>0</v>
      </c>
      <c r="G1338" s="28"/>
      <c r="H1338" s="28" t="b">
        <v>1</v>
      </c>
      <c r="I1338" s="34"/>
    </row>
    <row r="1339" spans="1:9" ht="30" x14ac:dyDescent="0.25">
      <c r="A1339" s="54" t="s">
        <v>500</v>
      </c>
      <c r="B1339" s="43" t="s">
        <v>641</v>
      </c>
      <c r="C1339" s="37" t="s">
        <v>2034</v>
      </c>
      <c r="D1339" s="37"/>
      <c r="E1339" s="37" t="s">
        <v>1974</v>
      </c>
      <c r="F1339" s="37" t="b">
        <v>0</v>
      </c>
      <c r="G1339" s="37">
        <v>200</v>
      </c>
      <c r="H1339" s="37" t="b">
        <v>1</v>
      </c>
    </row>
    <row r="1340" spans="1:9" ht="30" x14ac:dyDescent="0.25">
      <c r="A1340" s="54" t="s">
        <v>500</v>
      </c>
      <c r="B1340" s="31" t="s">
        <v>2015</v>
      </c>
      <c r="C1340" s="28" t="s">
        <v>2016</v>
      </c>
      <c r="D1340" s="28"/>
      <c r="E1340" s="28" t="s">
        <v>1974</v>
      </c>
      <c r="F1340" s="28" t="b">
        <v>0</v>
      </c>
      <c r="G1340" s="28">
        <v>404</v>
      </c>
      <c r="H1340" s="28" t="b">
        <v>0</v>
      </c>
      <c r="I1340" s="34"/>
    </row>
    <row r="1341" spans="1:9" ht="30" x14ac:dyDescent="0.25">
      <c r="A1341" s="54" t="s">
        <v>500</v>
      </c>
      <c r="B1341" s="43" t="s">
        <v>2015</v>
      </c>
      <c r="C1341" s="37" t="s">
        <v>2017</v>
      </c>
      <c r="D1341" s="37"/>
      <c r="E1341" s="37" t="s">
        <v>1974</v>
      </c>
      <c r="F1341" s="37" t="b">
        <v>0</v>
      </c>
      <c r="G1341" s="37">
        <v>404</v>
      </c>
      <c r="H1341" s="37" t="b">
        <v>0</v>
      </c>
    </row>
    <row r="1342" spans="1:9" ht="30" x14ac:dyDescent="0.25">
      <c r="A1342" s="54" t="s">
        <v>497</v>
      </c>
      <c r="B1342" s="31" t="s">
        <v>2025</v>
      </c>
      <c r="C1342" s="28"/>
      <c r="D1342" s="28"/>
      <c r="E1342" s="28" t="s">
        <v>2012</v>
      </c>
      <c r="F1342" s="28" t="b">
        <v>0</v>
      </c>
      <c r="G1342" s="28"/>
      <c r="H1342" s="28" t="b">
        <v>1</v>
      </c>
      <c r="I1342" s="34"/>
    </row>
    <row r="1343" spans="1:9" ht="30" x14ac:dyDescent="0.25">
      <c r="A1343" s="54" t="s">
        <v>497</v>
      </c>
      <c r="B1343" s="43" t="s">
        <v>127</v>
      </c>
      <c r="C1343" s="37" t="s">
        <v>1975</v>
      </c>
      <c r="D1343" s="37"/>
      <c r="E1343" s="37" t="s">
        <v>1974</v>
      </c>
      <c r="F1343" s="37" t="b">
        <v>0</v>
      </c>
      <c r="G1343" s="37">
        <v>200</v>
      </c>
      <c r="H1343" s="37" t="b">
        <v>1</v>
      </c>
    </row>
    <row r="1344" spans="1:9" ht="30" x14ac:dyDescent="0.25">
      <c r="A1344" s="54" t="s">
        <v>497</v>
      </c>
      <c r="B1344" s="31" t="s">
        <v>135</v>
      </c>
      <c r="C1344" s="28" t="s">
        <v>1976</v>
      </c>
      <c r="D1344" s="28"/>
      <c r="E1344" s="28" t="s">
        <v>1974</v>
      </c>
      <c r="F1344" s="28" t="b">
        <v>0</v>
      </c>
      <c r="G1344" s="28">
        <v>200</v>
      </c>
      <c r="H1344" s="28" t="b">
        <v>1</v>
      </c>
      <c r="I1344" s="34"/>
    </row>
    <row r="1345" spans="1:9" ht="30" x14ac:dyDescent="0.25">
      <c r="A1345" s="54" t="s">
        <v>497</v>
      </c>
      <c r="B1345" s="43" t="s">
        <v>655</v>
      </c>
      <c r="C1345" s="37" t="s">
        <v>1977</v>
      </c>
      <c r="D1345" s="37"/>
      <c r="E1345" s="37" t="s">
        <v>1974</v>
      </c>
      <c r="F1345" s="37" t="b">
        <v>0</v>
      </c>
      <c r="G1345" s="37">
        <v>200</v>
      </c>
      <c r="H1345" s="37" t="b">
        <v>1</v>
      </c>
    </row>
    <row r="1346" spans="1:9" ht="30" x14ac:dyDescent="0.25">
      <c r="A1346" s="54" t="s">
        <v>497</v>
      </c>
      <c r="B1346" s="31" t="s">
        <v>635</v>
      </c>
      <c r="C1346" s="28" t="s">
        <v>1978</v>
      </c>
      <c r="D1346" s="28"/>
      <c r="E1346" s="28" t="s">
        <v>1974</v>
      </c>
      <c r="F1346" s="28" t="b">
        <v>0</v>
      </c>
      <c r="G1346" s="28">
        <v>200</v>
      </c>
      <c r="H1346" s="28" t="b">
        <v>1</v>
      </c>
      <c r="I1346" s="34"/>
    </row>
    <row r="1347" spans="1:9" ht="30" x14ac:dyDescent="0.25">
      <c r="A1347" s="54" t="s">
        <v>497</v>
      </c>
      <c r="B1347" s="43" t="s">
        <v>144</v>
      </c>
      <c r="C1347" s="37" t="s">
        <v>1979</v>
      </c>
      <c r="D1347" s="37"/>
      <c r="E1347" s="37" t="s">
        <v>1974</v>
      </c>
      <c r="F1347" s="37" t="b">
        <v>0</v>
      </c>
      <c r="G1347" s="37">
        <v>200</v>
      </c>
      <c r="H1347" s="37" t="b">
        <v>1</v>
      </c>
    </row>
    <row r="1348" spans="1:9" ht="30" x14ac:dyDescent="0.25">
      <c r="A1348" s="54" t="s">
        <v>497</v>
      </c>
      <c r="B1348" s="31" t="s">
        <v>618</v>
      </c>
      <c r="C1348" s="28" t="s">
        <v>1980</v>
      </c>
      <c r="D1348" s="28"/>
      <c r="E1348" s="28" t="s">
        <v>1974</v>
      </c>
      <c r="F1348" s="28" t="b">
        <v>0</v>
      </c>
      <c r="G1348" s="28">
        <v>200</v>
      </c>
      <c r="H1348" s="28" t="b">
        <v>1</v>
      </c>
      <c r="I1348" s="34"/>
    </row>
    <row r="1349" spans="1:9" ht="30" x14ac:dyDescent="0.25">
      <c r="A1349" s="54" t="s">
        <v>497</v>
      </c>
      <c r="B1349" s="43" t="s">
        <v>585</v>
      </c>
      <c r="C1349" s="37" t="s">
        <v>1981</v>
      </c>
      <c r="D1349" s="37"/>
      <c r="E1349" s="37" t="s">
        <v>1974</v>
      </c>
      <c r="F1349" s="37" t="b">
        <v>0</v>
      </c>
      <c r="G1349" s="37">
        <v>200</v>
      </c>
      <c r="H1349" s="37" t="b">
        <v>1</v>
      </c>
    </row>
    <row r="1350" spans="1:9" ht="30" x14ac:dyDescent="0.25">
      <c r="A1350" s="54" t="s">
        <v>497</v>
      </c>
      <c r="B1350" s="31" t="s">
        <v>582</v>
      </c>
      <c r="C1350" s="28" t="s">
        <v>1982</v>
      </c>
      <c r="D1350" s="28"/>
      <c r="E1350" s="28" t="s">
        <v>1974</v>
      </c>
      <c r="F1350" s="28" t="b">
        <v>0</v>
      </c>
      <c r="G1350" s="28">
        <v>200</v>
      </c>
      <c r="H1350" s="28" t="b">
        <v>1</v>
      </c>
      <c r="I1350" s="34"/>
    </row>
    <row r="1351" spans="1:9" ht="30" x14ac:dyDescent="0.25">
      <c r="A1351" s="54" t="s">
        <v>497</v>
      </c>
      <c r="B1351" s="43" t="s">
        <v>638</v>
      </c>
      <c r="C1351" s="37" t="s">
        <v>1983</v>
      </c>
      <c r="D1351" s="37"/>
      <c r="E1351" s="37" t="s">
        <v>1974</v>
      </c>
      <c r="F1351" s="37" t="b">
        <v>0</v>
      </c>
      <c r="G1351" s="37">
        <v>200</v>
      </c>
      <c r="H1351" s="37" t="b">
        <v>1</v>
      </c>
    </row>
    <row r="1352" spans="1:9" ht="30" x14ac:dyDescent="0.25">
      <c r="A1352" s="54" t="s">
        <v>497</v>
      </c>
      <c r="B1352" s="31" t="s">
        <v>638</v>
      </c>
      <c r="C1352" s="28" t="s">
        <v>1984</v>
      </c>
      <c r="D1352" s="28"/>
      <c r="E1352" s="28" t="s">
        <v>1974</v>
      </c>
      <c r="F1352" s="28" t="b">
        <v>0</v>
      </c>
      <c r="G1352" s="28">
        <v>200</v>
      </c>
      <c r="H1352" s="28" t="b">
        <v>1</v>
      </c>
      <c r="I1352" s="34"/>
    </row>
    <row r="1353" spans="1:9" ht="30" x14ac:dyDescent="0.25">
      <c r="A1353" s="54" t="s">
        <v>497</v>
      </c>
      <c r="B1353" s="43" t="s">
        <v>647</v>
      </c>
      <c r="C1353" s="37" t="s">
        <v>1985</v>
      </c>
      <c r="D1353" s="37"/>
      <c r="E1353" s="37" t="s">
        <v>1974</v>
      </c>
      <c r="F1353" s="37" t="b">
        <v>0</v>
      </c>
      <c r="G1353" s="37">
        <v>200</v>
      </c>
      <c r="H1353" s="37" t="b">
        <v>1</v>
      </c>
    </row>
    <row r="1354" spans="1:9" ht="30" x14ac:dyDescent="0.25">
      <c r="A1354" s="54" t="s">
        <v>497</v>
      </c>
      <c r="B1354" s="31" t="s">
        <v>503</v>
      </c>
      <c r="C1354" s="28" t="s">
        <v>1986</v>
      </c>
      <c r="D1354" s="28"/>
      <c r="E1354" s="28" t="s">
        <v>1974</v>
      </c>
      <c r="F1354" s="28" t="b">
        <v>0</v>
      </c>
      <c r="G1354" s="28">
        <v>200</v>
      </c>
      <c r="H1354" s="28" t="b">
        <v>1</v>
      </c>
      <c r="I1354" s="34"/>
    </row>
    <row r="1355" spans="1:9" ht="30" x14ac:dyDescent="0.25">
      <c r="A1355" s="54" t="s">
        <v>497</v>
      </c>
      <c r="B1355" s="43" t="s">
        <v>608</v>
      </c>
      <c r="C1355" s="37" t="s">
        <v>1987</v>
      </c>
      <c r="D1355" s="37"/>
      <c r="E1355" s="37" t="s">
        <v>1974</v>
      </c>
      <c r="F1355" s="37" t="b">
        <v>0</v>
      </c>
      <c r="G1355" s="37">
        <v>200</v>
      </c>
      <c r="H1355" s="37" t="b">
        <v>1</v>
      </c>
    </row>
    <row r="1356" spans="1:9" ht="30" x14ac:dyDescent="0.25">
      <c r="A1356" s="54" t="s">
        <v>497</v>
      </c>
      <c r="B1356" s="31" t="s">
        <v>127</v>
      </c>
      <c r="C1356" s="28" t="s">
        <v>1975</v>
      </c>
      <c r="D1356" s="28"/>
      <c r="E1356" s="28" t="s">
        <v>1974</v>
      </c>
      <c r="F1356" s="28" t="b">
        <v>0</v>
      </c>
      <c r="G1356" s="28">
        <v>200</v>
      </c>
      <c r="H1356" s="28" t="b">
        <v>1</v>
      </c>
      <c r="I1356" s="34"/>
    </row>
    <row r="1357" spans="1:9" ht="30" x14ac:dyDescent="0.25">
      <c r="A1357" s="54" t="s">
        <v>497</v>
      </c>
      <c r="B1357" s="43" t="s">
        <v>135</v>
      </c>
      <c r="C1357" s="37" t="s">
        <v>1976</v>
      </c>
      <c r="D1357" s="37"/>
      <c r="E1357" s="37" t="s">
        <v>1974</v>
      </c>
      <c r="F1357" s="37" t="b">
        <v>0</v>
      </c>
      <c r="G1357" s="37">
        <v>200</v>
      </c>
      <c r="H1357" s="37" t="b">
        <v>1</v>
      </c>
    </row>
    <row r="1358" spans="1:9" ht="30" x14ac:dyDescent="0.25">
      <c r="A1358" s="54" t="s">
        <v>497</v>
      </c>
      <c r="B1358" s="31" t="s">
        <v>655</v>
      </c>
      <c r="C1358" s="28" t="s">
        <v>1977</v>
      </c>
      <c r="D1358" s="28"/>
      <c r="E1358" s="28" t="s">
        <v>1974</v>
      </c>
      <c r="F1358" s="28" t="b">
        <v>0</v>
      </c>
      <c r="G1358" s="28">
        <v>200</v>
      </c>
      <c r="H1358" s="28" t="b">
        <v>1</v>
      </c>
      <c r="I1358" s="34"/>
    </row>
    <row r="1359" spans="1:9" ht="30" x14ac:dyDescent="0.25">
      <c r="A1359" s="54" t="s">
        <v>497</v>
      </c>
      <c r="B1359" s="43" t="s">
        <v>635</v>
      </c>
      <c r="C1359" s="37" t="s">
        <v>1978</v>
      </c>
      <c r="D1359" s="37"/>
      <c r="E1359" s="37" t="s">
        <v>1974</v>
      </c>
      <c r="F1359" s="37" t="b">
        <v>0</v>
      </c>
      <c r="G1359" s="37">
        <v>200</v>
      </c>
      <c r="H1359" s="37" t="b">
        <v>1</v>
      </c>
    </row>
    <row r="1360" spans="1:9" ht="30" x14ac:dyDescent="0.25">
      <c r="A1360" s="54" t="s">
        <v>497</v>
      </c>
      <c r="B1360" s="31" t="s">
        <v>144</v>
      </c>
      <c r="C1360" s="28" t="s">
        <v>1979</v>
      </c>
      <c r="D1360" s="28"/>
      <c r="E1360" s="28" t="s">
        <v>1974</v>
      </c>
      <c r="F1360" s="28" t="b">
        <v>0</v>
      </c>
      <c r="G1360" s="28">
        <v>200</v>
      </c>
      <c r="H1360" s="28" t="b">
        <v>1</v>
      </c>
      <c r="I1360" s="34"/>
    </row>
    <row r="1361" spans="1:9" ht="30" x14ac:dyDescent="0.25">
      <c r="A1361" s="54" t="s">
        <v>497</v>
      </c>
      <c r="B1361" s="43" t="s">
        <v>618</v>
      </c>
      <c r="C1361" s="37" t="s">
        <v>1980</v>
      </c>
      <c r="D1361" s="37"/>
      <c r="E1361" s="37" t="s">
        <v>1974</v>
      </c>
      <c r="F1361" s="37" t="b">
        <v>0</v>
      </c>
      <c r="G1361" s="37">
        <v>200</v>
      </c>
      <c r="H1361" s="37" t="b">
        <v>1</v>
      </c>
    </row>
    <row r="1362" spans="1:9" ht="30" x14ac:dyDescent="0.25">
      <c r="A1362" s="54" t="s">
        <v>497</v>
      </c>
      <c r="B1362" s="31" t="s">
        <v>585</v>
      </c>
      <c r="C1362" s="28" t="s">
        <v>1981</v>
      </c>
      <c r="D1362" s="28"/>
      <c r="E1362" s="28" t="s">
        <v>1974</v>
      </c>
      <c r="F1362" s="28" t="b">
        <v>0</v>
      </c>
      <c r="G1362" s="28">
        <v>200</v>
      </c>
      <c r="H1362" s="28" t="b">
        <v>1</v>
      </c>
      <c r="I1362" s="34"/>
    </row>
    <row r="1363" spans="1:9" ht="30" x14ac:dyDescent="0.25">
      <c r="A1363" s="54" t="s">
        <v>497</v>
      </c>
      <c r="B1363" s="43" t="s">
        <v>582</v>
      </c>
      <c r="C1363" s="37" t="s">
        <v>1982</v>
      </c>
      <c r="D1363" s="37"/>
      <c r="E1363" s="37" t="s">
        <v>1974</v>
      </c>
      <c r="F1363" s="37" t="b">
        <v>0</v>
      </c>
      <c r="G1363" s="37">
        <v>200</v>
      </c>
      <c r="H1363" s="37" t="b">
        <v>1</v>
      </c>
    </row>
    <row r="1364" spans="1:9" ht="30" x14ac:dyDescent="0.25">
      <c r="A1364" s="54" t="s">
        <v>497</v>
      </c>
      <c r="B1364" s="31" t="s">
        <v>638</v>
      </c>
      <c r="C1364" s="28" t="s">
        <v>1983</v>
      </c>
      <c r="D1364" s="28"/>
      <c r="E1364" s="28" t="s">
        <v>1974</v>
      </c>
      <c r="F1364" s="28" t="b">
        <v>0</v>
      </c>
      <c r="G1364" s="28">
        <v>200</v>
      </c>
      <c r="H1364" s="28" t="b">
        <v>1</v>
      </c>
      <c r="I1364" s="34"/>
    </row>
    <row r="1365" spans="1:9" ht="30" x14ac:dyDescent="0.25">
      <c r="A1365" s="54" t="s">
        <v>497</v>
      </c>
      <c r="B1365" s="43" t="s">
        <v>638</v>
      </c>
      <c r="C1365" s="37" t="s">
        <v>1984</v>
      </c>
      <c r="D1365" s="37"/>
      <c r="E1365" s="37" t="s">
        <v>1974</v>
      </c>
      <c r="F1365" s="37" t="b">
        <v>0</v>
      </c>
      <c r="G1365" s="37">
        <v>200</v>
      </c>
      <c r="H1365" s="37" t="b">
        <v>1</v>
      </c>
    </row>
    <row r="1366" spans="1:9" ht="30" x14ac:dyDescent="0.25">
      <c r="A1366" s="54" t="s">
        <v>497</v>
      </c>
      <c r="B1366" s="31" t="s">
        <v>647</v>
      </c>
      <c r="C1366" s="28" t="s">
        <v>1985</v>
      </c>
      <c r="D1366" s="28"/>
      <c r="E1366" s="28" t="s">
        <v>1974</v>
      </c>
      <c r="F1366" s="28" t="b">
        <v>0</v>
      </c>
      <c r="G1366" s="28">
        <v>200</v>
      </c>
      <c r="H1366" s="28" t="b">
        <v>1</v>
      </c>
      <c r="I1366" s="34"/>
    </row>
    <row r="1367" spans="1:9" ht="30" x14ac:dyDescent="0.25">
      <c r="A1367" s="54" t="s">
        <v>497</v>
      </c>
      <c r="B1367" s="43" t="s">
        <v>503</v>
      </c>
      <c r="C1367" s="37" t="s">
        <v>1986</v>
      </c>
      <c r="D1367" s="37"/>
      <c r="E1367" s="37" t="s">
        <v>1974</v>
      </c>
      <c r="F1367" s="37" t="b">
        <v>0</v>
      </c>
      <c r="G1367" s="37">
        <v>200</v>
      </c>
      <c r="H1367" s="37" t="b">
        <v>1</v>
      </c>
    </row>
    <row r="1368" spans="1:9" ht="30" x14ac:dyDescent="0.25">
      <c r="A1368" s="54" t="s">
        <v>497</v>
      </c>
      <c r="B1368" s="31" t="s">
        <v>608</v>
      </c>
      <c r="C1368" s="28" t="s">
        <v>1987</v>
      </c>
      <c r="D1368" s="28"/>
      <c r="E1368" s="28" t="s">
        <v>1974</v>
      </c>
      <c r="F1368" s="28" t="b">
        <v>0</v>
      </c>
      <c r="G1368" s="28">
        <v>200</v>
      </c>
      <c r="H1368" s="28" t="b">
        <v>1</v>
      </c>
      <c r="I1368" s="34"/>
    </row>
    <row r="1369" spans="1:9" ht="30" x14ac:dyDescent="0.25">
      <c r="A1369" s="54" t="s">
        <v>497</v>
      </c>
      <c r="B1369" s="43" t="s">
        <v>497</v>
      </c>
      <c r="C1369" s="37" t="s">
        <v>2027</v>
      </c>
      <c r="D1369" s="37"/>
      <c r="E1369" s="37" t="s">
        <v>1974</v>
      </c>
      <c r="F1369" s="37" t="b">
        <v>0</v>
      </c>
      <c r="G1369" s="37">
        <v>200</v>
      </c>
      <c r="H1369" s="37" t="b">
        <v>1</v>
      </c>
    </row>
    <row r="1370" spans="1:9" ht="30" x14ac:dyDescent="0.25">
      <c r="A1370" s="54" t="s">
        <v>497</v>
      </c>
      <c r="B1370" s="31" t="s">
        <v>652</v>
      </c>
      <c r="C1370" s="28" t="s">
        <v>2028</v>
      </c>
      <c r="D1370" s="28"/>
      <c r="E1370" s="28" t="s">
        <v>1974</v>
      </c>
      <c r="F1370" s="28" t="b">
        <v>0</v>
      </c>
      <c r="G1370" s="28">
        <v>200</v>
      </c>
      <c r="H1370" s="28" t="b">
        <v>1</v>
      </c>
      <c r="I1370" s="34"/>
    </row>
    <row r="1371" spans="1:9" ht="30" x14ac:dyDescent="0.25">
      <c r="A1371" s="54" t="s">
        <v>497</v>
      </c>
      <c r="B1371" s="43" t="s">
        <v>537</v>
      </c>
      <c r="C1371" s="37" t="s">
        <v>2029</v>
      </c>
      <c r="D1371" s="37"/>
      <c r="E1371" s="37" t="s">
        <v>1974</v>
      </c>
      <c r="F1371" s="37" t="b">
        <v>0</v>
      </c>
      <c r="G1371" s="37">
        <v>200</v>
      </c>
      <c r="H1371" s="37" t="b">
        <v>1</v>
      </c>
    </row>
    <row r="1372" spans="1:9" ht="30" x14ac:dyDescent="0.25">
      <c r="A1372" s="54" t="s">
        <v>497</v>
      </c>
      <c r="B1372" s="31" t="s">
        <v>543</v>
      </c>
      <c r="C1372" s="28" t="s">
        <v>2030</v>
      </c>
      <c r="D1372" s="28"/>
      <c r="E1372" s="28" t="s">
        <v>1974</v>
      </c>
      <c r="F1372" s="28" t="b">
        <v>0</v>
      </c>
      <c r="G1372" s="28">
        <v>200</v>
      </c>
      <c r="H1372" s="28" t="b">
        <v>1</v>
      </c>
      <c r="I1372" s="34"/>
    </row>
    <row r="1373" spans="1:9" ht="30" x14ac:dyDescent="0.25">
      <c r="A1373" s="54" t="s">
        <v>497</v>
      </c>
      <c r="B1373" s="43" t="s">
        <v>566</v>
      </c>
      <c r="C1373" s="37" t="s">
        <v>2031</v>
      </c>
      <c r="D1373" s="37"/>
      <c r="E1373" s="37" t="s">
        <v>1974</v>
      </c>
      <c r="F1373" s="37" t="b">
        <v>0</v>
      </c>
      <c r="G1373" s="37">
        <v>200</v>
      </c>
      <c r="H1373" s="37" t="b">
        <v>1</v>
      </c>
    </row>
    <row r="1374" spans="1:9" ht="30" x14ac:dyDescent="0.25">
      <c r="A1374" s="54" t="s">
        <v>497</v>
      </c>
      <c r="B1374" s="31" t="s">
        <v>601</v>
      </c>
      <c r="C1374" s="28" t="s">
        <v>2032</v>
      </c>
      <c r="D1374" s="28"/>
      <c r="E1374" s="28" t="s">
        <v>1974</v>
      </c>
      <c r="F1374" s="28" t="b">
        <v>0</v>
      </c>
      <c r="G1374" s="28">
        <v>200</v>
      </c>
      <c r="H1374" s="28" t="b">
        <v>1</v>
      </c>
      <c r="I1374" s="34"/>
    </row>
    <row r="1375" spans="1:9" ht="30" x14ac:dyDescent="0.25">
      <c r="A1375" s="54" t="s">
        <v>497</v>
      </c>
      <c r="B1375" s="43" t="s">
        <v>497</v>
      </c>
      <c r="C1375" s="37" t="s">
        <v>2027</v>
      </c>
      <c r="D1375" s="37"/>
      <c r="E1375" s="37" t="s">
        <v>1974</v>
      </c>
      <c r="F1375" s="37" t="b">
        <v>0</v>
      </c>
      <c r="G1375" s="37">
        <v>200</v>
      </c>
      <c r="H1375" s="37" t="b">
        <v>1</v>
      </c>
    </row>
    <row r="1376" spans="1:9" ht="30" x14ac:dyDescent="0.25">
      <c r="A1376" s="54" t="s">
        <v>497</v>
      </c>
      <c r="B1376" s="31" t="s">
        <v>652</v>
      </c>
      <c r="C1376" s="28" t="s">
        <v>2028</v>
      </c>
      <c r="D1376" s="28"/>
      <c r="E1376" s="28" t="s">
        <v>1974</v>
      </c>
      <c r="F1376" s="28" t="b">
        <v>0</v>
      </c>
      <c r="G1376" s="28">
        <v>200</v>
      </c>
      <c r="H1376" s="28" t="b">
        <v>1</v>
      </c>
      <c r="I1376" s="34"/>
    </row>
    <row r="1377" spans="1:9" ht="30" x14ac:dyDescent="0.25">
      <c r="A1377" s="54" t="s">
        <v>497</v>
      </c>
      <c r="B1377" s="43" t="s">
        <v>537</v>
      </c>
      <c r="C1377" s="37" t="s">
        <v>2029</v>
      </c>
      <c r="D1377" s="37"/>
      <c r="E1377" s="37" t="s">
        <v>1974</v>
      </c>
      <c r="F1377" s="37" t="b">
        <v>0</v>
      </c>
      <c r="G1377" s="37">
        <v>200</v>
      </c>
      <c r="H1377" s="37" t="b">
        <v>1</v>
      </c>
    </row>
    <row r="1378" spans="1:9" ht="30" x14ac:dyDescent="0.25">
      <c r="A1378" s="54" t="s">
        <v>497</v>
      </c>
      <c r="B1378" s="31" t="s">
        <v>543</v>
      </c>
      <c r="C1378" s="28" t="s">
        <v>2030</v>
      </c>
      <c r="D1378" s="28"/>
      <c r="E1378" s="28" t="s">
        <v>1974</v>
      </c>
      <c r="F1378" s="28" t="b">
        <v>0</v>
      </c>
      <c r="G1378" s="28">
        <v>200</v>
      </c>
      <c r="H1378" s="28" t="b">
        <v>1</v>
      </c>
      <c r="I1378" s="34"/>
    </row>
    <row r="1379" spans="1:9" ht="30" x14ac:dyDescent="0.25">
      <c r="A1379" s="54" t="s">
        <v>497</v>
      </c>
      <c r="B1379" s="43" t="s">
        <v>566</v>
      </c>
      <c r="C1379" s="37" t="s">
        <v>2031</v>
      </c>
      <c r="D1379" s="37"/>
      <c r="E1379" s="37" t="s">
        <v>1974</v>
      </c>
      <c r="F1379" s="37" t="b">
        <v>0</v>
      </c>
      <c r="G1379" s="37">
        <v>200</v>
      </c>
      <c r="H1379" s="37" t="b">
        <v>1</v>
      </c>
    </row>
    <row r="1380" spans="1:9" ht="30" x14ac:dyDescent="0.25">
      <c r="A1380" s="54" t="s">
        <v>497</v>
      </c>
      <c r="B1380" s="31" t="s">
        <v>601</v>
      </c>
      <c r="C1380" s="28" t="s">
        <v>2032</v>
      </c>
      <c r="D1380" s="28"/>
      <c r="E1380" s="28" t="s">
        <v>1974</v>
      </c>
      <c r="F1380" s="28" t="b">
        <v>0</v>
      </c>
      <c r="G1380" s="28">
        <v>200</v>
      </c>
      <c r="H1380" s="28" t="b">
        <v>1</v>
      </c>
      <c r="I1380" s="34"/>
    </row>
    <row r="1381" spans="1:9" ht="30" x14ac:dyDescent="0.25">
      <c r="A1381" s="54" t="s">
        <v>497</v>
      </c>
      <c r="B1381" s="43" t="s">
        <v>2775</v>
      </c>
      <c r="C1381" s="37" t="s">
        <v>2824</v>
      </c>
      <c r="D1381" s="37"/>
      <c r="E1381" s="37" t="s">
        <v>2012</v>
      </c>
      <c r="F1381" s="37" t="b">
        <v>0</v>
      </c>
      <c r="G1381" s="37"/>
      <c r="H1381" s="37" t="b">
        <v>1</v>
      </c>
    </row>
    <row r="1382" spans="1:9" ht="30" x14ac:dyDescent="0.25">
      <c r="A1382" s="54" t="s">
        <v>497</v>
      </c>
      <c r="B1382" s="31" t="s">
        <v>2797</v>
      </c>
      <c r="C1382" s="28" t="s">
        <v>2824</v>
      </c>
      <c r="D1382" s="28"/>
      <c r="E1382" s="28" t="s">
        <v>2012</v>
      </c>
      <c r="F1382" s="28" t="b">
        <v>0</v>
      </c>
      <c r="G1382" s="28"/>
      <c r="H1382" s="28" t="b">
        <v>1</v>
      </c>
      <c r="I1382" s="34"/>
    </row>
    <row r="1383" spans="1:9" ht="30" x14ac:dyDescent="0.25">
      <c r="A1383" s="54" t="s">
        <v>497</v>
      </c>
      <c r="B1383" s="43" t="s">
        <v>2794</v>
      </c>
      <c r="C1383" s="37" t="s">
        <v>2824</v>
      </c>
      <c r="D1383" s="37"/>
      <c r="E1383" s="37" t="s">
        <v>2012</v>
      </c>
      <c r="F1383" s="37" t="b">
        <v>0</v>
      </c>
      <c r="G1383" s="37"/>
      <c r="H1383" s="37" t="b">
        <v>1</v>
      </c>
    </row>
    <row r="1384" spans="1:9" ht="30" x14ac:dyDescent="0.25">
      <c r="A1384" s="54" t="s">
        <v>497</v>
      </c>
      <c r="B1384" s="31" t="s">
        <v>2792</v>
      </c>
      <c r="C1384" s="28" t="s">
        <v>2824</v>
      </c>
      <c r="D1384" s="28"/>
      <c r="E1384" s="28" t="s">
        <v>2012</v>
      </c>
      <c r="F1384" s="28" t="b">
        <v>0</v>
      </c>
      <c r="G1384" s="28"/>
      <c r="H1384" s="28" t="b">
        <v>1</v>
      </c>
      <c r="I1384" s="34"/>
    </row>
    <row r="1385" spans="1:9" ht="30" x14ac:dyDescent="0.25">
      <c r="A1385" s="54" t="s">
        <v>497</v>
      </c>
      <c r="B1385" s="43" t="s">
        <v>2825</v>
      </c>
      <c r="C1385" s="37" t="s">
        <v>2824</v>
      </c>
      <c r="D1385" s="37"/>
      <c r="E1385" s="37" t="s">
        <v>2012</v>
      </c>
      <c r="F1385" s="37" t="b">
        <v>0</v>
      </c>
      <c r="G1385" s="37"/>
      <c r="H1385" s="37" t="b">
        <v>1</v>
      </c>
    </row>
    <row r="1386" spans="1:9" ht="30" x14ac:dyDescent="0.25">
      <c r="A1386" s="54" t="s">
        <v>497</v>
      </c>
      <c r="B1386" s="31" t="s">
        <v>2826</v>
      </c>
      <c r="C1386" s="28" t="s">
        <v>2827</v>
      </c>
      <c r="D1386" s="28"/>
      <c r="E1386" s="28" t="s">
        <v>2012</v>
      </c>
      <c r="F1386" s="28" t="b">
        <v>0</v>
      </c>
      <c r="G1386" s="28"/>
      <c r="H1386" s="28" t="b">
        <v>1</v>
      </c>
      <c r="I1386" s="34"/>
    </row>
    <row r="1387" spans="1:9" ht="45" x14ac:dyDescent="0.25">
      <c r="A1387" s="54" t="s">
        <v>497</v>
      </c>
      <c r="B1387" s="43" t="s">
        <v>2828</v>
      </c>
      <c r="C1387" s="37" t="s">
        <v>226</v>
      </c>
      <c r="D1387" s="37"/>
      <c r="E1387" s="37" t="s">
        <v>1974</v>
      </c>
      <c r="F1387" s="37" t="b">
        <v>0</v>
      </c>
      <c r="G1387" s="37">
        <v>200</v>
      </c>
      <c r="H1387" s="37" t="b">
        <v>1</v>
      </c>
    </row>
    <row r="1388" spans="1:9" ht="30" x14ac:dyDescent="0.25">
      <c r="A1388" s="54" t="s">
        <v>497</v>
      </c>
      <c r="B1388" s="31" t="s">
        <v>2829</v>
      </c>
      <c r="C1388" s="28"/>
      <c r="D1388" s="28"/>
      <c r="E1388" s="28" t="s">
        <v>2012</v>
      </c>
      <c r="F1388" s="28" t="b">
        <v>0</v>
      </c>
      <c r="G1388" s="28"/>
      <c r="H1388" s="28" t="b">
        <v>1</v>
      </c>
      <c r="I1388" s="34"/>
    </row>
    <row r="1389" spans="1:9" ht="30" x14ac:dyDescent="0.25">
      <c r="A1389" s="54" t="s">
        <v>497</v>
      </c>
      <c r="B1389" s="43" t="s">
        <v>2740</v>
      </c>
      <c r="C1389" s="37"/>
      <c r="D1389" s="37"/>
      <c r="E1389" s="37" t="s">
        <v>2012</v>
      </c>
      <c r="F1389" s="37" t="b">
        <v>0</v>
      </c>
      <c r="G1389" s="37"/>
      <c r="H1389" s="37" t="b">
        <v>1</v>
      </c>
    </row>
    <row r="1390" spans="1:9" ht="30" x14ac:dyDescent="0.25">
      <c r="A1390" s="54" t="s">
        <v>497</v>
      </c>
      <c r="B1390" s="31" t="s">
        <v>2830</v>
      </c>
      <c r="C1390" s="28"/>
      <c r="D1390" s="28"/>
      <c r="E1390" s="28" t="s">
        <v>2012</v>
      </c>
      <c r="F1390" s="28" t="b">
        <v>0</v>
      </c>
      <c r="G1390" s="28"/>
      <c r="H1390" s="28" t="b">
        <v>1</v>
      </c>
      <c r="I1390" s="34"/>
    </row>
    <row r="1391" spans="1:9" ht="30" x14ac:dyDescent="0.25">
      <c r="A1391" s="54" t="s">
        <v>497</v>
      </c>
      <c r="B1391" s="43" t="s">
        <v>2831</v>
      </c>
      <c r="C1391" s="37"/>
      <c r="D1391" s="37"/>
      <c r="E1391" s="37" t="s">
        <v>2012</v>
      </c>
      <c r="F1391" s="37" t="b">
        <v>0</v>
      </c>
      <c r="G1391" s="37"/>
      <c r="H1391" s="37" t="b">
        <v>1</v>
      </c>
    </row>
    <row r="1392" spans="1:9" ht="30" x14ac:dyDescent="0.25">
      <c r="A1392" s="54" t="s">
        <v>497</v>
      </c>
      <c r="B1392" s="31" t="s">
        <v>2832</v>
      </c>
      <c r="C1392" s="28"/>
      <c r="D1392" s="28"/>
      <c r="E1392" s="28" t="s">
        <v>2012</v>
      </c>
      <c r="F1392" s="28" t="b">
        <v>0</v>
      </c>
      <c r="G1392" s="28"/>
      <c r="H1392" s="28" t="b">
        <v>1</v>
      </c>
      <c r="I1392" s="34"/>
    </row>
    <row r="1393" spans="1:9" ht="30" x14ac:dyDescent="0.25">
      <c r="A1393" s="54" t="s">
        <v>497</v>
      </c>
      <c r="B1393" s="43" t="s">
        <v>2833</v>
      </c>
      <c r="C1393" s="37"/>
      <c r="D1393" s="37"/>
      <c r="E1393" s="37" t="s">
        <v>2012</v>
      </c>
      <c r="F1393" s="37" t="b">
        <v>0</v>
      </c>
      <c r="G1393" s="37"/>
      <c r="H1393" s="37" t="b">
        <v>1</v>
      </c>
    </row>
    <row r="1394" spans="1:9" ht="30" x14ac:dyDescent="0.25">
      <c r="A1394" s="54" t="s">
        <v>497</v>
      </c>
      <c r="B1394" s="31" t="s">
        <v>2834</v>
      </c>
      <c r="C1394" s="28"/>
      <c r="D1394" s="28"/>
      <c r="E1394" s="28" t="s">
        <v>2012</v>
      </c>
      <c r="F1394" s="28" t="b">
        <v>0</v>
      </c>
      <c r="G1394" s="28"/>
      <c r="H1394" s="28" t="b">
        <v>1</v>
      </c>
      <c r="I1394" s="34"/>
    </row>
    <row r="1395" spans="1:9" ht="30" x14ac:dyDescent="0.25">
      <c r="A1395" s="54" t="s">
        <v>497</v>
      </c>
      <c r="B1395" s="43" t="s">
        <v>2835</v>
      </c>
      <c r="C1395" s="37"/>
      <c r="D1395" s="37"/>
      <c r="E1395" s="37" t="s">
        <v>2012</v>
      </c>
      <c r="F1395" s="37" t="b">
        <v>0</v>
      </c>
      <c r="G1395" s="37"/>
      <c r="H1395" s="37" t="b">
        <v>1</v>
      </c>
    </row>
    <row r="1396" spans="1:9" ht="30" x14ac:dyDescent="0.25">
      <c r="A1396" s="54" t="s">
        <v>497</v>
      </c>
      <c r="B1396" s="31" t="s">
        <v>2829</v>
      </c>
      <c r="C1396" s="28"/>
      <c r="D1396" s="28"/>
      <c r="E1396" s="28" t="s">
        <v>2012</v>
      </c>
      <c r="F1396" s="28" t="b">
        <v>0</v>
      </c>
      <c r="G1396" s="28"/>
      <c r="H1396" s="28" t="b">
        <v>1</v>
      </c>
      <c r="I1396" s="34"/>
    </row>
    <row r="1397" spans="1:9" ht="30" x14ac:dyDescent="0.25">
      <c r="A1397" s="54" t="s">
        <v>497</v>
      </c>
      <c r="B1397" s="43" t="s">
        <v>2740</v>
      </c>
      <c r="C1397" s="37"/>
      <c r="D1397" s="37"/>
      <c r="E1397" s="37" t="s">
        <v>2012</v>
      </c>
      <c r="F1397" s="37" t="b">
        <v>0</v>
      </c>
      <c r="G1397" s="37"/>
      <c r="H1397" s="37" t="b">
        <v>1</v>
      </c>
    </row>
    <row r="1398" spans="1:9" ht="30" x14ac:dyDescent="0.25">
      <c r="A1398" s="54" t="s">
        <v>497</v>
      </c>
      <c r="B1398" s="31" t="s">
        <v>2830</v>
      </c>
      <c r="C1398" s="28"/>
      <c r="D1398" s="28"/>
      <c r="E1398" s="28" t="s">
        <v>2012</v>
      </c>
      <c r="F1398" s="28" t="b">
        <v>0</v>
      </c>
      <c r="G1398" s="28"/>
      <c r="H1398" s="28" t="b">
        <v>1</v>
      </c>
      <c r="I1398" s="34"/>
    </row>
    <row r="1399" spans="1:9" ht="30" x14ac:dyDescent="0.25">
      <c r="A1399" s="54" t="s">
        <v>497</v>
      </c>
      <c r="B1399" s="43" t="s">
        <v>2831</v>
      </c>
      <c r="C1399" s="37"/>
      <c r="D1399" s="37"/>
      <c r="E1399" s="37" t="s">
        <v>2012</v>
      </c>
      <c r="F1399" s="37" t="b">
        <v>0</v>
      </c>
      <c r="G1399" s="37"/>
      <c r="H1399" s="37" t="b">
        <v>1</v>
      </c>
    </row>
    <row r="1400" spans="1:9" ht="30" x14ac:dyDescent="0.25">
      <c r="A1400" s="54" t="s">
        <v>497</v>
      </c>
      <c r="B1400" s="31" t="s">
        <v>2832</v>
      </c>
      <c r="C1400" s="28"/>
      <c r="D1400" s="28"/>
      <c r="E1400" s="28" t="s">
        <v>2012</v>
      </c>
      <c r="F1400" s="28" t="b">
        <v>0</v>
      </c>
      <c r="G1400" s="28"/>
      <c r="H1400" s="28" t="b">
        <v>1</v>
      </c>
      <c r="I1400" s="34"/>
    </row>
    <row r="1401" spans="1:9" ht="30" x14ac:dyDescent="0.25">
      <c r="A1401" s="54" t="s">
        <v>497</v>
      </c>
      <c r="B1401" s="43" t="s">
        <v>2833</v>
      </c>
      <c r="C1401" s="37"/>
      <c r="D1401" s="37"/>
      <c r="E1401" s="37" t="s">
        <v>2012</v>
      </c>
      <c r="F1401" s="37" t="b">
        <v>0</v>
      </c>
      <c r="G1401" s="37"/>
      <c r="H1401" s="37" t="b">
        <v>1</v>
      </c>
    </row>
    <row r="1402" spans="1:9" ht="30" x14ac:dyDescent="0.25">
      <c r="A1402" s="54" t="s">
        <v>497</v>
      </c>
      <c r="B1402" s="31" t="s">
        <v>2834</v>
      </c>
      <c r="C1402" s="28"/>
      <c r="D1402" s="28"/>
      <c r="E1402" s="28" t="s">
        <v>2012</v>
      </c>
      <c r="F1402" s="28" t="b">
        <v>0</v>
      </c>
      <c r="G1402" s="28"/>
      <c r="H1402" s="28" t="b">
        <v>1</v>
      </c>
      <c r="I1402" s="34"/>
    </row>
    <row r="1403" spans="1:9" ht="30" x14ac:dyDescent="0.25">
      <c r="A1403" s="54" t="s">
        <v>497</v>
      </c>
      <c r="B1403" s="43" t="s">
        <v>2835</v>
      </c>
      <c r="C1403" s="37"/>
      <c r="D1403" s="37"/>
      <c r="E1403" s="37" t="s">
        <v>2012</v>
      </c>
      <c r="F1403" s="37" t="b">
        <v>0</v>
      </c>
      <c r="G1403" s="37"/>
      <c r="H1403" s="37" t="b">
        <v>1</v>
      </c>
    </row>
    <row r="1404" spans="1:9" ht="30" x14ac:dyDescent="0.25">
      <c r="A1404" s="54" t="s">
        <v>497</v>
      </c>
      <c r="B1404" s="31" t="s">
        <v>2829</v>
      </c>
      <c r="C1404" s="28"/>
      <c r="D1404" s="28"/>
      <c r="E1404" s="28" t="s">
        <v>2012</v>
      </c>
      <c r="F1404" s="28" t="b">
        <v>0</v>
      </c>
      <c r="G1404" s="28"/>
      <c r="H1404" s="28" t="b">
        <v>1</v>
      </c>
      <c r="I1404" s="34"/>
    </row>
    <row r="1405" spans="1:9" ht="30" x14ac:dyDescent="0.25">
      <c r="A1405" s="54" t="s">
        <v>497</v>
      </c>
      <c r="B1405" s="43" t="s">
        <v>2740</v>
      </c>
      <c r="C1405" s="37"/>
      <c r="D1405" s="37"/>
      <c r="E1405" s="37" t="s">
        <v>2012</v>
      </c>
      <c r="F1405" s="37" t="b">
        <v>0</v>
      </c>
      <c r="G1405" s="37"/>
      <c r="H1405" s="37" t="b">
        <v>1</v>
      </c>
    </row>
    <row r="1406" spans="1:9" ht="30" x14ac:dyDescent="0.25">
      <c r="A1406" s="54" t="s">
        <v>497</v>
      </c>
      <c r="B1406" s="31" t="s">
        <v>491</v>
      </c>
      <c r="C1406" s="28" t="s">
        <v>2836</v>
      </c>
      <c r="D1406" s="28"/>
      <c r="E1406" s="28" t="s">
        <v>1974</v>
      </c>
      <c r="F1406" s="28" t="b">
        <v>0</v>
      </c>
      <c r="G1406" s="28">
        <v>200</v>
      </c>
      <c r="H1406" s="28" t="b">
        <v>1</v>
      </c>
      <c r="I1406" s="34"/>
    </row>
    <row r="1407" spans="1:9" ht="30" x14ac:dyDescent="0.25">
      <c r="A1407" s="54" t="s">
        <v>497</v>
      </c>
      <c r="B1407" s="43" t="s">
        <v>185</v>
      </c>
      <c r="C1407" s="37" t="s">
        <v>2837</v>
      </c>
      <c r="D1407" s="37"/>
      <c r="E1407" s="37" t="s">
        <v>1974</v>
      </c>
      <c r="F1407" s="37" t="b">
        <v>0</v>
      </c>
      <c r="G1407" s="37">
        <v>200</v>
      </c>
      <c r="H1407" s="37" t="b">
        <v>1</v>
      </c>
    </row>
    <row r="1408" spans="1:9" ht="30" x14ac:dyDescent="0.25">
      <c r="A1408" s="54" t="s">
        <v>497</v>
      </c>
      <c r="B1408" s="31" t="s">
        <v>161</v>
      </c>
      <c r="C1408" s="28" t="s">
        <v>2838</v>
      </c>
      <c r="D1408" s="28"/>
      <c r="E1408" s="28" t="s">
        <v>1974</v>
      </c>
      <c r="F1408" s="28" t="b">
        <v>0</v>
      </c>
      <c r="G1408" s="28">
        <v>200</v>
      </c>
      <c r="H1408" s="28" t="b">
        <v>1</v>
      </c>
      <c r="I1408" s="34"/>
    </row>
    <row r="1409" spans="1:9" ht="30" x14ac:dyDescent="0.25">
      <c r="A1409" s="54" t="s">
        <v>497</v>
      </c>
      <c r="B1409" s="43" t="s">
        <v>647</v>
      </c>
      <c r="C1409" s="37" t="s">
        <v>2010</v>
      </c>
      <c r="D1409" s="37"/>
      <c r="E1409" s="37" t="s">
        <v>1974</v>
      </c>
      <c r="F1409" s="37" t="b">
        <v>0</v>
      </c>
      <c r="G1409" s="37">
        <v>200</v>
      </c>
      <c r="H1409" s="37" t="b">
        <v>1</v>
      </c>
    </row>
    <row r="1410" spans="1:9" ht="30" x14ac:dyDescent="0.25">
      <c r="A1410" s="54" t="s">
        <v>497</v>
      </c>
      <c r="B1410" s="31" t="s">
        <v>2011</v>
      </c>
      <c r="C1410" s="28"/>
      <c r="D1410" s="28"/>
      <c r="E1410" s="28" t="s">
        <v>2012</v>
      </c>
      <c r="F1410" s="28" t="b">
        <v>0</v>
      </c>
      <c r="G1410" s="28"/>
      <c r="H1410" s="28" t="b">
        <v>1</v>
      </c>
      <c r="I1410" s="34"/>
    </row>
    <row r="1411" spans="1:9" ht="30" x14ac:dyDescent="0.25">
      <c r="A1411" s="54" t="s">
        <v>497</v>
      </c>
      <c r="B1411" s="43" t="s">
        <v>2013</v>
      </c>
      <c r="C1411" s="37"/>
      <c r="D1411" s="37"/>
      <c r="E1411" s="37" t="s">
        <v>2012</v>
      </c>
      <c r="F1411" s="37" t="b">
        <v>0</v>
      </c>
      <c r="G1411" s="37"/>
      <c r="H1411" s="37" t="b">
        <v>1</v>
      </c>
    </row>
    <row r="1412" spans="1:9" ht="30" x14ac:dyDescent="0.25">
      <c r="A1412" s="54" t="s">
        <v>497</v>
      </c>
      <c r="B1412" s="31" t="s">
        <v>2033</v>
      </c>
      <c r="C1412" s="28"/>
      <c r="D1412" s="28"/>
      <c r="E1412" s="28" t="s">
        <v>2012</v>
      </c>
      <c r="F1412" s="28" t="b">
        <v>0</v>
      </c>
      <c r="G1412" s="28"/>
      <c r="H1412" s="28" t="b">
        <v>1</v>
      </c>
      <c r="I1412" s="34"/>
    </row>
    <row r="1413" spans="1:9" ht="30" x14ac:dyDescent="0.25">
      <c r="A1413" s="54" t="s">
        <v>497</v>
      </c>
      <c r="B1413" s="43" t="s">
        <v>641</v>
      </c>
      <c r="C1413" s="37" t="s">
        <v>2034</v>
      </c>
      <c r="D1413" s="37"/>
      <c r="E1413" s="37" t="s">
        <v>1974</v>
      </c>
      <c r="F1413" s="37" t="b">
        <v>0</v>
      </c>
      <c r="G1413" s="37">
        <v>200</v>
      </c>
      <c r="H1413" s="37" t="b">
        <v>1</v>
      </c>
    </row>
    <row r="1414" spans="1:9" ht="30" x14ac:dyDescent="0.25">
      <c r="A1414" s="54" t="s">
        <v>497</v>
      </c>
      <c r="B1414" s="31" t="s">
        <v>2015</v>
      </c>
      <c r="C1414" s="28" t="s">
        <v>2016</v>
      </c>
      <c r="D1414" s="28"/>
      <c r="E1414" s="28" t="s">
        <v>1974</v>
      </c>
      <c r="F1414" s="28" t="b">
        <v>0</v>
      </c>
      <c r="G1414" s="28">
        <v>404</v>
      </c>
      <c r="H1414" s="28" t="b">
        <v>0</v>
      </c>
      <c r="I1414" s="34"/>
    </row>
    <row r="1415" spans="1:9" ht="30" x14ac:dyDescent="0.25">
      <c r="A1415" s="54" t="s">
        <v>497</v>
      </c>
      <c r="B1415" s="43" t="s">
        <v>2015</v>
      </c>
      <c r="C1415" s="37" t="s">
        <v>2017</v>
      </c>
      <c r="D1415" s="37"/>
      <c r="E1415" s="37" t="s">
        <v>1974</v>
      </c>
      <c r="F1415" s="37" t="b">
        <v>0</v>
      </c>
      <c r="G1415" s="37">
        <v>404</v>
      </c>
      <c r="H1415" s="37" t="b">
        <v>0</v>
      </c>
    </row>
    <row r="1416" spans="1:9" ht="30" x14ac:dyDescent="0.25">
      <c r="A1416" s="54" t="s">
        <v>506</v>
      </c>
      <c r="B1416" s="31" t="s">
        <v>2025</v>
      </c>
      <c r="C1416" s="28"/>
      <c r="D1416" s="28"/>
      <c r="E1416" s="28" t="s">
        <v>2012</v>
      </c>
      <c r="F1416" s="28" t="b">
        <v>0</v>
      </c>
      <c r="G1416" s="28"/>
      <c r="H1416" s="28" t="b">
        <v>1</v>
      </c>
      <c r="I1416" s="34"/>
    </row>
    <row r="1417" spans="1:9" ht="30" x14ac:dyDescent="0.25">
      <c r="A1417" s="54" t="s">
        <v>506</v>
      </c>
      <c r="B1417" s="43" t="s">
        <v>127</v>
      </c>
      <c r="C1417" s="37" t="s">
        <v>1975</v>
      </c>
      <c r="D1417" s="37"/>
      <c r="E1417" s="37" t="s">
        <v>1974</v>
      </c>
      <c r="F1417" s="37" t="b">
        <v>0</v>
      </c>
      <c r="G1417" s="37">
        <v>200</v>
      </c>
      <c r="H1417" s="37" t="b">
        <v>1</v>
      </c>
    </row>
    <row r="1418" spans="1:9" ht="30" x14ac:dyDescent="0.25">
      <c r="A1418" s="54" t="s">
        <v>506</v>
      </c>
      <c r="B1418" s="31" t="s">
        <v>135</v>
      </c>
      <c r="C1418" s="28" t="s">
        <v>1976</v>
      </c>
      <c r="D1418" s="28"/>
      <c r="E1418" s="28" t="s">
        <v>1974</v>
      </c>
      <c r="F1418" s="28" t="b">
        <v>0</v>
      </c>
      <c r="G1418" s="28">
        <v>200</v>
      </c>
      <c r="H1418" s="28" t="b">
        <v>1</v>
      </c>
      <c r="I1418" s="34"/>
    </row>
    <row r="1419" spans="1:9" ht="30" x14ac:dyDescent="0.25">
      <c r="A1419" s="54" t="s">
        <v>506</v>
      </c>
      <c r="B1419" s="43" t="s">
        <v>655</v>
      </c>
      <c r="C1419" s="37" t="s">
        <v>1977</v>
      </c>
      <c r="D1419" s="37"/>
      <c r="E1419" s="37" t="s">
        <v>1974</v>
      </c>
      <c r="F1419" s="37" t="b">
        <v>0</v>
      </c>
      <c r="G1419" s="37">
        <v>200</v>
      </c>
      <c r="H1419" s="37" t="b">
        <v>1</v>
      </c>
    </row>
    <row r="1420" spans="1:9" ht="30" x14ac:dyDescent="0.25">
      <c r="A1420" s="54" t="s">
        <v>506</v>
      </c>
      <c r="B1420" s="31" t="s">
        <v>635</v>
      </c>
      <c r="C1420" s="28" t="s">
        <v>1978</v>
      </c>
      <c r="D1420" s="28"/>
      <c r="E1420" s="28" t="s">
        <v>1974</v>
      </c>
      <c r="F1420" s="28" t="b">
        <v>0</v>
      </c>
      <c r="G1420" s="28">
        <v>200</v>
      </c>
      <c r="H1420" s="28" t="b">
        <v>1</v>
      </c>
      <c r="I1420" s="34"/>
    </row>
    <row r="1421" spans="1:9" ht="30" x14ac:dyDescent="0.25">
      <c r="A1421" s="54" t="s">
        <v>506</v>
      </c>
      <c r="B1421" s="43" t="s">
        <v>144</v>
      </c>
      <c r="C1421" s="37" t="s">
        <v>1979</v>
      </c>
      <c r="D1421" s="37"/>
      <c r="E1421" s="37" t="s">
        <v>1974</v>
      </c>
      <c r="F1421" s="37" t="b">
        <v>0</v>
      </c>
      <c r="G1421" s="37">
        <v>200</v>
      </c>
      <c r="H1421" s="37" t="b">
        <v>1</v>
      </c>
    </row>
    <row r="1422" spans="1:9" ht="30" x14ac:dyDescent="0.25">
      <c r="A1422" s="54" t="s">
        <v>506</v>
      </c>
      <c r="B1422" s="31" t="s">
        <v>618</v>
      </c>
      <c r="C1422" s="28" t="s">
        <v>1980</v>
      </c>
      <c r="D1422" s="28"/>
      <c r="E1422" s="28" t="s">
        <v>1974</v>
      </c>
      <c r="F1422" s="28" t="b">
        <v>0</v>
      </c>
      <c r="G1422" s="28">
        <v>200</v>
      </c>
      <c r="H1422" s="28" t="b">
        <v>1</v>
      </c>
      <c r="I1422" s="34"/>
    </row>
    <row r="1423" spans="1:9" ht="30" x14ac:dyDescent="0.25">
      <c r="A1423" s="54" t="s">
        <v>506</v>
      </c>
      <c r="B1423" s="43" t="s">
        <v>585</v>
      </c>
      <c r="C1423" s="37" t="s">
        <v>1981</v>
      </c>
      <c r="D1423" s="37"/>
      <c r="E1423" s="37" t="s">
        <v>1974</v>
      </c>
      <c r="F1423" s="37" t="b">
        <v>0</v>
      </c>
      <c r="G1423" s="37">
        <v>200</v>
      </c>
      <c r="H1423" s="37" t="b">
        <v>1</v>
      </c>
    </row>
    <row r="1424" spans="1:9" ht="30" x14ac:dyDescent="0.25">
      <c r="A1424" s="54" t="s">
        <v>506</v>
      </c>
      <c r="B1424" s="31" t="s">
        <v>582</v>
      </c>
      <c r="C1424" s="28" t="s">
        <v>1982</v>
      </c>
      <c r="D1424" s="28"/>
      <c r="E1424" s="28" t="s">
        <v>1974</v>
      </c>
      <c r="F1424" s="28" t="b">
        <v>0</v>
      </c>
      <c r="G1424" s="28">
        <v>200</v>
      </c>
      <c r="H1424" s="28" t="b">
        <v>1</v>
      </c>
      <c r="I1424" s="34"/>
    </row>
    <row r="1425" spans="1:9" ht="30" x14ac:dyDescent="0.25">
      <c r="A1425" s="54" t="s">
        <v>506</v>
      </c>
      <c r="B1425" s="43" t="s">
        <v>638</v>
      </c>
      <c r="C1425" s="37" t="s">
        <v>1983</v>
      </c>
      <c r="D1425" s="37"/>
      <c r="E1425" s="37" t="s">
        <v>1974</v>
      </c>
      <c r="F1425" s="37" t="b">
        <v>0</v>
      </c>
      <c r="G1425" s="37">
        <v>200</v>
      </c>
      <c r="H1425" s="37" t="b">
        <v>1</v>
      </c>
    </row>
    <row r="1426" spans="1:9" ht="30" x14ac:dyDescent="0.25">
      <c r="A1426" s="54" t="s">
        <v>506</v>
      </c>
      <c r="B1426" s="31" t="s">
        <v>638</v>
      </c>
      <c r="C1426" s="28" t="s">
        <v>1984</v>
      </c>
      <c r="D1426" s="28"/>
      <c r="E1426" s="28" t="s">
        <v>1974</v>
      </c>
      <c r="F1426" s="28" t="b">
        <v>0</v>
      </c>
      <c r="G1426" s="28">
        <v>200</v>
      </c>
      <c r="H1426" s="28" t="b">
        <v>1</v>
      </c>
      <c r="I1426" s="34"/>
    </row>
    <row r="1427" spans="1:9" ht="30" x14ac:dyDescent="0.25">
      <c r="A1427" s="54" t="s">
        <v>506</v>
      </c>
      <c r="B1427" s="43" t="s">
        <v>647</v>
      </c>
      <c r="C1427" s="37" t="s">
        <v>1985</v>
      </c>
      <c r="D1427" s="37"/>
      <c r="E1427" s="37" t="s">
        <v>1974</v>
      </c>
      <c r="F1427" s="37" t="b">
        <v>0</v>
      </c>
      <c r="G1427" s="37">
        <v>200</v>
      </c>
      <c r="H1427" s="37" t="b">
        <v>1</v>
      </c>
    </row>
    <row r="1428" spans="1:9" ht="30" x14ac:dyDescent="0.25">
      <c r="A1428" s="54" t="s">
        <v>506</v>
      </c>
      <c r="B1428" s="31" t="s">
        <v>503</v>
      </c>
      <c r="C1428" s="28" t="s">
        <v>1986</v>
      </c>
      <c r="D1428" s="28"/>
      <c r="E1428" s="28" t="s">
        <v>1974</v>
      </c>
      <c r="F1428" s="28" t="b">
        <v>0</v>
      </c>
      <c r="G1428" s="28">
        <v>200</v>
      </c>
      <c r="H1428" s="28" t="b">
        <v>1</v>
      </c>
      <c r="I1428" s="34"/>
    </row>
    <row r="1429" spans="1:9" ht="30" x14ac:dyDescent="0.25">
      <c r="A1429" s="54" t="s">
        <v>506</v>
      </c>
      <c r="B1429" s="43" t="s">
        <v>608</v>
      </c>
      <c r="C1429" s="37" t="s">
        <v>1987</v>
      </c>
      <c r="D1429" s="37"/>
      <c r="E1429" s="37" t="s">
        <v>1974</v>
      </c>
      <c r="F1429" s="37" t="b">
        <v>0</v>
      </c>
      <c r="G1429" s="37">
        <v>200</v>
      </c>
      <c r="H1429" s="37" t="b">
        <v>1</v>
      </c>
    </row>
    <row r="1430" spans="1:9" ht="30" x14ac:dyDescent="0.25">
      <c r="A1430" s="54" t="s">
        <v>506</v>
      </c>
      <c r="B1430" s="31" t="s">
        <v>127</v>
      </c>
      <c r="C1430" s="28" t="s">
        <v>1975</v>
      </c>
      <c r="D1430" s="28"/>
      <c r="E1430" s="28" t="s">
        <v>1974</v>
      </c>
      <c r="F1430" s="28" t="b">
        <v>0</v>
      </c>
      <c r="G1430" s="28">
        <v>200</v>
      </c>
      <c r="H1430" s="28" t="b">
        <v>1</v>
      </c>
      <c r="I1430" s="34"/>
    </row>
    <row r="1431" spans="1:9" ht="30" x14ac:dyDescent="0.25">
      <c r="A1431" s="54" t="s">
        <v>506</v>
      </c>
      <c r="B1431" s="43" t="s">
        <v>135</v>
      </c>
      <c r="C1431" s="37" t="s">
        <v>1976</v>
      </c>
      <c r="D1431" s="37"/>
      <c r="E1431" s="37" t="s">
        <v>1974</v>
      </c>
      <c r="F1431" s="37" t="b">
        <v>0</v>
      </c>
      <c r="G1431" s="37">
        <v>200</v>
      </c>
      <c r="H1431" s="37" t="b">
        <v>1</v>
      </c>
    </row>
    <row r="1432" spans="1:9" ht="30" x14ac:dyDescent="0.25">
      <c r="A1432" s="54" t="s">
        <v>506</v>
      </c>
      <c r="B1432" s="31" t="s">
        <v>655</v>
      </c>
      <c r="C1432" s="28" t="s">
        <v>1977</v>
      </c>
      <c r="D1432" s="28"/>
      <c r="E1432" s="28" t="s">
        <v>1974</v>
      </c>
      <c r="F1432" s="28" t="b">
        <v>0</v>
      </c>
      <c r="G1432" s="28">
        <v>200</v>
      </c>
      <c r="H1432" s="28" t="b">
        <v>1</v>
      </c>
      <c r="I1432" s="34"/>
    </row>
    <row r="1433" spans="1:9" ht="30" x14ac:dyDescent="0.25">
      <c r="A1433" s="54" t="s">
        <v>506</v>
      </c>
      <c r="B1433" s="43" t="s">
        <v>635</v>
      </c>
      <c r="C1433" s="37" t="s">
        <v>1978</v>
      </c>
      <c r="D1433" s="37"/>
      <c r="E1433" s="37" t="s">
        <v>1974</v>
      </c>
      <c r="F1433" s="37" t="b">
        <v>0</v>
      </c>
      <c r="G1433" s="37">
        <v>200</v>
      </c>
      <c r="H1433" s="37" t="b">
        <v>1</v>
      </c>
    </row>
    <row r="1434" spans="1:9" ht="30" x14ac:dyDescent="0.25">
      <c r="A1434" s="54" t="s">
        <v>506</v>
      </c>
      <c r="B1434" s="31" t="s">
        <v>144</v>
      </c>
      <c r="C1434" s="28" t="s">
        <v>1979</v>
      </c>
      <c r="D1434" s="28"/>
      <c r="E1434" s="28" t="s">
        <v>1974</v>
      </c>
      <c r="F1434" s="28" t="b">
        <v>0</v>
      </c>
      <c r="G1434" s="28">
        <v>200</v>
      </c>
      <c r="H1434" s="28" t="b">
        <v>1</v>
      </c>
      <c r="I1434" s="34"/>
    </row>
    <row r="1435" spans="1:9" ht="30" x14ac:dyDescent="0.25">
      <c r="A1435" s="54" t="s">
        <v>506</v>
      </c>
      <c r="B1435" s="43" t="s">
        <v>618</v>
      </c>
      <c r="C1435" s="37" t="s">
        <v>1980</v>
      </c>
      <c r="D1435" s="37"/>
      <c r="E1435" s="37" t="s">
        <v>1974</v>
      </c>
      <c r="F1435" s="37" t="b">
        <v>0</v>
      </c>
      <c r="G1435" s="37">
        <v>200</v>
      </c>
      <c r="H1435" s="37" t="b">
        <v>1</v>
      </c>
    </row>
    <row r="1436" spans="1:9" ht="30" x14ac:dyDescent="0.25">
      <c r="A1436" s="54" t="s">
        <v>506</v>
      </c>
      <c r="B1436" s="31" t="s">
        <v>585</v>
      </c>
      <c r="C1436" s="28" t="s">
        <v>1981</v>
      </c>
      <c r="D1436" s="28"/>
      <c r="E1436" s="28" t="s">
        <v>1974</v>
      </c>
      <c r="F1436" s="28" t="b">
        <v>0</v>
      </c>
      <c r="G1436" s="28">
        <v>200</v>
      </c>
      <c r="H1436" s="28" t="b">
        <v>1</v>
      </c>
      <c r="I1436" s="34"/>
    </row>
    <row r="1437" spans="1:9" ht="30" x14ac:dyDescent="0.25">
      <c r="A1437" s="54" t="s">
        <v>506</v>
      </c>
      <c r="B1437" s="43" t="s">
        <v>582</v>
      </c>
      <c r="C1437" s="37" t="s">
        <v>1982</v>
      </c>
      <c r="D1437" s="37"/>
      <c r="E1437" s="37" t="s">
        <v>1974</v>
      </c>
      <c r="F1437" s="37" t="b">
        <v>0</v>
      </c>
      <c r="G1437" s="37">
        <v>200</v>
      </c>
      <c r="H1437" s="37" t="b">
        <v>1</v>
      </c>
    </row>
    <row r="1438" spans="1:9" ht="30" x14ac:dyDescent="0.25">
      <c r="A1438" s="54" t="s">
        <v>506</v>
      </c>
      <c r="B1438" s="31" t="s">
        <v>638</v>
      </c>
      <c r="C1438" s="28" t="s">
        <v>1983</v>
      </c>
      <c r="D1438" s="28"/>
      <c r="E1438" s="28" t="s">
        <v>1974</v>
      </c>
      <c r="F1438" s="28" t="b">
        <v>0</v>
      </c>
      <c r="G1438" s="28">
        <v>200</v>
      </c>
      <c r="H1438" s="28" t="b">
        <v>1</v>
      </c>
      <c r="I1438" s="34"/>
    </row>
    <row r="1439" spans="1:9" ht="30" x14ac:dyDescent="0.25">
      <c r="A1439" s="54" t="s">
        <v>506</v>
      </c>
      <c r="B1439" s="43" t="s">
        <v>638</v>
      </c>
      <c r="C1439" s="37" t="s">
        <v>1984</v>
      </c>
      <c r="D1439" s="37"/>
      <c r="E1439" s="37" t="s">
        <v>1974</v>
      </c>
      <c r="F1439" s="37" t="b">
        <v>0</v>
      </c>
      <c r="G1439" s="37">
        <v>200</v>
      </c>
      <c r="H1439" s="37" t="b">
        <v>1</v>
      </c>
    </row>
    <row r="1440" spans="1:9" ht="30" x14ac:dyDescent="0.25">
      <c r="A1440" s="54" t="s">
        <v>506</v>
      </c>
      <c r="B1440" s="31" t="s">
        <v>647</v>
      </c>
      <c r="C1440" s="28" t="s">
        <v>1985</v>
      </c>
      <c r="D1440" s="28"/>
      <c r="E1440" s="28" t="s">
        <v>1974</v>
      </c>
      <c r="F1440" s="28" t="b">
        <v>0</v>
      </c>
      <c r="G1440" s="28">
        <v>200</v>
      </c>
      <c r="H1440" s="28" t="b">
        <v>1</v>
      </c>
      <c r="I1440" s="34"/>
    </row>
    <row r="1441" spans="1:9" ht="30" x14ac:dyDescent="0.25">
      <c r="A1441" s="54" t="s">
        <v>506</v>
      </c>
      <c r="B1441" s="43" t="s">
        <v>503</v>
      </c>
      <c r="C1441" s="37" t="s">
        <v>1986</v>
      </c>
      <c r="D1441" s="37"/>
      <c r="E1441" s="37" t="s">
        <v>1974</v>
      </c>
      <c r="F1441" s="37" t="b">
        <v>0</v>
      </c>
      <c r="G1441" s="37">
        <v>200</v>
      </c>
      <c r="H1441" s="37" t="b">
        <v>1</v>
      </c>
    </row>
    <row r="1442" spans="1:9" ht="30" x14ac:dyDescent="0.25">
      <c r="A1442" s="54" t="s">
        <v>506</v>
      </c>
      <c r="B1442" s="31" t="s">
        <v>608</v>
      </c>
      <c r="C1442" s="28" t="s">
        <v>1987</v>
      </c>
      <c r="D1442" s="28"/>
      <c r="E1442" s="28" t="s">
        <v>1974</v>
      </c>
      <c r="F1442" s="28" t="b">
        <v>0</v>
      </c>
      <c r="G1442" s="28">
        <v>200</v>
      </c>
      <c r="H1442" s="28" t="b">
        <v>1</v>
      </c>
      <c r="I1442" s="34"/>
    </row>
    <row r="1443" spans="1:9" ht="30" x14ac:dyDescent="0.25">
      <c r="A1443" s="54" t="s">
        <v>506</v>
      </c>
      <c r="B1443" s="43" t="s">
        <v>2747</v>
      </c>
      <c r="C1443" s="37"/>
      <c r="D1443" s="37"/>
      <c r="E1443" s="37" t="s">
        <v>1974</v>
      </c>
      <c r="F1443" s="37" t="b">
        <v>0</v>
      </c>
      <c r="G1443" s="37">
        <v>200</v>
      </c>
      <c r="H1443" s="37" t="b">
        <v>1</v>
      </c>
    </row>
    <row r="1444" spans="1:9" ht="30" x14ac:dyDescent="0.25">
      <c r="A1444" s="54" t="s">
        <v>506</v>
      </c>
      <c r="B1444" s="31" t="s">
        <v>2747</v>
      </c>
      <c r="C1444" s="28" t="s">
        <v>2748</v>
      </c>
      <c r="D1444" s="28"/>
      <c r="E1444" s="28" t="s">
        <v>1974</v>
      </c>
      <c r="F1444" s="28" t="b">
        <v>0</v>
      </c>
      <c r="G1444" s="28">
        <v>200</v>
      </c>
      <c r="H1444" s="28" t="b">
        <v>1</v>
      </c>
      <c r="I1444" s="34"/>
    </row>
    <row r="1445" spans="1:9" ht="30" x14ac:dyDescent="0.25">
      <c r="A1445" s="54" t="s">
        <v>506</v>
      </c>
      <c r="B1445" s="43" t="s">
        <v>2839</v>
      </c>
      <c r="C1445" s="37" t="s">
        <v>2840</v>
      </c>
      <c r="D1445" s="37" t="s">
        <v>2841</v>
      </c>
      <c r="E1445" s="37" t="s">
        <v>1974</v>
      </c>
      <c r="F1445" s="37" t="b">
        <v>1</v>
      </c>
      <c r="G1445" s="37">
        <v>200</v>
      </c>
      <c r="H1445" s="37" t="b">
        <v>1</v>
      </c>
    </row>
    <row r="1446" spans="1:9" ht="30" x14ac:dyDescent="0.25">
      <c r="A1446" s="54" t="s">
        <v>506</v>
      </c>
      <c r="B1446" s="31" t="s">
        <v>2749</v>
      </c>
      <c r="C1446" s="28"/>
      <c r="D1446" s="28"/>
      <c r="E1446" s="28" t="s">
        <v>1974</v>
      </c>
      <c r="F1446" s="28" t="b">
        <v>0</v>
      </c>
      <c r="G1446" s="28">
        <v>200</v>
      </c>
      <c r="H1446" s="28" t="b">
        <v>1</v>
      </c>
      <c r="I1446" s="34"/>
    </row>
    <row r="1447" spans="1:9" ht="30" x14ac:dyDescent="0.25">
      <c r="A1447" s="54" t="s">
        <v>506</v>
      </c>
      <c r="B1447" s="43" t="s">
        <v>2749</v>
      </c>
      <c r="C1447" s="37" t="s">
        <v>2750</v>
      </c>
      <c r="D1447" s="37"/>
      <c r="E1447" s="37" t="s">
        <v>1974</v>
      </c>
      <c r="F1447" s="37" t="b">
        <v>0</v>
      </c>
      <c r="G1447" s="37">
        <v>200</v>
      </c>
      <c r="H1447" s="37" t="b">
        <v>1</v>
      </c>
    </row>
    <row r="1448" spans="1:9" ht="30" x14ac:dyDescent="0.25">
      <c r="A1448" s="54" t="s">
        <v>506</v>
      </c>
      <c r="B1448" s="31" t="s">
        <v>2842</v>
      </c>
      <c r="C1448" s="28" t="s">
        <v>2840</v>
      </c>
      <c r="D1448" s="28" t="s">
        <v>2841</v>
      </c>
      <c r="E1448" s="28" t="s">
        <v>1974</v>
      </c>
      <c r="F1448" s="28" t="b">
        <v>1</v>
      </c>
      <c r="G1448" s="28">
        <v>200</v>
      </c>
      <c r="H1448" s="28" t="b">
        <v>1</v>
      </c>
      <c r="I1448" s="34"/>
    </row>
    <row r="1449" spans="1:9" ht="30" x14ac:dyDescent="0.25">
      <c r="A1449" s="54" t="s">
        <v>506</v>
      </c>
      <c r="B1449" s="43" t="s">
        <v>2751</v>
      </c>
      <c r="C1449" s="37"/>
      <c r="D1449" s="37"/>
      <c r="E1449" s="37" t="s">
        <v>1974</v>
      </c>
      <c r="F1449" s="37" t="b">
        <v>0</v>
      </c>
      <c r="G1449" s="37">
        <v>200</v>
      </c>
      <c r="H1449" s="37" t="b">
        <v>1</v>
      </c>
    </row>
    <row r="1450" spans="1:9" ht="30" x14ac:dyDescent="0.25">
      <c r="A1450" s="54" t="s">
        <v>506</v>
      </c>
      <c r="B1450" s="31" t="s">
        <v>2751</v>
      </c>
      <c r="C1450" s="28" t="s">
        <v>2752</v>
      </c>
      <c r="D1450" s="28"/>
      <c r="E1450" s="28" t="s">
        <v>1974</v>
      </c>
      <c r="F1450" s="28" t="b">
        <v>0</v>
      </c>
      <c r="G1450" s="28">
        <v>200</v>
      </c>
      <c r="H1450" s="28" t="b">
        <v>1</v>
      </c>
      <c r="I1450" s="34"/>
    </row>
    <row r="1451" spans="1:9" ht="30" x14ac:dyDescent="0.25">
      <c r="A1451" s="54" t="s">
        <v>506</v>
      </c>
      <c r="B1451" s="43" t="s">
        <v>2843</v>
      </c>
      <c r="C1451" s="37" t="s">
        <v>2840</v>
      </c>
      <c r="D1451" s="37" t="s">
        <v>2841</v>
      </c>
      <c r="E1451" s="37" t="s">
        <v>1974</v>
      </c>
      <c r="F1451" s="37" t="b">
        <v>1</v>
      </c>
      <c r="G1451" s="37">
        <v>200</v>
      </c>
      <c r="H1451" s="37" t="b">
        <v>1</v>
      </c>
    </row>
    <row r="1452" spans="1:9" ht="30" x14ac:dyDescent="0.25">
      <c r="A1452" s="54" t="s">
        <v>506</v>
      </c>
      <c r="B1452" s="31" t="s">
        <v>2753</v>
      </c>
      <c r="C1452" s="28"/>
      <c r="D1452" s="28"/>
      <c r="E1452" s="28" t="s">
        <v>1974</v>
      </c>
      <c r="F1452" s="28" t="b">
        <v>0</v>
      </c>
      <c r="G1452" s="28">
        <v>200</v>
      </c>
      <c r="H1452" s="28" t="b">
        <v>1</v>
      </c>
      <c r="I1452" s="34"/>
    </row>
    <row r="1453" spans="1:9" ht="30" x14ac:dyDescent="0.25">
      <c r="A1453" s="54" t="s">
        <v>506</v>
      </c>
      <c r="B1453" s="43" t="s">
        <v>2753</v>
      </c>
      <c r="C1453" s="37" t="s">
        <v>2754</v>
      </c>
      <c r="D1453" s="37"/>
      <c r="E1453" s="37" t="s">
        <v>1974</v>
      </c>
      <c r="F1453" s="37" t="b">
        <v>0</v>
      </c>
      <c r="G1453" s="37">
        <v>200</v>
      </c>
      <c r="H1453" s="37" t="b">
        <v>1</v>
      </c>
    </row>
    <row r="1454" spans="1:9" ht="30" x14ac:dyDescent="0.25">
      <c r="A1454" s="54" t="s">
        <v>506</v>
      </c>
      <c r="B1454" s="31" t="s">
        <v>2844</v>
      </c>
      <c r="C1454" s="28" t="s">
        <v>2840</v>
      </c>
      <c r="D1454" s="28" t="s">
        <v>2841</v>
      </c>
      <c r="E1454" s="28" t="s">
        <v>1974</v>
      </c>
      <c r="F1454" s="28" t="b">
        <v>1</v>
      </c>
      <c r="G1454" s="28">
        <v>200</v>
      </c>
      <c r="H1454" s="28" t="b">
        <v>1</v>
      </c>
      <c r="I1454" s="34"/>
    </row>
    <row r="1455" spans="1:9" ht="30" x14ac:dyDescent="0.25">
      <c r="A1455" s="54" t="s">
        <v>506</v>
      </c>
      <c r="B1455" s="43" t="s">
        <v>647</v>
      </c>
      <c r="C1455" s="37" t="s">
        <v>2010</v>
      </c>
      <c r="D1455" s="37"/>
      <c r="E1455" s="37" t="s">
        <v>1974</v>
      </c>
      <c r="F1455" s="37" t="b">
        <v>0</v>
      </c>
      <c r="G1455" s="37">
        <v>200</v>
      </c>
      <c r="H1455" s="37" t="b">
        <v>1</v>
      </c>
    </row>
    <row r="1456" spans="1:9" ht="30" x14ac:dyDescent="0.25">
      <c r="A1456" s="54" t="s">
        <v>506</v>
      </c>
      <c r="B1456" s="31" t="s">
        <v>2011</v>
      </c>
      <c r="C1456" s="28"/>
      <c r="D1456" s="28"/>
      <c r="E1456" s="28" t="s">
        <v>2012</v>
      </c>
      <c r="F1456" s="28" t="b">
        <v>0</v>
      </c>
      <c r="G1456" s="28"/>
      <c r="H1456" s="28" t="b">
        <v>1</v>
      </c>
      <c r="I1456" s="34"/>
    </row>
    <row r="1457" spans="1:9" ht="30" x14ac:dyDescent="0.25">
      <c r="A1457" s="54" t="s">
        <v>506</v>
      </c>
      <c r="B1457" s="43" t="s">
        <v>2013</v>
      </c>
      <c r="C1457" s="37"/>
      <c r="D1457" s="37"/>
      <c r="E1457" s="37" t="s">
        <v>2012</v>
      </c>
      <c r="F1457" s="37" t="b">
        <v>0</v>
      </c>
      <c r="G1457" s="37"/>
      <c r="H1457" s="37" t="b">
        <v>1</v>
      </c>
    </row>
    <row r="1458" spans="1:9" ht="30" x14ac:dyDescent="0.25">
      <c r="A1458" s="54" t="s">
        <v>506</v>
      </c>
      <c r="B1458" s="31" t="s">
        <v>2033</v>
      </c>
      <c r="C1458" s="28"/>
      <c r="D1458" s="28"/>
      <c r="E1458" s="28" t="s">
        <v>2012</v>
      </c>
      <c r="F1458" s="28" t="b">
        <v>0</v>
      </c>
      <c r="G1458" s="28"/>
      <c r="H1458" s="28" t="b">
        <v>1</v>
      </c>
      <c r="I1458" s="34"/>
    </row>
    <row r="1459" spans="1:9" ht="30" x14ac:dyDescent="0.25">
      <c r="A1459" s="54" t="s">
        <v>506</v>
      </c>
      <c r="B1459" s="43" t="s">
        <v>641</v>
      </c>
      <c r="C1459" s="37" t="s">
        <v>2034</v>
      </c>
      <c r="D1459" s="37"/>
      <c r="E1459" s="37" t="s">
        <v>1974</v>
      </c>
      <c r="F1459" s="37" t="b">
        <v>0</v>
      </c>
      <c r="G1459" s="37">
        <v>200</v>
      </c>
      <c r="H1459" s="37" t="b">
        <v>1</v>
      </c>
    </row>
    <row r="1460" spans="1:9" ht="30" x14ac:dyDescent="0.25">
      <c r="A1460" s="54" t="s">
        <v>506</v>
      </c>
      <c r="B1460" s="31" t="s">
        <v>2015</v>
      </c>
      <c r="C1460" s="28" t="s">
        <v>2016</v>
      </c>
      <c r="D1460" s="28"/>
      <c r="E1460" s="28" t="s">
        <v>1974</v>
      </c>
      <c r="F1460" s="28" t="b">
        <v>0</v>
      </c>
      <c r="G1460" s="28">
        <v>404</v>
      </c>
      <c r="H1460" s="28" t="b">
        <v>0</v>
      </c>
      <c r="I1460" s="34"/>
    </row>
    <row r="1461" spans="1:9" ht="30" x14ac:dyDescent="0.25">
      <c r="A1461" s="54" t="s">
        <v>506</v>
      </c>
      <c r="B1461" s="43" t="s">
        <v>2015</v>
      </c>
      <c r="C1461" s="37" t="s">
        <v>2017</v>
      </c>
      <c r="D1461" s="37"/>
      <c r="E1461" s="37" t="s">
        <v>1974</v>
      </c>
      <c r="F1461" s="37" t="b">
        <v>0</v>
      </c>
      <c r="G1461" s="37">
        <v>404</v>
      </c>
      <c r="H1461" s="37" t="b">
        <v>0</v>
      </c>
    </row>
    <row r="1462" spans="1:9" ht="30" x14ac:dyDescent="0.25">
      <c r="A1462" s="54" t="s">
        <v>509</v>
      </c>
      <c r="B1462" s="31" t="s">
        <v>2025</v>
      </c>
      <c r="C1462" s="28"/>
      <c r="D1462" s="28"/>
      <c r="E1462" s="28" t="s">
        <v>2012</v>
      </c>
      <c r="F1462" s="28" t="b">
        <v>0</v>
      </c>
      <c r="G1462" s="28"/>
      <c r="H1462" s="28" t="b">
        <v>1</v>
      </c>
      <c r="I1462" s="34"/>
    </row>
    <row r="1463" spans="1:9" ht="30" x14ac:dyDescent="0.25">
      <c r="A1463" s="54" t="s">
        <v>509</v>
      </c>
      <c r="B1463" s="43" t="s">
        <v>127</v>
      </c>
      <c r="C1463" s="37" t="s">
        <v>1975</v>
      </c>
      <c r="D1463" s="37"/>
      <c r="E1463" s="37" t="s">
        <v>1974</v>
      </c>
      <c r="F1463" s="37" t="b">
        <v>0</v>
      </c>
      <c r="G1463" s="37">
        <v>200</v>
      </c>
      <c r="H1463" s="37" t="b">
        <v>1</v>
      </c>
    </row>
    <row r="1464" spans="1:9" ht="30" x14ac:dyDescent="0.25">
      <c r="A1464" s="54" t="s">
        <v>509</v>
      </c>
      <c r="B1464" s="31" t="s">
        <v>135</v>
      </c>
      <c r="C1464" s="28" t="s">
        <v>1976</v>
      </c>
      <c r="D1464" s="28"/>
      <c r="E1464" s="28" t="s">
        <v>1974</v>
      </c>
      <c r="F1464" s="28" t="b">
        <v>0</v>
      </c>
      <c r="G1464" s="28">
        <v>200</v>
      </c>
      <c r="H1464" s="28" t="b">
        <v>1</v>
      </c>
      <c r="I1464" s="34"/>
    </row>
    <row r="1465" spans="1:9" ht="30" x14ac:dyDescent="0.25">
      <c r="A1465" s="54" t="s">
        <v>509</v>
      </c>
      <c r="B1465" s="43" t="s">
        <v>655</v>
      </c>
      <c r="C1465" s="37" t="s">
        <v>1977</v>
      </c>
      <c r="D1465" s="37"/>
      <c r="E1465" s="37" t="s">
        <v>1974</v>
      </c>
      <c r="F1465" s="37" t="b">
        <v>0</v>
      </c>
      <c r="G1465" s="37">
        <v>200</v>
      </c>
      <c r="H1465" s="37" t="b">
        <v>1</v>
      </c>
    </row>
    <row r="1466" spans="1:9" ht="30" x14ac:dyDescent="0.25">
      <c r="A1466" s="54" t="s">
        <v>509</v>
      </c>
      <c r="B1466" s="31" t="s">
        <v>635</v>
      </c>
      <c r="C1466" s="28" t="s">
        <v>1978</v>
      </c>
      <c r="D1466" s="28"/>
      <c r="E1466" s="28" t="s">
        <v>1974</v>
      </c>
      <c r="F1466" s="28" t="b">
        <v>0</v>
      </c>
      <c r="G1466" s="28">
        <v>200</v>
      </c>
      <c r="H1466" s="28" t="b">
        <v>1</v>
      </c>
      <c r="I1466" s="34"/>
    </row>
    <row r="1467" spans="1:9" ht="30" x14ac:dyDescent="0.25">
      <c r="A1467" s="54" t="s">
        <v>509</v>
      </c>
      <c r="B1467" s="43" t="s">
        <v>144</v>
      </c>
      <c r="C1467" s="37" t="s">
        <v>1979</v>
      </c>
      <c r="D1467" s="37"/>
      <c r="E1467" s="37" t="s">
        <v>1974</v>
      </c>
      <c r="F1467" s="37" t="b">
        <v>0</v>
      </c>
      <c r="G1467" s="37">
        <v>200</v>
      </c>
      <c r="H1467" s="37" t="b">
        <v>1</v>
      </c>
    </row>
    <row r="1468" spans="1:9" ht="30" x14ac:dyDescent="0.25">
      <c r="A1468" s="54" t="s">
        <v>509</v>
      </c>
      <c r="B1468" s="31" t="s">
        <v>618</v>
      </c>
      <c r="C1468" s="28" t="s">
        <v>1980</v>
      </c>
      <c r="D1468" s="28"/>
      <c r="E1468" s="28" t="s">
        <v>1974</v>
      </c>
      <c r="F1468" s="28" t="b">
        <v>0</v>
      </c>
      <c r="G1468" s="28">
        <v>200</v>
      </c>
      <c r="H1468" s="28" t="b">
        <v>1</v>
      </c>
      <c r="I1468" s="34"/>
    </row>
    <row r="1469" spans="1:9" ht="30" x14ac:dyDescent="0.25">
      <c r="A1469" s="54" t="s">
        <v>509</v>
      </c>
      <c r="B1469" s="43" t="s">
        <v>585</v>
      </c>
      <c r="C1469" s="37" t="s">
        <v>1981</v>
      </c>
      <c r="D1469" s="37"/>
      <c r="E1469" s="37" t="s">
        <v>1974</v>
      </c>
      <c r="F1469" s="37" t="b">
        <v>0</v>
      </c>
      <c r="G1469" s="37">
        <v>200</v>
      </c>
      <c r="H1469" s="37" t="b">
        <v>1</v>
      </c>
    </row>
    <row r="1470" spans="1:9" ht="30" x14ac:dyDescent="0.25">
      <c r="A1470" s="54" t="s">
        <v>509</v>
      </c>
      <c r="B1470" s="31" t="s">
        <v>582</v>
      </c>
      <c r="C1470" s="28" t="s">
        <v>1982</v>
      </c>
      <c r="D1470" s="28"/>
      <c r="E1470" s="28" t="s">
        <v>1974</v>
      </c>
      <c r="F1470" s="28" t="b">
        <v>0</v>
      </c>
      <c r="G1470" s="28">
        <v>200</v>
      </c>
      <c r="H1470" s="28" t="b">
        <v>1</v>
      </c>
      <c r="I1470" s="34"/>
    </row>
    <row r="1471" spans="1:9" ht="30" x14ac:dyDescent="0.25">
      <c r="A1471" s="54" t="s">
        <v>509</v>
      </c>
      <c r="B1471" s="43" t="s">
        <v>638</v>
      </c>
      <c r="C1471" s="37" t="s">
        <v>1983</v>
      </c>
      <c r="D1471" s="37"/>
      <c r="E1471" s="37" t="s">
        <v>1974</v>
      </c>
      <c r="F1471" s="37" t="b">
        <v>0</v>
      </c>
      <c r="G1471" s="37">
        <v>200</v>
      </c>
      <c r="H1471" s="37" t="b">
        <v>1</v>
      </c>
    </row>
    <row r="1472" spans="1:9" ht="30" x14ac:dyDescent="0.25">
      <c r="A1472" s="54" t="s">
        <v>509</v>
      </c>
      <c r="B1472" s="31" t="s">
        <v>638</v>
      </c>
      <c r="C1472" s="28" t="s">
        <v>1984</v>
      </c>
      <c r="D1472" s="28"/>
      <c r="E1472" s="28" t="s">
        <v>1974</v>
      </c>
      <c r="F1472" s="28" t="b">
        <v>0</v>
      </c>
      <c r="G1472" s="28">
        <v>200</v>
      </c>
      <c r="H1472" s="28" t="b">
        <v>1</v>
      </c>
      <c r="I1472" s="34"/>
    </row>
    <row r="1473" spans="1:9" ht="30" x14ac:dyDescent="0.25">
      <c r="A1473" s="54" t="s">
        <v>509</v>
      </c>
      <c r="B1473" s="43" t="s">
        <v>647</v>
      </c>
      <c r="C1473" s="37" t="s">
        <v>1985</v>
      </c>
      <c r="D1473" s="37"/>
      <c r="E1473" s="37" t="s">
        <v>1974</v>
      </c>
      <c r="F1473" s="37" t="b">
        <v>0</v>
      </c>
      <c r="G1473" s="37">
        <v>200</v>
      </c>
      <c r="H1473" s="37" t="b">
        <v>1</v>
      </c>
    </row>
    <row r="1474" spans="1:9" ht="30" x14ac:dyDescent="0.25">
      <c r="A1474" s="54" t="s">
        <v>509</v>
      </c>
      <c r="B1474" s="31" t="s">
        <v>503</v>
      </c>
      <c r="C1474" s="28" t="s">
        <v>1986</v>
      </c>
      <c r="D1474" s="28"/>
      <c r="E1474" s="28" t="s">
        <v>1974</v>
      </c>
      <c r="F1474" s="28" t="b">
        <v>0</v>
      </c>
      <c r="G1474" s="28">
        <v>200</v>
      </c>
      <c r="H1474" s="28" t="b">
        <v>1</v>
      </c>
      <c r="I1474" s="34"/>
    </row>
    <row r="1475" spans="1:9" ht="30" x14ac:dyDescent="0.25">
      <c r="A1475" s="54" t="s">
        <v>509</v>
      </c>
      <c r="B1475" s="43" t="s">
        <v>608</v>
      </c>
      <c r="C1475" s="37" t="s">
        <v>1987</v>
      </c>
      <c r="D1475" s="37"/>
      <c r="E1475" s="37" t="s">
        <v>1974</v>
      </c>
      <c r="F1475" s="37" t="b">
        <v>0</v>
      </c>
      <c r="G1475" s="37">
        <v>200</v>
      </c>
      <c r="H1475" s="37" t="b">
        <v>1</v>
      </c>
    </row>
    <row r="1476" spans="1:9" ht="30" x14ac:dyDescent="0.25">
      <c r="A1476" s="54" t="s">
        <v>509</v>
      </c>
      <c r="B1476" s="31" t="s">
        <v>127</v>
      </c>
      <c r="C1476" s="28" t="s">
        <v>1975</v>
      </c>
      <c r="D1476" s="28"/>
      <c r="E1476" s="28" t="s">
        <v>1974</v>
      </c>
      <c r="F1476" s="28" t="b">
        <v>0</v>
      </c>
      <c r="G1476" s="28">
        <v>200</v>
      </c>
      <c r="H1476" s="28" t="b">
        <v>1</v>
      </c>
      <c r="I1476" s="34"/>
    </row>
    <row r="1477" spans="1:9" ht="30" x14ac:dyDescent="0.25">
      <c r="A1477" s="54" t="s">
        <v>509</v>
      </c>
      <c r="B1477" s="43" t="s">
        <v>135</v>
      </c>
      <c r="C1477" s="37" t="s">
        <v>1976</v>
      </c>
      <c r="D1477" s="37"/>
      <c r="E1477" s="37" t="s">
        <v>1974</v>
      </c>
      <c r="F1477" s="37" t="b">
        <v>0</v>
      </c>
      <c r="G1477" s="37">
        <v>200</v>
      </c>
      <c r="H1477" s="37" t="b">
        <v>1</v>
      </c>
    </row>
    <row r="1478" spans="1:9" ht="30" x14ac:dyDescent="0.25">
      <c r="A1478" s="54" t="s">
        <v>509</v>
      </c>
      <c r="B1478" s="31" t="s">
        <v>655</v>
      </c>
      <c r="C1478" s="28" t="s">
        <v>1977</v>
      </c>
      <c r="D1478" s="28"/>
      <c r="E1478" s="28" t="s">
        <v>1974</v>
      </c>
      <c r="F1478" s="28" t="b">
        <v>0</v>
      </c>
      <c r="G1478" s="28">
        <v>200</v>
      </c>
      <c r="H1478" s="28" t="b">
        <v>1</v>
      </c>
      <c r="I1478" s="34"/>
    </row>
    <row r="1479" spans="1:9" ht="30" x14ac:dyDescent="0.25">
      <c r="A1479" s="54" t="s">
        <v>509</v>
      </c>
      <c r="B1479" s="43" t="s">
        <v>635</v>
      </c>
      <c r="C1479" s="37" t="s">
        <v>1978</v>
      </c>
      <c r="D1479" s="37"/>
      <c r="E1479" s="37" t="s">
        <v>1974</v>
      </c>
      <c r="F1479" s="37" t="b">
        <v>0</v>
      </c>
      <c r="G1479" s="37">
        <v>200</v>
      </c>
      <c r="H1479" s="37" t="b">
        <v>1</v>
      </c>
    </row>
    <row r="1480" spans="1:9" ht="30" x14ac:dyDescent="0.25">
      <c r="A1480" s="54" t="s">
        <v>509</v>
      </c>
      <c r="B1480" s="31" t="s">
        <v>144</v>
      </c>
      <c r="C1480" s="28" t="s">
        <v>1979</v>
      </c>
      <c r="D1480" s="28"/>
      <c r="E1480" s="28" t="s">
        <v>1974</v>
      </c>
      <c r="F1480" s="28" t="b">
        <v>0</v>
      </c>
      <c r="G1480" s="28">
        <v>200</v>
      </c>
      <c r="H1480" s="28" t="b">
        <v>1</v>
      </c>
      <c r="I1480" s="34"/>
    </row>
    <row r="1481" spans="1:9" ht="30" x14ac:dyDescent="0.25">
      <c r="A1481" s="54" t="s">
        <v>509</v>
      </c>
      <c r="B1481" s="43" t="s">
        <v>618</v>
      </c>
      <c r="C1481" s="37" t="s">
        <v>1980</v>
      </c>
      <c r="D1481" s="37"/>
      <c r="E1481" s="37" t="s">
        <v>1974</v>
      </c>
      <c r="F1481" s="37" t="b">
        <v>0</v>
      </c>
      <c r="G1481" s="37">
        <v>200</v>
      </c>
      <c r="H1481" s="37" t="b">
        <v>1</v>
      </c>
    </row>
    <row r="1482" spans="1:9" ht="30" x14ac:dyDescent="0.25">
      <c r="A1482" s="54" t="s">
        <v>509</v>
      </c>
      <c r="B1482" s="31" t="s">
        <v>585</v>
      </c>
      <c r="C1482" s="28" t="s">
        <v>1981</v>
      </c>
      <c r="D1482" s="28"/>
      <c r="E1482" s="28" t="s">
        <v>1974</v>
      </c>
      <c r="F1482" s="28" t="b">
        <v>0</v>
      </c>
      <c r="G1482" s="28">
        <v>200</v>
      </c>
      <c r="H1482" s="28" t="b">
        <v>1</v>
      </c>
      <c r="I1482" s="34"/>
    </row>
    <row r="1483" spans="1:9" ht="30" x14ac:dyDescent="0.25">
      <c r="A1483" s="54" t="s">
        <v>509</v>
      </c>
      <c r="B1483" s="43" t="s">
        <v>582</v>
      </c>
      <c r="C1483" s="37" t="s">
        <v>1982</v>
      </c>
      <c r="D1483" s="37"/>
      <c r="E1483" s="37" t="s">
        <v>1974</v>
      </c>
      <c r="F1483" s="37" t="b">
        <v>0</v>
      </c>
      <c r="G1483" s="37">
        <v>200</v>
      </c>
      <c r="H1483" s="37" t="b">
        <v>1</v>
      </c>
    </row>
    <row r="1484" spans="1:9" ht="30" x14ac:dyDescent="0.25">
      <c r="A1484" s="54" t="s">
        <v>509</v>
      </c>
      <c r="B1484" s="31" t="s">
        <v>638</v>
      </c>
      <c r="C1484" s="28" t="s">
        <v>1983</v>
      </c>
      <c r="D1484" s="28"/>
      <c r="E1484" s="28" t="s">
        <v>1974</v>
      </c>
      <c r="F1484" s="28" t="b">
        <v>0</v>
      </c>
      <c r="G1484" s="28">
        <v>200</v>
      </c>
      <c r="H1484" s="28" t="b">
        <v>1</v>
      </c>
      <c r="I1484" s="34"/>
    </row>
    <row r="1485" spans="1:9" ht="30" x14ac:dyDescent="0.25">
      <c r="A1485" s="54" t="s">
        <v>509</v>
      </c>
      <c r="B1485" s="43" t="s">
        <v>638</v>
      </c>
      <c r="C1485" s="37" t="s">
        <v>1984</v>
      </c>
      <c r="D1485" s="37"/>
      <c r="E1485" s="37" t="s">
        <v>1974</v>
      </c>
      <c r="F1485" s="37" t="b">
        <v>0</v>
      </c>
      <c r="G1485" s="37">
        <v>200</v>
      </c>
      <c r="H1485" s="37" t="b">
        <v>1</v>
      </c>
    </row>
    <row r="1486" spans="1:9" ht="30" x14ac:dyDescent="0.25">
      <c r="A1486" s="54" t="s">
        <v>509</v>
      </c>
      <c r="B1486" s="31" t="s">
        <v>647</v>
      </c>
      <c r="C1486" s="28" t="s">
        <v>1985</v>
      </c>
      <c r="D1486" s="28"/>
      <c r="E1486" s="28" t="s">
        <v>1974</v>
      </c>
      <c r="F1486" s="28" t="b">
        <v>0</v>
      </c>
      <c r="G1486" s="28">
        <v>200</v>
      </c>
      <c r="H1486" s="28" t="b">
        <v>1</v>
      </c>
      <c r="I1486" s="34"/>
    </row>
    <row r="1487" spans="1:9" ht="30" x14ac:dyDescent="0.25">
      <c r="A1487" s="54" t="s">
        <v>509</v>
      </c>
      <c r="B1487" s="43" t="s">
        <v>503</v>
      </c>
      <c r="C1487" s="37" t="s">
        <v>1986</v>
      </c>
      <c r="D1487" s="37"/>
      <c r="E1487" s="37" t="s">
        <v>1974</v>
      </c>
      <c r="F1487" s="37" t="b">
        <v>0</v>
      </c>
      <c r="G1487" s="37">
        <v>200</v>
      </c>
      <c r="H1487" s="37" t="b">
        <v>1</v>
      </c>
    </row>
    <row r="1488" spans="1:9" ht="30" x14ac:dyDescent="0.25">
      <c r="A1488" s="54" t="s">
        <v>509</v>
      </c>
      <c r="B1488" s="31" t="s">
        <v>608</v>
      </c>
      <c r="C1488" s="28" t="s">
        <v>1987</v>
      </c>
      <c r="D1488" s="28"/>
      <c r="E1488" s="28" t="s">
        <v>1974</v>
      </c>
      <c r="F1488" s="28" t="b">
        <v>0</v>
      </c>
      <c r="G1488" s="28">
        <v>200</v>
      </c>
      <c r="H1488" s="28" t="b">
        <v>1</v>
      </c>
      <c r="I1488" s="34"/>
    </row>
    <row r="1489" spans="1:9" ht="30" x14ac:dyDescent="0.25">
      <c r="A1489" s="54" t="s">
        <v>509</v>
      </c>
      <c r="B1489" s="43" t="s">
        <v>2747</v>
      </c>
      <c r="C1489" s="37"/>
      <c r="D1489" s="37"/>
      <c r="E1489" s="37" t="s">
        <v>1974</v>
      </c>
      <c r="F1489" s="37" t="b">
        <v>0</v>
      </c>
      <c r="G1489" s="37">
        <v>200</v>
      </c>
      <c r="H1489" s="37" t="b">
        <v>1</v>
      </c>
    </row>
    <row r="1490" spans="1:9" ht="30" x14ac:dyDescent="0.25">
      <c r="A1490" s="54" t="s">
        <v>509</v>
      </c>
      <c r="B1490" s="31" t="s">
        <v>2747</v>
      </c>
      <c r="C1490" s="28" t="s">
        <v>2748</v>
      </c>
      <c r="D1490" s="28"/>
      <c r="E1490" s="28" t="s">
        <v>1974</v>
      </c>
      <c r="F1490" s="28" t="b">
        <v>0</v>
      </c>
      <c r="G1490" s="28">
        <v>200</v>
      </c>
      <c r="H1490" s="28" t="b">
        <v>1</v>
      </c>
      <c r="I1490" s="34"/>
    </row>
    <row r="1491" spans="1:9" ht="30" x14ac:dyDescent="0.25">
      <c r="A1491" s="54" t="s">
        <v>509</v>
      </c>
      <c r="B1491" s="43" t="s">
        <v>2845</v>
      </c>
      <c r="C1491" s="37" t="s">
        <v>2840</v>
      </c>
      <c r="D1491" s="37" t="s">
        <v>2841</v>
      </c>
      <c r="E1491" s="37" t="s">
        <v>1974</v>
      </c>
      <c r="F1491" s="37" t="b">
        <v>1</v>
      </c>
      <c r="G1491" s="37">
        <v>200</v>
      </c>
      <c r="H1491" s="37" t="b">
        <v>1</v>
      </c>
    </row>
    <row r="1492" spans="1:9" ht="30" x14ac:dyDescent="0.25">
      <c r="A1492" s="54" t="s">
        <v>509</v>
      </c>
      <c r="B1492" s="31" t="s">
        <v>2749</v>
      </c>
      <c r="C1492" s="28"/>
      <c r="D1492" s="28"/>
      <c r="E1492" s="28" t="s">
        <v>1974</v>
      </c>
      <c r="F1492" s="28" t="b">
        <v>0</v>
      </c>
      <c r="G1492" s="28">
        <v>200</v>
      </c>
      <c r="H1492" s="28" t="b">
        <v>1</v>
      </c>
      <c r="I1492" s="34"/>
    </row>
    <row r="1493" spans="1:9" ht="30" x14ac:dyDescent="0.25">
      <c r="A1493" s="54" t="s">
        <v>509</v>
      </c>
      <c r="B1493" s="43" t="s">
        <v>2749</v>
      </c>
      <c r="C1493" s="37" t="s">
        <v>2750</v>
      </c>
      <c r="D1493" s="37"/>
      <c r="E1493" s="37" t="s">
        <v>1974</v>
      </c>
      <c r="F1493" s="37" t="b">
        <v>0</v>
      </c>
      <c r="G1493" s="37">
        <v>200</v>
      </c>
      <c r="H1493" s="37" t="b">
        <v>1</v>
      </c>
    </row>
    <row r="1494" spans="1:9" ht="30" x14ac:dyDescent="0.25">
      <c r="A1494" s="54" t="s">
        <v>509</v>
      </c>
      <c r="B1494" s="31" t="s">
        <v>2846</v>
      </c>
      <c r="C1494" s="28" t="s">
        <v>2840</v>
      </c>
      <c r="D1494" s="28" t="s">
        <v>2841</v>
      </c>
      <c r="E1494" s="28" t="s">
        <v>1974</v>
      </c>
      <c r="F1494" s="28" t="b">
        <v>1</v>
      </c>
      <c r="G1494" s="28">
        <v>200</v>
      </c>
      <c r="H1494" s="28" t="b">
        <v>1</v>
      </c>
      <c r="I1494" s="34"/>
    </row>
    <row r="1495" spans="1:9" ht="30" x14ac:dyDescent="0.25">
      <c r="A1495" s="54" t="s">
        <v>509</v>
      </c>
      <c r="B1495" s="43" t="s">
        <v>2751</v>
      </c>
      <c r="C1495" s="37"/>
      <c r="D1495" s="37"/>
      <c r="E1495" s="37" t="s">
        <v>1974</v>
      </c>
      <c r="F1495" s="37" t="b">
        <v>0</v>
      </c>
      <c r="G1495" s="37">
        <v>200</v>
      </c>
      <c r="H1495" s="37" t="b">
        <v>1</v>
      </c>
    </row>
    <row r="1496" spans="1:9" ht="30" x14ac:dyDescent="0.25">
      <c r="A1496" s="54" t="s">
        <v>509</v>
      </c>
      <c r="B1496" s="31" t="s">
        <v>2751</v>
      </c>
      <c r="C1496" s="28" t="s">
        <v>2752</v>
      </c>
      <c r="D1496" s="28"/>
      <c r="E1496" s="28" t="s">
        <v>1974</v>
      </c>
      <c r="F1496" s="28" t="b">
        <v>0</v>
      </c>
      <c r="G1496" s="28">
        <v>200</v>
      </c>
      <c r="H1496" s="28" t="b">
        <v>1</v>
      </c>
      <c r="I1496" s="34"/>
    </row>
    <row r="1497" spans="1:9" ht="30" x14ac:dyDescent="0.25">
      <c r="A1497" s="54" t="s">
        <v>509</v>
      </c>
      <c r="B1497" s="43" t="s">
        <v>2847</v>
      </c>
      <c r="C1497" s="37" t="s">
        <v>2840</v>
      </c>
      <c r="D1497" s="37" t="s">
        <v>2841</v>
      </c>
      <c r="E1497" s="37" t="s">
        <v>1974</v>
      </c>
      <c r="F1497" s="37" t="b">
        <v>1</v>
      </c>
      <c r="G1497" s="37">
        <v>200</v>
      </c>
      <c r="H1497" s="37" t="b">
        <v>1</v>
      </c>
    </row>
    <row r="1498" spans="1:9" ht="30" x14ac:dyDescent="0.25">
      <c r="A1498" s="54" t="s">
        <v>509</v>
      </c>
      <c r="B1498" s="31" t="s">
        <v>2753</v>
      </c>
      <c r="C1498" s="28"/>
      <c r="D1498" s="28"/>
      <c r="E1498" s="28" t="s">
        <v>1974</v>
      </c>
      <c r="F1498" s="28" t="b">
        <v>0</v>
      </c>
      <c r="G1498" s="28">
        <v>200</v>
      </c>
      <c r="H1498" s="28" t="b">
        <v>1</v>
      </c>
      <c r="I1498" s="34"/>
    </row>
    <row r="1499" spans="1:9" ht="30" x14ac:dyDescent="0.25">
      <c r="A1499" s="54" t="s">
        <v>509</v>
      </c>
      <c r="B1499" s="43" t="s">
        <v>2753</v>
      </c>
      <c r="C1499" s="37" t="s">
        <v>2754</v>
      </c>
      <c r="D1499" s="37"/>
      <c r="E1499" s="37" t="s">
        <v>1974</v>
      </c>
      <c r="F1499" s="37" t="b">
        <v>0</v>
      </c>
      <c r="G1499" s="37">
        <v>200</v>
      </c>
      <c r="H1499" s="37" t="b">
        <v>1</v>
      </c>
    </row>
    <row r="1500" spans="1:9" ht="30" x14ac:dyDescent="0.25">
      <c r="A1500" s="54" t="s">
        <v>509</v>
      </c>
      <c r="B1500" s="31" t="s">
        <v>2848</v>
      </c>
      <c r="C1500" s="28" t="s">
        <v>2840</v>
      </c>
      <c r="D1500" s="28" t="s">
        <v>2841</v>
      </c>
      <c r="E1500" s="28" t="s">
        <v>1974</v>
      </c>
      <c r="F1500" s="28" t="b">
        <v>1</v>
      </c>
      <c r="G1500" s="28">
        <v>200</v>
      </c>
      <c r="H1500" s="28" t="b">
        <v>1</v>
      </c>
      <c r="I1500" s="34"/>
    </row>
    <row r="1501" spans="1:9" ht="30" x14ac:dyDescent="0.25">
      <c r="A1501" s="54" t="s">
        <v>509</v>
      </c>
      <c r="B1501" s="43" t="s">
        <v>647</v>
      </c>
      <c r="C1501" s="37" t="s">
        <v>2010</v>
      </c>
      <c r="D1501" s="37"/>
      <c r="E1501" s="37" t="s">
        <v>1974</v>
      </c>
      <c r="F1501" s="37" t="b">
        <v>0</v>
      </c>
      <c r="G1501" s="37">
        <v>200</v>
      </c>
      <c r="H1501" s="37" t="b">
        <v>1</v>
      </c>
    </row>
    <row r="1502" spans="1:9" ht="30" x14ac:dyDescent="0.25">
      <c r="A1502" s="54" t="s">
        <v>509</v>
      </c>
      <c r="B1502" s="31" t="s">
        <v>2011</v>
      </c>
      <c r="C1502" s="28"/>
      <c r="D1502" s="28"/>
      <c r="E1502" s="28" t="s">
        <v>2012</v>
      </c>
      <c r="F1502" s="28" t="b">
        <v>0</v>
      </c>
      <c r="G1502" s="28"/>
      <c r="H1502" s="28" t="b">
        <v>1</v>
      </c>
      <c r="I1502" s="34"/>
    </row>
    <row r="1503" spans="1:9" ht="30" x14ac:dyDescent="0.25">
      <c r="A1503" s="54" t="s">
        <v>509</v>
      </c>
      <c r="B1503" s="43" t="s">
        <v>2013</v>
      </c>
      <c r="C1503" s="37"/>
      <c r="D1503" s="37"/>
      <c r="E1503" s="37" t="s">
        <v>2012</v>
      </c>
      <c r="F1503" s="37" t="b">
        <v>0</v>
      </c>
      <c r="G1503" s="37"/>
      <c r="H1503" s="37" t="b">
        <v>1</v>
      </c>
    </row>
    <row r="1504" spans="1:9" ht="30" x14ac:dyDescent="0.25">
      <c r="A1504" s="54" t="s">
        <v>509</v>
      </c>
      <c r="B1504" s="31" t="s">
        <v>2033</v>
      </c>
      <c r="C1504" s="28"/>
      <c r="D1504" s="28"/>
      <c r="E1504" s="28" t="s">
        <v>2012</v>
      </c>
      <c r="F1504" s="28" t="b">
        <v>0</v>
      </c>
      <c r="G1504" s="28"/>
      <c r="H1504" s="28" t="b">
        <v>1</v>
      </c>
      <c r="I1504" s="34"/>
    </row>
    <row r="1505" spans="1:9" ht="30" x14ac:dyDescent="0.25">
      <c r="A1505" s="54" t="s">
        <v>509</v>
      </c>
      <c r="B1505" s="43" t="s">
        <v>641</v>
      </c>
      <c r="C1505" s="37" t="s">
        <v>2034</v>
      </c>
      <c r="D1505" s="37"/>
      <c r="E1505" s="37" t="s">
        <v>1974</v>
      </c>
      <c r="F1505" s="37" t="b">
        <v>0</v>
      </c>
      <c r="G1505" s="37">
        <v>200</v>
      </c>
      <c r="H1505" s="37" t="b">
        <v>1</v>
      </c>
    </row>
    <row r="1506" spans="1:9" ht="30" x14ac:dyDescent="0.25">
      <c r="A1506" s="54" t="s">
        <v>509</v>
      </c>
      <c r="B1506" s="31" t="s">
        <v>2015</v>
      </c>
      <c r="C1506" s="28" t="s">
        <v>2016</v>
      </c>
      <c r="D1506" s="28"/>
      <c r="E1506" s="28" t="s">
        <v>1974</v>
      </c>
      <c r="F1506" s="28" t="b">
        <v>0</v>
      </c>
      <c r="G1506" s="28">
        <v>404</v>
      </c>
      <c r="H1506" s="28" t="b">
        <v>0</v>
      </c>
      <c r="I1506" s="34"/>
    </row>
    <row r="1507" spans="1:9" ht="30" x14ac:dyDescent="0.25">
      <c r="A1507" s="54" t="s">
        <v>509</v>
      </c>
      <c r="B1507" s="43" t="s">
        <v>2015</v>
      </c>
      <c r="C1507" s="37" t="s">
        <v>2017</v>
      </c>
      <c r="D1507" s="37"/>
      <c r="E1507" s="37" t="s">
        <v>1974</v>
      </c>
      <c r="F1507" s="37" t="b">
        <v>0</v>
      </c>
      <c r="G1507" s="37">
        <v>404</v>
      </c>
      <c r="H1507" s="37" t="b">
        <v>0</v>
      </c>
    </row>
    <row r="1508" spans="1:9" ht="30" x14ac:dyDescent="0.25">
      <c r="A1508" s="54" t="s">
        <v>503</v>
      </c>
      <c r="B1508" s="31" t="s">
        <v>127</v>
      </c>
      <c r="C1508" s="28" t="s">
        <v>1975</v>
      </c>
      <c r="D1508" s="28"/>
      <c r="E1508" s="28" t="s">
        <v>1974</v>
      </c>
      <c r="F1508" s="28" t="b">
        <v>0</v>
      </c>
      <c r="G1508" s="28">
        <v>200</v>
      </c>
      <c r="H1508" s="28" t="b">
        <v>1</v>
      </c>
      <c r="I1508" s="34"/>
    </row>
    <row r="1509" spans="1:9" ht="30" x14ac:dyDescent="0.25">
      <c r="A1509" s="54" t="s">
        <v>503</v>
      </c>
      <c r="B1509" s="43" t="s">
        <v>135</v>
      </c>
      <c r="C1509" s="37" t="s">
        <v>1976</v>
      </c>
      <c r="D1509" s="37"/>
      <c r="E1509" s="37" t="s">
        <v>1974</v>
      </c>
      <c r="F1509" s="37" t="b">
        <v>0</v>
      </c>
      <c r="G1509" s="37">
        <v>200</v>
      </c>
      <c r="H1509" s="37" t="b">
        <v>1</v>
      </c>
    </row>
    <row r="1510" spans="1:9" ht="30" x14ac:dyDescent="0.25">
      <c r="A1510" s="54" t="s">
        <v>503</v>
      </c>
      <c r="B1510" s="31" t="s">
        <v>655</v>
      </c>
      <c r="C1510" s="28" t="s">
        <v>1977</v>
      </c>
      <c r="D1510" s="28"/>
      <c r="E1510" s="28" t="s">
        <v>1974</v>
      </c>
      <c r="F1510" s="28" t="b">
        <v>0</v>
      </c>
      <c r="G1510" s="28">
        <v>200</v>
      </c>
      <c r="H1510" s="28" t="b">
        <v>1</v>
      </c>
      <c r="I1510" s="34"/>
    </row>
    <row r="1511" spans="1:9" ht="30" x14ac:dyDescent="0.25">
      <c r="A1511" s="54" t="s">
        <v>503</v>
      </c>
      <c r="B1511" s="43" t="s">
        <v>635</v>
      </c>
      <c r="C1511" s="37" t="s">
        <v>1978</v>
      </c>
      <c r="D1511" s="37"/>
      <c r="E1511" s="37" t="s">
        <v>1974</v>
      </c>
      <c r="F1511" s="37" t="b">
        <v>0</v>
      </c>
      <c r="G1511" s="37">
        <v>200</v>
      </c>
      <c r="H1511" s="37" t="b">
        <v>1</v>
      </c>
    </row>
    <row r="1512" spans="1:9" ht="30" x14ac:dyDescent="0.25">
      <c r="A1512" s="54" t="s">
        <v>503</v>
      </c>
      <c r="B1512" s="31" t="s">
        <v>144</v>
      </c>
      <c r="C1512" s="28" t="s">
        <v>1979</v>
      </c>
      <c r="D1512" s="28"/>
      <c r="E1512" s="28" t="s">
        <v>1974</v>
      </c>
      <c r="F1512" s="28" t="b">
        <v>0</v>
      </c>
      <c r="G1512" s="28">
        <v>200</v>
      </c>
      <c r="H1512" s="28" t="b">
        <v>1</v>
      </c>
      <c r="I1512" s="34"/>
    </row>
    <row r="1513" spans="1:9" ht="30" x14ac:dyDescent="0.25">
      <c r="A1513" s="54" t="s">
        <v>503</v>
      </c>
      <c r="B1513" s="43" t="s">
        <v>618</v>
      </c>
      <c r="C1513" s="37" t="s">
        <v>1980</v>
      </c>
      <c r="D1513" s="37"/>
      <c r="E1513" s="37" t="s">
        <v>1974</v>
      </c>
      <c r="F1513" s="37" t="b">
        <v>0</v>
      </c>
      <c r="G1513" s="37">
        <v>200</v>
      </c>
      <c r="H1513" s="37" t="b">
        <v>1</v>
      </c>
    </row>
    <row r="1514" spans="1:9" ht="30" x14ac:dyDescent="0.25">
      <c r="A1514" s="54" t="s">
        <v>503</v>
      </c>
      <c r="B1514" s="31" t="s">
        <v>585</v>
      </c>
      <c r="C1514" s="28" t="s">
        <v>1981</v>
      </c>
      <c r="D1514" s="28"/>
      <c r="E1514" s="28" t="s">
        <v>1974</v>
      </c>
      <c r="F1514" s="28" t="b">
        <v>0</v>
      </c>
      <c r="G1514" s="28">
        <v>200</v>
      </c>
      <c r="H1514" s="28" t="b">
        <v>1</v>
      </c>
      <c r="I1514" s="34"/>
    </row>
    <row r="1515" spans="1:9" ht="30" x14ac:dyDescent="0.25">
      <c r="A1515" s="54" t="s">
        <v>503</v>
      </c>
      <c r="B1515" s="43" t="s">
        <v>582</v>
      </c>
      <c r="C1515" s="37" t="s">
        <v>1982</v>
      </c>
      <c r="D1515" s="37"/>
      <c r="E1515" s="37" t="s">
        <v>1974</v>
      </c>
      <c r="F1515" s="37" t="b">
        <v>0</v>
      </c>
      <c r="G1515" s="37">
        <v>200</v>
      </c>
      <c r="H1515" s="37" t="b">
        <v>1</v>
      </c>
    </row>
    <row r="1516" spans="1:9" ht="30" x14ac:dyDescent="0.25">
      <c r="A1516" s="54" t="s">
        <v>503</v>
      </c>
      <c r="B1516" s="31" t="s">
        <v>638</v>
      </c>
      <c r="C1516" s="28" t="s">
        <v>1983</v>
      </c>
      <c r="D1516" s="28"/>
      <c r="E1516" s="28" t="s">
        <v>1974</v>
      </c>
      <c r="F1516" s="28" t="b">
        <v>0</v>
      </c>
      <c r="G1516" s="28">
        <v>200</v>
      </c>
      <c r="H1516" s="28" t="b">
        <v>1</v>
      </c>
      <c r="I1516" s="34"/>
    </row>
    <row r="1517" spans="1:9" ht="30" x14ac:dyDescent="0.25">
      <c r="A1517" s="54" t="s">
        <v>503</v>
      </c>
      <c r="B1517" s="43" t="s">
        <v>638</v>
      </c>
      <c r="C1517" s="37" t="s">
        <v>1984</v>
      </c>
      <c r="D1517" s="37"/>
      <c r="E1517" s="37" t="s">
        <v>1974</v>
      </c>
      <c r="F1517" s="37" t="b">
        <v>0</v>
      </c>
      <c r="G1517" s="37">
        <v>200</v>
      </c>
      <c r="H1517" s="37" t="b">
        <v>1</v>
      </c>
    </row>
    <row r="1518" spans="1:9" ht="30" x14ac:dyDescent="0.25">
      <c r="A1518" s="54" t="s">
        <v>503</v>
      </c>
      <c r="B1518" s="31" t="s">
        <v>647</v>
      </c>
      <c r="C1518" s="28" t="s">
        <v>1985</v>
      </c>
      <c r="D1518" s="28"/>
      <c r="E1518" s="28" t="s">
        <v>1974</v>
      </c>
      <c r="F1518" s="28" t="b">
        <v>0</v>
      </c>
      <c r="G1518" s="28">
        <v>200</v>
      </c>
      <c r="H1518" s="28" t="b">
        <v>1</v>
      </c>
      <c r="I1518" s="34"/>
    </row>
    <row r="1519" spans="1:9" ht="30" x14ac:dyDescent="0.25">
      <c r="A1519" s="54" t="s">
        <v>503</v>
      </c>
      <c r="B1519" s="43" t="s">
        <v>503</v>
      </c>
      <c r="C1519" s="37" t="s">
        <v>1986</v>
      </c>
      <c r="D1519" s="37"/>
      <c r="E1519" s="37" t="s">
        <v>1974</v>
      </c>
      <c r="F1519" s="37" t="b">
        <v>0</v>
      </c>
      <c r="G1519" s="37">
        <v>200</v>
      </c>
      <c r="H1519" s="37" t="b">
        <v>1</v>
      </c>
    </row>
    <row r="1520" spans="1:9" ht="30" x14ac:dyDescent="0.25">
      <c r="A1520" s="54" t="s">
        <v>503</v>
      </c>
      <c r="B1520" s="31" t="s">
        <v>608</v>
      </c>
      <c r="C1520" s="28" t="s">
        <v>1987</v>
      </c>
      <c r="D1520" s="28"/>
      <c r="E1520" s="28" t="s">
        <v>1974</v>
      </c>
      <c r="F1520" s="28" t="b">
        <v>0</v>
      </c>
      <c r="G1520" s="28">
        <v>200</v>
      </c>
      <c r="H1520" s="28" t="b">
        <v>1</v>
      </c>
      <c r="I1520" s="34"/>
    </row>
    <row r="1521" spans="1:9" ht="30" x14ac:dyDescent="0.25">
      <c r="A1521" s="54" t="s">
        <v>503</v>
      </c>
      <c r="B1521" s="43" t="s">
        <v>127</v>
      </c>
      <c r="C1521" s="37" t="s">
        <v>1975</v>
      </c>
      <c r="D1521" s="37"/>
      <c r="E1521" s="37" t="s">
        <v>1974</v>
      </c>
      <c r="F1521" s="37" t="b">
        <v>0</v>
      </c>
      <c r="G1521" s="37">
        <v>200</v>
      </c>
      <c r="H1521" s="37" t="b">
        <v>1</v>
      </c>
    </row>
    <row r="1522" spans="1:9" ht="30" x14ac:dyDescent="0.25">
      <c r="A1522" s="54" t="s">
        <v>503</v>
      </c>
      <c r="B1522" s="31" t="s">
        <v>135</v>
      </c>
      <c r="C1522" s="28" t="s">
        <v>1976</v>
      </c>
      <c r="D1522" s="28"/>
      <c r="E1522" s="28" t="s">
        <v>1974</v>
      </c>
      <c r="F1522" s="28" t="b">
        <v>0</v>
      </c>
      <c r="G1522" s="28">
        <v>200</v>
      </c>
      <c r="H1522" s="28" t="b">
        <v>1</v>
      </c>
      <c r="I1522" s="34"/>
    </row>
    <row r="1523" spans="1:9" ht="30" x14ac:dyDescent="0.25">
      <c r="A1523" s="54" t="s">
        <v>503</v>
      </c>
      <c r="B1523" s="43" t="s">
        <v>655</v>
      </c>
      <c r="C1523" s="37" t="s">
        <v>1977</v>
      </c>
      <c r="D1523" s="37"/>
      <c r="E1523" s="37" t="s">
        <v>1974</v>
      </c>
      <c r="F1523" s="37" t="b">
        <v>0</v>
      </c>
      <c r="G1523" s="37">
        <v>200</v>
      </c>
      <c r="H1523" s="37" t="b">
        <v>1</v>
      </c>
    </row>
    <row r="1524" spans="1:9" ht="30" x14ac:dyDescent="0.25">
      <c r="A1524" s="54" t="s">
        <v>503</v>
      </c>
      <c r="B1524" s="31" t="s">
        <v>635</v>
      </c>
      <c r="C1524" s="28" t="s">
        <v>1978</v>
      </c>
      <c r="D1524" s="28"/>
      <c r="E1524" s="28" t="s">
        <v>1974</v>
      </c>
      <c r="F1524" s="28" t="b">
        <v>0</v>
      </c>
      <c r="G1524" s="28">
        <v>200</v>
      </c>
      <c r="H1524" s="28" t="b">
        <v>1</v>
      </c>
      <c r="I1524" s="34"/>
    </row>
    <row r="1525" spans="1:9" ht="30" x14ac:dyDescent="0.25">
      <c r="A1525" s="54" t="s">
        <v>503</v>
      </c>
      <c r="B1525" s="43" t="s">
        <v>144</v>
      </c>
      <c r="C1525" s="37" t="s">
        <v>1979</v>
      </c>
      <c r="D1525" s="37"/>
      <c r="E1525" s="37" t="s">
        <v>1974</v>
      </c>
      <c r="F1525" s="37" t="b">
        <v>0</v>
      </c>
      <c r="G1525" s="37">
        <v>200</v>
      </c>
      <c r="H1525" s="37" t="b">
        <v>1</v>
      </c>
    </row>
    <row r="1526" spans="1:9" ht="30" x14ac:dyDescent="0.25">
      <c r="A1526" s="54" t="s">
        <v>503</v>
      </c>
      <c r="B1526" s="31" t="s">
        <v>618</v>
      </c>
      <c r="C1526" s="28" t="s">
        <v>1980</v>
      </c>
      <c r="D1526" s="28"/>
      <c r="E1526" s="28" t="s">
        <v>1974</v>
      </c>
      <c r="F1526" s="28" t="b">
        <v>0</v>
      </c>
      <c r="G1526" s="28">
        <v>200</v>
      </c>
      <c r="H1526" s="28" t="b">
        <v>1</v>
      </c>
      <c r="I1526" s="34"/>
    </row>
    <row r="1527" spans="1:9" ht="30" x14ac:dyDescent="0.25">
      <c r="A1527" s="54" t="s">
        <v>503</v>
      </c>
      <c r="B1527" s="43" t="s">
        <v>585</v>
      </c>
      <c r="C1527" s="37" t="s">
        <v>1981</v>
      </c>
      <c r="D1527" s="37"/>
      <c r="E1527" s="37" t="s">
        <v>1974</v>
      </c>
      <c r="F1527" s="37" t="b">
        <v>0</v>
      </c>
      <c r="G1527" s="37">
        <v>200</v>
      </c>
      <c r="H1527" s="37" t="b">
        <v>1</v>
      </c>
    </row>
    <row r="1528" spans="1:9" ht="30" x14ac:dyDescent="0.25">
      <c r="A1528" s="54" t="s">
        <v>503</v>
      </c>
      <c r="B1528" s="31" t="s">
        <v>582</v>
      </c>
      <c r="C1528" s="28" t="s">
        <v>1982</v>
      </c>
      <c r="D1528" s="28"/>
      <c r="E1528" s="28" t="s">
        <v>1974</v>
      </c>
      <c r="F1528" s="28" t="b">
        <v>0</v>
      </c>
      <c r="G1528" s="28">
        <v>200</v>
      </c>
      <c r="H1528" s="28" t="b">
        <v>1</v>
      </c>
      <c r="I1528" s="34"/>
    </row>
    <row r="1529" spans="1:9" ht="30" x14ac:dyDescent="0.25">
      <c r="A1529" s="54" t="s">
        <v>503</v>
      </c>
      <c r="B1529" s="43" t="s">
        <v>638</v>
      </c>
      <c r="C1529" s="37" t="s">
        <v>1983</v>
      </c>
      <c r="D1529" s="37"/>
      <c r="E1529" s="37" t="s">
        <v>1974</v>
      </c>
      <c r="F1529" s="37" t="b">
        <v>0</v>
      </c>
      <c r="G1529" s="37">
        <v>200</v>
      </c>
      <c r="H1529" s="37" t="b">
        <v>1</v>
      </c>
    </row>
    <row r="1530" spans="1:9" ht="30" x14ac:dyDescent="0.25">
      <c r="A1530" s="54" t="s">
        <v>503</v>
      </c>
      <c r="B1530" s="31" t="s">
        <v>638</v>
      </c>
      <c r="C1530" s="28" t="s">
        <v>1984</v>
      </c>
      <c r="D1530" s="28"/>
      <c r="E1530" s="28" t="s">
        <v>1974</v>
      </c>
      <c r="F1530" s="28" t="b">
        <v>0</v>
      </c>
      <c r="G1530" s="28">
        <v>200</v>
      </c>
      <c r="H1530" s="28" t="b">
        <v>1</v>
      </c>
      <c r="I1530" s="34"/>
    </row>
    <row r="1531" spans="1:9" ht="30" x14ac:dyDescent="0.25">
      <c r="A1531" s="54" t="s">
        <v>503</v>
      </c>
      <c r="B1531" s="43" t="s">
        <v>647</v>
      </c>
      <c r="C1531" s="37" t="s">
        <v>1985</v>
      </c>
      <c r="D1531" s="37"/>
      <c r="E1531" s="37" t="s">
        <v>1974</v>
      </c>
      <c r="F1531" s="37" t="b">
        <v>0</v>
      </c>
      <c r="G1531" s="37">
        <v>200</v>
      </c>
      <c r="H1531" s="37" t="b">
        <v>1</v>
      </c>
    </row>
    <row r="1532" spans="1:9" ht="30" x14ac:dyDescent="0.25">
      <c r="A1532" s="54" t="s">
        <v>503</v>
      </c>
      <c r="B1532" s="31" t="s">
        <v>503</v>
      </c>
      <c r="C1532" s="28" t="s">
        <v>1986</v>
      </c>
      <c r="D1532" s="28"/>
      <c r="E1532" s="28" t="s">
        <v>1974</v>
      </c>
      <c r="F1532" s="28" t="b">
        <v>0</v>
      </c>
      <c r="G1532" s="28">
        <v>200</v>
      </c>
      <c r="H1532" s="28" t="b">
        <v>1</v>
      </c>
      <c r="I1532" s="34"/>
    </row>
    <row r="1533" spans="1:9" ht="30" x14ac:dyDescent="0.25">
      <c r="A1533" s="54" t="s">
        <v>503</v>
      </c>
      <c r="B1533" s="43" t="s">
        <v>608</v>
      </c>
      <c r="C1533" s="37" t="s">
        <v>1987</v>
      </c>
      <c r="D1533" s="37"/>
      <c r="E1533" s="37" t="s">
        <v>1974</v>
      </c>
      <c r="F1533" s="37" t="b">
        <v>0</v>
      </c>
      <c r="G1533" s="37">
        <v>200</v>
      </c>
      <c r="H1533" s="37" t="b">
        <v>1</v>
      </c>
    </row>
    <row r="1534" spans="1:9" ht="30" x14ac:dyDescent="0.25">
      <c r="A1534" s="54" t="s">
        <v>503</v>
      </c>
      <c r="B1534" s="31" t="s">
        <v>503</v>
      </c>
      <c r="C1534" s="28" t="s">
        <v>2849</v>
      </c>
      <c r="D1534" s="28"/>
      <c r="E1534" s="28" t="s">
        <v>1974</v>
      </c>
      <c r="F1534" s="28" t="b">
        <v>0</v>
      </c>
      <c r="G1534" s="28">
        <v>200</v>
      </c>
      <c r="H1534" s="28" t="b">
        <v>1</v>
      </c>
      <c r="I1534" s="34"/>
    </row>
    <row r="1535" spans="1:9" ht="30" x14ac:dyDescent="0.25">
      <c r="A1535" s="54" t="s">
        <v>503</v>
      </c>
      <c r="B1535" s="43" t="s">
        <v>632</v>
      </c>
      <c r="C1535" s="37" t="s">
        <v>2850</v>
      </c>
      <c r="D1535" s="37"/>
      <c r="E1535" s="37" t="s">
        <v>1974</v>
      </c>
      <c r="F1535" s="37" t="b">
        <v>0</v>
      </c>
      <c r="G1535" s="37">
        <v>200</v>
      </c>
      <c r="H1535" s="37" t="b">
        <v>1</v>
      </c>
    </row>
    <row r="1536" spans="1:9" ht="30" x14ac:dyDescent="0.25">
      <c r="A1536" s="54" t="s">
        <v>503</v>
      </c>
      <c r="B1536" s="31" t="s">
        <v>573</v>
      </c>
      <c r="C1536" s="28" t="s">
        <v>2851</v>
      </c>
      <c r="D1536" s="28"/>
      <c r="E1536" s="28" t="s">
        <v>1974</v>
      </c>
      <c r="F1536" s="28" t="b">
        <v>0</v>
      </c>
      <c r="G1536" s="28">
        <v>200</v>
      </c>
      <c r="H1536" s="28" t="b">
        <v>1</v>
      </c>
      <c r="I1536" s="34"/>
    </row>
    <row r="1537" spans="1:9" ht="30" x14ac:dyDescent="0.25">
      <c r="A1537" s="54" t="s">
        <v>503</v>
      </c>
      <c r="B1537" s="43" t="s">
        <v>503</v>
      </c>
      <c r="C1537" s="37" t="s">
        <v>2849</v>
      </c>
      <c r="D1537" s="37"/>
      <c r="E1537" s="37" t="s">
        <v>1974</v>
      </c>
      <c r="F1537" s="37" t="b">
        <v>0</v>
      </c>
      <c r="G1537" s="37">
        <v>200</v>
      </c>
      <c r="H1537" s="37" t="b">
        <v>1</v>
      </c>
    </row>
    <row r="1538" spans="1:9" ht="30" x14ac:dyDescent="0.25">
      <c r="A1538" s="54" t="s">
        <v>503</v>
      </c>
      <c r="B1538" s="31" t="s">
        <v>632</v>
      </c>
      <c r="C1538" s="28" t="s">
        <v>2850</v>
      </c>
      <c r="D1538" s="28"/>
      <c r="E1538" s="28" t="s">
        <v>1974</v>
      </c>
      <c r="F1538" s="28" t="b">
        <v>0</v>
      </c>
      <c r="G1538" s="28">
        <v>200</v>
      </c>
      <c r="H1538" s="28" t="b">
        <v>1</v>
      </c>
      <c r="I1538" s="34"/>
    </row>
    <row r="1539" spans="1:9" ht="30" x14ac:dyDescent="0.25">
      <c r="A1539" s="54" t="s">
        <v>503</v>
      </c>
      <c r="B1539" s="43" t="s">
        <v>573</v>
      </c>
      <c r="C1539" s="37" t="s">
        <v>2851</v>
      </c>
      <c r="D1539" s="37"/>
      <c r="E1539" s="37" t="s">
        <v>1974</v>
      </c>
      <c r="F1539" s="37" t="b">
        <v>0</v>
      </c>
      <c r="G1539" s="37">
        <v>200</v>
      </c>
      <c r="H1539" s="37" t="b">
        <v>1</v>
      </c>
    </row>
    <row r="1540" spans="1:9" ht="30" x14ac:dyDescent="0.25">
      <c r="A1540" s="54" t="s">
        <v>503</v>
      </c>
      <c r="B1540" s="31" t="s">
        <v>503</v>
      </c>
      <c r="C1540" s="28" t="s">
        <v>1989</v>
      </c>
      <c r="D1540" s="28"/>
      <c r="E1540" s="28" t="s">
        <v>1974</v>
      </c>
      <c r="F1540" s="28" t="b">
        <v>0</v>
      </c>
      <c r="G1540" s="28">
        <v>200</v>
      </c>
      <c r="H1540" s="28" t="b">
        <v>1</v>
      </c>
      <c r="I1540" s="34"/>
    </row>
    <row r="1541" spans="1:9" ht="30" x14ac:dyDescent="0.25">
      <c r="A1541" s="54" t="s">
        <v>503</v>
      </c>
      <c r="B1541" s="43" t="s">
        <v>2852</v>
      </c>
      <c r="C1541" s="37" t="s">
        <v>1989</v>
      </c>
      <c r="D1541" s="37"/>
      <c r="E1541" s="37" t="s">
        <v>2012</v>
      </c>
      <c r="F1541" s="37" t="b">
        <v>0</v>
      </c>
      <c r="G1541" s="37"/>
      <c r="H1541" s="37" t="b">
        <v>1</v>
      </c>
    </row>
    <row r="1542" spans="1:9" ht="30" x14ac:dyDescent="0.25">
      <c r="A1542" s="54" t="s">
        <v>503</v>
      </c>
      <c r="B1542" s="31" t="s">
        <v>2853</v>
      </c>
      <c r="C1542" s="28" t="s">
        <v>2854</v>
      </c>
      <c r="D1542" s="28"/>
      <c r="E1542" s="28" t="s">
        <v>2012</v>
      </c>
      <c r="F1542" s="28" t="b">
        <v>0</v>
      </c>
      <c r="G1542" s="28"/>
      <c r="H1542" s="28" t="b">
        <v>1</v>
      </c>
      <c r="I1542" s="34"/>
    </row>
    <row r="1543" spans="1:9" ht="30" x14ac:dyDescent="0.25">
      <c r="A1543" s="54" t="s">
        <v>503</v>
      </c>
      <c r="B1543" s="43" t="s">
        <v>500</v>
      </c>
      <c r="C1543" s="37" t="s">
        <v>2026</v>
      </c>
      <c r="D1543" s="37"/>
      <c r="E1543" s="37" t="s">
        <v>1974</v>
      </c>
      <c r="F1543" s="37" t="b">
        <v>0</v>
      </c>
      <c r="G1543" s="37">
        <v>200</v>
      </c>
      <c r="H1543" s="37" t="b">
        <v>1</v>
      </c>
    </row>
    <row r="1544" spans="1:9" ht="30" x14ac:dyDescent="0.25">
      <c r="A1544" s="54" t="s">
        <v>503</v>
      </c>
      <c r="B1544" s="31" t="s">
        <v>491</v>
      </c>
      <c r="C1544" s="28" t="s">
        <v>2836</v>
      </c>
      <c r="D1544" s="28"/>
      <c r="E1544" s="28" t="s">
        <v>1974</v>
      </c>
      <c r="F1544" s="28" t="b">
        <v>0</v>
      </c>
      <c r="G1544" s="28">
        <v>200</v>
      </c>
      <c r="H1544" s="28" t="b">
        <v>1</v>
      </c>
      <c r="I1544" s="34"/>
    </row>
    <row r="1545" spans="1:9" ht="30" x14ac:dyDescent="0.25">
      <c r="A1545" s="54" t="s">
        <v>503</v>
      </c>
      <c r="B1545" s="43" t="s">
        <v>185</v>
      </c>
      <c r="C1545" s="37" t="s">
        <v>2837</v>
      </c>
      <c r="D1545" s="37"/>
      <c r="E1545" s="37" t="s">
        <v>1974</v>
      </c>
      <c r="F1545" s="37" t="b">
        <v>0</v>
      </c>
      <c r="G1545" s="37">
        <v>200</v>
      </c>
      <c r="H1545" s="37" t="b">
        <v>1</v>
      </c>
    </row>
    <row r="1546" spans="1:9" ht="30" x14ac:dyDescent="0.25">
      <c r="A1546" s="54" t="s">
        <v>503</v>
      </c>
      <c r="B1546" s="31" t="s">
        <v>161</v>
      </c>
      <c r="C1546" s="28" t="s">
        <v>2838</v>
      </c>
      <c r="D1546" s="28"/>
      <c r="E1546" s="28" t="s">
        <v>1974</v>
      </c>
      <c r="F1546" s="28" t="b">
        <v>0</v>
      </c>
      <c r="G1546" s="28">
        <v>200</v>
      </c>
      <c r="H1546" s="28" t="b">
        <v>1</v>
      </c>
      <c r="I1546" s="34"/>
    </row>
    <row r="1547" spans="1:9" ht="30" x14ac:dyDescent="0.25">
      <c r="A1547" s="54" t="s">
        <v>503</v>
      </c>
      <c r="B1547" s="43" t="s">
        <v>647</v>
      </c>
      <c r="C1547" s="37" t="s">
        <v>2010</v>
      </c>
      <c r="D1547" s="37"/>
      <c r="E1547" s="37" t="s">
        <v>1974</v>
      </c>
      <c r="F1547" s="37" t="b">
        <v>0</v>
      </c>
      <c r="G1547" s="37">
        <v>200</v>
      </c>
      <c r="H1547" s="37" t="b">
        <v>1</v>
      </c>
    </row>
    <row r="1548" spans="1:9" ht="30" x14ac:dyDescent="0.25">
      <c r="A1548" s="54" t="s">
        <v>503</v>
      </c>
      <c r="B1548" s="31" t="s">
        <v>2011</v>
      </c>
      <c r="C1548" s="28"/>
      <c r="D1548" s="28"/>
      <c r="E1548" s="28" t="s">
        <v>2012</v>
      </c>
      <c r="F1548" s="28" t="b">
        <v>0</v>
      </c>
      <c r="G1548" s="28"/>
      <c r="H1548" s="28" t="b">
        <v>1</v>
      </c>
      <c r="I1548" s="34"/>
    </row>
    <row r="1549" spans="1:9" ht="30" x14ac:dyDescent="0.25">
      <c r="A1549" s="54" t="s">
        <v>503</v>
      </c>
      <c r="B1549" s="43" t="s">
        <v>2013</v>
      </c>
      <c r="C1549" s="37"/>
      <c r="D1549" s="37"/>
      <c r="E1549" s="37" t="s">
        <v>2012</v>
      </c>
      <c r="F1549" s="37" t="b">
        <v>0</v>
      </c>
      <c r="G1549" s="37"/>
      <c r="H1549" s="37" t="b">
        <v>1</v>
      </c>
    </row>
    <row r="1550" spans="1:9" ht="30" x14ac:dyDescent="0.25">
      <c r="A1550" s="54" t="s">
        <v>503</v>
      </c>
      <c r="B1550" s="31" t="s">
        <v>2033</v>
      </c>
      <c r="C1550" s="28"/>
      <c r="D1550" s="28"/>
      <c r="E1550" s="28" t="s">
        <v>2012</v>
      </c>
      <c r="F1550" s="28" t="b">
        <v>0</v>
      </c>
      <c r="G1550" s="28"/>
      <c r="H1550" s="28" t="b">
        <v>1</v>
      </c>
      <c r="I1550" s="34"/>
    </row>
    <row r="1551" spans="1:9" ht="30" x14ac:dyDescent="0.25">
      <c r="A1551" s="54" t="s">
        <v>503</v>
      </c>
      <c r="B1551" s="43" t="s">
        <v>641</v>
      </c>
      <c r="C1551" s="37" t="s">
        <v>2034</v>
      </c>
      <c r="D1551" s="37"/>
      <c r="E1551" s="37" t="s">
        <v>1974</v>
      </c>
      <c r="F1551" s="37" t="b">
        <v>0</v>
      </c>
      <c r="G1551" s="37">
        <v>200</v>
      </c>
      <c r="H1551" s="37" t="b">
        <v>1</v>
      </c>
    </row>
    <row r="1552" spans="1:9" ht="30" x14ac:dyDescent="0.25">
      <c r="A1552" s="54" t="s">
        <v>503</v>
      </c>
      <c r="B1552" s="31" t="s">
        <v>2015</v>
      </c>
      <c r="C1552" s="28" t="s">
        <v>2016</v>
      </c>
      <c r="D1552" s="28"/>
      <c r="E1552" s="28" t="s">
        <v>1974</v>
      </c>
      <c r="F1552" s="28" t="b">
        <v>0</v>
      </c>
      <c r="G1552" s="28">
        <v>404</v>
      </c>
      <c r="H1552" s="28" t="b">
        <v>0</v>
      </c>
      <c r="I1552" s="34"/>
    </row>
    <row r="1553" spans="1:9" ht="30" x14ac:dyDescent="0.25">
      <c r="A1553" s="54" t="s">
        <v>503</v>
      </c>
      <c r="B1553" s="43" t="s">
        <v>2015</v>
      </c>
      <c r="C1553" s="37" t="s">
        <v>2017</v>
      </c>
      <c r="D1553" s="37"/>
      <c r="E1553" s="37" t="s">
        <v>1974</v>
      </c>
      <c r="F1553" s="37" t="b">
        <v>0</v>
      </c>
      <c r="G1553" s="37">
        <v>404</v>
      </c>
      <c r="H1553" s="37" t="b">
        <v>0</v>
      </c>
    </row>
    <row r="1554" spans="1:9" ht="30" x14ac:dyDescent="0.25">
      <c r="A1554" s="54" t="s">
        <v>512</v>
      </c>
      <c r="B1554" s="31" t="s">
        <v>127</v>
      </c>
      <c r="C1554" s="28"/>
      <c r="D1554" s="28"/>
      <c r="E1554" s="28" t="s">
        <v>1974</v>
      </c>
      <c r="F1554" s="28" t="b">
        <v>0</v>
      </c>
      <c r="G1554" s="28">
        <v>200</v>
      </c>
      <c r="H1554" s="28" t="b">
        <v>1</v>
      </c>
      <c r="I1554" s="34"/>
    </row>
    <row r="1555" spans="1:9" ht="30" x14ac:dyDescent="0.25">
      <c r="A1555" s="54" t="s">
        <v>512</v>
      </c>
      <c r="B1555" s="43" t="s">
        <v>127</v>
      </c>
      <c r="C1555" s="37" t="s">
        <v>1975</v>
      </c>
      <c r="D1555" s="37"/>
      <c r="E1555" s="37" t="s">
        <v>1974</v>
      </c>
      <c r="F1555" s="37" t="b">
        <v>0</v>
      </c>
      <c r="G1555" s="37">
        <v>200</v>
      </c>
      <c r="H1555" s="37" t="b">
        <v>1</v>
      </c>
    </row>
    <row r="1556" spans="1:9" ht="30" x14ac:dyDescent="0.25">
      <c r="A1556" s="54" t="s">
        <v>512</v>
      </c>
      <c r="B1556" s="31" t="s">
        <v>135</v>
      </c>
      <c r="C1556" s="28" t="s">
        <v>1976</v>
      </c>
      <c r="D1556" s="28"/>
      <c r="E1556" s="28" t="s">
        <v>1974</v>
      </c>
      <c r="F1556" s="28" t="b">
        <v>0</v>
      </c>
      <c r="G1556" s="28">
        <v>200</v>
      </c>
      <c r="H1556" s="28" t="b">
        <v>1</v>
      </c>
      <c r="I1556" s="34"/>
    </row>
    <row r="1557" spans="1:9" ht="30" x14ac:dyDescent="0.25">
      <c r="A1557" s="54" t="s">
        <v>512</v>
      </c>
      <c r="B1557" s="43" t="s">
        <v>655</v>
      </c>
      <c r="C1557" s="37" t="s">
        <v>1977</v>
      </c>
      <c r="D1557" s="37"/>
      <c r="E1557" s="37" t="s">
        <v>1974</v>
      </c>
      <c r="F1557" s="37" t="b">
        <v>0</v>
      </c>
      <c r="G1557" s="37">
        <v>200</v>
      </c>
      <c r="H1557" s="37" t="b">
        <v>1</v>
      </c>
    </row>
    <row r="1558" spans="1:9" ht="30" x14ac:dyDescent="0.25">
      <c r="A1558" s="54" t="s">
        <v>512</v>
      </c>
      <c r="B1558" s="31" t="s">
        <v>635</v>
      </c>
      <c r="C1558" s="28" t="s">
        <v>1978</v>
      </c>
      <c r="D1558" s="28"/>
      <c r="E1558" s="28" t="s">
        <v>1974</v>
      </c>
      <c r="F1558" s="28" t="b">
        <v>0</v>
      </c>
      <c r="G1558" s="28">
        <v>200</v>
      </c>
      <c r="H1558" s="28" t="b">
        <v>1</v>
      </c>
      <c r="I1558" s="34"/>
    </row>
    <row r="1559" spans="1:9" ht="30" x14ac:dyDescent="0.25">
      <c r="A1559" s="54" t="s">
        <v>512</v>
      </c>
      <c r="B1559" s="43" t="s">
        <v>144</v>
      </c>
      <c r="C1559" s="37" t="s">
        <v>1979</v>
      </c>
      <c r="D1559" s="37"/>
      <c r="E1559" s="37" t="s">
        <v>1974</v>
      </c>
      <c r="F1559" s="37" t="b">
        <v>0</v>
      </c>
      <c r="G1559" s="37">
        <v>200</v>
      </c>
      <c r="H1559" s="37" t="b">
        <v>1</v>
      </c>
    </row>
    <row r="1560" spans="1:9" ht="30" x14ac:dyDescent="0.25">
      <c r="A1560" s="54" t="s">
        <v>512</v>
      </c>
      <c r="B1560" s="31" t="s">
        <v>618</v>
      </c>
      <c r="C1560" s="28" t="s">
        <v>1980</v>
      </c>
      <c r="D1560" s="28"/>
      <c r="E1560" s="28" t="s">
        <v>1974</v>
      </c>
      <c r="F1560" s="28" t="b">
        <v>0</v>
      </c>
      <c r="G1560" s="28">
        <v>200</v>
      </c>
      <c r="H1560" s="28" t="b">
        <v>1</v>
      </c>
      <c r="I1560" s="34"/>
    </row>
    <row r="1561" spans="1:9" ht="30" x14ac:dyDescent="0.25">
      <c r="A1561" s="54" t="s">
        <v>512</v>
      </c>
      <c r="B1561" s="43" t="s">
        <v>585</v>
      </c>
      <c r="C1561" s="37" t="s">
        <v>1981</v>
      </c>
      <c r="D1561" s="37"/>
      <c r="E1561" s="37" t="s">
        <v>1974</v>
      </c>
      <c r="F1561" s="37" t="b">
        <v>0</v>
      </c>
      <c r="G1561" s="37">
        <v>200</v>
      </c>
      <c r="H1561" s="37" t="b">
        <v>1</v>
      </c>
    </row>
    <row r="1562" spans="1:9" ht="30" x14ac:dyDescent="0.25">
      <c r="A1562" s="54" t="s">
        <v>512</v>
      </c>
      <c r="B1562" s="31" t="s">
        <v>582</v>
      </c>
      <c r="C1562" s="28" t="s">
        <v>1982</v>
      </c>
      <c r="D1562" s="28"/>
      <c r="E1562" s="28" t="s">
        <v>1974</v>
      </c>
      <c r="F1562" s="28" t="b">
        <v>0</v>
      </c>
      <c r="G1562" s="28">
        <v>200</v>
      </c>
      <c r="H1562" s="28" t="b">
        <v>1</v>
      </c>
      <c r="I1562" s="34"/>
    </row>
    <row r="1563" spans="1:9" ht="30" x14ac:dyDescent="0.25">
      <c r="A1563" s="54" t="s">
        <v>512</v>
      </c>
      <c r="B1563" s="43" t="s">
        <v>638</v>
      </c>
      <c r="C1563" s="37" t="s">
        <v>1983</v>
      </c>
      <c r="D1563" s="37"/>
      <c r="E1563" s="37" t="s">
        <v>1974</v>
      </c>
      <c r="F1563" s="37" t="b">
        <v>0</v>
      </c>
      <c r="G1563" s="37">
        <v>200</v>
      </c>
      <c r="H1563" s="37" t="b">
        <v>1</v>
      </c>
    </row>
    <row r="1564" spans="1:9" ht="30" x14ac:dyDescent="0.25">
      <c r="A1564" s="54" t="s">
        <v>512</v>
      </c>
      <c r="B1564" s="31" t="s">
        <v>638</v>
      </c>
      <c r="C1564" s="28" t="s">
        <v>1984</v>
      </c>
      <c r="D1564" s="28"/>
      <c r="E1564" s="28" t="s">
        <v>1974</v>
      </c>
      <c r="F1564" s="28" t="b">
        <v>0</v>
      </c>
      <c r="G1564" s="28">
        <v>200</v>
      </c>
      <c r="H1564" s="28" t="b">
        <v>1</v>
      </c>
      <c r="I1564" s="34"/>
    </row>
    <row r="1565" spans="1:9" ht="30" x14ac:dyDescent="0.25">
      <c r="A1565" s="54" t="s">
        <v>512</v>
      </c>
      <c r="B1565" s="43" t="s">
        <v>647</v>
      </c>
      <c r="C1565" s="37" t="s">
        <v>1985</v>
      </c>
      <c r="D1565" s="37"/>
      <c r="E1565" s="37" t="s">
        <v>1974</v>
      </c>
      <c r="F1565" s="37" t="b">
        <v>0</v>
      </c>
      <c r="G1565" s="37">
        <v>200</v>
      </c>
      <c r="H1565" s="37" t="b">
        <v>1</v>
      </c>
    </row>
    <row r="1566" spans="1:9" ht="30" x14ac:dyDescent="0.25">
      <c r="A1566" s="54" t="s">
        <v>512</v>
      </c>
      <c r="B1566" s="31" t="s">
        <v>503</v>
      </c>
      <c r="C1566" s="28" t="s">
        <v>1986</v>
      </c>
      <c r="D1566" s="28"/>
      <c r="E1566" s="28" t="s">
        <v>1974</v>
      </c>
      <c r="F1566" s="28" t="b">
        <v>0</v>
      </c>
      <c r="G1566" s="28">
        <v>200</v>
      </c>
      <c r="H1566" s="28" t="b">
        <v>1</v>
      </c>
      <c r="I1566" s="34"/>
    </row>
    <row r="1567" spans="1:9" ht="30" x14ac:dyDescent="0.25">
      <c r="A1567" s="54" t="s">
        <v>512</v>
      </c>
      <c r="B1567" s="43" t="s">
        <v>608</v>
      </c>
      <c r="C1567" s="37" t="s">
        <v>1987</v>
      </c>
      <c r="D1567" s="37"/>
      <c r="E1567" s="37" t="s">
        <v>1974</v>
      </c>
      <c r="F1567" s="37" t="b">
        <v>0</v>
      </c>
      <c r="G1567" s="37">
        <v>200</v>
      </c>
      <c r="H1567" s="37" t="b">
        <v>1</v>
      </c>
    </row>
    <row r="1568" spans="1:9" ht="30" x14ac:dyDescent="0.25">
      <c r="A1568" s="54" t="s">
        <v>512</v>
      </c>
      <c r="B1568" s="31" t="s">
        <v>127</v>
      </c>
      <c r="C1568" s="28" t="s">
        <v>1975</v>
      </c>
      <c r="D1568" s="28"/>
      <c r="E1568" s="28" t="s">
        <v>1974</v>
      </c>
      <c r="F1568" s="28" t="b">
        <v>0</v>
      </c>
      <c r="G1568" s="28">
        <v>200</v>
      </c>
      <c r="H1568" s="28" t="b">
        <v>1</v>
      </c>
      <c r="I1568" s="34"/>
    </row>
    <row r="1569" spans="1:9" ht="30" x14ac:dyDescent="0.25">
      <c r="A1569" s="54" t="s">
        <v>512</v>
      </c>
      <c r="B1569" s="43" t="s">
        <v>135</v>
      </c>
      <c r="C1569" s="37" t="s">
        <v>1976</v>
      </c>
      <c r="D1569" s="37"/>
      <c r="E1569" s="37" t="s">
        <v>1974</v>
      </c>
      <c r="F1569" s="37" t="b">
        <v>0</v>
      </c>
      <c r="G1569" s="37">
        <v>200</v>
      </c>
      <c r="H1569" s="37" t="b">
        <v>1</v>
      </c>
    </row>
    <row r="1570" spans="1:9" ht="30" x14ac:dyDescent="0.25">
      <c r="A1570" s="54" t="s">
        <v>512</v>
      </c>
      <c r="B1570" s="31" t="s">
        <v>655</v>
      </c>
      <c r="C1570" s="28" t="s">
        <v>1977</v>
      </c>
      <c r="D1570" s="28"/>
      <c r="E1570" s="28" t="s">
        <v>1974</v>
      </c>
      <c r="F1570" s="28" t="b">
        <v>0</v>
      </c>
      <c r="G1570" s="28">
        <v>200</v>
      </c>
      <c r="H1570" s="28" t="b">
        <v>1</v>
      </c>
      <c r="I1570" s="34"/>
    </row>
    <row r="1571" spans="1:9" ht="30" x14ac:dyDescent="0.25">
      <c r="A1571" s="54" t="s">
        <v>512</v>
      </c>
      <c r="B1571" s="43" t="s">
        <v>635</v>
      </c>
      <c r="C1571" s="37" t="s">
        <v>1978</v>
      </c>
      <c r="D1571" s="37"/>
      <c r="E1571" s="37" t="s">
        <v>1974</v>
      </c>
      <c r="F1571" s="37" t="b">
        <v>0</v>
      </c>
      <c r="G1571" s="37">
        <v>200</v>
      </c>
      <c r="H1571" s="37" t="b">
        <v>1</v>
      </c>
    </row>
    <row r="1572" spans="1:9" ht="30" x14ac:dyDescent="0.25">
      <c r="A1572" s="54" t="s">
        <v>512</v>
      </c>
      <c r="B1572" s="31" t="s">
        <v>144</v>
      </c>
      <c r="C1572" s="28" t="s">
        <v>1979</v>
      </c>
      <c r="D1572" s="28"/>
      <c r="E1572" s="28" t="s">
        <v>1974</v>
      </c>
      <c r="F1572" s="28" t="b">
        <v>0</v>
      </c>
      <c r="G1572" s="28">
        <v>200</v>
      </c>
      <c r="H1572" s="28" t="b">
        <v>1</v>
      </c>
      <c r="I1572" s="34"/>
    </row>
    <row r="1573" spans="1:9" ht="30" x14ac:dyDescent="0.25">
      <c r="A1573" s="54" t="s">
        <v>512</v>
      </c>
      <c r="B1573" s="43" t="s">
        <v>618</v>
      </c>
      <c r="C1573" s="37" t="s">
        <v>1980</v>
      </c>
      <c r="D1573" s="37"/>
      <c r="E1573" s="37" t="s">
        <v>1974</v>
      </c>
      <c r="F1573" s="37" t="b">
        <v>0</v>
      </c>
      <c r="G1573" s="37">
        <v>200</v>
      </c>
      <c r="H1573" s="37" t="b">
        <v>1</v>
      </c>
    </row>
    <row r="1574" spans="1:9" ht="30" x14ac:dyDescent="0.25">
      <c r="A1574" s="54" t="s">
        <v>512</v>
      </c>
      <c r="B1574" s="31" t="s">
        <v>585</v>
      </c>
      <c r="C1574" s="28" t="s">
        <v>1981</v>
      </c>
      <c r="D1574" s="28"/>
      <c r="E1574" s="28" t="s">
        <v>1974</v>
      </c>
      <c r="F1574" s="28" t="b">
        <v>0</v>
      </c>
      <c r="G1574" s="28">
        <v>200</v>
      </c>
      <c r="H1574" s="28" t="b">
        <v>1</v>
      </c>
      <c r="I1574" s="34"/>
    </row>
    <row r="1575" spans="1:9" ht="30" x14ac:dyDescent="0.25">
      <c r="A1575" s="54" t="s">
        <v>512</v>
      </c>
      <c r="B1575" s="43" t="s">
        <v>582</v>
      </c>
      <c r="C1575" s="37" t="s">
        <v>1982</v>
      </c>
      <c r="D1575" s="37"/>
      <c r="E1575" s="37" t="s">
        <v>1974</v>
      </c>
      <c r="F1575" s="37" t="b">
        <v>0</v>
      </c>
      <c r="G1575" s="37">
        <v>200</v>
      </c>
      <c r="H1575" s="37" t="b">
        <v>1</v>
      </c>
    </row>
    <row r="1576" spans="1:9" ht="30" x14ac:dyDescent="0.25">
      <c r="A1576" s="54" t="s">
        <v>512</v>
      </c>
      <c r="B1576" s="31" t="s">
        <v>638</v>
      </c>
      <c r="C1576" s="28" t="s">
        <v>1983</v>
      </c>
      <c r="D1576" s="28"/>
      <c r="E1576" s="28" t="s">
        <v>1974</v>
      </c>
      <c r="F1576" s="28" t="b">
        <v>0</v>
      </c>
      <c r="G1576" s="28">
        <v>200</v>
      </c>
      <c r="H1576" s="28" t="b">
        <v>1</v>
      </c>
      <c r="I1576" s="34"/>
    </row>
    <row r="1577" spans="1:9" ht="30" x14ac:dyDescent="0.25">
      <c r="A1577" s="54" t="s">
        <v>512</v>
      </c>
      <c r="B1577" s="43" t="s">
        <v>638</v>
      </c>
      <c r="C1577" s="37" t="s">
        <v>1984</v>
      </c>
      <c r="D1577" s="37"/>
      <c r="E1577" s="37" t="s">
        <v>1974</v>
      </c>
      <c r="F1577" s="37" t="b">
        <v>0</v>
      </c>
      <c r="G1577" s="37">
        <v>200</v>
      </c>
      <c r="H1577" s="37" t="b">
        <v>1</v>
      </c>
    </row>
    <row r="1578" spans="1:9" ht="30" x14ac:dyDescent="0.25">
      <c r="A1578" s="54" t="s">
        <v>512</v>
      </c>
      <c r="B1578" s="31" t="s">
        <v>647</v>
      </c>
      <c r="C1578" s="28" t="s">
        <v>1985</v>
      </c>
      <c r="D1578" s="28"/>
      <c r="E1578" s="28" t="s">
        <v>1974</v>
      </c>
      <c r="F1578" s="28" t="b">
        <v>0</v>
      </c>
      <c r="G1578" s="28">
        <v>200</v>
      </c>
      <c r="H1578" s="28" t="b">
        <v>1</v>
      </c>
      <c r="I1578" s="34"/>
    </row>
    <row r="1579" spans="1:9" ht="30" x14ac:dyDescent="0.25">
      <c r="A1579" s="54" t="s">
        <v>512</v>
      </c>
      <c r="B1579" s="43" t="s">
        <v>503</v>
      </c>
      <c r="C1579" s="37" t="s">
        <v>1986</v>
      </c>
      <c r="D1579" s="37"/>
      <c r="E1579" s="37" t="s">
        <v>1974</v>
      </c>
      <c r="F1579" s="37" t="b">
        <v>0</v>
      </c>
      <c r="G1579" s="37">
        <v>200</v>
      </c>
      <c r="H1579" s="37" t="b">
        <v>1</v>
      </c>
    </row>
    <row r="1580" spans="1:9" ht="30" x14ac:dyDescent="0.25">
      <c r="A1580" s="54" t="s">
        <v>512</v>
      </c>
      <c r="B1580" s="31" t="s">
        <v>608</v>
      </c>
      <c r="C1580" s="28" t="s">
        <v>1987</v>
      </c>
      <c r="D1580" s="28"/>
      <c r="E1580" s="28" t="s">
        <v>1974</v>
      </c>
      <c r="F1580" s="28" t="b">
        <v>0</v>
      </c>
      <c r="G1580" s="28">
        <v>200</v>
      </c>
      <c r="H1580" s="28" t="b">
        <v>1</v>
      </c>
      <c r="I1580" s="34"/>
    </row>
    <row r="1581" spans="1:9" ht="30" x14ac:dyDescent="0.25">
      <c r="A1581" s="54" t="s">
        <v>512</v>
      </c>
      <c r="B1581" s="43" t="s">
        <v>2035</v>
      </c>
      <c r="C1581" s="37" t="s">
        <v>2036</v>
      </c>
      <c r="D1581" s="37"/>
      <c r="E1581" s="37" t="s">
        <v>2012</v>
      </c>
      <c r="F1581" s="37" t="b">
        <v>0</v>
      </c>
      <c r="G1581" s="37"/>
      <c r="H1581" s="37" t="b">
        <v>1</v>
      </c>
    </row>
    <row r="1582" spans="1:9" ht="30" x14ac:dyDescent="0.25">
      <c r="A1582" s="54" t="s">
        <v>512</v>
      </c>
      <c r="B1582" s="31" t="s">
        <v>2035</v>
      </c>
      <c r="C1582" s="28" t="s">
        <v>2036</v>
      </c>
      <c r="D1582" s="28"/>
      <c r="E1582" s="28" t="s">
        <v>2012</v>
      </c>
      <c r="F1582" s="28" t="b">
        <v>0</v>
      </c>
      <c r="G1582" s="28"/>
      <c r="H1582" s="28" t="b">
        <v>1</v>
      </c>
      <c r="I1582" s="34"/>
    </row>
    <row r="1583" spans="1:9" ht="30" x14ac:dyDescent="0.25">
      <c r="A1583" s="54" t="s">
        <v>512</v>
      </c>
      <c r="B1583" s="43" t="s">
        <v>647</v>
      </c>
      <c r="C1583" s="37" t="s">
        <v>2010</v>
      </c>
      <c r="D1583" s="37"/>
      <c r="E1583" s="37" t="s">
        <v>1974</v>
      </c>
      <c r="F1583" s="37" t="b">
        <v>0</v>
      </c>
      <c r="G1583" s="37">
        <v>200</v>
      </c>
      <c r="H1583" s="37" t="b">
        <v>1</v>
      </c>
    </row>
    <row r="1584" spans="1:9" ht="30" x14ac:dyDescent="0.25">
      <c r="A1584" s="54" t="s">
        <v>512</v>
      </c>
      <c r="B1584" s="31" t="s">
        <v>2011</v>
      </c>
      <c r="C1584" s="28"/>
      <c r="D1584" s="28"/>
      <c r="E1584" s="28" t="s">
        <v>2012</v>
      </c>
      <c r="F1584" s="28" t="b">
        <v>0</v>
      </c>
      <c r="G1584" s="28"/>
      <c r="H1584" s="28" t="b">
        <v>1</v>
      </c>
      <c r="I1584" s="34"/>
    </row>
    <row r="1585" spans="1:9" ht="30" x14ac:dyDescent="0.25">
      <c r="A1585" s="54" t="s">
        <v>512</v>
      </c>
      <c r="B1585" s="43" t="s">
        <v>2013</v>
      </c>
      <c r="C1585" s="37"/>
      <c r="D1585" s="37"/>
      <c r="E1585" s="37" t="s">
        <v>2012</v>
      </c>
      <c r="F1585" s="37" t="b">
        <v>0</v>
      </c>
      <c r="G1585" s="37"/>
      <c r="H1585" s="37" t="b">
        <v>1</v>
      </c>
    </row>
    <row r="1586" spans="1:9" ht="30" x14ac:dyDescent="0.25">
      <c r="A1586" s="54" t="s">
        <v>512</v>
      </c>
      <c r="B1586" s="31" t="s">
        <v>641</v>
      </c>
      <c r="C1586" s="28" t="s">
        <v>2014</v>
      </c>
      <c r="D1586" s="28"/>
      <c r="E1586" s="28" t="s">
        <v>1974</v>
      </c>
      <c r="F1586" s="28" t="b">
        <v>0</v>
      </c>
      <c r="G1586" s="28">
        <v>200</v>
      </c>
      <c r="H1586" s="28" t="b">
        <v>1</v>
      </c>
      <c r="I1586" s="34"/>
    </row>
    <row r="1587" spans="1:9" ht="30" x14ac:dyDescent="0.25">
      <c r="A1587" s="54" t="s">
        <v>512</v>
      </c>
      <c r="B1587" s="43" t="s">
        <v>2015</v>
      </c>
      <c r="C1587" s="37" t="s">
        <v>2016</v>
      </c>
      <c r="D1587" s="37"/>
      <c r="E1587" s="37" t="s">
        <v>1974</v>
      </c>
      <c r="F1587" s="37" t="b">
        <v>0</v>
      </c>
      <c r="G1587" s="37">
        <v>404</v>
      </c>
      <c r="H1587" s="37" t="b">
        <v>0</v>
      </c>
    </row>
    <row r="1588" spans="1:9" ht="30" x14ac:dyDescent="0.25">
      <c r="A1588" s="54" t="s">
        <v>512</v>
      </c>
      <c r="B1588" s="31" t="s">
        <v>2015</v>
      </c>
      <c r="C1588" s="28" t="s">
        <v>2017</v>
      </c>
      <c r="D1588" s="28"/>
      <c r="E1588" s="28" t="s">
        <v>1974</v>
      </c>
      <c r="F1588" s="28" t="b">
        <v>0</v>
      </c>
      <c r="G1588" s="28">
        <v>404</v>
      </c>
      <c r="H1588" s="28" t="b">
        <v>0</v>
      </c>
      <c r="I1588" s="34"/>
    </row>
    <row r="1589" spans="1:9" ht="30" x14ac:dyDescent="0.25">
      <c r="A1589" s="54" t="s">
        <v>515</v>
      </c>
      <c r="B1589" s="43" t="s">
        <v>127</v>
      </c>
      <c r="C1589" s="37" t="s">
        <v>904</v>
      </c>
      <c r="D1589" s="37"/>
      <c r="E1589" s="37" t="s">
        <v>1974</v>
      </c>
      <c r="F1589" s="37" t="b">
        <v>0</v>
      </c>
      <c r="G1589" s="37">
        <v>200</v>
      </c>
      <c r="H1589" s="37" t="b">
        <v>1</v>
      </c>
    </row>
    <row r="1590" spans="1:9" ht="30" x14ac:dyDescent="0.25">
      <c r="A1590" s="54" t="s">
        <v>515</v>
      </c>
      <c r="B1590" s="31" t="s">
        <v>185</v>
      </c>
      <c r="C1590" s="28" t="s">
        <v>2125</v>
      </c>
      <c r="D1590" s="28"/>
      <c r="E1590" s="28" t="s">
        <v>1974</v>
      </c>
      <c r="F1590" s="28" t="b">
        <v>0</v>
      </c>
      <c r="G1590" s="28">
        <v>200</v>
      </c>
      <c r="H1590" s="28" t="b">
        <v>1</v>
      </c>
      <c r="I1590" s="34"/>
    </row>
    <row r="1591" spans="1:9" ht="30" x14ac:dyDescent="0.25">
      <c r="A1591" s="54" t="s">
        <v>515</v>
      </c>
      <c r="B1591" s="43" t="s">
        <v>485</v>
      </c>
      <c r="C1591" s="37" t="s">
        <v>2126</v>
      </c>
      <c r="D1591" s="37"/>
      <c r="E1591" s="37" t="s">
        <v>1974</v>
      </c>
      <c r="F1591" s="37" t="b">
        <v>0</v>
      </c>
      <c r="G1591" s="37">
        <v>200</v>
      </c>
      <c r="H1591" s="37" t="b">
        <v>1</v>
      </c>
    </row>
    <row r="1592" spans="1:9" ht="30" x14ac:dyDescent="0.25">
      <c r="A1592" s="54" t="s">
        <v>515</v>
      </c>
      <c r="B1592" s="31" t="s">
        <v>488</v>
      </c>
      <c r="C1592" s="28" t="s">
        <v>2127</v>
      </c>
      <c r="D1592" s="28"/>
      <c r="E1592" s="28" t="s">
        <v>1974</v>
      </c>
      <c r="F1592" s="28" t="b">
        <v>0</v>
      </c>
      <c r="G1592" s="28">
        <v>200</v>
      </c>
      <c r="H1592" s="28" t="b">
        <v>1</v>
      </c>
      <c r="I1592" s="34"/>
    </row>
    <row r="1593" spans="1:9" ht="30" x14ac:dyDescent="0.25">
      <c r="A1593" s="54" t="s">
        <v>515</v>
      </c>
      <c r="B1593" s="43" t="s">
        <v>193</v>
      </c>
      <c r="C1593" s="37" t="s">
        <v>2128</v>
      </c>
      <c r="D1593" s="37"/>
      <c r="E1593" s="37" t="s">
        <v>1974</v>
      </c>
      <c r="F1593" s="37" t="b">
        <v>0</v>
      </c>
      <c r="G1593" s="37">
        <v>200</v>
      </c>
      <c r="H1593" s="37" t="b">
        <v>1</v>
      </c>
    </row>
    <row r="1594" spans="1:9" ht="30" x14ac:dyDescent="0.25">
      <c r="A1594" s="54" t="s">
        <v>515</v>
      </c>
      <c r="B1594" s="31" t="s">
        <v>241</v>
      </c>
      <c r="C1594" s="28" t="s">
        <v>243</v>
      </c>
      <c r="D1594" s="28"/>
      <c r="E1594" s="28" t="s">
        <v>1974</v>
      </c>
      <c r="F1594" s="28" t="b">
        <v>0</v>
      </c>
      <c r="G1594" s="28">
        <v>200</v>
      </c>
      <c r="H1594" s="28" t="b">
        <v>1</v>
      </c>
      <c r="I1594" s="34"/>
    </row>
    <row r="1595" spans="1:9" ht="30" x14ac:dyDescent="0.25">
      <c r="A1595" s="54" t="s">
        <v>515</v>
      </c>
      <c r="B1595" s="43" t="s">
        <v>233</v>
      </c>
      <c r="C1595" s="37" t="s">
        <v>235</v>
      </c>
      <c r="D1595" s="37"/>
      <c r="E1595" s="37" t="s">
        <v>1974</v>
      </c>
      <c r="F1595" s="37" t="b">
        <v>0</v>
      </c>
      <c r="G1595" s="37">
        <v>200</v>
      </c>
      <c r="H1595" s="37" t="b">
        <v>1</v>
      </c>
    </row>
    <row r="1596" spans="1:9" ht="30" x14ac:dyDescent="0.25">
      <c r="A1596" s="54" t="s">
        <v>515</v>
      </c>
      <c r="B1596" s="31" t="s">
        <v>127</v>
      </c>
      <c r="C1596" s="28" t="s">
        <v>904</v>
      </c>
      <c r="D1596" s="28"/>
      <c r="E1596" s="28" t="s">
        <v>1974</v>
      </c>
      <c r="F1596" s="28" t="b">
        <v>0</v>
      </c>
      <c r="G1596" s="28">
        <v>200</v>
      </c>
      <c r="H1596" s="28" t="b">
        <v>1</v>
      </c>
      <c r="I1596" s="34"/>
    </row>
    <row r="1597" spans="1:9" ht="30" x14ac:dyDescent="0.25">
      <c r="A1597" s="54" t="s">
        <v>515</v>
      </c>
      <c r="B1597" s="43" t="s">
        <v>185</v>
      </c>
      <c r="C1597" s="37" t="s">
        <v>2125</v>
      </c>
      <c r="D1597" s="37"/>
      <c r="E1597" s="37" t="s">
        <v>1974</v>
      </c>
      <c r="F1597" s="37" t="b">
        <v>0</v>
      </c>
      <c r="G1597" s="37">
        <v>200</v>
      </c>
      <c r="H1597" s="37" t="b">
        <v>1</v>
      </c>
    </row>
    <row r="1598" spans="1:9" ht="30" x14ac:dyDescent="0.25">
      <c r="A1598" s="54" t="s">
        <v>515</v>
      </c>
      <c r="B1598" s="31" t="s">
        <v>485</v>
      </c>
      <c r="C1598" s="28" t="s">
        <v>2126</v>
      </c>
      <c r="D1598" s="28"/>
      <c r="E1598" s="28" t="s">
        <v>1974</v>
      </c>
      <c r="F1598" s="28" t="b">
        <v>0</v>
      </c>
      <c r="G1598" s="28">
        <v>200</v>
      </c>
      <c r="H1598" s="28" t="b">
        <v>1</v>
      </c>
      <c r="I1598" s="34"/>
    </row>
    <row r="1599" spans="1:9" ht="30" x14ac:dyDescent="0.25">
      <c r="A1599" s="54" t="s">
        <v>515</v>
      </c>
      <c r="B1599" s="43" t="s">
        <v>488</v>
      </c>
      <c r="C1599" s="37" t="s">
        <v>2127</v>
      </c>
      <c r="D1599" s="37"/>
      <c r="E1599" s="37" t="s">
        <v>1974</v>
      </c>
      <c r="F1599" s="37" t="b">
        <v>0</v>
      </c>
      <c r="G1599" s="37">
        <v>200</v>
      </c>
      <c r="H1599" s="37" t="b">
        <v>1</v>
      </c>
    </row>
    <row r="1600" spans="1:9" ht="30" x14ac:dyDescent="0.25">
      <c r="A1600" s="54" t="s">
        <v>515</v>
      </c>
      <c r="B1600" s="31" t="s">
        <v>193</v>
      </c>
      <c r="C1600" s="28" t="s">
        <v>2128</v>
      </c>
      <c r="D1600" s="28"/>
      <c r="E1600" s="28" t="s">
        <v>1974</v>
      </c>
      <c r="F1600" s="28" t="b">
        <v>0</v>
      </c>
      <c r="G1600" s="28">
        <v>200</v>
      </c>
      <c r="H1600" s="28" t="b">
        <v>1</v>
      </c>
      <c r="I1600" s="34"/>
    </row>
    <row r="1601" spans="1:9" ht="30" x14ac:dyDescent="0.25">
      <c r="A1601" s="54" t="s">
        <v>515</v>
      </c>
      <c r="B1601" s="43" t="s">
        <v>241</v>
      </c>
      <c r="C1601" s="37" t="s">
        <v>243</v>
      </c>
      <c r="D1601" s="37"/>
      <c r="E1601" s="37" t="s">
        <v>1974</v>
      </c>
      <c r="F1601" s="37" t="b">
        <v>0</v>
      </c>
      <c r="G1601" s="37">
        <v>200</v>
      </c>
      <c r="H1601" s="37" t="b">
        <v>1</v>
      </c>
    </row>
    <row r="1602" spans="1:9" ht="30" x14ac:dyDescent="0.25">
      <c r="A1602" s="54" t="s">
        <v>515</v>
      </c>
      <c r="B1602" s="31" t="s">
        <v>233</v>
      </c>
      <c r="C1602" s="28" t="s">
        <v>235</v>
      </c>
      <c r="D1602" s="28"/>
      <c r="E1602" s="28" t="s">
        <v>1974</v>
      </c>
      <c r="F1602" s="28" t="b">
        <v>0</v>
      </c>
      <c r="G1602" s="28">
        <v>200</v>
      </c>
      <c r="H1602" s="28" t="b">
        <v>1</v>
      </c>
      <c r="I1602" s="34"/>
    </row>
    <row r="1603" spans="1:9" ht="30" x14ac:dyDescent="0.25">
      <c r="A1603" s="54" t="s">
        <v>515</v>
      </c>
      <c r="B1603" s="43" t="s">
        <v>127</v>
      </c>
      <c r="C1603" s="37" t="s">
        <v>2855</v>
      </c>
      <c r="D1603" s="37"/>
      <c r="E1603" s="37" t="s">
        <v>1974</v>
      </c>
      <c r="F1603" s="37" t="b">
        <v>0</v>
      </c>
      <c r="G1603" s="37">
        <v>200</v>
      </c>
      <c r="H1603" s="37" t="b">
        <v>1</v>
      </c>
    </row>
    <row r="1604" spans="1:9" ht="30" x14ac:dyDescent="0.25">
      <c r="A1604" s="54" t="s">
        <v>515</v>
      </c>
      <c r="B1604" s="31" t="s">
        <v>2113</v>
      </c>
      <c r="C1604" s="28"/>
      <c r="D1604" s="28"/>
      <c r="E1604" s="28" t="s">
        <v>2012</v>
      </c>
      <c r="F1604" s="28" t="b">
        <v>0</v>
      </c>
      <c r="G1604" s="28"/>
      <c r="H1604" s="28" t="b">
        <v>1</v>
      </c>
      <c r="I1604" s="34"/>
    </row>
    <row r="1605" spans="1:9" ht="30" x14ac:dyDescent="0.25">
      <c r="A1605" s="54" t="s">
        <v>515</v>
      </c>
      <c r="B1605" s="43" t="s">
        <v>2114</v>
      </c>
      <c r="C1605" s="37"/>
      <c r="D1605" s="37"/>
      <c r="E1605" s="37" t="s">
        <v>2012</v>
      </c>
      <c r="F1605" s="37" t="b">
        <v>0</v>
      </c>
      <c r="G1605" s="37"/>
      <c r="H1605" s="37" t="b">
        <v>1</v>
      </c>
    </row>
    <row r="1606" spans="1:9" ht="30" x14ac:dyDescent="0.25">
      <c r="A1606" s="54" t="s">
        <v>515</v>
      </c>
      <c r="B1606" s="31" t="s">
        <v>2115</v>
      </c>
      <c r="C1606" s="28"/>
      <c r="D1606" s="28"/>
      <c r="E1606" s="28" t="s">
        <v>2012</v>
      </c>
      <c r="F1606" s="28" t="b">
        <v>0</v>
      </c>
      <c r="G1606" s="28"/>
      <c r="H1606" s="28" t="b">
        <v>1</v>
      </c>
      <c r="I1606" s="34"/>
    </row>
    <row r="1607" spans="1:9" ht="30" x14ac:dyDescent="0.25">
      <c r="A1607" s="54" t="s">
        <v>515</v>
      </c>
      <c r="B1607" s="43" t="s">
        <v>2116</v>
      </c>
      <c r="C1607" s="37"/>
      <c r="D1607" s="37"/>
      <c r="E1607" s="37" t="s">
        <v>2012</v>
      </c>
      <c r="F1607" s="37" t="b">
        <v>0</v>
      </c>
      <c r="G1607" s="37"/>
      <c r="H1607" s="37" t="b">
        <v>1</v>
      </c>
    </row>
    <row r="1608" spans="1:9" ht="30" x14ac:dyDescent="0.25">
      <c r="A1608" s="54" t="s">
        <v>515</v>
      </c>
      <c r="B1608" s="31" t="s">
        <v>2117</v>
      </c>
      <c r="C1608" s="28"/>
      <c r="D1608" s="28"/>
      <c r="E1608" s="28" t="s">
        <v>2012</v>
      </c>
      <c r="F1608" s="28" t="b">
        <v>0</v>
      </c>
      <c r="G1608" s="28"/>
      <c r="H1608" s="28" t="b">
        <v>1</v>
      </c>
      <c r="I1608" s="34"/>
    </row>
    <row r="1609" spans="1:9" ht="30" x14ac:dyDescent="0.25">
      <c r="A1609" s="54" t="s">
        <v>515</v>
      </c>
      <c r="B1609" s="43" t="s">
        <v>2118</v>
      </c>
      <c r="C1609" s="37"/>
      <c r="D1609" s="37"/>
      <c r="E1609" s="37" t="s">
        <v>2012</v>
      </c>
      <c r="F1609" s="37" t="b">
        <v>0</v>
      </c>
      <c r="G1609" s="37"/>
      <c r="H1609" s="37" t="b">
        <v>1</v>
      </c>
    </row>
    <row r="1610" spans="1:9" ht="30" x14ac:dyDescent="0.25">
      <c r="A1610" s="54" t="s">
        <v>515</v>
      </c>
      <c r="B1610" s="31" t="s">
        <v>2119</v>
      </c>
      <c r="C1610" s="28"/>
      <c r="D1610" s="28"/>
      <c r="E1610" s="28" t="s">
        <v>2012</v>
      </c>
      <c r="F1610" s="28" t="b">
        <v>0</v>
      </c>
      <c r="G1610" s="28"/>
      <c r="H1610" s="28" t="b">
        <v>1</v>
      </c>
      <c r="I1610" s="34"/>
    </row>
    <row r="1611" spans="1:9" ht="30" x14ac:dyDescent="0.25">
      <c r="A1611" s="54" t="s">
        <v>515</v>
      </c>
      <c r="B1611" s="43" t="s">
        <v>2120</v>
      </c>
      <c r="C1611" s="37"/>
      <c r="D1611" s="37"/>
      <c r="E1611" s="37" t="s">
        <v>2012</v>
      </c>
      <c r="F1611" s="37" t="b">
        <v>0</v>
      </c>
      <c r="G1611" s="37"/>
      <c r="H1611" s="37" t="b">
        <v>1</v>
      </c>
    </row>
    <row r="1612" spans="1:9" ht="30" x14ac:dyDescent="0.25">
      <c r="A1612" s="54" t="s">
        <v>515</v>
      </c>
      <c r="B1612" s="31" t="s">
        <v>2121</v>
      </c>
      <c r="C1612" s="28"/>
      <c r="D1612" s="28"/>
      <c r="E1612" s="28" t="s">
        <v>2012</v>
      </c>
      <c r="F1612" s="28" t="b">
        <v>0</v>
      </c>
      <c r="G1612" s="28"/>
      <c r="H1612" s="28" t="b">
        <v>1</v>
      </c>
      <c r="I1612" s="34"/>
    </row>
    <row r="1613" spans="1:9" ht="30" x14ac:dyDescent="0.25">
      <c r="A1613" s="54" t="s">
        <v>515</v>
      </c>
      <c r="B1613" s="43" t="s">
        <v>2122</v>
      </c>
      <c r="C1613" s="37"/>
      <c r="D1613" s="37"/>
      <c r="E1613" s="37" t="s">
        <v>2012</v>
      </c>
      <c r="F1613" s="37" t="b">
        <v>0</v>
      </c>
      <c r="G1613" s="37"/>
      <c r="H1613" s="37" t="b">
        <v>1</v>
      </c>
    </row>
    <row r="1614" spans="1:9" ht="30" x14ac:dyDescent="0.25">
      <c r="A1614" s="54" t="s">
        <v>515</v>
      </c>
      <c r="B1614" s="31" t="s">
        <v>647</v>
      </c>
      <c r="C1614" s="28" t="s">
        <v>2010</v>
      </c>
      <c r="D1614" s="28"/>
      <c r="E1614" s="28" t="s">
        <v>1974</v>
      </c>
      <c r="F1614" s="28" t="b">
        <v>0</v>
      </c>
      <c r="G1614" s="28">
        <v>200</v>
      </c>
      <c r="H1614" s="28" t="b">
        <v>1</v>
      </c>
      <c r="I1614" s="34"/>
    </row>
    <row r="1615" spans="1:9" ht="30" x14ac:dyDescent="0.25">
      <c r="A1615" s="54" t="s">
        <v>515</v>
      </c>
      <c r="B1615" s="43" t="s">
        <v>2011</v>
      </c>
      <c r="C1615" s="37"/>
      <c r="D1615" s="37"/>
      <c r="E1615" s="37" t="s">
        <v>2012</v>
      </c>
      <c r="F1615" s="37" t="b">
        <v>0</v>
      </c>
      <c r="G1615" s="37"/>
      <c r="H1615" s="37" t="b">
        <v>1</v>
      </c>
    </row>
    <row r="1616" spans="1:9" ht="30" x14ac:dyDescent="0.25">
      <c r="A1616" s="54" t="s">
        <v>515</v>
      </c>
      <c r="B1616" s="31" t="s">
        <v>2013</v>
      </c>
      <c r="C1616" s="28"/>
      <c r="D1616" s="28"/>
      <c r="E1616" s="28" t="s">
        <v>2012</v>
      </c>
      <c r="F1616" s="28" t="b">
        <v>0</v>
      </c>
      <c r="G1616" s="28"/>
      <c r="H1616" s="28" t="b">
        <v>1</v>
      </c>
      <c r="I1616" s="34"/>
    </row>
    <row r="1617" spans="1:9" ht="30" x14ac:dyDescent="0.25">
      <c r="A1617" s="54" t="s">
        <v>515</v>
      </c>
      <c r="B1617" s="43" t="s">
        <v>2033</v>
      </c>
      <c r="C1617" s="37"/>
      <c r="D1617" s="37"/>
      <c r="E1617" s="37" t="s">
        <v>2012</v>
      </c>
      <c r="F1617" s="37" t="b">
        <v>0</v>
      </c>
      <c r="G1617" s="37"/>
      <c r="H1617" s="37" t="b">
        <v>1</v>
      </c>
    </row>
    <row r="1618" spans="1:9" ht="30" x14ac:dyDescent="0.25">
      <c r="A1618" s="54" t="s">
        <v>515</v>
      </c>
      <c r="B1618" s="31" t="s">
        <v>2123</v>
      </c>
      <c r="C1618" s="28"/>
      <c r="D1618" s="28"/>
      <c r="E1618" s="28" t="s">
        <v>1974</v>
      </c>
      <c r="F1618" s="28" t="b">
        <v>0</v>
      </c>
      <c r="G1618" s="28">
        <v>404</v>
      </c>
      <c r="H1618" s="28" t="b">
        <v>0</v>
      </c>
      <c r="I1618" s="34"/>
    </row>
    <row r="1619" spans="1:9" ht="30" x14ac:dyDescent="0.25">
      <c r="A1619" s="54" t="s">
        <v>515</v>
      </c>
      <c r="B1619" s="43" t="s">
        <v>2123</v>
      </c>
      <c r="C1619" s="37" t="s">
        <v>2124</v>
      </c>
      <c r="D1619" s="37"/>
      <c r="E1619" s="37" t="s">
        <v>1974</v>
      </c>
      <c r="F1619" s="37" t="b">
        <v>0</v>
      </c>
      <c r="G1619" s="37">
        <v>404</v>
      </c>
      <c r="H1619" s="37" t="b">
        <v>0</v>
      </c>
    </row>
    <row r="1620" spans="1:9" ht="30" x14ac:dyDescent="0.25">
      <c r="A1620" s="54" t="s">
        <v>515</v>
      </c>
      <c r="B1620" s="31" t="s">
        <v>641</v>
      </c>
      <c r="C1620" s="28" t="s">
        <v>2034</v>
      </c>
      <c r="D1620" s="28"/>
      <c r="E1620" s="28" t="s">
        <v>1974</v>
      </c>
      <c r="F1620" s="28" t="b">
        <v>0</v>
      </c>
      <c r="G1620" s="28">
        <v>200</v>
      </c>
      <c r="H1620" s="28" t="b">
        <v>1</v>
      </c>
      <c r="I1620" s="34"/>
    </row>
    <row r="1621" spans="1:9" ht="30" x14ac:dyDescent="0.25">
      <c r="A1621" s="54" t="s">
        <v>515</v>
      </c>
      <c r="B1621" s="43" t="s">
        <v>2015</v>
      </c>
      <c r="C1621" s="37" t="s">
        <v>2016</v>
      </c>
      <c r="D1621" s="37"/>
      <c r="E1621" s="37" t="s">
        <v>1974</v>
      </c>
      <c r="F1621" s="37" t="b">
        <v>0</v>
      </c>
      <c r="G1621" s="37">
        <v>404</v>
      </c>
      <c r="H1621" s="37" t="b">
        <v>0</v>
      </c>
    </row>
    <row r="1622" spans="1:9" ht="30" x14ac:dyDescent="0.25">
      <c r="A1622" s="54" t="s">
        <v>515</v>
      </c>
      <c r="B1622" s="31" t="s">
        <v>2015</v>
      </c>
      <c r="C1622" s="28" t="s">
        <v>2017</v>
      </c>
      <c r="D1622" s="28"/>
      <c r="E1622" s="28" t="s">
        <v>1974</v>
      </c>
      <c r="F1622" s="28" t="b">
        <v>0</v>
      </c>
      <c r="G1622" s="28">
        <v>404</v>
      </c>
      <c r="H1622" s="28" t="b">
        <v>0</v>
      </c>
      <c r="I1622" s="34"/>
    </row>
    <row r="1623" spans="1:9" ht="30" x14ac:dyDescent="0.25">
      <c r="A1623" s="54" t="s">
        <v>518</v>
      </c>
      <c r="B1623" s="43" t="s">
        <v>2025</v>
      </c>
      <c r="C1623" s="37"/>
      <c r="D1623" s="37"/>
      <c r="E1623" s="37" t="s">
        <v>2012</v>
      </c>
      <c r="F1623" s="37" t="b">
        <v>0</v>
      </c>
      <c r="G1623" s="37"/>
      <c r="H1623" s="37" t="b">
        <v>1</v>
      </c>
    </row>
    <row r="1624" spans="1:9" ht="30" x14ac:dyDescent="0.25">
      <c r="A1624" s="54" t="s">
        <v>518</v>
      </c>
      <c r="B1624" s="31" t="s">
        <v>497</v>
      </c>
      <c r="C1624" s="28" t="s">
        <v>2027</v>
      </c>
      <c r="D1624" s="28"/>
      <c r="E1624" s="28" t="s">
        <v>1974</v>
      </c>
      <c r="F1624" s="28" t="b">
        <v>0</v>
      </c>
      <c r="G1624" s="28">
        <v>200</v>
      </c>
      <c r="H1624" s="28" t="b">
        <v>1</v>
      </c>
      <c r="I1624" s="34"/>
    </row>
    <row r="1625" spans="1:9" ht="30" x14ac:dyDescent="0.25">
      <c r="A1625" s="54" t="s">
        <v>518</v>
      </c>
      <c r="B1625" s="43" t="s">
        <v>652</v>
      </c>
      <c r="C1625" s="37" t="s">
        <v>2028</v>
      </c>
      <c r="D1625" s="37"/>
      <c r="E1625" s="37" t="s">
        <v>1974</v>
      </c>
      <c r="F1625" s="37" t="b">
        <v>0</v>
      </c>
      <c r="G1625" s="37">
        <v>200</v>
      </c>
      <c r="H1625" s="37" t="b">
        <v>1</v>
      </c>
    </row>
    <row r="1626" spans="1:9" ht="30" x14ac:dyDescent="0.25">
      <c r="A1626" s="54" t="s">
        <v>518</v>
      </c>
      <c r="B1626" s="31" t="s">
        <v>537</v>
      </c>
      <c r="C1626" s="28" t="s">
        <v>2029</v>
      </c>
      <c r="D1626" s="28"/>
      <c r="E1626" s="28" t="s">
        <v>1974</v>
      </c>
      <c r="F1626" s="28" t="b">
        <v>0</v>
      </c>
      <c r="G1626" s="28">
        <v>200</v>
      </c>
      <c r="H1626" s="28" t="b">
        <v>1</v>
      </c>
      <c r="I1626" s="34"/>
    </row>
    <row r="1627" spans="1:9" ht="30" x14ac:dyDescent="0.25">
      <c r="A1627" s="54" t="s">
        <v>518</v>
      </c>
      <c r="B1627" s="43" t="s">
        <v>543</v>
      </c>
      <c r="C1627" s="37" t="s">
        <v>2030</v>
      </c>
      <c r="D1627" s="37"/>
      <c r="E1627" s="37" t="s">
        <v>1974</v>
      </c>
      <c r="F1627" s="37" t="b">
        <v>0</v>
      </c>
      <c r="G1627" s="37">
        <v>200</v>
      </c>
      <c r="H1627" s="37" t="b">
        <v>1</v>
      </c>
    </row>
    <row r="1628" spans="1:9" ht="30" x14ac:dyDescent="0.25">
      <c r="A1628" s="54" t="s">
        <v>518</v>
      </c>
      <c r="B1628" s="31" t="s">
        <v>566</v>
      </c>
      <c r="C1628" s="28" t="s">
        <v>2031</v>
      </c>
      <c r="D1628" s="28"/>
      <c r="E1628" s="28" t="s">
        <v>1974</v>
      </c>
      <c r="F1628" s="28" t="b">
        <v>0</v>
      </c>
      <c r="G1628" s="28">
        <v>200</v>
      </c>
      <c r="H1628" s="28" t="b">
        <v>1</v>
      </c>
      <c r="I1628" s="34"/>
    </row>
    <row r="1629" spans="1:9" ht="30" x14ac:dyDescent="0.25">
      <c r="A1629" s="54" t="s">
        <v>518</v>
      </c>
      <c r="B1629" s="43" t="s">
        <v>601</v>
      </c>
      <c r="C1629" s="37" t="s">
        <v>2032</v>
      </c>
      <c r="D1629" s="37"/>
      <c r="E1629" s="37" t="s">
        <v>1974</v>
      </c>
      <c r="F1629" s="37" t="b">
        <v>0</v>
      </c>
      <c r="G1629" s="37">
        <v>200</v>
      </c>
      <c r="H1629" s="37" t="b">
        <v>1</v>
      </c>
    </row>
    <row r="1630" spans="1:9" ht="30" x14ac:dyDescent="0.25">
      <c r="A1630" s="54" t="s">
        <v>518</v>
      </c>
      <c r="B1630" s="31" t="s">
        <v>497</v>
      </c>
      <c r="C1630" s="28" t="s">
        <v>2027</v>
      </c>
      <c r="D1630" s="28"/>
      <c r="E1630" s="28" t="s">
        <v>1974</v>
      </c>
      <c r="F1630" s="28" t="b">
        <v>0</v>
      </c>
      <c r="G1630" s="28">
        <v>200</v>
      </c>
      <c r="H1630" s="28" t="b">
        <v>1</v>
      </c>
      <c r="I1630" s="34"/>
    </row>
    <row r="1631" spans="1:9" ht="30" x14ac:dyDescent="0.25">
      <c r="A1631" s="54" t="s">
        <v>518</v>
      </c>
      <c r="B1631" s="43" t="s">
        <v>652</v>
      </c>
      <c r="C1631" s="37" t="s">
        <v>2028</v>
      </c>
      <c r="D1631" s="37"/>
      <c r="E1631" s="37" t="s">
        <v>1974</v>
      </c>
      <c r="F1631" s="37" t="b">
        <v>0</v>
      </c>
      <c r="G1631" s="37">
        <v>200</v>
      </c>
      <c r="H1631" s="37" t="b">
        <v>1</v>
      </c>
    </row>
    <row r="1632" spans="1:9" ht="30" x14ac:dyDescent="0.25">
      <c r="A1632" s="54" t="s">
        <v>518</v>
      </c>
      <c r="B1632" s="31" t="s">
        <v>537</v>
      </c>
      <c r="C1632" s="28" t="s">
        <v>2029</v>
      </c>
      <c r="D1632" s="28"/>
      <c r="E1632" s="28" t="s">
        <v>1974</v>
      </c>
      <c r="F1632" s="28" t="b">
        <v>0</v>
      </c>
      <c r="G1632" s="28">
        <v>200</v>
      </c>
      <c r="H1632" s="28" t="b">
        <v>1</v>
      </c>
      <c r="I1632" s="34"/>
    </row>
    <row r="1633" spans="1:9" ht="30" x14ac:dyDescent="0.25">
      <c r="A1633" s="54" t="s">
        <v>518</v>
      </c>
      <c r="B1633" s="43" t="s">
        <v>543</v>
      </c>
      <c r="C1633" s="37" t="s">
        <v>2030</v>
      </c>
      <c r="D1633" s="37"/>
      <c r="E1633" s="37" t="s">
        <v>1974</v>
      </c>
      <c r="F1633" s="37" t="b">
        <v>0</v>
      </c>
      <c r="G1633" s="37">
        <v>200</v>
      </c>
      <c r="H1633" s="37" t="b">
        <v>1</v>
      </c>
    </row>
    <row r="1634" spans="1:9" ht="30" x14ac:dyDescent="0.25">
      <c r="A1634" s="54" t="s">
        <v>518</v>
      </c>
      <c r="B1634" s="31" t="s">
        <v>566</v>
      </c>
      <c r="C1634" s="28" t="s">
        <v>2031</v>
      </c>
      <c r="D1634" s="28"/>
      <c r="E1634" s="28" t="s">
        <v>1974</v>
      </c>
      <c r="F1634" s="28" t="b">
        <v>0</v>
      </c>
      <c r="G1634" s="28">
        <v>200</v>
      </c>
      <c r="H1634" s="28" t="b">
        <v>1</v>
      </c>
      <c r="I1634" s="34"/>
    </row>
    <row r="1635" spans="1:9" ht="30" x14ac:dyDescent="0.25">
      <c r="A1635" s="54" t="s">
        <v>518</v>
      </c>
      <c r="B1635" s="43" t="s">
        <v>601</v>
      </c>
      <c r="C1635" s="37" t="s">
        <v>2032</v>
      </c>
      <c r="D1635" s="37"/>
      <c r="E1635" s="37" t="s">
        <v>1974</v>
      </c>
      <c r="F1635" s="37" t="b">
        <v>0</v>
      </c>
      <c r="G1635" s="37">
        <v>200</v>
      </c>
      <c r="H1635" s="37" t="b">
        <v>1</v>
      </c>
    </row>
    <row r="1636" spans="1:9" ht="30" x14ac:dyDescent="0.25">
      <c r="A1636" s="54" t="s">
        <v>518</v>
      </c>
      <c r="B1636" s="31" t="s">
        <v>483</v>
      </c>
      <c r="C1636" s="28" t="s">
        <v>2856</v>
      </c>
      <c r="D1636" s="28"/>
      <c r="E1636" s="28" t="s">
        <v>1974</v>
      </c>
      <c r="F1636" s="28" t="b">
        <v>0</v>
      </c>
      <c r="G1636" s="28">
        <v>404</v>
      </c>
      <c r="H1636" s="28" t="b">
        <v>0</v>
      </c>
      <c r="I1636" s="34"/>
    </row>
    <row r="1637" spans="1:9" ht="30" x14ac:dyDescent="0.25">
      <c r="A1637" s="54" t="s">
        <v>518</v>
      </c>
      <c r="B1637" s="43" t="s">
        <v>2857</v>
      </c>
      <c r="C1637" s="37" t="s">
        <v>2858</v>
      </c>
      <c r="D1637" s="37"/>
      <c r="E1637" s="37" t="s">
        <v>1974</v>
      </c>
      <c r="F1637" s="37" t="b">
        <v>0</v>
      </c>
      <c r="G1637" s="37">
        <v>404</v>
      </c>
      <c r="H1637" s="37" t="b">
        <v>0</v>
      </c>
    </row>
    <row r="1638" spans="1:9" ht="30" x14ac:dyDescent="0.25">
      <c r="A1638" s="54" t="s">
        <v>518</v>
      </c>
      <c r="B1638" s="31" t="s">
        <v>2857</v>
      </c>
      <c r="C1638" s="28" t="s">
        <v>2858</v>
      </c>
      <c r="D1638" s="28"/>
      <c r="E1638" s="28" t="s">
        <v>1974</v>
      </c>
      <c r="F1638" s="28" t="b">
        <v>0</v>
      </c>
      <c r="G1638" s="28">
        <v>404</v>
      </c>
      <c r="H1638" s="28" t="b">
        <v>0</v>
      </c>
      <c r="I1638" s="34"/>
    </row>
    <row r="1639" spans="1:9" ht="30" x14ac:dyDescent="0.25">
      <c r="A1639" s="54" t="s">
        <v>518</v>
      </c>
      <c r="B1639" s="43" t="s">
        <v>2859</v>
      </c>
      <c r="C1639" s="37" t="s">
        <v>210</v>
      </c>
      <c r="D1639" s="37"/>
      <c r="E1639" s="37" t="s">
        <v>2012</v>
      </c>
      <c r="F1639" s="37" t="b">
        <v>0</v>
      </c>
      <c r="G1639" s="37"/>
      <c r="H1639" s="37" t="b">
        <v>1</v>
      </c>
    </row>
    <row r="1640" spans="1:9" ht="30" x14ac:dyDescent="0.25">
      <c r="A1640" s="54" t="s">
        <v>518</v>
      </c>
      <c r="B1640" s="31" t="s">
        <v>2743</v>
      </c>
      <c r="C1640" s="28"/>
      <c r="D1640" s="28"/>
      <c r="E1640" s="28" t="s">
        <v>2012</v>
      </c>
      <c r="F1640" s="28" t="b">
        <v>0</v>
      </c>
      <c r="G1640" s="28"/>
      <c r="H1640" s="28" t="b">
        <v>1</v>
      </c>
      <c r="I1640" s="34"/>
    </row>
    <row r="1641" spans="1:9" ht="30" x14ac:dyDescent="0.25">
      <c r="A1641" s="54" t="s">
        <v>518</v>
      </c>
      <c r="B1641" s="43" t="s">
        <v>2744</v>
      </c>
      <c r="C1641" s="37"/>
      <c r="D1641" s="37"/>
      <c r="E1641" s="37" t="s">
        <v>2012</v>
      </c>
      <c r="F1641" s="37" t="b">
        <v>0</v>
      </c>
      <c r="G1641" s="37"/>
      <c r="H1641" s="37" t="b">
        <v>1</v>
      </c>
    </row>
    <row r="1642" spans="1:9" ht="30" x14ac:dyDescent="0.25">
      <c r="A1642" s="54" t="s">
        <v>518</v>
      </c>
      <c r="B1642" s="31" t="s">
        <v>2745</v>
      </c>
      <c r="C1642" s="28"/>
      <c r="D1642" s="28"/>
      <c r="E1642" s="28" t="s">
        <v>2012</v>
      </c>
      <c r="F1642" s="28" t="b">
        <v>0</v>
      </c>
      <c r="G1642" s="28"/>
      <c r="H1642" s="28" t="b">
        <v>1</v>
      </c>
      <c r="I1642" s="34"/>
    </row>
    <row r="1643" spans="1:9" ht="30" x14ac:dyDescent="0.25">
      <c r="A1643" s="54" t="s">
        <v>518</v>
      </c>
      <c r="B1643" s="43" t="s">
        <v>2746</v>
      </c>
      <c r="C1643" s="37"/>
      <c r="D1643" s="37"/>
      <c r="E1643" s="37" t="s">
        <v>2012</v>
      </c>
      <c r="F1643" s="37" t="b">
        <v>0</v>
      </c>
      <c r="G1643" s="37"/>
      <c r="H1643" s="37" t="b">
        <v>1</v>
      </c>
    </row>
    <row r="1644" spans="1:9" ht="30" x14ac:dyDescent="0.25">
      <c r="A1644" s="54" t="s">
        <v>518</v>
      </c>
      <c r="B1644" s="31" t="s">
        <v>2738</v>
      </c>
      <c r="C1644" s="28"/>
      <c r="D1644" s="28"/>
      <c r="E1644" s="28" t="s">
        <v>2012</v>
      </c>
      <c r="F1644" s="28" t="b">
        <v>0</v>
      </c>
      <c r="G1644" s="28"/>
      <c r="H1644" s="28" t="b">
        <v>1</v>
      </c>
      <c r="I1644" s="34"/>
    </row>
    <row r="1645" spans="1:9" ht="30" x14ac:dyDescent="0.25">
      <c r="A1645" s="54" t="s">
        <v>518</v>
      </c>
      <c r="B1645" s="43" t="s">
        <v>2739</v>
      </c>
      <c r="C1645" s="37"/>
      <c r="D1645" s="37"/>
      <c r="E1645" s="37" t="s">
        <v>2012</v>
      </c>
      <c r="F1645" s="37" t="b">
        <v>0</v>
      </c>
      <c r="G1645" s="37"/>
      <c r="H1645" s="37" t="b">
        <v>1</v>
      </c>
    </row>
    <row r="1646" spans="1:9" ht="30" x14ac:dyDescent="0.25">
      <c r="A1646" s="54" t="s">
        <v>518</v>
      </c>
      <c r="B1646" s="31" t="s">
        <v>2740</v>
      </c>
      <c r="C1646" s="28"/>
      <c r="D1646" s="28"/>
      <c r="E1646" s="28" t="s">
        <v>2012</v>
      </c>
      <c r="F1646" s="28" t="b">
        <v>0</v>
      </c>
      <c r="G1646" s="28"/>
      <c r="H1646" s="28" t="b">
        <v>1</v>
      </c>
      <c r="I1646" s="34"/>
    </row>
    <row r="1647" spans="1:9" ht="30" x14ac:dyDescent="0.25">
      <c r="A1647" s="54" t="s">
        <v>518</v>
      </c>
      <c r="B1647" s="43" t="s">
        <v>2741</v>
      </c>
      <c r="C1647" s="37"/>
      <c r="D1647" s="37"/>
      <c r="E1647" s="37" t="s">
        <v>2012</v>
      </c>
      <c r="F1647" s="37" t="b">
        <v>0</v>
      </c>
      <c r="G1647" s="37"/>
      <c r="H1647" s="37" t="b">
        <v>1</v>
      </c>
    </row>
    <row r="1648" spans="1:9" ht="30" x14ac:dyDescent="0.25">
      <c r="A1648" s="54" t="s">
        <v>518</v>
      </c>
      <c r="B1648" s="31" t="s">
        <v>2742</v>
      </c>
      <c r="C1648" s="28"/>
      <c r="D1648" s="28"/>
      <c r="E1648" s="28" t="s">
        <v>2012</v>
      </c>
      <c r="F1648" s="28" t="b">
        <v>0</v>
      </c>
      <c r="G1648" s="28"/>
      <c r="H1648" s="28" t="b">
        <v>1</v>
      </c>
      <c r="I1648" s="34"/>
    </row>
    <row r="1649" spans="1:9" ht="30" x14ac:dyDescent="0.25">
      <c r="A1649" s="54" t="s">
        <v>518</v>
      </c>
      <c r="B1649" s="43" t="s">
        <v>2743</v>
      </c>
      <c r="C1649" s="37"/>
      <c r="D1649" s="37"/>
      <c r="E1649" s="37" t="s">
        <v>2012</v>
      </c>
      <c r="F1649" s="37" t="b">
        <v>0</v>
      </c>
      <c r="G1649" s="37"/>
      <c r="H1649" s="37" t="b">
        <v>1</v>
      </c>
    </row>
    <row r="1650" spans="1:9" ht="30" x14ac:dyDescent="0.25">
      <c r="A1650" s="54" t="s">
        <v>518</v>
      </c>
      <c r="B1650" s="31" t="s">
        <v>2744</v>
      </c>
      <c r="C1650" s="28"/>
      <c r="D1650" s="28"/>
      <c r="E1650" s="28" t="s">
        <v>2012</v>
      </c>
      <c r="F1650" s="28" t="b">
        <v>0</v>
      </c>
      <c r="G1650" s="28"/>
      <c r="H1650" s="28" t="b">
        <v>1</v>
      </c>
      <c r="I1650" s="34"/>
    </row>
    <row r="1651" spans="1:9" ht="30" x14ac:dyDescent="0.25">
      <c r="A1651" s="54" t="s">
        <v>518</v>
      </c>
      <c r="B1651" s="43" t="s">
        <v>2745</v>
      </c>
      <c r="C1651" s="37"/>
      <c r="D1651" s="37"/>
      <c r="E1651" s="37" t="s">
        <v>2012</v>
      </c>
      <c r="F1651" s="37" t="b">
        <v>0</v>
      </c>
      <c r="G1651" s="37"/>
      <c r="H1651" s="37" t="b">
        <v>1</v>
      </c>
    </row>
    <row r="1652" spans="1:9" ht="30" x14ac:dyDescent="0.25">
      <c r="A1652" s="54" t="s">
        <v>518</v>
      </c>
      <c r="B1652" s="31" t="s">
        <v>2746</v>
      </c>
      <c r="C1652" s="28"/>
      <c r="D1652" s="28"/>
      <c r="E1652" s="28" t="s">
        <v>2012</v>
      </c>
      <c r="F1652" s="28" t="b">
        <v>0</v>
      </c>
      <c r="G1652" s="28"/>
      <c r="H1652" s="28" t="b">
        <v>1</v>
      </c>
      <c r="I1652" s="34"/>
    </row>
    <row r="1653" spans="1:9" ht="30" x14ac:dyDescent="0.25">
      <c r="A1653" s="54" t="s">
        <v>518</v>
      </c>
      <c r="B1653" s="43" t="s">
        <v>2738</v>
      </c>
      <c r="C1653" s="37"/>
      <c r="D1653" s="37"/>
      <c r="E1653" s="37" t="s">
        <v>2012</v>
      </c>
      <c r="F1653" s="37" t="b">
        <v>0</v>
      </c>
      <c r="G1653" s="37"/>
      <c r="H1653" s="37" t="b">
        <v>1</v>
      </c>
    </row>
    <row r="1654" spans="1:9" ht="30" x14ac:dyDescent="0.25">
      <c r="A1654" s="54" t="s">
        <v>518</v>
      </c>
      <c r="B1654" s="31" t="s">
        <v>2739</v>
      </c>
      <c r="C1654" s="28"/>
      <c r="D1654" s="28"/>
      <c r="E1654" s="28" t="s">
        <v>2012</v>
      </c>
      <c r="F1654" s="28" t="b">
        <v>0</v>
      </c>
      <c r="G1654" s="28"/>
      <c r="H1654" s="28" t="b">
        <v>1</v>
      </c>
      <c r="I1654" s="34"/>
    </row>
    <row r="1655" spans="1:9" ht="30" x14ac:dyDescent="0.25">
      <c r="A1655" s="54" t="s">
        <v>518</v>
      </c>
      <c r="B1655" s="43" t="s">
        <v>2740</v>
      </c>
      <c r="C1655" s="37"/>
      <c r="D1655" s="37"/>
      <c r="E1655" s="37" t="s">
        <v>2012</v>
      </c>
      <c r="F1655" s="37" t="b">
        <v>0</v>
      </c>
      <c r="G1655" s="37"/>
      <c r="H1655" s="37" t="b">
        <v>1</v>
      </c>
    </row>
    <row r="1656" spans="1:9" ht="30" x14ac:dyDescent="0.25">
      <c r="A1656" s="54" t="s">
        <v>518</v>
      </c>
      <c r="B1656" s="31" t="s">
        <v>2741</v>
      </c>
      <c r="C1656" s="28"/>
      <c r="D1656" s="28"/>
      <c r="E1656" s="28" t="s">
        <v>2012</v>
      </c>
      <c r="F1656" s="28" t="b">
        <v>0</v>
      </c>
      <c r="G1656" s="28"/>
      <c r="H1656" s="28" t="b">
        <v>1</v>
      </c>
      <c r="I1656" s="34"/>
    </row>
    <row r="1657" spans="1:9" ht="30" x14ac:dyDescent="0.25">
      <c r="A1657" s="54" t="s">
        <v>518</v>
      </c>
      <c r="B1657" s="43" t="s">
        <v>2860</v>
      </c>
      <c r="C1657" s="37" t="s">
        <v>2112</v>
      </c>
      <c r="D1657" s="37"/>
      <c r="E1657" s="37" t="s">
        <v>1974</v>
      </c>
      <c r="F1657" s="37" t="b">
        <v>0</v>
      </c>
      <c r="G1657" s="37">
        <v>200</v>
      </c>
      <c r="H1657" s="37" t="b">
        <v>1</v>
      </c>
    </row>
    <row r="1658" spans="1:9" ht="30" x14ac:dyDescent="0.25">
      <c r="A1658" s="54" t="s">
        <v>518</v>
      </c>
      <c r="B1658" s="31" t="s">
        <v>2860</v>
      </c>
      <c r="C1658" s="28" t="s">
        <v>2112</v>
      </c>
      <c r="D1658" s="28"/>
      <c r="E1658" s="28" t="s">
        <v>1974</v>
      </c>
      <c r="F1658" s="28" t="b">
        <v>0</v>
      </c>
      <c r="G1658" s="28">
        <v>200</v>
      </c>
      <c r="H1658" s="28" t="b">
        <v>1</v>
      </c>
      <c r="I1658" s="34"/>
    </row>
    <row r="1659" spans="1:9" ht="30" x14ac:dyDescent="0.25">
      <c r="A1659" s="54" t="s">
        <v>518</v>
      </c>
      <c r="B1659" s="43" t="s">
        <v>647</v>
      </c>
      <c r="C1659" s="37" t="s">
        <v>2010</v>
      </c>
      <c r="D1659" s="37"/>
      <c r="E1659" s="37" t="s">
        <v>1974</v>
      </c>
      <c r="F1659" s="37" t="b">
        <v>0</v>
      </c>
      <c r="G1659" s="37">
        <v>200</v>
      </c>
      <c r="H1659" s="37" t="b">
        <v>1</v>
      </c>
    </row>
    <row r="1660" spans="1:9" ht="30" x14ac:dyDescent="0.25">
      <c r="A1660" s="54" t="s">
        <v>518</v>
      </c>
      <c r="B1660" s="31" t="s">
        <v>2011</v>
      </c>
      <c r="C1660" s="28"/>
      <c r="D1660" s="28"/>
      <c r="E1660" s="28" t="s">
        <v>2012</v>
      </c>
      <c r="F1660" s="28" t="b">
        <v>0</v>
      </c>
      <c r="G1660" s="28"/>
      <c r="H1660" s="28" t="b">
        <v>1</v>
      </c>
      <c r="I1660" s="34"/>
    </row>
    <row r="1661" spans="1:9" ht="30" x14ac:dyDescent="0.25">
      <c r="A1661" s="54" t="s">
        <v>518</v>
      </c>
      <c r="B1661" s="43" t="s">
        <v>2013</v>
      </c>
      <c r="C1661" s="37"/>
      <c r="D1661" s="37"/>
      <c r="E1661" s="37" t="s">
        <v>2012</v>
      </c>
      <c r="F1661" s="37" t="b">
        <v>0</v>
      </c>
      <c r="G1661" s="37"/>
      <c r="H1661" s="37" t="b">
        <v>1</v>
      </c>
    </row>
    <row r="1662" spans="1:9" ht="30" x14ac:dyDescent="0.25">
      <c r="A1662" s="54" t="s">
        <v>518</v>
      </c>
      <c r="B1662" s="31" t="s">
        <v>2033</v>
      </c>
      <c r="C1662" s="28"/>
      <c r="D1662" s="28"/>
      <c r="E1662" s="28" t="s">
        <v>2012</v>
      </c>
      <c r="F1662" s="28" t="b">
        <v>0</v>
      </c>
      <c r="G1662" s="28"/>
      <c r="H1662" s="28" t="b">
        <v>1</v>
      </c>
      <c r="I1662" s="34"/>
    </row>
    <row r="1663" spans="1:9" ht="30" x14ac:dyDescent="0.25">
      <c r="A1663" s="54" t="s">
        <v>518</v>
      </c>
      <c r="B1663" s="43" t="s">
        <v>641</v>
      </c>
      <c r="C1663" s="37" t="s">
        <v>2034</v>
      </c>
      <c r="D1663" s="37"/>
      <c r="E1663" s="37" t="s">
        <v>1974</v>
      </c>
      <c r="F1663" s="37" t="b">
        <v>0</v>
      </c>
      <c r="G1663" s="37">
        <v>200</v>
      </c>
      <c r="H1663" s="37" t="b">
        <v>1</v>
      </c>
    </row>
    <row r="1664" spans="1:9" ht="30" x14ac:dyDescent="0.25">
      <c r="A1664" s="54" t="s">
        <v>518</v>
      </c>
      <c r="B1664" s="31" t="s">
        <v>2015</v>
      </c>
      <c r="C1664" s="28" t="s">
        <v>2016</v>
      </c>
      <c r="D1664" s="28"/>
      <c r="E1664" s="28" t="s">
        <v>1974</v>
      </c>
      <c r="F1664" s="28" t="b">
        <v>0</v>
      </c>
      <c r="G1664" s="28">
        <v>404</v>
      </c>
      <c r="H1664" s="28" t="b">
        <v>0</v>
      </c>
      <c r="I1664" s="34"/>
    </row>
    <row r="1665" spans="1:9" ht="30" x14ac:dyDescent="0.25">
      <c r="A1665" s="54" t="s">
        <v>518</v>
      </c>
      <c r="B1665" s="43" t="s">
        <v>2015</v>
      </c>
      <c r="C1665" s="37" t="s">
        <v>2017</v>
      </c>
      <c r="D1665" s="37"/>
      <c r="E1665" s="37" t="s">
        <v>1974</v>
      </c>
      <c r="F1665" s="37" t="b">
        <v>0</v>
      </c>
      <c r="G1665" s="37">
        <v>404</v>
      </c>
      <c r="H1665" s="37" t="b">
        <v>0</v>
      </c>
    </row>
    <row r="1666" spans="1:9" ht="30" x14ac:dyDescent="0.25">
      <c r="A1666" s="54" t="s">
        <v>521</v>
      </c>
      <c r="B1666" s="31" t="s">
        <v>2025</v>
      </c>
      <c r="C1666" s="28"/>
      <c r="D1666" s="28"/>
      <c r="E1666" s="28" t="s">
        <v>2012</v>
      </c>
      <c r="F1666" s="28" t="b">
        <v>0</v>
      </c>
      <c r="G1666" s="28"/>
      <c r="H1666" s="28" t="b">
        <v>1</v>
      </c>
      <c r="I1666" s="34"/>
    </row>
    <row r="1667" spans="1:9" ht="30" x14ac:dyDescent="0.25">
      <c r="A1667" s="54" t="s">
        <v>521</v>
      </c>
      <c r="B1667" s="43" t="s">
        <v>497</v>
      </c>
      <c r="C1667" s="37" t="s">
        <v>2027</v>
      </c>
      <c r="D1667" s="37"/>
      <c r="E1667" s="37" t="s">
        <v>1974</v>
      </c>
      <c r="F1667" s="37" t="b">
        <v>0</v>
      </c>
      <c r="G1667" s="37">
        <v>200</v>
      </c>
      <c r="H1667" s="37" t="b">
        <v>1</v>
      </c>
    </row>
    <row r="1668" spans="1:9" ht="30" x14ac:dyDescent="0.25">
      <c r="A1668" s="54" t="s">
        <v>521</v>
      </c>
      <c r="B1668" s="31" t="s">
        <v>652</v>
      </c>
      <c r="C1668" s="28" t="s">
        <v>2028</v>
      </c>
      <c r="D1668" s="28"/>
      <c r="E1668" s="28" t="s">
        <v>1974</v>
      </c>
      <c r="F1668" s="28" t="b">
        <v>0</v>
      </c>
      <c r="G1668" s="28">
        <v>200</v>
      </c>
      <c r="H1668" s="28" t="b">
        <v>1</v>
      </c>
      <c r="I1668" s="34"/>
    </row>
    <row r="1669" spans="1:9" ht="30" x14ac:dyDescent="0.25">
      <c r="A1669" s="54" t="s">
        <v>521</v>
      </c>
      <c r="B1669" s="43" t="s">
        <v>537</v>
      </c>
      <c r="C1669" s="37" t="s">
        <v>2029</v>
      </c>
      <c r="D1669" s="37"/>
      <c r="E1669" s="37" t="s">
        <v>1974</v>
      </c>
      <c r="F1669" s="37" t="b">
        <v>0</v>
      </c>
      <c r="G1669" s="37">
        <v>200</v>
      </c>
      <c r="H1669" s="37" t="b">
        <v>1</v>
      </c>
    </row>
    <row r="1670" spans="1:9" ht="30" x14ac:dyDescent="0.25">
      <c r="A1670" s="54" t="s">
        <v>521</v>
      </c>
      <c r="B1670" s="31" t="s">
        <v>543</v>
      </c>
      <c r="C1670" s="28" t="s">
        <v>2030</v>
      </c>
      <c r="D1670" s="28"/>
      <c r="E1670" s="28" t="s">
        <v>1974</v>
      </c>
      <c r="F1670" s="28" t="b">
        <v>0</v>
      </c>
      <c r="G1670" s="28">
        <v>200</v>
      </c>
      <c r="H1670" s="28" t="b">
        <v>1</v>
      </c>
      <c r="I1670" s="34"/>
    </row>
    <row r="1671" spans="1:9" ht="30" x14ac:dyDescent="0.25">
      <c r="A1671" s="54" t="s">
        <v>521</v>
      </c>
      <c r="B1671" s="43" t="s">
        <v>566</v>
      </c>
      <c r="C1671" s="37" t="s">
        <v>2031</v>
      </c>
      <c r="D1671" s="37"/>
      <c r="E1671" s="37" t="s">
        <v>1974</v>
      </c>
      <c r="F1671" s="37" t="b">
        <v>0</v>
      </c>
      <c r="G1671" s="37">
        <v>200</v>
      </c>
      <c r="H1671" s="37" t="b">
        <v>1</v>
      </c>
    </row>
    <row r="1672" spans="1:9" ht="30" x14ac:dyDescent="0.25">
      <c r="A1672" s="54" t="s">
        <v>521</v>
      </c>
      <c r="B1672" s="31" t="s">
        <v>601</v>
      </c>
      <c r="C1672" s="28" t="s">
        <v>2032</v>
      </c>
      <c r="D1672" s="28"/>
      <c r="E1672" s="28" t="s">
        <v>1974</v>
      </c>
      <c r="F1672" s="28" t="b">
        <v>0</v>
      </c>
      <c r="G1672" s="28">
        <v>200</v>
      </c>
      <c r="H1672" s="28" t="b">
        <v>1</v>
      </c>
      <c r="I1672" s="34"/>
    </row>
    <row r="1673" spans="1:9" ht="30" x14ac:dyDescent="0.25">
      <c r="A1673" s="54" t="s">
        <v>521</v>
      </c>
      <c r="B1673" s="43" t="s">
        <v>497</v>
      </c>
      <c r="C1673" s="37" t="s">
        <v>2027</v>
      </c>
      <c r="D1673" s="37"/>
      <c r="E1673" s="37" t="s">
        <v>1974</v>
      </c>
      <c r="F1673" s="37" t="b">
        <v>0</v>
      </c>
      <c r="G1673" s="37">
        <v>200</v>
      </c>
      <c r="H1673" s="37" t="b">
        <v>1</v>
      </c>
    </row>
    <row r="1674" spans="1:9" ht="30" x14ac:dyDescent="0.25">
      <c r="A1674" s="54" t="s">
        <v>521</v>
      </c>
      <c r="B1674" s="31" t="s">
        <v>652</v>
      </c>
      <c r="C1674" s="28" t="s">
        <v>2028</v>
      </c>
      <c r="D1674" s="28"/>
      <c r="E1674" s="28" t="s">
        <v>1974</v>
      </c>
      <c r="F1674" s="28" t="b">
        <v>0</v>
      </c>
      <c r="G1674" s="28">
        <v>200</v>
      </c>
      <c r="H1674" s="28" t="b">
        <v>1</v>
      </c>
      <c r="I1674" s="34"/>
    </row>
    <row r="1675" spans="1:9" ht="30" x14ac:dyDescent="0.25">
      <c r="A1675" s="54" t="s">
        <v>521</v>
      </c>
      <c r="B1675" s="43" t="s">
        <v>537</v>
      </c>
      <c r="C1675" s="37" t="s">
        <v>2029</v>
      </c>
      <c r="D1675" s="37"/>
      <c r="E1675" s="37" t="s">
        <v>1974</v>
      </c>
      <c r="F1675" s="37" t="b">
        <v>0</v>
      </c>
      <c r="G1675" s="37">
        <v>200</v>
      </c>
      <c r="H1675" s="37" t="b">
        <v>1</v>
      </c>
    </row>
    <row r="1676" spans="1:9" ht="30" x14ac:dyDescent="0.25">
      <c r="A1676" s="54" t="s">
        <v>521</v>
      </c>
      <c r="B1676" s="31" t="s">
        <v>543</v>
      </c>
      <c r="C1676" s="28" t="s">
        <v>2030</v>
      </c>
      <c r="D1676" s="28"/>
      <c r="E1676" s="28" t="s">
        <v>1974</v>
      </c>
      <c r="F1676" s="28" t="b">
        <v>0</v>
      </c>
      <c r="G1676" s="28">
        <v>200</v>
      </c>
      <c r="H1676" s="28" t="b">
        <v>1</v>
      </c>
      <c r="I1676" s="34"/>
    </row>
    <row r="1677" spans="1:9" ht="30" x14ac:dyDescent="0.25">
      <c r="A1677" s="54" t="s">
        <v>521</v>
      </c>
      <c r="B1677" s="43" t="s">
        <v>566</v>
      </c>
      <c r="C1677" s="37" t="s">
        <v>2031</v>
      </c>
      <c r="D1677" s="37"/>
      <c r="E1677" s="37" t="s">
        <v>1974</v>
      </c>
      <c r="F1677" s="37" t="b">
        <v>0</v>
      </c>
      <c r="G1677" s="37">
        <v>200</v>
      </c>
      <c r="H1677" s="37" t="b">
        <v>1</v>
      </c>
    </row>
    <row r="1678" spans="1:9" ht="30" x14ac:dyDescent="0.25">
      <c r="A1678" s="54" t="s">
        <v>521</v>
      </c>
      <c r="B1678" s="31" t="s">
        <v>601</v>
      </c>
      <c r="C1678" s="28" t="s">
        <v>2032</v>
      </c>
      <c r="D1678" s="28"/>
      <c r="E1678" s="28" t="s">
        <v>1974</v>
      </c>
      <c r="F1678" s="28" t="b">
        <v>0</v>
      </c>
      <c r="G1678" s="28">
        <v>200</v>
      </c>
      <c r="H1678" s="28" t="b">
        <v>1</v>
      </c>
      <c r="I1678" s="34"/>
    </row>
    <row r="1679" spans="1:9" ht="30" x14ac:dyDescent="0.25">
      <c r="A1679" s="54" t="s">
        <v>521</v>
      </c>
      <c r="B1679" s="43" t="s">
        <v>647</v>
      </c>
      <c r="C1679" s="37" t="s">
        <v>2010</v>
      </c>
      <c r="D1679" s="37"/>
      <c r="E1679" s="37" t="s">
        <v>1974</v>
      </c>
      <c r="F1679" s="37" t="b">
        <v>0</v>
      </c>
      <c r="G1679" s="37">
        <v>200</v>
      </c>
      <c r="H1679" s="37" t="b">
        <v>1</v>
      </c>
    </row>
    <row r="1680" spans="1:9" ht="30" x14ac:dyDescent="0.25">
      <c r="A1680" s="54" t="s">
        <v>521</v>
      </c>
      <c r="B1680" s="31" t="s">
        <v>2011</v>
      </c>
      <c r="C1680" s="28"/>
      <c r="D1680" s="28"/>
      <c r="E1680" s="28" t="s">
        <v>2012</v>
      </c>
      <c r="F1680" s="28" t="b">
        <v>0</v>
      </c>
      <c r="G1680" s="28"/>
      <c r="H1680" s="28" t="b">
        <v>1</v>
      </c>
      <c r="I1680" s="34"/>
    </row>
    <row r="1681" spans="1:9" ht="30" x14ac:dyDescent="0.25">
      <c r="A1681" s="54" t="s">
        <v>521</v>
      </c>
      <c r="B1681" s="43" t="s">
        <v>2013</v>
      </c>
      <c r="C1681" s="37"/>
      <c r="D1681" s="37"/>
      <c r="E1681" s="37" t="s">
        <v>2012</v>
      </c>
      <c r="F1681" s="37" t="b">
        <v>0</v>
      </c>
      <c r="G1681" s="37"/>
      <c r="H1681" s="37" t="b">
        <v>1</v>
      </c>
    </row>
    <row r="1682" spans="1:9" ht="30" x14ac:dyDescent="0.25">
      <c r="A1682" s="54" t="s">
        <v>521</v>
      </c>
      <c r="B1682" s="31" t="s">
        <v>2033</v>
      </c>
      <c r="C1682" s="28"/>
      <c r="D1682" s="28"/>
      <c r="E1682" s="28" t="s">
        <v>2012</v>
      </c>
      <c r="F1682" s="28" t="b">
        <v>0</v>
      </c>
      <c r="G1682" s="28"/>
      <c r="H1682" s="28" t="b">
        <v>1</v>
      </c>
      <c r="I1682" s="34"/>
    </row>
    <row r="1683" spans="1:9" ht="30" x14ac:dyDescent="0.25">
      <c r="A1683" s="54" t="s">
        <v>521</v>
      </c>
      <c r="B1683" s="43" t="s">
        <v>641</v>
      </c>
      <c r="C1683" s="37" t="s">
        <v>2034</v>
      </c>
      <c r="D1683" s="37"/>
      <c r="E1683" s="37" t="s">
        <v>1974</v>
      </c>
      <c r="F1683" s="37" t="b">
        <v>0</v>
      </c>
      <c r="G1683" s="37">
        <v>200</v>
      </c>
      <c r="H1683" s="37" t="b">
        <v>1</v>
      </c>
    </row>
    <row r="1684" spans="1:9" ht="30" x14ac:dyDescent="0.25">
      <c r="A1684" s="54" t="s">
        <v>521</v>
      </c>
      <c r="B1684" s="31" t="s">
        <v>2015</v>
      </c>
      <c r="C1684" s="28" t="s">
        <v>2016</v>
      </c>
      <c r="D1684" s="28"/>
      <c r="E1684" s="28" t="s">
        <v>1974</v>
      </c>
      <c r="F1684" s="28" t="b">
        <v>0</v>
      </c>
      <c r="G1684" s="28">
        <v>404</v>
      </c>
      <c r="H1684" s="28" t="b">
        <v>0</v>
      </c>
      <c r="I1684" s="34"/>
    </row>
    <row r="1685" spans="1:9" ht="30" x14ac:dyDescent="0.25">
      <c r="A1685" s="54" t="s">
        <v>521</v>
      </c>
      <c r="B1685" s="43" t="s">
        <v>2015</v>
      </c>
      <c r="C1685" s="37" t="s">
        <v>2017</v>
      </c>
      <c r="D1685" s="37"/>
      <c r="E1685" s="37" t="s">
        <v>1974</v>
      </c>
      <c r="F1685" s="37" t="b">
        <v>0</v>
      </c>
      <c r="G1685" s="37">
        <v>404</v>
      </c>
      <c r="H1685" s="37" t="b">
        <v>0</v>
      </c>
    </row>
    <row r="1686" spans="1:9" ht="30" x14ac:dyDescent="0.25">
      <c r="A1686" s="54" t="s">
        <v>524</v>
      </c>
      <c r="B1686" s="31" t="s">
        <v>2025</v>
      </c>
      <c r="C1686" s="28"/>
      <c r="D1686" s="28"/>
      <c r="E1686" s="28" t="s">
        <v>2012</v>
      </c>
      <c r="F1686" s="28" t="b">
        <v>0</v>
      </c>
      <c r="G1686" s="28"/>
      <c r="H1686" s="28" t="b">
        <v>1</v>
      </c>
      <c r="I1686" s="34"/>
    </row>
    <row r="1687" spans="1:9" ht="30" x14ac:dyDescent="0.25">
      <c r="A1687" s="54" t="s">
        <v>524</v>
      </c>
      <c r="B1687" s="43" t="s">
        <v>127</v>
      </c>
      <c r="C1687" s="37" t="s">
        <v>1975</v>
      </c>
      <c r="D1687" s="37"/>
      <c r="E1687" s="37" t="s">
        <v>1974</v>
      </c>
      <c r="F1687" s="37" t="b">
        <v>0</v>
      </c>
      <c r="G1687" s="37">
        <v>200</v>
      </c>
      <c r="H1687" s="37" t="b">
        <v>1</v>
      </c>
    </row>
    <row r="1688" spans="1:9" ht="30" x14ac:dyDescent="0.25">
      <c r="A1688" s="54" t="s">
        <v>524</v>
      </c>
      <c r="B1688" s="31" t="s">
        <v>135</v>
      </c>
      <c r="C1688" s="28" t="s">
        <v>1976</v>
      </c>
      <c r="D1688" s="28"/>
      <c r="E1688" s="28" t="s">
        <v>1974</v>
      </c>
      <c r="F1688" s="28" t="b">
        <v>0</v>
      </c>
      <c r="G1688" s="28">
        <v>200</v>
      </c>
      <c r="H1688" s="28" t="b">
        <v>1</v>
      </c>
      <c r="I1688" s="34"/>
    </row>
    <row r="1689" spans="1:9" ht="30" x14ac:dyDescent="0.25">
      <c r="A1689" s="54" t="s">
        <v>524</v>
      </c>
      <c r="B1689" s="43" t="s">
        <v>655</v>
      </c>
      <c r="C1689" s="37" t="s">
        <v>1977</v>
      </c>
      <c r="D1689" s="37"/>
      <c r="E1689" s="37" t="s">
        <v>1974</v>
      </c>
      <c r="F1689" s="37" t="b">
        <v>0</v>
      </c>
      <c r="G1689" s="37">
        <v>200</v>
      </c>
      <c r="H1689" s="37" t="b">
        <v>1</v>
      </c>
    </row>
    <row r="1690" spans="1:9" ht="30" x14ac:dyDescent="0.25">
      <c r="A1690" s="54" t="s">
        <v>524</v>
      </c>
      <c r="B1690" s="31" t="s">
        <v>635</v>
      </c>
      <c r="C1690" s="28" t="s">
        <v>1978</v>
      </c>
      <c r="D1690" s="28"/>
      <c r="E1690" s="28" t="s">
        <v>1974</v>
      </c>
      <c r="F1690" s="28" t="b">
        <v>0</v>
      </c>
      <c r="G1690" s="28">
        <v>200</v>
      </c>
      <c r="H1690" s="28" t="b">
        <v>1</v>
      </c>
      <c r="I1690" s="34"/>
    </row>
    <row r="1691" spans="1:9" ht="30" x14ac:dyDescent="0.25">
      <c r="A1691" s="54" t="s">
        <v>524</v>
      </c>
      <c r="B1691" s="43" t="s">
        <v>144</v>
      </c>
      <c r="C1691" s="37" t="s">
        <v>1979</v>
      </c>
      <c r="D1691" s="37"/>
      <c r="E1691" s="37" t="s">
        <v>1974</v>
      </c>
      <c r="F1691" s="37" t="b">
        <v>0</v>
      </c>
      <c r="G1691" s="37">
        <v>200</v>
      </c>
      <c r="H1691" s="37" t="b">
        <v>1</v>
      </c>
    </row>
    <row r="1692" spans="1:9" ht="30" x14ac:dyDescent="0.25">
      <c r="A1692" s="54" t="s">
        <v>524</v>
      </c>
      <c r="B1692" s="31" t="s">
        <v>618</v>
      </c>
      <c r="C1692" s="28" t="s">
        <v>1980</v>
      </c>
      <c r="D1692" s="28"/>
      <c r="E1692" s="28" t="s">
        <v>1974</v>
      </c>
      <c r="F1692" s="28" t="b">
        <v>0</v>
      </c>
      <c r="G1692" s="28">
        <v>200</v>
      </c>
      <c r="H1692" s="28" t="b">
        <v>1</v>
      </c>
      <c r="I1692" s="34"/>
    </row>
    <row r="1693" spans="1:9" ht="30" x14ac:dyDescent="0.25">
      <c r="A1693" s="54" t="s">
        <v>524</v>
      </c>
      <c r="B1693" s="43" t="s">
        <v>585</v>
      </c>
      <c r="C1693" s="37" t="s">
        <v>1981</v>
      </c>
      <c r="D1693" s="37"/>
      <c r="E1693" s="37" t="s">
        <v>1974</v>
      </c>
      <c r="F1693" s="37" t="b">
        <v>0</v>
      </c>
      <c r="G1693" s="37">
        <v>200</v>
      </c>
      <c r="H1693" s="37" t="b">
        <v>1</v>
      </c>
    </row>
    <row r="1694" spans="1:9" ht="30" x14ac:dyDescent="0.25">
      <c r="A1694" s="54" t="s">
        <v>524</v>
      </c>
      <c r="B1694" s="31" t="s">
        <v>582</v>
      </c>
      <c r="C1694" s="28" t="s">
        <v>1982</v>
      </c>
      <c r="D1694" s="28"/>
      <c r="E1694" s="28" t="s">
        <v>1974</v>
      </c>
      <c r="F1694" s="28" t="b">
        <v>0</v>
      </c>
      <c r="G1694" s="28">
        <v>200</v>
      </c>
      <c r="H1694" s="28" t="b">
        <v>1</v>
      </c>
      <c r="I1694" s="34"/>
    </row>
    <row r="1695" spans="1:9" ht="30" x14ac:dyDescent="0.25">
      <c r="A1695" s="54" t="s">
        <v>524</v>
      </c>
      <c r="B1695" s="43" t="s">
        <v>638</v>
      </c>
      <c r="C1695" s="37" t="s">
        <v>1983</v>
      </c>
      <c r="D1695" s="37"/>
      <c r="E1695" s="37" t="s">
        <v>1974</v>
      </c>
      <c r="F1695" s="37" t="b">
        <v>0</v>
      </c>
      <c r="G1695" s="37">
        <v>200</v>
      </c>
      <c r="H1695" s="37" t="b">
        <v>1</v>
      </c>
    </row>
    <row r="1696" spans="1:9" ht="30" x14ac:dyDescent="0.25">
      <c r="A1696" s="54" t="s">
        <v>524</v>
      </c>
      <c r="B1696" s="31" t="s">
        <v>638</v>
      </c>
      <c r="C1696" s="28" t="s">
        <v>1984</v>
      </c>
      <c r="D1696" s="28"/>
      <c r="E1696" s="28" t="s">
        <v>1974</v>
      </c>
      <c r="F1696" s="28" t="b">
        <v>0</v>
      </c>
      <c r="G1696" s="28">
        <v>200</v>
      </c>
      <c r="H1696" s="28" t="b">
        <v>1</v>
      </c>
      <c r="I1696" s="34"/>
    </row>
    <row r="1697" spans="1:9" ht="30" x14ac:dyDescent="0.25">
      <c r="A1697" s="54" t="s">
        <v>524</v>
      </c>
      <c r="B1697" s="43" t="s">
        <v>647</v>
      </c>
      <c r="C1697" s="37" t="s">
        <v>1985</v>
      </c>
      <c r="D1697" s="37"/>
      <c r="E1697" s="37" t="s">
        <v>1974</v>
      </c>
      <c r="F1697" s="37" t="b">
        <v>0</v>
      </c>
      <c r="G1697" s="37">
        <v>200</v>
      </c>
      <c r="H1697" s="37" t="b">
        <v>1</v>
      </c>
    </row>
    <row r="1698" spans="1:9" ht="30" x14ac:dyDescent="0.25">
      <c r="A1698" s="54" t="s">
        <v>524</v>
      </c>
      <c r="B1698" s="31" t="s">
        <v>503</v>
      </c>
      <c r="C1698" s="28" t="s">
        <v>1986</v>
      </c>
      <c r="D1698" s="28"/>
      <c r="E1698" s="28" t="s">
        <v>1974</v>
      </c>
      <c r="F1698" s="28" t="b">
        <v>0</v>
      </c>
      <c r="G1698" s="28">
        <v>200</v>
      </c>
      <c r="H1698" s="28" t="b">
        <v>1</v>
      </c>
      <c r="I1698" s="34"/>
    </row>
    <row r="1699" spans="1:9" ht="30" x14ac:dyDescent="0.25">
      <c r="A1699" s="54" t="s">
        <v>524</v>
      </c>
      <c r="B1699" s="43" t="s">
        <v>608</v>
      </c>
      <c r="C1699" s="37" t="s">
        <v>1987</v>
      </c>
      <c r="D1699" s="37"/>
      <c r="E1699" s="37" t="s">
        <v>1974</v>
      </c>
      <c r="F1699" s="37" t="b">
        <v>0</v>
      </c>
      <c r="G1699" s="37">
        <v>200</v>
      </c>
      <c r="H1699" s="37" t="b">
        <v>1</v>
      </c>
    </row>
    <row r="1700" spans="1:9" ht="30" x14ac:dyDescent="0.25">
      <c r="A1700" s="54" t="s">
        <v>524</v>
      </c>
      <c r="B1700" s="31" t="s">
        <v>127</v>
      </c>
      <c r="C1700" s="28" t="s">
        <v>1975</v>
      </c>
      <c r="D1700" s="28"/>
      <c r="E1700" s="28" t="s">
        <v>1974</v>
      </c>
      <c r="F1700" s="28" t="b">
        <v>0</v>
      </c>
      <c r="G1700" s="28">
        <v>200</v>
      </c>
      <c r="H1700" s="28" t="b">
        <v>1</v>
      </c>
      <c r="I1700" s="34"/>
    </row>
    <row r="1701" spans="1:9" ht="30" x14ac:dyDescent="0.25">
      <c r="A1701" s="54" t="s">
        <v>524</v>
      </c>
      <c r="B1701" s="43" t="s">
        <v>135</v>
      </c>
      <c r="C1701" s="37" t="s">
        <v>1976</v>
      </c>
      <c r="D1701" s="37"/>
      <c r="E1701" s="37" t="s">
        <v>1974</v>
      </c>
      <c r="F1701" s="37" t="b">
        <v>0</v>
      </c>
      <c r="G1701" s="37">
        <v>200</v>
      </c>
      <c r="H1701" s="37" t="b">
        <v>1</v>
      </c>
    </row>
    <row r="1702" spans="1:9" ht="30" x14ac:dyDescent="0.25">
      <c r="A1702" s="54" t="s">
        <v>524</v>
      </c>
      <c r="B1702" s="31" t="s">
        <v>655</v>
      </c>
      <c r="C1702" s="28" t="s">
        <v>1977</v>
      </c>
      <c r="D1702" s="28"/>
      <c r="E1702" s="28" t="s">
        <v>1974</v>
      </c>
      <c r="F1702" s="28" t="b">
        <v>0</v>
      </c>
      <c r="G1702" s="28">
        <v>200</v>
      </c>
      <c r="H1702" s="28" t="b">
        <v>1</v>
      </c>
      <c r="I1702" s="34"/>
    </row>
    <row r="1703" spans="1:9" ht="30" x14ac:dyDescent="0.25">
      <c r="A1703" s="54" t="s">
        <v>524</v>
      </c>
      <c r="B1703" s="43" t="s">
        <v>635</v>
      </c>
      <c r="C1703" s="37" t="s">
        <v>1978</v>
      </c>
      <c r="D1703" s="37"/>
      <c r="E1703" s="37" t="s">
        <v>1974</v>
      </c>
      <c r="F1703" s="37" t="b">
        <v>0</v>
      </c>
      <c r="G1703" s="37">
        <v>200</v>
      </c>
      <c r="H1703" s="37" t="b">
        <v>1</v>
      </c>
    </row>
    <row r="1704" spans="1:9" ht="30" x14ac:dyDescent="0.25">
      <c r="A1704" s="54" t="s">
        <v>524</v>
      </c>
      <c r="B1704" s="31" t="s">
        <v>144</v>
      </c>
      <c r="C1704" s="28" t="s">
        <v>1979</v>
      </c>
      <c r="D1704" s="28"/>
      <c r="E1704" s="28" t="s">
        <v>1974</v>
      </c>
      <c r="F1704" s="28" t="b">
        <v>0</v>
      </c>
      <c r="G1704" s="28">
        <v>200</v>
      </c>
      <c r="H1704" s="28" t="b">
        <v>1</v>
      </c>
      <c r="I1704" s="34"/>
    </row>
    <row r="1705" spans="1:9" ht="30" x14ac:dyDescent="0.25">
      <c r="A1705" s="54" t="s">
        <v>524</v>
      </c>
      <c r="B1705" s="43" t="s">
        <v>618</v>
      </c>
      <c r="C1705" s="37" t="s">
        <v>1980</v>
      </c>
      <c r="D1705" s="37"/>
      <c r="E1705" s="37" t="s">
        <v>1974</v>
      </c>
      <c r="F1705" s="37" t="b">
        <v>0</v>
      </c>
      <c r="G1705" s="37">
        <v>200</v>
      </c>
      <c r="H1705" s="37" t="b">
        <v>1</v>
      </c>
    </row>
    <row r="1706" spans="1:9" ht="30" x14ac:dyDescent="0.25">
      <c r="A1706" s="54" t="s">
        <v>524</v>
      </c>
      <c r="B1706" s="31" t="s">
        <v>585</v>
      </c>
      <c r="C1706" s="28" t="s">
        <v>1981</v>
      </c>
      <c r="D1706" s="28"/>
      <c r="E1706" s="28" t="s">
        <v>1974</v>
      </c>
      <c r="F1706" s="28" t="b">
        <v>0</v>
      </c>
      <c r="G1706" s="28">
        <v>200</v>
      </c>
      <c r="H1706" s="28" t="b">
        <v>1</v>
      </c>
      <c r="I1706" s="34"/>
    </row>
    <row r="1707" spans="1:9" ht="30" x14ac:dyDescent="0.25">
      <c r="A1707" s="54" t="s">
        <v>524</v>
      </c>
      <c r="B1707" s="43" t="s">
        <v>582</v>
      </c>
      <c r="C1707" s="37" t="s">
        <v>1982</v>
      </c>
      <c r="D1707" s="37"/>
      <c r="E1707" s="37" t="s">
        <v>1974</v>
      </c>
      <c r="F1707" s="37" t="b">
        <v>0</v>
      </c>
      <c r="G1707" s="37">
        <v>200</v>
      </c>
      <c r="H1707" s="37" t="b">
        <v>1</v>
      </c>
    </row>
    <row r="1708" spans="1:9" ht="30" x14ac:dyDescent="0.25">
      <c r="A1708" s="54" t="s">
        <v>524</v>
      </c>
      <c r="B1708" s="31" t="s">
        <v>638</v>
      </c>
      <c r="C1708" s="28" t="s">
        <v>1983</v>
      </c>
      <c r="D1708" s="28"/>
      <c r="E1708" s="28" t="s">
        <v>1974</v>
      </c>
      <c r="F1708" s="28" t="b">
        <v>0</v>
      </c>
      <c r="G1708" s="28">
        <v>200</v>
      </c>
      <c r="H1708" s="28" t="b">
        <v>1</v>
      </c>
      <c r="I1708" s="34"/>
    </row>
    <row r="1709" spans="1:9" ht="30" x14ac:dyDescent="0.25">
      <c r="A1709" s="54" t="s">
        <v>524</v>
      </c>
      <c r="B1709" s="43" t="s">
        <v>638</v>
      </c>
      <c r="C1709" s="37" t="s">
        <v>1984</v>
      </c>
      <c r="D1709" s="37"/>
      <c r="E1709" s="37" t="s">
        <v>1974</v>
      </c>
      <c r="F1709" s="37" t="b">
        <v>0</v>
      </c>
      <c r="G1709" s="37">
        <v>200</v>
      </c>
      <c r="H1709" s="37" t="b">
        <v>1</v>
      </c>
    </row>
    <row r="1710" spans="1:9" ht="30" x14ac:dyDescent="0.25">
      <c r="A1710" s="54" t="s">
        <v>524</v>
      </c>
      <c r="B1710" s="31" t="s">
        <v>647</v>
      </c>
      <c r="C1710" s="28" t="s">
        <v>1985</v>
      </c>
      <c r="D1710" s="28"/>
      <c r="E1710" s="28" t="s">
        <v>1974</v>
      </c>
      <c r="F1710" s="28" t="b">
        <v>0</v>
      </c>
      <c r="G1710" s="28">
        <v>200</v>
      </c>
      <c r="H1710" s="28" t="b">
        <v>1</v>
      </c>
      <c r="I1710" s="34"/>
    </row>
    <row r="1711" spans="1:9" ht="30" x14ac:dyDescent="0.25">
      <c r="A1711" s="54" t="s">
        <v>524</v>
      </c>
      <c r="B1711" s="43" t="s">
        <v>503</v>
      </c>
      <c r="C1711" s="37" t="s">
        <v>1986</v>
      </c>
      <c r="D1711" s="37"/>
      <c r="E1711" s="37" t="s">
        <v>1974</v>
      </c>
      <c r="F1711" s="37" t="b">
        <v>0</v>
      </c>
      <c r="G1711" s="37">
        <v>200</v>
      </c>
      <c r="H1711" s="37" t="b">
        <v>1</v>
      </c>
    </row>
    <row r="1712" spans="1:9" ht="30" x14ac:dyDescent="0.25">
      <c r="A1712" s="54" t="s">
        <v>524</v>
      </c>
      <c r="B1712" s="31" t="s">
        <v>608</v>
      </c>
      <c r="C1712" s="28" t="s">
        <v>1987</v>
      </c>
      <c r="D1712" s="28"/>
      <c r="E1712" s="28" t="s">
        <v>1974</v>
      </c>
      <c r="F1712" s="28" t="b">
        <v>0</v>
      </c>
      <c r="G1712" s="28">
        <v>200</v>
      </c>
      <c r="H1712" s="28" t="b">
        <v>1</v>
      </c>
      <c r="I1712" s="34"/>
    </row>
    <row r="1713" spans="1:9" ht="30" x14ac:dyDescent="0.25">
      <c r="A1713" s="54" t="s">
        <v>524</v>
      </c>
      <c r="B1713" s="43" t="s">
        <v>2747</v>
      </c>
      <c r="C1713" s="37"/>
      <c r="D1713" s="37"/>
      <c r="E1713" s="37" t="s">
        <v>1974</v>
      </c>
      <c r="F1713" s="37" t="b">
        <v>0</v>
      </c>
      <c r="G1713" s="37">
        <v>200</v>
      </c>
      <c r="H1713" s="37" t="b">
        <v>1</v>
      </c>
    </row>
    <row r="1714" spans="1:9" ht="30" x14ac:dyDescent="0.25">
      <c r="A1714" s="54" t="s">
        <v>524</v>
      </c>
      <c r="B1714" s="31" t="s">
        <v>2747</v>
      </c>
      <c r="C1714" s="28" t="s">
        <v>2748</v>
      </c>
      <c r="D1714" s="28"/>
      <c r="E1714" s="28" t="s">
        <v>1974</v>
      </c>
      <c r="F1714" s="28" t="b">
        <v>0</v>
      </c>
      <c r="G1714" s="28">
        <v>200</v>
      </c>
      <c r="H1714" s="28" t="b">
        <v>1</v>
      </c>
      <c r="I1714" s="34"/>
    </row>
    <row r="1715" spans="1:9" ht="30" x14ac:dyDescent="0.25">
      <c r="A1715" s="54" t="s">
        <v>524</v>
      </c>
      <c r="B1715" s="43" t="s">
        <v>2861</v>
      </c>
      <c r="C1715" s="37" t="s">
        <v>2840</v>
      </c>
      <c r="D1715" s="37" t="s">
        <v>2841</v>
      </c>
      <c r="E1715" s="37" t="s">
        <v>1974</v>
      </c>
      <c r="F1715" s="37" t="b">
        <v>1</v>
      </c>
      <c r="G1715" s="37">
        <v>200</v>
      </c>
      <c r="H1715" s="37" t="b">
        <v>1</v>
      </c>
    </row>
    <row r="1716" spans="1:9" ht="30" x14ac:dyDescent="0.25">
      <c r="A1716" s="54" t="s">
        <v>524</v>
      </c>
      <c r="B1716" s="31" t="s">
        <v>2749</v>
      </c>
      <c r="C1716" s="28"/>
      <c r="D1716" s="28"/>
      <c r="E1716" s="28" t="s">
        <v>1974</v>
      </c>
      <c r="F1716" s="28" t="b">
        <v>0</v>
      </c>
      <c r="G1716" s="28">
        <v>200</v>
      </c>
      <c r="H1716" s="28" t="b">
        <v>1</v>
      </c>
      <c r="I1716" s="34"/>
    </row>
    <row r="1717" spans="1:9" ht="30" x14ac:dyDescent="0.25">
      <c r="A1717" s="54" t="s">
        <v>524</v>
      </c>
      <c r="B1717" s="43" t="s">
        <v>2749</v>
      </c>
      <c r="C1717" s="37" t="s">
        <v>2750</v>
      </c>
      <c r="D1717" s="37"/>
      <c r="E1717" s="37" t="s">
        <v>1974</v>
      </c>
      <c r="F1717" s="37" t="b">
        <v>0</v>
      </c>
      <c r="G1717" s="37">
        <v>200</v>
      </c>
      <c r="H1717" s="37" t="b">
        <v>1</v>
      </c>
    </row>
    <row r="1718" spans="1:9" ht="30" x14ac:dyDescent="0.25">
      <c r="A1718" s="54" t="s">
        <v>524</v>
      </c>
      <c r="B1718" s="31" t="s">
        <v>2862</v>
      </c>
      <c r="C1718" s="28" t="s">
        <v>2840</v>
      </c>
      <c r="D1718" s="28" t="s">
        <v>2841</v>
      </c>
      <c r="E1718" s="28" t="s">
        <v>1974</v>
      </c>
      <c r="F1718" s="28" t="b">
        <v>1</v>
      </c>
      <c r="G1718" s="28">
        <v>200</v>
      </c>
      <c r="H1718" s="28" t="b">
        <v>1</v>
      </c>
      <c r="I1718" s="34"/>
    </row>
    <row r="1719" spans="1:9" ht="30" x14ac:dyDescent="0.25">
      <c r="A1719" s="54" t="s">
        <v>524</v>
      </c>
      <c r="B1719" s="43" t="s">
        <v>2751</v>
      </c>
      <c r="C1719" s="37"/>
      <c r="D1719" s="37"/>
      <c r="E1719" s="37" t="s">
        <v>1974</v>
      </c>
      <c r="F1719" s="37" t="b">
        <v>0</v>
      </c>
      <c r="G1719" s="37">
        <v>200</v>
      </c>
      <c r="H1719" s="37" t="b">
        <v>1</v>
      </c>
    </row>
    <row r="1720" spans="1:9" ht="30" x14ac:dyDescent="0.25">
      <c r="A1720" s="54" t="s">
        <v>524</v>
      </c>
      <c r="B1720" s="31" t="s">
        <v>2751</v>
      </c>
      <c r="C1720" s="28" t="s">
        <v>2752</v>
      </c>
      <c r="D1720" s="28"/>
      <c r="E1720" s="28" t="s">
        <v>1974</v>
      </c>
      <c r="F1720" s="28" t="b">
        <v>0</v>
      </c>
      <c r="G1720" s="28">
        <v>200</v>
      </c>
      <c r="H1720" s="28" t="b">
        <v>1</v>
      </c>
      <c r="I1720" s="34"/>
    </row>
    <row r="1721" spans="1:9" ht="30" x14ac:dyDescent="0.25">
      <c r="A1721" s="54" t="s">
        <v>524</v>
      </c>
      <c r="B1721" s="43" t="s">
        <v>2863</v>
      </c>
      <c r="C1721" s="37" t="s">
        <v>2840</v>
      </c>
      <c r="D1721" s="37" t="s">
        <v>2841</v>
      </c>
      <c r="E1721" s="37" t="s">
        <v>1974</v>
      </c>
      <c r="F1721" s="37" t="b">
        <v>1</v>
      </c>
      <c r="G1721" s="37">
        <v>200</v>
      </c>
      <c r="H1721" s="37" t="b">
        <v>1</v>
      </c>
    </row>
    <row r="1722" spans="1:9" ht="30" x14ac:dyDescent="0.25">
      <c r="A1722" s="54" t="s">
        <v>524</v>
      </c>
      <c r="B1722" s="31" t="s">
        <v>2753</v>
      </c>
      <c r="C1722" s="28"/>
      <c r="D1722" s="28"/>
      <c r="E1722" s="28" t="s">
        <v>1974</v>
      </c>
      <c r="F1722" s="28" t="b">
        <v>0</v>
      </c>
      <c r="G1722" s="28">
        <v>200</v>
      </c>
      <c r="H1722" s="28" t="b">
        <v>1</v>
      </c>
      <c r="I1722" s="34"/>
    </row>
    <row r="1723" spans="1:9" ht="30" x14ac:dyDescent="0.25">
      <c r="A1723" s="54" t="s">
        <v>524</v>
      </c>
      <c r="B1723" s="43" t="s">
        <v>2753</v>
      </c>
      <c r="C1723" s="37" t="s">
        <v>2754</v>
      </c>
      <c r="D1723" s="37"/>
      <c r="E1723" s="37" t="s">
        <v>1974</v>
      </c>
      <c r="F1723" s="37" t="b">
        <v>0</v>
      </c>
      <c r="G1723" s="37">
        <v>200</v>
      </c>
      <c r="H1723" s="37" t="b">
        <v>1</v>
      </c>
    </row>
    <row r="1724" spans="1:9" ht="30" x14ac:dyDescent="0.25">
      <c r="A1724" s="54" t="s">
        <v>524</v>
      </c>
      <c r="B1724" s="31" t="s">
        <v>2864</v>
      </c>
      <c r="C1724" s="28" t="s">
        <v>2840</v>
      </c>
      <c r="D1724" s="28" t="s">
        <v>2841</v>
      </c>
      <c r="E1724" s="28" t="s">
        <v>1974</v>
      </c>
      <c r="F1724" s="28" t="b">
        <v>1</v>
      </c>
      <c r="G1724" s="28">
        <v>200</v>
      </c>
      <c r="H1724" s="28" t="b">
        <v>1</v>
      </c>
      <c r="I1724" s="34"/>
    </row>
    <row r="1725" spans="1:9" ht="30" x14ac:dyDescent="0.25">
      <c r="A1725" s="54" t="s">
        <v>524</v>
      </c>
      <c r="B1725" s="43" t="s">
        <v>647</v>
      </c>
      <c r="C1725" s="37" t="s">
        <v>2010</v>
      </c>
      <c r="D1725" s="37"/>
      <c r="E1725" s="37" t="s">
        <v>1974</v>
      </c>
      <c r="F1725" s="37" t="b">
        <v>0</v>
      </c>
      <c r="G1725" s="37">
        <v>200</v>
      </c>
      <c r="H1725" s="37" t="b">
        <v>1</v>
      </c>
    </row>
    <row r="1726" spans="1:9" ht="30" x14ac:dyDescent="0.25">
      <c r="A1726" s="54" t="s">
        <v>524</v>
      </c>
      <c r="B1726" s="31" t="s">
        <v>2011</v>
      </c>
      <c r="C1726" s="28"/>
      <c r="D1726" s="28"/>
      <c r="E1726" s="28" t="s">
        <v>2012</v>
      </c>
      <c r="F1726" s="28" t="b">
        <v>0</v>
      </c>
      <c r="G1726" s="28"/>
      <c r="H1726" s="28" t="b">
        <v>1</v>
      </c>
      <c r="I1726" s="34"/>
    </row>
    <row r="1727" spans="1:9" ht="30" x14ac:dyDescent="0.25">
      <c r="A1727" s="54" t="s">
        <v>524</v>
      </c>
      <c r="B1727" s="43" t="s">
        <v>2013</v>
      </c>
      <c r="C1727" s="37"/>
      <c r="D1727" s="37"/>
      <c r="E1727" s="37" t="s">
        <v>2012</v>
      </c>
      <c r="F1727" s="37" t="b">
        <v>0</v>
      </c>
      <c r="G1727" s="37"/>
      <c r="H1727" s="37" t="b">
        <v>1</v>
      </c>
    </row>
    <row r="1728" spans="1:9" ht="30" x14ac:dyDescent="0.25">
      <c r="A1728" s="54" t="s">
        <v>524</v>
      </c>
      <c r="B1728" s="31" t="s">
        <v>2033</v>
      </c>
      <c r="C1728" s="28"/>
      <c r="D1728" s="28"/>
      <c r="E1728" s="28" t="s">
        <v>2012</v>
      </c>
      <c r="F1728" s="28" t="b">
        <v>0</v>
      </c>
      <c r="G1728" s="28"/>
      <c r="H1728" s="28" t="b">
        <v>1</v>
      </c>
      <c r="I1728" s="34"/>
    </row>
    <row r="1729" spans="1:9" ht="30" x14ac:dyDescent="0.25">
      <c r="A1729" s="54" t="s">
        <v>524</v>
      </c>
      <c r="B1729" s="43" t="s">
        <v>641</v>
      </c>
      <c r="C1729" s="37" t="s">
        <v>2034</v>
      </c>
      <c r="D1729" s="37"/>
      <c r="E1729" s="37" t="s">
        <v>1974</v>
      </c>
      <c r="F1729" s="37" t="b">
        <v>0</v>
      </c>
      <c r="G1729" s="37">
        <v>200</v>
      </c>
      <c r="H1729" s="37" t="b">
        <v>1</v>
      </c>
    </row>
    <row r="1730" spans="1:9" ht="30" x14ac:dyDescent="0.25">
      <c r="A1730" s="54" t="s">
        <v>524</v>
      </c>
      <c r="B1730" s="31" t="s">
        <v>2015</v>
      </c>
      <c r="C1730" s="28" t="s">
        <v>2016</v>
      </c>
      <c r="D1730" s="28"/>
      <c r="E1730" s="28" t="s">
        <v>1974</v>
      </c>
      <c r="F1730" s="28" t="b">
        <v>0</v>
      </c>
      <c r="G1730" s="28">
        <v>404</v>
      </c>
      <c r="H1730" s="28" t="b">
        <v>0</v>
      </c>
      <c r="I1730" s="34"/>
    </row>
    <row r="1731" spans="1:9" ht="30" x14ac:dyDescent="0.25">
      <c r="A1731" s="54" t="s">
        <v>524</v>
      </c>
      <c r="B1731" s="43" t="s">
        <v>2015</v>
      </c>
      <c r="C1731" s="37" t="s">
        <v>2017</v>
      </c>
      <c r="D1731" s="37"/>
      <c r="E1731" s="37" t="s">
        <v>1974</v>
      </c>
      <c r="F1731" s="37" t="b">
        <v>0</v>
      </c>
      <c r="G1731" s="37">
        <v>404</v>
      </c>
      <c r="H1731" s="37" t="b">
        <v>0</v>
      </c>
    </row>
    <row r="1732" spans="1:9" ht="30" x14ac:dyDescent="0.25">
      <c r="A1732" s="54" t="s">
        <v>518</v>
      </c>
      <c r="B1732" s="31" t="s">
        <v>2025</v>
      </c>
      <c r="C1732" s="28"/>
      <c r="D1732" s="28"/>
      <c r="E1732" s="28" t="s">
        <v>2012</v>
      </c>
      <c r="F1732" s="28" t="b">
        <v>0</v>
      </c>
      <c r="G1732" s="28"/>
      <c r="H1732" s="28" t="b">
        <v>1</v>
      </c>
      <c r="I1732" s="34"/>
    </row>
    <row r="1733" spans="1:9" ht="30" x14ac:dyDescent="0.25">
      <c r="A1733" s="54" t="s">
        <v>518</v>
      </c>
      <c r="B1733" s="43" t="s">
        <v>497</v>
      </c>
      <c r="C1733" s="37" t="s">
        <v>2027</v>
      </c>
      <c r="D1733" s="37"/>
      <c r="E1733" s="37" t="s">
        <v>1974</v>
      </c>
      <c r="F1733" s="37" t="b">
        <v>0</v>
      </c>
      <c r="G1733" s="37">
        <v>200</v>
      </c>
      <c r="H1733" s="37" t="b">
        <v>1</v>
      </c>
    </row>
    <row r="1734" spans="1:9" ht="30" x14ac:dyDescent="0.25">
      <c r="A1734" s="54" t="s">
        <v>518</v>
      </c>
      <c r="B1734" s="31" t="s">
        <v>652</v>
      </c>
      <c r="C1734" s="28" t="s">
        <v>2028</v>
      </c>
      <c r="D1734" s="28"/>
      <c r="E1734" s="28" t="s">
        <v>1974</v>
      </c>
      <c r="F1734" s="28" t="b">
        <v>0</v>
      </c>
      <c r="G1734" s="28">
        <v>200</v>
      </c>
      <c r="H1734" s="28" t="b">
        <v>1</v>
      </c>
      <c r="I1734" s="34"/>
    </row>
    <row r="1735" spans="1:9" ht="30" x14ac:dyDescent="0.25">
      <c r="A1735" s="54" t="s">
        <v>518</v>
      </c>
      <c r="B1735" s="43" t="s">
        <v>537</v>
      </c>
      <c r="C1735" s="37" t="s">
        <v>2029</v>
      </c>
      <c r="D1735" s="37"/>
      <c r="E1735" s="37" t="s">
        <v>1974</v>
      </c>
      <c r="F1735" s="37" t="b">
        <v>0</v>
      </c>
      <c r="G1735" s="37">
        <v>200</v>
      </c>
      <c r="H1735" s="37" t="b">
        <v>1</v>
      </c>
    </row>
    <row r="1736" spans="1:9" ht="30" x14ac:dyDescent="0.25">
      <c r="A1736" s="54" t="s">
        <v>518</v>
      </c>
      <c r="B1736" s="31" t="s">
        <v>543</v>
      </c>
      <c r="C1736" s="28" t="s">
        <v>2030</v>
      </c>
      <c r="D1736" s="28"/>
      <c r="E1736" s="28" t="s">
        <v>1974</v>
      </c>
      <c r="F1736" s="28" t="b">
        <v>0</v>
      </c>
      <c r="G1736" s="28">
        <v>200</v>
      </c>
      <c r="H1736" s="28" t="b">
        <v>1</v>
      </c>
      <c r="I1736" s="34"/>
    </row>
    <row r="1737" spans="1:9" ht="30" x14ac:dyDescent="0.25">
      <c r="A1737" s="54" t="s">
        <v>518</v>
      </c>
      <c r="B1737" s="43" t="s">
        <v>566</v>
      </c>
      <c r="C1737" s="37" t="s">
        <v>2031</v>
      </c>
      <c r="D1737" s="37"/>
      <c r="E1737" s="37" t="s">
        <v>1974</v>
      </c>
      <c r="F1737" s="37" t="b">
        <v>0</v>
      </c>
      <c r="G1737" s="37">
        <v>200</v>
      </c>
      <c r="H1737" s="37" t="b">
        <v>1</v>
      </c>
    </row>
    <row r="1738" spans="1:9" ht="30" x14ac:dyDescent="0.25">
      <c r="A1738" s="54" t="s">
        <v>518</v>
      </c>
      <c r="B1738" s="31" t="s">
        <v>601</v>
      </c>
      <c r="C1738" s="28" t="s">
        <v>2032</v>
      </c>
      <c r="D1738" s="28"/>
      <c r="E1738" s="28" t="s">
        <v>1974</v>
      </c>
      <c r="F1738" s="28" t="b">
        <v>0</v>
      </c>
      <c r="G1738" s="28">
        <v>200</v>
      </c>
      <c r="H1738" s="28" t="b">
        <v>1</v>
      </c>
      <c r="I1738" s="34"/>
    </row>
    <row r="1739" spans="1:9" ht="30" x14ac:dyDescent="0.25">
      <c r="A1739" s="54" t="s">
        <v>518</v>
      </c>
      <c r="B1739" s="43" t="s">
        <v>497</v>
      </c>
      <c r="C1739" s="37" t="s">
        <v>2027</v>
      </c>
      <c r="D1739" s="37"/>
      <c r="E1739" s="37" t="s">
        <v>1974</v>
      </c>
      <c r="F1739" s="37" t="b">
        <v>0</v>
      </c>
      <c r="G1739" s="37">
        <v>200</v>
      </c>
      <c r="H1739" s="37" t="b">
        <v>1</v>
      </c>
    </row>
    <row r="1740" spans="1:9" ht="30" x14ac:dyDescent="0.25">
      <c r="A1740" s="54" t="s">
        <v>518</v>
      </c>
      <c r="B1740" s="31" t="s">
        <v>652</v>
      </c>
      <c r="C1740" s="28" t="s">
        <v>2028</v>
      </c>
      <c r="D1740" s="28"/>
      <c r="E1740" s="28" t="s">
        <v>1974</v>
      </c>
      <c r="F1740" s="28" t="b">
        <v>0</v>
      </c>
      <c r="G1740" s="28">
        <v>200</v>
      </c>
      <c r="H1740" s="28" t="b">
        <v>1</v>
      </c>
      <c r="I1740" s="34"/>
    </row>
    <row r="1741" spans="1:9" ht="30" x14ac:dyDescent="0.25">
      <c r="A1741" s="54" t="s">
        <v>518</v>
      </c>
      <c r="B1741" s="43" t="s">
        <v>537</v>
      </c>
      <c r="C1741" s="37" t="s">
        <v>2029</v>
      </c>
      <c r="D1741" s="37"/>
      <c r="E1741" s="37" t="s">
        <v>1974</v>
      </c>
      <c r="F1741" s="37" t="b">
        <v>0</v>
      </c>
      <c r="G1741" s="37">
        <v>200</v>
      </c>
      <c r="H1741" s="37" t="b">
        <v>1</v>
      </c>
    </row>
    <row r="1742" spans="1:9" ht="30" x14ac:dyDescent="0.25">
      <c r="A1742" s="54" t="s">
        <v>518</v>
      </c>
      <c r="B1742" s="31" t="s">
        <v>543</v>
      </c>
      <c r="C1742" s="28" t="s">
        <v>2030</v>
      </c>
      <c r="D1742" s="28"/>
      <c r="E1742" s="28" t="s">
        <v>1974</v>
      </c>
      <c r="F1742" s="28" t="b">
        <v>0</v>
      </c>
      <c r="G1742" s="28">
        <v>200</v>
      </c>
      <c r="H1742" s="28" t="b">
        <v>1</v>
      </c>
      <c r="I1742" s="34"/>
    </row>
    <row r="1743" spans="1:9" ht="30" x14ac:dyDescent="0.25">
      <c r="A1743" s="54" t="s">
        <v>518</v>
      </c>
      <c r="B1743" s="43" t="s">
        <v>566</v>
      </c>
      <c r="C1743" s="37" t="s">
        <v>2031</v>
      </c>
      <c r="D1743" s="37"/>
      <c r="E1743" s="37" t="s">
        <v>1974</v>
      </c>
      <c r="F1743" s="37" t="b">
        <v>0</v>
      </c>
      <c r="G1743" s="37">
        <v>200</v>
      </c>
      <c r="H1743" s="37" t="b">
        <v>1</v>
      </c>
    </row>
    <row r="1744" spans="1:9" ht="30" x14ac:dyDescent="0.25">
      <c r="A1744" s="54" t="s">
        <v>518</v>
      </c>
      <c r="B1744" s="31" t="s">
        <v>601</v>
      </c>
      <c r="C1744" s="28" t="s">
        <v>2032</v>
      </c>
      <c r="D1744" s="28"/>
      <c r="E1744" s="28" t="s">
        <v>1974</v>
      </c>
      <c r="F1744" s="28" t="b">
        <v>0</v>
      </c>
      <c r="G1744" s="28">
        <v>200</v>
      </c>
      <c r="H1744" s="28" t="b">
        <v>1</v>
      </c>
      <c r="I1744" s="34"/>
    </row>
    <row r="1745" spans="1:9" ht="30" x14ac:dyDescent="0.25">
      <c r="A1745" s="54" t="s">
        <v>518</v>
      </c>
      <c r="B1745" s="43" t="s">
        <v>483</v>
      </c>
      <c r="C1745" s="37" t="s">
        <v>2856</v>
      </c>
      <c r="D1745" s="37"/>
      <c r="E1745" s="37" t="s">
        <v>1974</v>
      </c>
      <c r="F1745" s="37" t="b">
        <v>0</v>
      </c>
      <c r="G1745" s="37">
        <v>404</v>
      </c>
      <c r="H1745" s="37" t="b">
        <v>0</v>
      </c>
    </row>
    <row r="1746" spans="1:9" ht="30" x14ac:dyDescent="0.25">
      <c r="A1746" s="54" t="s">
        <v>518</v>
      </c>
      <c r="B1746" s="31" t="s">
        <v>2857</v>
      </c>
      <c r="C1746" s="28" t="s">
        <v>2858</v>
      </c>
      <c r="D1746" s="28"/>
      <c r="E1746" s="28" t="s">
        <v>1974</v>
      </c>
      <c r="F1746" s="28" t="b">
        <v>0</v>
      </c>
      <c r="G1746" s="28">
        <v>404</v>
      </c>
      <c r="H1746" s="28" t="b">
        <v>0</v>
      </c>
      <c r="I1746" s="34"/>
    </row>
    <row r="1747" spans="1:9" ht="30" x14ac:dyDescent="0.25">
      <c r="A1747" s="54" t="s">
        <v>518</v>
      </c>
      <c r="B1747" s="43" t="s">
        <v>2857</v>
      </c>
      <c r="C1747" s="37" t="s">
        <v>2858</v>
      </c>
      <c r="D1747" s="37"/>
      <c r="E1747" s="37" t="s">
        <v>1974</v>
      </c>
      <c r="F1747" s="37" t="b">
        <v>0</v>
      </c>
      <c r="G1747" s="37">
        <v>404</v>
      </c>
      <c r="H1747" s="37" t="b">
        <v>0</v>
      </c>
    </row>
    <row r="1748" spans="1:9" ht="30" x14ac:dyDescent="0.25">
      <c r="A1748" s="54" t="s">
        <v>518</v>
      </c>
      <c r="B1748" s="31" t="s">
        <v>2859</v>
      </c>
      <c r="C1748" s="28" t="s">
        <v>210</v>
      </c>
      <c r="D1748" s="28"/>
      <c r="E1748" s="28" t="s">
        <v>2012</v>
      </c>
      <c r="F1748" s="28" t="b">
        <v>0</v>
      </c>
      <c r="G1748" s="28"/>
      <c r="H1748" s="28" t="b">
        <v>1</v>
      </c>
      <c r="I1748" s="34"/>
    </row>
    <row r="1749" spans="1:9" ht="30" x14ac:dyDescent="0.25">
      <c r="A1749" s="54" t="s">
        <v>518</v>
      </c>
      <c r="B1749" s="43" t="s">
        <v>2738</v>
      </c>
      <c r="C1749" s="37"/>
      <c r="D1749" s="37"/>
      <c r="E1749" s="37" t="s">
        <v>2012</v>
      </c>
      <c r="F1749" s="37" t="b">
        <v>0</v>
      </c>
      <c r="G1749" s="37"/>
      <c r="H1749" s="37" t="b">
        <v>1</v>
      </c>
    </row>
    <row r="1750" spans="1:9" ht="30" x14ac:dyDescent="0.25">
      <c r="A1750" s="54" t="s">
        <v>518</v>
      </c>
      <c r="B1750" s="31" t="s">
        <v>2739</v>
      </c>
      <c r="C1750" s="28"/>
      <c r="D1750" s="28"/>
      <c r="E1750" s="28" t="s">
        <v>2012</v>
      </c>
      <c r="F1750" s="28" t="b">
        <v>0</v>
      </c>
      <c r="G1750" s="28"/>
      <c r="H1750" s="28" t="b">
        <v>1</v>
      </c>
      <c r="I1750" s="34"/>
    </row>
    <row r="1751" spans="1:9" ht="30" x14ac:dyDescent="0.25">
      <c r="A1751" s="54" t="s">
        <v>518</v>
      </c>
      <c r="B1751" s="43" t="s">
        <v>2740</v>
      </c>
      <c r="C1751" s="37"/>
      <c r="D1751" s="37"/>
      <c r="E1751" s="37" t="s">
        <v>2012</v>
      </c>
      <c r="F1751" s="37" t="b">
        <v>0</v>
      </c>
      <c r="G1751" s="37"/>
      <c r="H1751" s="37" t="b">
        <v>1</v>
      </c>
    </row>
    <row r="1752" spans="1:9" ht="30" x14ac:dyDescent="0.25">
      <c r="A1752" s="54" t="s">
        <v>518</v>
      </c>
      <c r="B1752" s="31" t="s">
        <v>2741</v>
      </c>
      <c r="C1752" s="28"/>
      <c r="D1752" s="28"/>
      <c r="E1752" s="28" t="s">
        <v>2012</v>
      </c>
      <c r="F1752" s="28" t="b">
        <v>0</v>
      </c>
      <c r="G1752" s="28"/>
      <c r="H1752" s="28" t="b">
        <v>1</v>
      </c>
      <c r="I1752" s="34"/>
    </row>
    <row r="1753" spans="1:9" ht="30" x14ac:dyDescent="0.25">
      <c r="A1753" s="54" t="s">
        <v>518</v>
      </c>
      <c r="B1753" s="43" t="s">
        <v>2742</v>
      </c>
      <c r="C1753" s="37"/>
      <c r="D1753" s="37"/>
      <c r="E1753" s="37" t="s">
        <v>2012</v>
      </c>
      <c r="F1753" s="37" t="b">
        <v>0</v>
      </c>
      <c r="G1753" s="37"/>
      <c r="H1753" s="37" t="b">
        <v>1</v>
      </c>
    </row>
    <row r="1754" spans="1:9" ht="30" x14ac:dyDescent="0.25">
      <c r="A1754" s="54" t="s">
        <v>518</v>
      </c>
      <c r="B1754" s="31" t="s">
        <v>2743</v>
      </c>
      <c r="C1754" s="28"/>
      <c r="D1754" s="28"/>
      <c r="E1754" s="28" t="s">
        <v>2012</v>
      </c>
      <c r="F1754" s="28" t="b">
        <v>0</v>
      </c>
      <c r="G1754" s="28"/>
      <c r="H1754" s="28" t="b">
        <v>1</v>
      </c>
      <c r="I1754" s="34"/>
    </row>
    <row r="1755" spans="1:9" ht="30" x14ac:dyDescent="0.25">
      <c r="A1755" s="54" t="s">
        <v>518</v>
      </c>
      <c r="B1755" s="43" t="s">
        <v>2744</v>
      </c>
      <c r="C1755" s="37"/>
      <c r="D1755" s="37"/>
      <c r="E1755" s="37" t="s">
        <v>2012</v>
      </c>
      <c r="F1755" s="37" t="b">
        <v>0</v>
      </c>
      <c r="G1755" s="37"/>
      <c r="H1755" s="37" t="b">
        <v>1</v>
      </c>
    </row>
    <row r="1756" spans="1:9" ht="30" x14ac:dyDescent="0.25">
      <c r="A1756" s="54" t="s">
        <v>518</v>
      </c>
      <c r="B1756" s="31" t="s">
        <v>2745</v>
      </c>
      <c r="C1756" s="28"/>
      <c r="D1756" s="28"/>
      <c r="E1756" s="28" t="s">
        <v>2012</v>
      </c>
      <c r="F1756" s="28" t="b">
        <v>0</v>
      </c>
      <c r="G1756" s="28"/>
      <c r="H1756" s="28" t="b">
        <v>1</v>
      </c>
      <c r="I1756" s="34"/>
    </row>
    <row r="1757" spans="1:9" ht="30" x14ac:dyDescent="0.25">
      <c r="A1757" s="54" t="s">
        <v>518</v>
      </c>
      <c r="B1757" s="43" t="s">
        <v>2746</v>
      </c>
      <c r="C1757" s="37"/>
      <c r="D1757" s="37"/>
      <c r="E1757" s="37" t="s">
        <v>2012</v>
      </c>
      <c r="F1757" s="37" t="b">
        <v>0</v>
      </c>
      <c r="G1757" s="37"/>
      <c r="H1757" s="37" t="b">
        <v>1</v>
      </c>
    </row>
    <row r="1758" spans="1:9" ht="30" x14ac:dyDescent="0.25">
      <c r="A1758" s="54" t="s">
        <v>518</v>
      </c>
      <c r="B1758" s="31" t="s">
        <v>2860</v>
      </c>
      <c r="C1758" s="28" t="s">
        <v>2112</v>
      </c>
      <c r="D1758" s="28"/>
      <c r="E1758" s="28" t="s">
        <v>1974</v>
      </c>
      <c r="F1758" s="28" t="b">
        <v>0</v>
      </c>
      <c r="G1758" s="28">
        <v>200</v>
      </c>
      <c r="H1758" s="28" t="b">
        <v>1</v>
      </c>
      <c r="I1758" s="34"/>
    </row>
    <row r="1759" spans="1:9" ht="30" x14ac:dyDescent="0.25">
      <c r="A1759" s="54" t="s">
        <v>518</v>
      </c>
      <c r="B1759" s="43" t="s">
        <v>2860</v>
      </c>
      <c r="C1759" s="37" t="s">
        <v>2112</v>
      </c>
      <c r="D1759" s="37"/>
      <c r="E1759" s="37" t="s">
        <v>1974</v>
      </c>
      <c r="F1759" s="37" t="b">
        <v>0</v>
      </c>
      <c r="G1759" s="37">
        <v>200</v>
      </c>
      <c r="H1759" s="37" t="b">
        <v>1</v>
      </c>
    </row>
    <row r="1760" spans="1:9" ht="30" x14ac:dyDescent="0.25">
      <c r="A1760" s="54" t="s">
        <v>518</v>
      </c>
      <c r="B1760" s="31" t="s">
        <v>647</v>
      </c>
      <c r="C1760" s="28" t="s">
        <v>2010</v>
      </c>
      <c r="D1760" s="28"/>
      <c r="E1760" s="28" t="s">
        <v>1974</v>
      </c>
      <c r="F1760" s="28" t="b">
        <v>0</v>
      </c>
      <c r="G1760" s="28">
        <v>200</v>
      </c>
      <c r="H1760" s="28" t="b">
        <v>1</v>
      </c>
      <c r="I1760" s="34"/>
    </row>
    <row r="1761" spans="1:9" ht="30" x14ac:dyDescent="0.25">
      <c r="A1761" s="54" t="s">
        <v>518</v>
      </c>
      <c r="B1761" s="43" t="s">
        <v>2011</v>
      </c>
      <c r="C1761" s="37"/>
      <c r="D1761" s="37"/>
      <c r="E1761" s="37" t="s">
        <v>2012</v>
      </c>
      <c r="F1761" s="37" t="b">
        <v>0</v>
      </c>
      <c r="G1761" s="37"/>
      <c r="H1761" s="37" t="b">
        <v>1</v>
      </c>
    </row>
    <row r="1762" spans="1:9" ht="30" x14ac:dyDescent="0.25">
      <c r="A1762" s="54" t="s">
        <v>518</v>
      </c>
      <c r="B1762" s="31" t="s">
        <v>2013</v>
      </c>
      <c r="C1762" s="28"/>
      <c r="D1762" s="28"/>
      <c r="E1762" s="28" t="s">
        <v>2012</v>
      </c>
      <c r="F1762" s="28" t="b">
        <v>0</v>
      </c>
      <c r="G1762" s="28"/>
      <c r="H1762" s="28" t="b">
        <v>1</v>
      </c>
      <c r="I1762" s="34"/>
    </row>
    <row r="1763" spans="1:9" ht="30" x14ac:dyDescent="0.25">
      <c r="A1763" s="54" t="s">
        <v>518</v>
      </c>
      <c r="B1763" s="43" t="s">
        <v>2033</v>
      </c>
      <c r="C1763" s="37"/>
      <c r="D1763" s="37"/>
      <c r="E1763" s="37" t="s">
        <v>2012</v>
      </c>
      <c r="F1763" s="37" t="b">
        <v>0</v>
      </c>
      <c r="G1763" s="37"/>
      <c r="H1763" s="37" t="b">
        <v>1</v>
      </c>
    </row>
    <row r="1764" spans="1:9" ht="30" x14ac:dyDescent="0.25">
      <c r="A1764" s="54" t="s">
        <v>518</v>
      </c>
      <c r="B1764" s="31" t="s">
        <v>641</v>
      </c>
      <c r="C1764" s="28" t="s">
        <v>2034</v>
      </c>
      <c r="D1764" s="28"/>
      <c r="E1764" s="28" t="s">
        <v>1974</v>
      </c>
      <c r="F1764" s="28" t="b">
        <v>0</v>
      </c>
      <c r="G1764" s="28">
        <v>200</v>
      </c>
      <c r="H1764" s="28" t="b">
        <v>1</v>
      </c>
      <c r="I1764" s="34"/>
    </row>
    <row r="1765" spans="1:9" ht="30" x14ac:dyDescent="0.25">
      <c r="A1765" s="54" t="s">
        <v>518</v>
      </c>
      <c r="B1765" s="43" t="s">
        <v>2015</v>
      </c>
      <c r="C1765" s="37" t="s">
        <v>2016</v>
      </c>
      <c r="D1765" s="37"/>
      <c r="E1765" s="37" t="s">
        <v>1974</v>
      </c>
      <c r="F1765" s="37" t="b">
        <v>0</v>
      </c>
      <c r="G1765" s="37">
        <v>404</v>
      </c>
      <c r="H1765" s="37" t="b">
        <v>0</v>
      </c>
    </row>
    <row r="1766" spans="1:9" ht="30" x14ac:dyDescent="0.25">
      <c r="A1766" s="54" t="s">
        <v>518</v>
      </c>
      <c r="B1766" s="31" t="s">
        <v>2015</v>
      </c>
      <c r="C1766" s="28" t="s">
        <v>2017</v>
      </c>
      <c r="D1766" s="28"/>
      <c r="E1766" s="28" t="s">
        <v>1974</v>
      </c>
      <c r="F1766" s="28" t="b">
        <v>0</v>
      </c>
      <c r="G1766" s="28">
        <v>404</v>
      </c>
      <c r="H1766" s="28" t="b">
        <v>0</v>
      </c>
      <c r="I1766" s="34"/>
    </row>
    <row r="1767" spans="1:9" ht="30" x14ac:dyDescent="0.25">
      <c r="A1767" s="54" t="s">
        <v>528</v>
      </c>
      <c r="B1767" s="43" t="s">
        <v>2025</v>
      </c>
      <c r="C1767" s="37"/>
      <c r="D1767" s="37"/>
      <c r="E1767" s="37" t="s">
        <v>2012</v>
      </c>
      <c r="F1767" s="37" t="b">
        <v>0</v>
      </c>
      <c r="G1767" s="37"/>
      <c r="H1767" s="37" t="b">
        <v>1</v>
      </c>
    </row>
    <row r="1768" spans="1:9" ht="30" x14ac:dyDescent="0.25">
      <c r="A1768" s="54" t="s">
        <v>528</v>
      </c>
      <c r="B1768" s="31" t="s">
        <v>127</v>
      </c>
      <c r="C1768" s="28" t="s">
        <v>1975</v>
      </c>
      <c r="D1768" s="28"/>
      <c r="E1768" s="28" t="s">
        <v>1974</v>
      </c>
      <c r="F1768" s="28" t="b">
        <v>0</v>
      </c>
      <c r="G1768" s="28">
        <v>200</v>
      </c>
      <c r="H1768" s="28" t="b">
        <v>1</v>
      </c>
      <c r="I1768" s="34"/>
    </row>
    <row r="1769" spans="1:9" ht="30" x14ac:dyDescent="0.25">
      <c r="A1769" s="54" t="s">
        <v>528</v>
      </c>
      <c r="B1769" s="43" t="s">
        <v>135</v>
      </c>
      <c r="C1769" s="37" t="s">
        <v>1976</v>
      </c>
      <c r="D1769" s="37"/>
      <c r="E1769" s="37" t="s">
        <v>1974</v>
      </c>
      <c r="F1769" s="37" t="b">
        <v>0</v>
      </c>
      <c r="G1769" s="37">
        <v>200</v>
      </c>
      <c r="H1769" s="37" t="b">
        <v>1</v>
      </c>
    </row>
    <row r="1770" spans="1:9" ht="30" x14ac:dyDescent="0.25">
      <c r="A1770" s="54" t="s">
        <v>528</v>
      </c>
      <c r="B1770" s="31" t="s">
        <v>655</v>
      </c>
      <c r="C1770" s="28" t="s">
        <v>1977</v>
      </c>
      <c r="D1770" s="28"/>
      <c r="E1770" s="28" t="s">
        <v>1974</v>
      </c>
      <c r="F1770" s="28" t="b">
        <v>0</v>
      </c>
      <c r="G1770" s="28">
        <v>200</v>
      </c>
      <c r="H1770" s="28" t="b">
        <v>1</v>
      </c>
      <c r="I1770" s="34"/>
    </row>
    <row r="1771" spans="1:9" ht="30" x14ac:dyDescent="0.25">
      <c r="A1771" s="54" t="s">
        <v>528</v>
      </c>
      <c r="B1771" s="43" t="s">
        <v>635</v>
      </c>
      <c r="C1771" s="37" t="s">
        <v>1978</v>
      </c>
      <c r="D1771" s="37"/>
      <c r="E1771" s="37" t="s">
        <v>1974</v>
      </c>
      <c r="F1771" s="37" t="b">
        <v>0</v>
      </c>
      <c r="G1771" s="37">
        <v>200</v>
      </c>
      <c r="H1771" s="37" t="b">
        <v>1</v>
      </c>
    </row>
    <row r="1772" spans="1:9" ht="30" x14ac:dyDescent="0.25">
      <c r="A1772" s="54" t="s">
        <v>528</v>
      </c>
      <c r="B1772" s="31" t="s">
        <v>144</v>
      </c>
      <c r="C1772" s="28" t="s">
        <v>1979</v>
      </c>
      <c r="D1772" s="28"/>
      <c r="E1772" s="28" t="s">
        <v>1974</v>
      </c>
      <c r="F1772" s="28" t="b">
        <v>0</v>
      </c>
      <c r="G1772" s="28">
        <v>200</v>
      </c>
      <c r="H1772" s="28" t="b">
        <v>1</v>
      </c>
      <c r="I1772" s="34"/>
    </row>
    <row r="1773" spans="1:9" ht="30" x14ac:dyDescent="0.25">
      <c r="A1773" s="54" t="s">
        <v>528</v>
      </c>
      <c r="B1773" s="43" t="s">
        <v>618</v>
      </c>
      <c r="C1773" s="37" t="s">
        <v>1980</v>
      </c>
      <c r="D1773" s="37"/>
      <c r="E1773" s="37" t="s">
        <v>1974</v>
      </c>
      <c r="F1773" s="37" t="b">
        <v>0</v>
      </c>
      <c r="G1773" s="37">
        <v>200</v>
      </c>
      <c r="H1773" s="37" t="b">
        <v>1</v>
      </c>
    </row>
    <row r="1774" spans="1:9" ht="30" x14ac:dyDescent="0.25">
      <c r="A1774" s="54" t="s">
        <v>528</v>
      </c>
      <c r="B1774" s="31" t="s">
        <v>585</v>
      </c>
      <c r="C1774" s="28" t="s">
        <v>1981</v>
      </c>
      <c r="D1774" s="28"/>
      <c r="E1774" s="28" t="s">
        <v>1974</v>
      </c>
      <c r="F1774" s="28" t="b">
        <v>0</v>
      </c>
      <c r="G1774" s="28">
        <v>200</v>
      </c>
      <c r="H1774" s="28" t="b">
        <v>1</v>
      </c>
      <c r="I1774" s="34"/>
    </row>
    <row r="1775" spans="1:9" ht="30" x14ac:dyDescent="0.25">
      <c r="A1775" s="54" t="s">
        <v>528</v>
      </c>
      <c r="B1775" s="43" t="s">
        <v>582</v>
      </c>
      <c r="C1775" s="37" t="s">
        <v>1982</v>
      </c>
      <c r="D1775" s="37"/>
      <c r="E1775" s="37" t="s">
        <v>1974</v>
      </c>
      <c r="F1775" s="37" t="b">
        <v>0</v>
      </c>
      <c r="G1775" s="37">
        <v>200</v>
      </c>
      <c r="H1775" s="37" t="b">
        <v>1</v>
      </c>
    </row>
    <row r="1776" spans="1:9" ht="30" x14ac:dyDescent="0.25">
      <c r="A1776" s="54" t="s">
        <v>528</v>
      </c>
      <c r="B1776" s="31" t="s">
        <v>638</v>
      </c>
      <c r="C1776" s="28" t="s">
        <v>1983</v>
      </c>
      <c r="D1776" s="28"/>
      <c r="E1776" s="28" t="s">
        <v>1974</v>
      </c>
      <c r="F1776" s="28" t="b">
        <v>0</v>
      </c>
      <c r="G1776" s="28">
        <v>200</v>
      </c>
      <c r="H1776" s="28" t="b">
        <v>1</v>
      </c>
      <c r="I1776" s="34"/>
    </row>
    <row r="1777" spans="1:9" ht="30" x14ac:dyDescent="0.25">
      <c r="A1777" s="54" t="s">
        <v>528</v>
      </c>
      <c r="B1777" s="43" t="s">
        <v>638</v>
      </c>
      <c r="C1777" s="37" t="s">
        <v>1984</v>
      </c>
      <c r="D1777" s="37"/>
      <c r="E1777" s="37" t="s">
        <v>1974</v>
      </c>
      <c r="F1777" s="37" t="b">
        <v>0</v>
      </c>
      <c r="G1777" s="37">
        <v>200</v>
      </c>
      <c r="H1777" s="37" t="b">
        <v>1</v>
      </c>
    </row>
    <row r="1778" spans="1:9" ht="30" x14ac:dyDescent="0.25">
      <c r="A1778" s="54" t="s">
        <v>528</v>
      </c>
      <c r="B1778" s="31" t="s">
        <v>647</v>
      </c>
      <c r="C1778" s="28" t="s">
        <v>1985</v>
      </c>
      <c r="D1778" s="28"/>
      <c r="E1778" s="28" t="s">
        <v>1974</v>
      </c>
      <c r="F1778" s="28" t="b">
        <v>0</v>
      </c>
      <c r="G1778" s="28">
        <v>200</v>
      </c>
      <c r="H1778" s="28" t="b">
        <v>1</v>
      </c>
      <c r="I1778" s="34"/>
    </row>
    <row r="1779" spans="1:9" ht="30" x14ac:dyDescent="0.25">
      <c r="A1779" s="54" t="s">
        <v>528</v>
      </c>
      <c r="B1779" s="43" t="s">
        <v>503</v>
      </c>
      <c r="C1779" s="37" t="s">
        <v>1986</v>
      </c>
      <c r="D1779" s="37"/>
      <c r="E1779" s="37" t="s">
        <v>1974</v>
      </c>
      <c r="F1779" s="37" t="b">
        <v>0</v>
      </c>
      <c r="G1779" s="37">
        <v>200</v>
      </c>
      <c r="H1779" s="37" t="b">
        <v>1</v>
      </c>
    </row>
    <row r="1780" spans="1:9" ht="30" x14ac:dyDescent="0.25">
      <c r="A1780" s="54" t="s">
        <v>528</v>
      </c>
      <c r="B1780" s="31" t="s">
        <v>608</v>
      </c>
      <c r="C1780" s="28" t="s">
        <v>1987</v>
      </c>
      <c r="D1780" s="28"/>
      <c r="E1780" s="28" t="s">
        <v>1974</v>
      </c>
      <c r="F1780" s="28" t="b">
        <v>0</v>
      </c>
      <c r="G1780" s="28">
        <v>200</v>
      </c>
      <c r="H1780" s="28" t="b">
        <v>1</v>
      </c>
      <c r="I1780" s="34"/>
    </row>
    <row r="1781" spans="1:9" ht="30" x14ac:dyDescent="0.25">
      <c r="A1781" s="54" t="s">
        <v>528</v>
      </c>
      <c r="B1781" s="43" t="s">
        <v>127</v>
      </c>
      <c r="C1781" s="37" t="s">
        <v>1975</v>
      </c>
      <c r="D1781" s="37"/>
      <c r="E1781" s="37" t="s">
        <v>1974</v>
      </c>
      <c r="F1781" s="37" t="b">
        <v>0</v>
      </c>
      <c r="G1781" s="37">
        <v>200</v>
      </c>
      <c r="H1781" s="37" t="b">
        <v>1</v>
      </c>
    </row>
    <row r="1782" spans="1:9" ht="30" x14ac:dyDescent="0.25">
      <c r="A1782" s="54" t="s">
        <v>528</v>
      </c>
      <c r="B1782" s="31" t="s">
        <v>135</v>
      </c>
      <c r="C1782" s="28" t="s">
        <v>1976</v>
      </c>
      <c r="D1782" s="28"/>
      <c r="E1782" s="28" t="s">
        <v>1974</v>
      </c>
      <c r="F1782" s="28" t="b">
        <v>0</v>
      </c>
      <c r="G1782" s="28">
        <v>200</v>
      </c>
      <c r="H1782" s="28" t="b">
        <v>1</v>
      </c>
      <c r="I1782" s="34"/>
    </row>
    <row r="1783" spans="1:9" ht="30" x14ac:dyDescent="0.25">
      <c r="A1783" s="54" t="s">
        <v>528</v>
      </c>
      <c r="B1783" s="43" t="s">
        <v>655</v>
      </c>
      <c r="C1783" s="37" t="s">
        <v>1977</v>
      </c>
      <c r="D1783" s="37"/>
      <c r="E1783" s="37" t="s">
        <v>1974</v>
      </c>
      <c r="F1783" s="37" t="b">
        <v>0</v>
      </c>
      <c r="G1783" s="37">
        <v>200</v>
      </c>
      <c r="H1783" s="37" t="b">
        <v>1</v>
      </c>
    </row>
    <row r="1784" spans="1:9" ht="30" x14ac:dyDescent="0.25">
      <c r="A1784" s="54" t="s">
        <v>528</v>
      </c>
      <c r="B1784" s="31" t="s">
        <v>635</v>
      </c>
      <c r="C1784" s="28" t="s">
        <v>1978</v>
      </c>
      <c r="D1784" s="28"/>
      <c r="E1784" s="28" t="s">
        <v>1974</v>
      </c>
      <c r="F1784" s="28" t="b">
        <v>0</v>
      </c>
      <c r="G1784" s="28">
        <v>200</v>
      </c>
      <c r="H1784" s="28" t="b">
        <v>1</v>
      </c>
      <c r="I1784" s="34"/>
    </row>
    <row r="1785" spans="1:9" ht="30" x14ac:dyDescent="0.25">
      <c r="A1785" s="54" t="s">
        <v>528</v>
      </c>
      <c r="B1785" s="43" t="s">
        <v>144</v>
      </c>
      <c r="C1785" s="37" t="s">
        <v>1979</v>
      </c>
      <c r="D1785" s="37"/>
      <c r="E1785" s="37" t="s">
        <v>1974</v>
      </c>
      <c r="F1785" s="37" t="b">
        <v>0</v>
      </c>
      <c r="G1785" s="37">
        <v>200</v>
      </c>
      <c r="H1785" s="37" t="b">
        <v>1</v>
      </c>
    </row>
    <row r="1786" spans="1:9" ht="30" x14ac:dyDescent="0.25">
      <c r="A1786" s="54" t="s">
        <v>528</v>
      </c>
      <c r="B1786" s="31" t="s">
        <v>618</v>
      </c>
      <c r="C1786" s="28" t="s">
        <v>1980</v>
      </c>
      <c r="D1786" s="28"/>
      <c r="E1786" s="28" t="s">
        <v>1974</v>
      </c>
      <c r="F1786" s="28" t="b">
        <v>0</v>
      </c>
      <c r="G1786" s="28">
        <v>200</v>
      </c>
      <c r="H1786" s="28" t="b">
        <v>1</v>
      </c>
      <c r="I1786" s="34"/>
    </row>
    <row r="1787" spans="1:9" ht="30" x14ac:dyDescent="0.25">
      <c r="A1787" s="54" t="s">
        <v>528</v>
      </c>
      <c r="B1787" s="43" t="s">
        <v>585</v>
      </c>
      <c r="C1787" s="37" t="s">
        <v>1981</v>
      </c>
      <c r="D1787" s="37"/>
      <c r="E1787" s="37" t="s">
        <v>1974</v>
      </c>
      <c r="F1787" s="37" t="b">
        <v>0</v>
      </c>
      <c r="G1787" s="37">
        <v>200</v>
      </c>
      <c r="H1787" s="37" t="b">
        <v>1</v>
      </c>
    </row>
    <row r="1788" spans="1:9" ht="30" x14ac:dyDescent="0.25">
      <c r="A1788" s="54" t="s">
        <v>528</v>
      </c>
      <c r="B1788" s="31" t="s">
        <v>582</v>
      </c>
      <c r="C1788" s="28" t="s">
        <v>1982</v>
      </c>
      <c r="D1788" s="28"/>
      <c r="E1788" s="28" t="s">
        <v>1974</v>
      </c>
      <c r="F1788" s="28" t="b">
        <v>0</v>
      </c>
      <c r="G1788" s="28">
        <v>200</v>
      </c>
      <c r="H1788" s="28" t="b">
        <v>1</v>
      </c>
      <c r="I1788" s="34"/>
    </row>
    <row r="1789" spans="1:9" ht="30" x14ac:dyDescent="0.25">
      <c r="A1789" s="54" t="s">
        <v>528</v>
      </c>
      <c r="B1789" s="43" t="s">
        <v>638</v>
      </c>
      <c r="C1789" s="37" t="s">
        <v>1983</v>
      </c>
      <c r="D1789" s="37"/>
      <c r="E1789" s="37" t="s">
        <v>1974</v>
      </c>
      <c r="F1789" s="37" t="b">
        <v>0</v>
      </c>
      <c r="G1789" s="37">
        <v>200</v>
      </c>
      <c r="H1789" s="37" t="b">
        <v>1</v>
      </c>
    </row>
    <row r="1790" spans="1:9" ht="30" x14ac:dyDescent="0.25">
      <c r="A1790" s="54" t="s">
        <v>528</v>
      </c>
      <c r="B1790" s="31" t="s">
        <v>638</v>
      </c>
      <c r="C1790" s="28" t="s">
        <v>1984</v>
      </c>
      <c r="D1790" s="28"/>
      <c r="E1790" s="28" t="s">
        <v>1974</v>
      </c>
      <c r="F1790" s="28" t="b">
        <v>0</v>
      </c>
      <c r="G1790" s="28">
        <v>200</v>
      </c>
      <c r="H1790" s="28" t="b">
        <v>1</v>
      </c>
      <c r="I1790" s="34"/>
    </row>
    <row r="1791" spans="1:9" ht="30" x14ac:dyDescent="0.25">
      <c r="A1791" s="54" t="s">
        <v>528</v>
      </c>
      <c r="B1791" s="43" t="s">
        <v>647</v>
      </c>
      <c r="C1791" s="37" t="s">
        <v>1985</v>
      </c>
      <c r="D1791" s="37"/>
      <c r="E1791" s="37" t="s">
        <v>1974</v>
      </c>
      <c r="F1791" s="37" t="b">
        <v>0</v>
      </c>
      <c r="G1791" s="37">
        <v>200</v>
      </c>
      <c r="H1791" s="37" t="b">
        <v>1</v>
      </c>
    </row>
    <row r="1792" spans="1:9" ht="30" x14ac:dyDescent="0.25">
      <c r="A1792" s="54" t="s">
        <v>528</v>
      </c>
      <c r="B1792" s="31" t="s">
        <v>503</v>
      </c>
      <c r="C1792" s="28" t="s">
        <v>1986</v>
      </c>
      <c r="D1792" s="28"/>
      <c r="E1792" s="28" t="s">
        <v>1974</v>
      </c>
      <c r="F1792" s="28" t="b">
        <v>0</v>
      </c>
      <c r="G1792" s="28">
        <v>200</v>
      </c>
      <c r="H1792" s="28" t="b">
        <v>1</v>
      </c>
      <c r="I1792" s="34"/>
    </row>
    <row r="1793" spans="1:9" ht="30" x14ac:dyDescent="0.25">
      <c r="A1793" s="54" t="s">
        <v>528</v>
      </c>
      <c r="B1793" s="43" t="s">
        <v>608</v>
      </c>
      <c r="C1793" s="37" t="s">
        <v>1987</v>
      </c>
      <c r="D1793" s="37"/>
      <c r="E1793" s="37" t="s">
        <v>1974</v>
      </c>
      <c r="F1793" s="37" t="b">
        <v>0</v>
      </c>
      <c r="G1793" s="37">
        <v>200</v>
      </c>
      <c r="H1793" s="37" t="b">
        <v>1</v>
      </c>
    </row>
    <row r="1794" spans="1:9" ht="30" x14ac:dyDescent="0.25">
      <c r="A1794" s="54" t="s">
        <v>528</v>
      </c>
      <c r="B1794" s="31" t="s">
        <v>647</v>
      </c>
      <c r="C1794" s="28" t="s">
        <v>2010</v>
      </c>
      <c r="D1794" s="28"/>
      <c r="E1794" s="28" t="s">
        <v>1974</v>
      </c>
      <c r="F1794" s="28" t="b">
        <v>0</v>
      </c>
      <c r="G1794" s="28">
        <v>200</v>
      </c>
      <c r="H1794" s="28" t="b">
        <v>1</v>
      </c>
      <c r="I1794" s="34"/>
    </row>
    <row r="1795" spans="1:9" ht="30" x14ac:dyDescent="0.25">
      <c r="A1795" s="54" t="s">
        <v>528</v>
      </c>
      <c r="B1795" s="43" t="s">
        <v>2011</v>
      </c>
      <c r="C1795" s="37"/>
      <c r="D1795" s="37"/>
      <c r="E1795" s="37" t="s">
        <v>2012</v>
      </c>
      <c r="F1795" s="37" t="b">
        <v>0</v>
      </c>
      <c r="G1795" s="37"/>
      <c r="H1795" s="37" t="b">
        <v>1</v>
      </c>
    </row>
    <row r="1796" spans="1:9" ht="30" x14ac:dyDescent="0.25">
      <c r="A1796" s="54" t="s">
        <v>528</v>
      </c>
      <c r="B1796" s="31" t="s">
        <v>2013</v>
      </c>
      <c r="C1796" s="28"/>
      <c r="D1796" s="28"/>
      <c r="E1796" s="28" t="s">
        <v>2012</v>
      </c>
      <c r="F1796" s="28" t="b">
        <v>0</v>
      </c>
      <c r="G1796" s="28"/>
      <c r="H1796" s="28" t="b">
        <v>1</v>
      </c>
      <c r="I1796" s="34"/>
    </row>
    <row r="1797" spans="1:9" ht="30" x14ac:dyDescent="0.25">
      <c r="A1797" s="54" t="s">
        <v>528</v>
      </c>
      <c r="B1797" s="43" t="s">
        <v>2033</v>
      </c>
      <c r="C1797" s="37"/>
      <c r="D1797" s="37"/>
      <c r="E1797" s="37" t="s">
        <v>2012</v>
      </c>
      <c r="F1797" s="37" t="b">
        <v>0</v>
      </c>
      <c r="G1797" s="37"/>
      <c r="H1797" s="37" t="b">
        <v>1</v>
      </c>
    </row>
    <row r="1798" spans="1:9" ht="30" x14ac:dyDescent="0.25">
      <c r="A1798" s="54" t="s">
        <v>528</v>
      </c>
      <c r="B1798" s="31" t="s">
        <v>641</v>
      </c>
      <c r="C1798" s="28" t="s">
        <v>2034</v>
      </c>
      <c r="D1798" s="28"/>
      <c r="E1798" s="28" t="s">
        <v>1974</v>
      </c>
      <c r="F1798" s="28" t="b">
        <v>0</v>
      </c>
      <c r="G1798" s="28">
        <v>200</v>
      </c>
      <c r="H1798" s="28" t="b">
        <v>1</v>
      </c>
      <c r="I1798" s="34"/>
    </row>
    <row r="1799" spans="1:9" ht="30" x14ac:dyDescent="0.25">
      <c r="A1799" s="54" t="s">
        <v>528</v>
      </c>
      <c r="B1799" s="43" t="s">
        <v>2015</v>
      </c>
      <c r="C1799" s="37" t="s">
        <v>2016</v>
      </c>
      <c r="D1799" s="37"/>
      <c r="E1799" s="37" t="s">
        <v>1974</v>
      </c>
      <c r="F1799" s="37" t="b">
        <v>0</v>
      </c>
      <c r="G1799" s="37">
        <v>404</v>
      </c>
      <c r="H1799" s="37" t="b">
        <v>0</v>
      </c>
    </row>
    <row r="1800" spans="1:9" ht="30" x14ac:dyDescent="0.25">
      <c r="A1800" s="54" t="s">
        <v>528</v>
      </c>
      <c r="B1800" s="31" t="s">
        <v>2015</v>
      </c>
      <c r="C1800" s="28" t="s">
        <v>2017</v>
      </c>
      <c r="D1800" s="28"/>
      <c r="E1800" s="28" t="s">
        <v>1974</v>
      </c>
      <c r="F1800" s="28" t="b">
        <v>0</v>
      </c>
      <c r="G1800" s="28">
        <v>404</v>
      </c>
      <c r="H1800" s="28" t="b">
        <v>0</v>
      </c>
      <c r="I1800" s="34"/>
    </row>
    <row r="1801" spans="1:9" ht="30" x14ac:dyDescent="0.25">
      <c r="A1801" s="54" t="s">
        <v>531</v>
      </c>
      <c r="B1801" s="43" t="s">
        <v>2025</v>
      </c>
      <c r="C1801" s="37"/>
      <c r="D1801" s="37"/>
      <c r="E1801" s="37" t="s">
        <v>2012</v>
      </c>
      <c r="F1801" s="37" t="b">
        <v>0</v>
      </c>
      <c r="G1801" s="37"/>
      <c r="H1801" s="37" t="b">
        <v>1</v>
      </c>
    </row>
    <row r="1802" spans="1:9" ht="30" x14ac:dyDescent="0.25">
      <c r="A1802" s="54" t="s">
        <v>531</v>
      </c>
      <c r="B1802" s="31" t="s">
        <v>127</v>
      </c>
      <c r="C1802" s="28" t="s">
        <v>1975</v>
      </c>
      <c r="D1802" s="28"/>
      <c r="E1802" s="28" t="s">
        <v>1974</v>
      </c>
      <c r="F1802" s="28" t="b">
        <v>0</v>
      </c>
      <c r="G1802" s="28">
        <v>200</v>
      </c>
      <c r="H1802" s="28" t="b">
        <v>1</v>
      </c>
      <c r="I1802" s="34"/>
    </row>
    <row r="1803" spans="1:9" ht="30" x14ac:dyDescent="0.25">
      <c r="A1803" s="54" t="s">
        <v>531</v>
      </c>
      <c r="B1803" s="43" t="s">
        <v>135</v>
      </c>
      <c r="C1803" s="37" t="s">
        <v>1976</v>
      </c>
      <c r="D1803" s="37"/>
      <c r="E1803" s="37" t="s">
        <v>1974</v>
      </c>
      <c r="F1803" s="37" t="b">
        <v>0</v>
      </c>
      <c r="G1803" s="37">
        <v>200</v>
      </c>
      <c r="H1803" s="37" t="b">
        <v>1</v>
      </c>
    </row>
    <row r="1804" spans="1:9" ht="30" x14ac:dyDescent="0.25">
      <c r="A1804" s="54" t="s">
        <v>531</v>
      </c>
      <c r="B1804" s="31" t="s">
        <v>655</v>
      </c>
      <c r="C1804" s="28" t="s">
        <v>1977</v>
      </c>
      <c r="D1804" s="28"/>
      <c r="E1804" s="28" t="s">
        <v>1974</v>
      </c>
      <c r="F1804" s="28" t="b">
        <v>0</v>
      </c>
      <c r="G1804" s="28">
        <v>200</v>
      </c>
      <c r="H1804" s="28" t="b">
        <v>1</v>
      </c>
      <c r="I1804" s="34"/>
    </row>
    <row r="1805" spans="1:9" ht="30" x14ac:dyDescent="0.25">
      <c r="A1805" s="54" t="s">
        <v>531</v>
      </c>
      <c r="B1805" s="43" t="s">
        <v>635</v>
      </c>
      <c r="C1805" s="37" t="s">
        <v>1978</v>
      </c>
      <c r="D1805" s="37"/>
      <c r="E1805" s="37" t="s">
        <v>1974</v>
      </c>
      <c r="F1805" s="37" t="b">
        <v>0</v>
      </c>
      <c r="G1805" s="37">
        <v>200</v>
      </c>
      <c r="H1805" s="37" t="b">
        <v>1</v>
      </c>
    </row>
    <row r="1806" spans="1:9" ht="30" x14ac:dyDescent="0.25">
      <c r="A1806" s="54" t="s">
        <v>531</v>
      </c>
      <c r="B1806" s="31" t="s">
        <v>144</v>
      </c>
      <c r="C1806" s="28" t="s">
        <v>1979</v>
      </c>
      <c r="D1806" s="28"/>
      <c r="E1806" s="28" t="s">
        <v>1974</v>
      </c>
      <c r="F1806" s="28" t="b">
        <v>0</v>
      </c>
      <c r="G1806" s="28">
        <v>200</v>
      </c>
      <c r="H1806" s="28" t="b">
        <v>1</v>
      </c>
      <c r="I1806" s="34"/>
    </row>
    <row r="1807" spans="1:9" ht="30" x14ac:dyDescent="0.25">
      <c r="A1807" s="54" t="s">
        <v>531</v>
      </c>
      <c r="B1807" s="43" t="s">
        <v>618</v>
      </c>
      <c r="C1807" s="37" t="s">
        <v>1980</v>
      </c>
      <c r="D1807" s="37"/>
      <c r="E1807" s="37" t="s">
        <v>1974</v>
      </c>
      <c r="F1807" s="37" t="b">
        <v>0</v>
      </c>
      <c r="G1807" s="37">
        <v>200</v>
      </c>
      <c r="H1807" s="37" t="b">
        <v>1</v>
      </c>
    </row>
    <row r="1808" spans="1:9" ht="30" x14ac:dyDescent="0.25">
      <c r="A1808" s="54" t="s">
        <v>531</v>
      </c>
      <c r="B1808" s="31" t="s">
        <v>585</v>
      </c>
      <c r="C1808" s="28" t="s">
        <v>1981</v>
      </c>
      <c r="D1808" s="28"/>
      <c r="E1808" s="28" t="s">
        <v>1974</v>
      </c>
      <c r="F1808" s="28" t="b">
        <v>0</v>
      </c>
      <c r="G1808" s="28">
        <v>200</v>
      </c>
      <c r="H1808" s="28" t="b">
        <v>1</v>
      </c>
      <c r="I1808" s="34"/>
    </row>
    <row r="1809" spans="1:9" ht="30" x14ac:dyDescent="0.25">
      <c r="A1809" s="54" t="s">
        <v>531</v>
      </c>
      <c r="B1809" s="43" t="s">
        <v>582</v>
      </c>
      <c r="C1809" s="37" t="s">
        <v>1982</v>
      </c>
      <c r="D1809" s="37"/>
      <c r="E1809" s="37" t="s">
        <v>1974</v>
      </c>
      <c r="F1809" s="37" t="b">
        <v>0</v>
      </c>
      <c r="G1809" s="37">
        <v>200</v>
      </c>
      <c r="H1809" s="37" t="b">
        <v>1</v>
      </c>
    </row>
    <row r="1810" spans="1:9" ht="30" x14ac:dyDescent="0.25">
      <c r="A1810" s="54" t="s">
        <v>531</v>
      </c>
      <c r="B1810" s="31" t="s">
        <v>638</v>
      </c>
      <c r="C1810" s="28" t="s">
        <v>1983</v>
      </c>
      <c r="D1810" s="28"/>
      <c r="E1810" s="28" t="s">
        <v>1974</v>
      </c>
      <c r="F1810" s="28" t="b">
        <v>0</v>
      </c>
      <c r="G1810" s="28">
        <v>200</v>
      </c>
      <c r="H1810" s="28" t="b">
        <v>1</v>
      </c>
      <c r="I1810" s="34"/>
    </row>
    <row r="1811" spans="1:9" ht="30" x14ac:dyDescent="0.25">
      <c r="A1811" s="54" t="s">
        <v>531</v>
      </c>
      <c r="B1811" s="43" t="s">
        <v>638</v>
      </c>
      <c r="C1811" s="37" t="s">
        <v>1984</v>
      </c>
      <c r="D1811" s="37"/>
      <c r="E1811" s="37" t="s">
        <v>1974</v>
      </c>
      <c r="F1811" s="37" t="b">
        <v>0</v>
      </c>
      <c r="G1811" s="37">
        <v>200</v>
      </c>
      <c r="H1811" s="37" t="b">
        <v>1</v>
      </c>
    </row>
    <row r="1812" spans="1:9" ht="30" x14ac:dyDescent="0.25">
      <c r="A1812" s="54" t="s">
        <v>531</v>
      </c>
      <c r="B1812" s="31" t="s">
        <v>647</v>
      </c>
      <c r="C1812" s="28" t="s">
        <v>1985</v>
      </c>
      <c r="D1812" s="28"/>
      <c r="E1812" s="28" t="s">
        <v>1974</v>
      </c>
      <c r="F1812" s="28" t="b">
        <v>0</v>
      </c>
      <c r="G1812" s="28">
        <v>200</v>
      </c>
      <c r="H1812" s="28" t="b">
        <v>1</v>
      </c>
      <c r="I1812" s="34"/>
    </row>
    <row r="1813" spans="1:9" ht="30" x14ac:dyDescent="0.25">
      <c r="A1813" s="54" t="s">
        <v>531</v>
      </c>
      <c r="B1813" s="43" t="s">
        <v>503</v>
      </c>
      <c r="C1813" s="37" t="s">
        <v>1986</v>
      </c>
      <c r="D1813" s="37"/>
      <c r="E1813" s="37" t="s">
        <v>1974</v>
      </c>
      <c r="F1813" s="37" t="b">
        <v>0</v>
      </c>
      <c r="G1813" s="37">
        <v>200</v>
      </c>
      <c r="H1813" s="37" t="b">
        <v>1</v>
      </c>
    </row>
    <row r="1814" spans="1:9" ht="30" x14ac:dyDescent="0.25">
      <c r="A1814" s="54" t="s">
        <v>531</v>
      </c>
      <c r="B1814" s="31" t="s">
        <v>608</v>
      </c>
      <c r="C1814" s="28" t="s">
        <v>1987</v>
      </c>
      <c r="D1814" s="28"/>
      <c r="E1814" s="28" t="s">
        <v>1974</v>
      </c>
      <c r="F1814" s="28" t="b">
        <v>0</v>
      </c>
      <c r="G1814" s="28">
        <v>200</v>
      </c>
      <c r="H1814" s="28" t="b">
        <v>1</v>
      </c>
      <c r="I1814" s="34"/>
    </row>
    <row r="1815" spans="1:9" ht="30" x14ac:dyDescent="0.25">
      <c r="A1815" s="54" t="s">
        <v>531</v>
      </c>
      <c r="B1815" s="43" t="s">
        <v>127</v>
      </c>
      <c r="C1815" s="37" t="s">
        <v>1975</v>
      </c>
      <c r="D1815" s="37"/>
      <c r="E1815" s="37" t="s">
        <v>1974</v>
      </c>
      <c r="F1815" s="37" t="b">
        <v>0</v>
      </c>
      <c r="G1815" s="37">
        <v>200</v>
      </c>
      <c r="H1815" s="37" t="b">
        <v>1</v>
      </c>
    </row>
    <row r="1816" spans="1:9" ht="30" x14ac:dyDescent="0.25">
      <c r="A1816" s="54" t="s">
        <v>531</v>
      </c>
      <c r="B1816" s="31" t="s">
        <v>135</v>
      </c>
      <c r="C1816" s="28" t="s">
        <v>1976</v>
      </c>
      <c r="D1816" s="28"/>
      <c r="E1816" s="28" t="s">
        <v>1974</v>
      </c>
      <c r="F1816" s="28" t="b">
        <v>0</v>
      </c>
      <c r="G1816" s="28">
        <v>200</v>
      </c>
      <c r="H1816" s="28" t="b">
        <v>1</v>
      </c>
      <c r="I1816" s="34"/>
    </row>
    <row r="1817" spans="1:9" ht="30" x14ac:dyDescent="0.25">
      <c r="A1817" s="54" t="s">
        <v>531</v>
      </c>
      <c r="B1817" s="43" t="s">
        <v>655</v>
      </c>
      <c r="C1817" s="37" t="s">
        <v>1977</v>
      </c>
      <c r="D1817" s="37"/>
      <c r="E1817" s="37" t="s">
        <v>1974</v>
      </c>
      <c r="F1817" s="37" t="b">
        <v>0</v>
      </c>
      <c r="G1817" s="37">
        <v>200</v>
      </c>
      <c r="H1817" s="37" t="b">
        <v>1</v>
      </c>
    </row>
    <row r="1818" spans="1:9" ht="30" x14ac:dyDescent="0.25">
      <c r="A1818" s="54" t="s">
        <v>531</v>
      </c>
      <c r="B1818" s="31" t="s">
        <v>635</v>
      </c>
      <c r="C1818" s="28" t="s">
        <v>1978</v>
      </c>
      <c r="D1818" s="28"/>
      <c r="E1818" s="28" t="s">
        <v>1974</v>
      </c>
      <c r="F1818" s="28" t="b">
        <v>0</v>
      </c>
      <c r="G1818" s="28">
        <v>200</v>
      </c>
      <c r="H1818" s="28" t="b">
        <v>1</v>
      </c>
      <c r="I1818" s="34"/>
    </row>
    <row r="1819" spans="1:9" ht="30" x14ac:dyDescent="0.25">
      <c r="A1819" s="54" t="s">
        <v>531</v>
      </c>
      <c r="B1819" s="43" t="s">
        <v>144</v>
      </c>
      <c r="C1819" s="37" t="s">
        <v>1979</v>
      </c>
      <c r="D1819" s="37"/>
      <c r="E1819" s="37" t="s">
        <v>1974</v>
      </c>
      <c r="F1819" s="37" t="b">
        <v>0</v>
      </c>
      <c r="G1819" s="37">
        <v>200</v>
      </c>
      <c r="H1819" s="37" t="b">
        <v>1</v>
      </c>
    </row>
    <row r="1820" spans="1:9" ht="30" x14ac:dyDescent="0.25">
      <c r="A1820" s="54" t="s">
        <v>531</v>
      </c>
      <c r="B1820" s="31" t="s">
        <v>618</v>
      </c>
      <c r="C1820" s="28" t="s">
        <v>1980</v>
      </c>
      <c r="D1820" s="28"/>
      <c r="E1820" s="28" t="s">
        <v>1974</v>
      </c>
      <c r="F1820" s="28" t="b">
        <v>0</v>
      </c>
      <c r="G1820" s="28">
        <v>200</v>
      </c>
      <c r="H1820" s="28" t="b">
        <v>1</v>
      </c>
      <c r="I1820" s="34"/>
    </row>
    <row r="1821" spans="1:9" ht="30" x14ac:dyDescent="0.25">
      <c r="A1821" s="54" t="s">
        <v>531</v>
      </c>
      <c r="B1821" s="43" t="s">
        <v>585</v>
      </c>
      <c r="C1821" s="37" t="s">
        <v>1981</v>
      </c>
      <c r="D1821" s="37"/>
      <c r="E1821" s="37" t="s">
        <v>1974</v>
      </c>
      <c r="F1821" s="37" t="b">
        <v>0</v>
      </c>
      <c r="G1821" s="37">
        <v>200</v>
      </c>
      <c r="H1821" s="37" t="b">
        <v>1</v>
      </c>
    </row>
    <row r="1822" spans="1:9" ht="30" x14ac:dyDescent="0.25">
      <c r="A1822" s="54" t="s">
        <v>531</v>
      </c>
      <c r="B1822" s="31" t="s">
        <v>582</v>
      </c>
      <c r="C1822" s="28" t="s">
        <v>1982</v>
      </c>
      <c r="D1822" s="28"/>
      <c r="E1822" s="28" t="s">
        <v>1974</v>
      </c>
      <c r="F1822" s="28" t="b">
        <v>0</v>
      </c>
      <c r="G1822" s="28">
        <v>200</v>
      </c>
      <c r="H1822" s="28" t="b">
        <v>1</v>
      </c>
      <c r="I1822" s="34"/>
    </row>
    <row r="1823" spans="1:9" ht="30" x14ac:dyDescent="0.25">
      <c r="A1823" s="54" t="s">
        <v>531</v>
      </c>
      <c r="B1823" s="43" t="s">
        <v>638</v>
      </c>
      <c r="C1823" s="37" t="s">
        <v>1983</v>
      </c>
      <c r="D1823" s="37"/>
      <c r="E1823" s="37" t="s">
        <v>1974</v>
      </c>
      <c r="F1823" s="37" t="b">
        <v>0</v>
      </c>
      <c r="G1823" s="37">
        <v>200</v>
      </c>
      <c r="H1823" s="37" t="b">
        <v>1</v>
      </c>
    </row>
    <row r="1824" spans="1:9" ht="30" x14ac:dyDescent="0.25">
      <c r="A1824" s="54" t="s">
        <v>531</v>
      </c>
      <c r="B1824" s="31" t="s">
        <v>638</v>
      </c>
      <c r="C1824" s="28" t="s">
        <v>1984</v>
      </c>
      <c r="D1824" s="28"/>
      <c r="E1824" s="28" t="s">
        <v>1974</v>
      </c>
      <c r="F1824" s="28" t="b">
        <v>0</v>
      </c>
      <c r="G1824" s="28">
        <v>200</v>
      </c>
      <c r="H1824" s="28" t="b">
        <v>1</v>
      </c>
      <c r="I1824" s="34"/>
    </row>
    <row r="1825" spans="1:9" ht="30" x14ac:dyDescent="0.25">
      <c r="A1825" s="54" t="s">
        <v>531</v>
      </c>
      <c r="B1825" s="43" t="s">
        <v>647</v>
      </c>
      <c r="C1825" s="37" t="s">
        <v>1985</v>
      </c>
      <c r="D1825" s="37"/>
      <c r="E1825" s="37" t="s">
        <v>1974</v>
      </c>
      <c r="F1825" s="37" t="b">
        <v>0</v>
      </c>
      <c r="G1825" s="37">
        <v>200</v>
      </c>
      <c r="H1825" s="37" t="b">
        <v>1</v>
      </c>
    </row>
    <row r="1826" spans="1:9" ht="30" x14ac:dyDescent="0.25">
      <c r="A1826" s="54" t="s">
        <v>531</v>
      </c>
      <c r="B1826" s="31" t="s">
        <v>503</v>
      </c>
      <c r="C1826" s="28" t="s">
        <v>1986</v>
      </c>
      <c r="D1826" s="28"/>
      <c r="E1826" s="28" t="s">
        <v>1974</v>
      </c>
      <c r="F1826" s="28" t="b">
        <v>0</v>
      </c>
      <c r="G1826" s="28">
        <v>200</v>
      </c>
      <c r="H1826" s="28" t="b">
        <v>1</v>
      </c>
      <c r="I1826" s="34"/>
    </row>
    <row r="1827" spans="1:9" ht="30" x14ac:dyDescent="0.25">
      <c r="A1827" s="54" t="s">
        <v>531</v>
      </c>
      <c r="B1827" s="43" t="s">
        <v>608</v>
      </c>
      <c r="C1827" s="37" t="s">
        <v>1987</v>
      </c>
      <c r="D1827" s="37"/>
      <c r="E1827" s="37" t="s">
        <v>1974</v>
      </c>
      <c r="F1827" s="37" t="b">
        <v>0</v>
      </c>
      <c r="G1827" s="37">
        <v>200</v>
      </c>
      <c r="H1827" s="37" t="b">
        <v>1</v>
      </c>
    </row>
    <row r="1828" spans="1:9" ht="30" x14ac:dyDescent="0.25">
      <c r="A1828" s="54" t="s">
        <v>531</v>
      </c>
      <c r="B1828" s="31" t="s">
        <v>497</v>
      </c>
      <c r="C1828" s="28" t="s">
        <v>2027</v>
      </c>
      <c r="D1828" s="28"/>
      <c r="E1828" s="28" t="s">
        <v>1974</v>
      </c>
      <c r="F1828" s="28" t="b">
        <v>0</v>
      </c>
      <c r="G1828" s="28">
        <v>200</v>
      </c>
      <c r="H1828" s="28" t="b">
        <v>1</v>
      </c>
      <c r="I1828" s="34"/>
    </row>
    <row r="1829" spans="1:9" ht="30" x14ac:dyDescent="0.25">
      <c r="A1829" s="54" t="s">
        <v>531</v>
      </c>
      <c r="B1829" s="43" t="s">
        <v>652</v>
      </c>
      <c r="C1829" s="37" t="s">
        <v>2028</v>
      </c>
      <c r="D1829" s="37"/>
      <c r="E1829" s="37" t="s">
        <v>1974</v>
      </c>
      <c r="F1829" s="37" t="b">
        <v>0</v>
      </c>
      <c r="G1829" s="37">
        <v>200</v>
      </c>
      <c r="H1829" s="37" t="b">
        <v>1</v>
      </c>
    </row>
    <row r="1830" spans="1:9" ht="30" x14ac:dyDescent="0.25">
      <c r="A1830" s="54" t="s">
        <v>531</v>
      </c>
      <c r="B1830" s="31" t="s">
        <v>537</v>
      </c>
      <c r="C1830" s="28" t="s">
        <v>2029</v>
      </c>
      <c r="D1830" s="28"/>
      <c r="E1830" s="28" t="s">
        <v>1974</v>
      </c>
      <c r="F1830" s="28" t="b">
        <v>0</v>
      </c>
      <c r="G1830" s="28">
        <v>200</v>
      </c>
      <c r="H1830" s="28" t="b">
        <v>1</v>
      </c>
      <c r="I1830" s="34"/>
    </row>
    <row r="1831" spans="1:9" ht="30" x14ac:dyDescent="0.25">
      <c r="A1831" s="54" t="s">
        <v>531</v>
      </c>
      <c r="B1831" s="43" t="s">
        <v>543</v>
      </c>
      <c r="C1831" s="37" t="s">
        <v>2030</v>
      </c>
      <c r="D1831" s="37"/>
      <c r="E1831" s="37" t="s">
        <v>1974</v>
      </c>
      <c r="F1831" s="37" t="b">
        <v>0</v>
      </c>
      <c r="G1831" s="37">
        <v>200</v>
      </c>
      <c r="H1831" s="37" t="b">
        <v>1</v>
      </c>
    </row>
    <row r="1832" spans="1:9" ht="30" x14ac:dyDescent="0.25">
      <c r="A1832" s="54" t="s">
        <v>531</v>
      </c>
      <c r="B1832" s="31" t="s">
        <v>566</v>
      </c>
      <c r="C1832" s="28" t="s">
        <v>2031</v>
      </c>
      <c r="D1832" s="28"/>
      <c r="E1832" s="28" t="s">
        <v>1974</v>
      </c>
      <c r="F1832" s="28" t="b">
        <v>0</v>
      </c>
      <c r="G1832" s="28">
        <v>200</v>
      </c>
      <c r="H1832" s="28" t="b">
        <v>1</v>
      </c>
      <c r="I1832" s="34"/>
    </row>
    <row r="1833" spans="1:9" ht="30" x14ac:dyDescent="0.25">
      <c r="A1833" s="54" t="s">
        <v>531</v>
      </c>
      <c r="B1833" s="43" t="s">
        <v>601</v>
      </c>
      <c r="C1833" s="37" t="s">
        <v>2032</v>
      </c>
      <c r="D1833" s="37"/>
      <c r="E1833" s="37" t="s">
        <v>1974</v>
      </c>
      <c r="F1833" s="37" t="b">
        <v>0</v>
      </c>
      <c r="G1833" s="37">
        <v>200</v>
      </c>
      <c r="H1833" s="37" t="b">
        <v>1</v>
      </c>
    </row>
    <row r="1834" spans="1:9" ht="30" x14ac:dyDescent="0.25">
      <c r="A1834" s="54" t="s">
        <v>531</v>
      </c>
      <c r="B1834" s="31" t="s">
        <v>497</v>
      </c>
      <c r="C1834" s="28" t="s">
        <v>2027</v>
      </c>
      <c r="D1834" s="28"/>
      <c r="E1834" s="28" t="s">
        <v>1974</v>
      </c>
      <c r="F1834" s="28" t="b">
        <v>0</v>
      </c>
      <c r="G1834" s="28">
        <v>200</v>
      </c>
      <c r="H1834" s="28" t="b">
        <v>1</v>
      </c>
      <c r="I1834" s="34"/>
    </row>
    <row r="1835" spans="1:9" ht="30" x14ac:dyDescent="0.25">
      <c r="A1835" s="54" t="s">
        <v>531</v>
      </c>
      <c r="B1835" s="43" t="s">
        <v>652</v>
      </c>
      <c r="C1835" s="37" t="s">
        <v>2028</v>
      </c>
      <c r="D1835" s="37"/>
      <c r="E1835" s="37" t="s">
        <v>1974</v>
      </c>
      <c r="F1835" s="37" t="b">
        <v>0</v>
      </c>
      <c r="G1835" s="37">
        <v>200</v>
      </c>
      <c r="H1835" s="37" t="b">
        <v>1</v>
      </c>
    </row>
    <row r="1836" spans="1:9" ht="30" x14ac:dyDescent="0.25">
      <c r="A1836" s="54" t="s">
        <v>531</v>
      </c>
      <c r="B1836" s="31" t="s">
        <v>537</v>
      </c>
      <c r="C1836" s="28" t="s">
        <v>2029</v>
      </c>
      <c r="D1836" s="28"/>
      <c r="E1836" s="28" t="s">
        <v>1974</v>
      </c>
      <c r="F1836" s="28" t="b">
        <v>0</v>
      </c>
      <c r="G1836" s="28">
        <v>200</v>
      </c>
      <c r="H1836" s="28" t="b">
        <v>1</v>
      </c>
      <c r="I1836" s="34"/>
    </row>
    <row r="1837" spans="1:9" ht="30" x14ac:dyDescent="0.25">
      <c r="A1837" s="54" t="s">
        <v>531</v>
      </c>
      <c r="B1837" s="43" t="s">
        <v>543</v>
      </c>
      <c r="C1837" s="37" t="s">
        <v>2030</v>
      </c>
      <c r="D1837" s="37"/>
      <c r="E1837" s="37" t="s">
        <v>1974</v>
      </c>
      <c r="F1837" s="37" t="b">
        <v>0</v>
      </c>
      <c r="G1837" s="37">
        <v>200</v>
      </c>
      <c r="H1837" s="37" t="b">
        <v>1</v>
      </c>
    </row>
    <row r="1838" spans="1:9" ht="30" x14ac:dyDescent="0.25">
      <c r="A1838" s="54" t="s">
        <v>531</v>
      </c>
      <c r="B1838" s="31" t="s">
        <v>566</v>
      </c>
      <c r="C1838" s="28" t="s">
        <v>2031</v>
      </c>
      <c r="D1838" s="28"/>
      <c r="E1838" s="28" t="s">
        <v>1974</v>
      </c>
      <c r="F1838" s="28" t="b">
        <v>0</v>
      </c>
      <c r="G1838" s="28">
        <v>200</v>
      </c>
      <c r="H1838" s="28" t="b">
        <v>1</v>
      </c>
      <c r="I1838" s="34"/>
    </row>
    <row r="1839" spans="1:9" ht="30" x14ac:dyDescent="0.25">
      <c r="A1839" s="54" t="s">
        <v>531</v>
      </c>
      <c r="B1839" s="43" t="s">
        <v>601</v>
      </c>
      <c r="C1839" s="37" t="s">
        <v>2032</v>
      </c>
      <c r="D1839" s="37"/>
      <c r="E1839" s="37" t="s">
        <v>1974</v>
      </c>
      <c r="F1839" s="37" t="b">
        <v>0</v>
      </c>
      <c r="G1839" s="37">
        <v>200</v>
      </c>
      <c r="H1839" s="37" t="b">
        <v>1</v>
      </c>
    </row>
    <row r="1840" spans="1:9" ht="30" x14ac:dyDescent="0.25">
      <c r="A1840" s="54" t="s">
        <v>531</v>
      </c>
      <c r="B1840" s="31" t="s">
        <v>647</v>
      </c>
      <c r="C1840" s="28" t="s">
        <v>2010</v>
      </c>
      <c r="D1840" s="28"/>
      <c r="E1840" s="28" t="s">
        <v>1974</v>
      </c>
      <c r="F1840" s="28" t="b">
        <v>0</v>
      </c>
      <c r="G1840" s="28">
        <v>200</v>
      </c>
      <c r="H1840" s="28" t="b">
        <v>1</v>
      </c>
      <c r="I1840" s="34"/>
    </row>
    <row r="1841" spans="1:9" ht="30" x14ac:dyDescent="0.25">
      <c r="A1841" s="54" t="s">
        <v>531</v>
      </c>
      <c r="B1841" s="43" t="s">
        <v>2011</v>
      </c>
      <c r="C1841" s="37"/>
      <c r="D1841" s="37"/>
      <c r="E1841" s="37" t="s">
        <v>2012</v>
      </c>
      <c r="F1841" s="37" t="b">
        <v>0</v>
      </c>
      <c r="G1841" s="37"/>
      <c r="H1841" s="37" t="b">
        <v>1</v>
      </c>
    </row>
    <row r="1842" spans="1:9" ht="30" x14ac:dyDescent="0.25">
      <c r="A1842" s="54" t="s">
        <v>531</v>
      </c>
      <c r="B1842" s="31" t="s">
        <v>2013</v>
      </c>
      <c r="C1842" s="28"/>
      <c r="D1842" s="28"/>
      <c r="E1842" s="28" t="s">
        <v>2012</v>
      </c>
      <c r="F1842" s="28" t="b">
        <v>0</v>
      </c>
      <c r="G1842" s="28"/>
      <c r="H1842" s="28" t="b">
        <v>1</v>
      </c>
      <c r="I1842" s="34"/>
    </row>
    <row r="1843" spans="1:9" ht="30" x14ac:dyDescent="0.25">
      <c r="A1843" s="54" t="s">
        <v>531</v>
      </c>
      <c r="B1843" s="43" t="s">
        <v>2033</v>
      </c>
      <c r="C1843" s="37"/>
      <c r="D1843" s="37"/>
      <c r="E1843" s="37" t="s">
        <v>2012</v>
      </c>
      <c r="F1843" s="37" t="b">
        <v>0</v>
      </c>
      <c r="G1843" s="37"/>
      <c r="H1843" s="37" t="b">
        <v>1</v>
      </c>
    </row>
    <row r="1844" spans="1:9" ht="30" x14ac:dyDescent="0.25">
      <c r="A1844" s="54" t="s">
        <v>531</v>
      </c>
      <c r="B1844" s="31" t="s">
        <v>641</v>
      </c>
      <c r="C1844" s="28" t="s">
        <v>2034</v>
      </c>
      <c r="D1844" s="28"/>
      <c r="E1844" s="28" t="s">
        <v>1974</v>
      </c>
      <c r="F1844" s="28" t="b">
        <v>0</v>
      </c>
      <c r="G1844" s="28">
        <v>200</v>
      </c>
      <c r="H1844" s="28" t="b">
        <v>1</v>
      </c>
      <c r="I1844" s="34"/>
    </row>
    <row r="1845" spans="1:9" ht="30" x14ac:dyDescent="0.25">
      <c r="A1845" s="54" t="s">
        <v>531</v>
      </c>
      <c r="B1845" s="43" t="s">
        <v>2015</v>
      </c>
      <c r="C1845" s="37" t="s">
        <v>2016</v>
      </c>
      <c r="D1845" s="37"/>
      <c r="E1845" s="37" t="s">
        <v>1974</v>
      </c>
      <c r="F1845" s="37" t="b">
        <v>0</v>
      </c>
      <c r="G1845" s="37">
        <v>404</v>
      </c>
      <c r="H1845" s="37" t="b">
        <v>0</v>
      </c>
    </row>
    <row r="1846" spans="1:9" ht="30" x14ac:dyDescent="0.25">
      <c r="A1846" s="54" t="s">
        <v>531</v>
      </c>
      <c r="B1846" s="31" t="s">
        <v>2015</v>
      </c>
      <c r="C1846" s="28" t="s">
        <v>2017</v>
      </c>
      <c r="D1846" s="28"/>
      <c r="E1846" s="28" t="s">
        <v>1974</v>
      </c>
      <c r="F1846" s="28" t="b">
        <v>0</v>
      </c>
      <c r="G1846" s="28">
        <v>404</v>
      </c>
      <c r="H1846" s="28" t="b">
        <v>0</v>
      </c>
      <c r="I1846" s="34"/>
    </row>
    <row r="1847" spans="1:9" ht="30" x14ac:dyDescent="0.25">
      <c r="A1847" s="54" t="s">
        <v>534</v>
      </c>
      <c r="B1847" s="43" t="s">
        <v>2025</v>
      </c>
      <c r="C1847" s="37"/>
      <c r="D1847" s="37"/>
      <c r="E1847" s="37" t="s">
        <v>2012</v>
      </c>
      <c r="F1847" s="37" t="b">
        <v>0</v>
      </c>
      <c r="G1847" s="37"/>
      <c r="H1847" s="37" t="b">
        <v>1</v>
      </c>
    </row>
    <row r="1848" spans="1:9" ht="30" x14ac:dyDescent="0.25">
      <c r="A1848" s="54" t="s">
        <v>534</v>
      </c>
      <c r="B1848" s="31" t="s">
        <v>127</v>
      </c>
      <c r="C1848" s="28" t="s">
        <v>1975</v>
      </c>
      <c r="D1848" s="28"/>
      <c r="E1848" s="28" t="s">
        <v>1974</v>
      </c>
      <c r="F1848" s="28" t="b">
        <v>0</v>
      </c>
      <c r="G1848" s="28">
        <v>200</v>
      </c>
      <c r="H1848" s="28" t="b">
        <v>1</v>
      </c>
      <c r="I1848" s="34"/>
    </row>
    <row r="1849" spans="1:9" ht="30" x14ac:dyDescent="0.25">
      <c r="A1849" s="54" t="s">
        <v>534</v>
      </c>
      <c r="B1849" s="43" t="s">
        <v>135</v>
      </c>
      <c r="C1849" s="37" t="s">
        <v>1976</v>
      </c>
      <c r="D1849" s="37"/>
      <c r="E1849" s="37" t="s">
        <v>1974</v>
      </c>
      <c r="F1849" s="37" t="b">
        <v>0</v>
      </c>
      <c r="G1849" s="37">
        <v>200</v>
      </c>
      <c r="H1849" s="37" t="b">
        <v>1</v>
      </c>
    </row>
    <row r="1850" spans="1:9" ht="30" x14ac:dyDescent="0.25">
      <c r="A1850" s="54" t="s">
        <v>534</v>
      </c>
      <c r="B1850" s="31" t="s">
        <v>655</v>
      </c>
      <c r="C1850" s="28" t="s">
        <v>1977</v>
      </c>
      <c r="D1850" s="28"/>
      <c r="E1850" s="28" t="s">
        <v>1974</v>
      </c>
      <c r="F1850" s="28" t="b">
        <v>0</v>
      </c>
      <c r="G1850" s="28">
        <v>200</v>
      </c>
      <c r="H1850" s="28" t="b">
        <v>1</v>
      </c>
      <c r="I1850" s="34"/>
    </row>
    <row r="1851" spans="1:9" ht="30" x14ac:dyDescent="0.25">
      <c r="A1851" s="54" t="s">
        <v>534</v>
      </c>
      <c r="B1851" s="43" t="s">
        <v>635</v>
      </c>
      <c r="C1851" s="37" t="s">
        <v>1978</v>
      </c>
      <c r="D1851" s="37"/>
      <c r="E1851" s="37" t="s">
        <v>1974</v>
      </c>
      <c r="F1851" s="37" t="b">
        <v>0</v>
      </c>
      <c r="G1851" s="37">
        <v>200</v>
      </c>
      <c r="H1851" s="37" t="b">
        <v>1</v>
      </c>
    </row>
    <row r="1852" spans="1:9" ht="30" x14ac:dyDescent="0.25">
      <c r="A1852" s="54" t="s">
        <v>534</v>
      </c>
      <c r="B1852" s="31" t="s">
        <v>144</v>
      </c>
      <c r="C1852" s="28" t="s">
        <v>1979</v>
      </c>
      <c r="D1852" s="28"/>
      <c r="E1852" s="28" t="s">
        <v>1974</v>
      </c>
      <c r="F1852" s="28" t="b">
        <v>0</v>
      </c>
      <c r="G1852" s="28">
        <v>200</v>
      </c>
      <c r="H1852" s="28" t="b">
        <v>1</v>
      </c>
      <c r="I1852" s="34"/>
    </row>
    <row r="1853" spans="1:9" ht="30" x14ac:dyDescent="0.25">
      <c r="A1853" s="54" t="s">
        <v>534</v>
      </c>
      <c r="B1853" s="43" t="s">
        <v>618</v>
      </c>
      <c r="C1853" s="37" t="s">
        <v>1980</v>
      </c>
      <c r="D1853" s="37"/>
      <c r="E1853" s="37" t="s">
        <v>1974</v>
      </c>
      <c r="F1853" s="37" t="b">
        <v>0</v>
      </c>
      <c r="G1853" s="37">
        <v>200</v>
      </c>
      <c r="H1853" s="37" t="b">
        <v>1</v>
      </c>
    </row>
    <row r="1854" spans="1:9" ht="30" x14ac:dyDescent="0.25">
      <c r="A1854" s="54" t="s">
        <v>534</v>
      </c>
      <c r="B1854" s="31" t="s">
        <v>585</v>
      </c>
      <c r="C1854" s="28" t="s">
        <v>1981</v>
      </c>
      <c r="D1854" s="28"/>
      <c r="E1854" s="28" t="s">
        <v>1974</v>
      </c>
      <c r="F1854" s="28" t="b">
        <v>0</v>
      </c>
      <c r="G1854" s="28">
        <v>200</v>
      </c>
      <c r="H1854" s="28" t="b">
        <v>1</v>
      </c>
      <c r="I1854" s="34"/>
    </row>
    <row r="1855" spans="1:9" ht="30" x14ac:dyDescent="0.25">
      <c r="A1855" s="54" t="s">
        <v>534</v>
      </c>
      <c r="B1855" s="43" t="s">
        <v>582</v>
      </c>
      <c r="C1855" s="37" t="s">
        <v>1982</v>
      </c>
      <c r="D1855" s="37"/>
      <c r="E1855" s="37" t="s">
        <v>1974</v>
      </c>
      <c r="F1855" s="37" t="b">
        <v>0</v>
      </c>
      <c r="G1855" s="37">
        <v>200</v>
      </c>
      <c r="H1855" s="37" t="b">
        <v>1</v>
      </c>
    </row>
    <row r="1856" spans="1:9" ht="30" x14ac:dyDescent="0.25">
      <c r="A1856" s="54" t="s">
        <v>534</v>
      </c>
      <c r="B1856" s="31" t="s">
        <v>638</v>
      </c>
      <c r="C1856" s="28" t="s">
        <v>1983</v>
      </c>
      <c r="D1856" s="28"/>
      <c r="E1856" s="28" t="s">
        <v>1974</v>
      </c>
      <c r="F1856" s="28" t="b">
        <v>0</v>
      </c>
      <c r="G1856" s="28">
        <v>200</v>
      </c>
      <c r="H1856" s="28" t="b">
        <v>1</v>
      </c>
      <c r="I1856" s="34"/>
    </row>
    <row r="1857" spans="1:9" ht="30" x14ac:dyDescent="0.25">
      <c r="A1857" s="54" t="s">
        <v>534</v>
      </c>
      <c r="B1857" s="43" t="s">
        <v>638</v>
      </c>
      <c r="C1857" s="37" t="s">
        <v>1984</v>
      </c>
      <c r="D1857" s="37"/>
      <c r="E1857" s="37" t="s">
        <v>1974</v>
      </c>
      <c r="F1857" s="37" t="b">
        <v>0</v>
      </c>
      <c r="G1857" s="37">
        <v>200</v>
      </c>
      <c r="H1857" s="37" t="b">
        <v>1</v>
      </c>
    </row>
    <row r="1858" spans="1:9" ht="30" x14ac:dyDescent="0.25">
      <c r="A1858" s="54" t="s">
        <v>534</v>
      </c>
      <c r="B1858" s="31" t="s">
        <v>647</v>
      </c>
      <c r="C1858" s="28" t="s">
        <v>1985</v>
      </c>
      <c r="D1858" s="28"/>
      <c r="E1858" s="28" t="s">
        <v>1974</v>
      </c>
      <c r="F1858" s="28" t="b">
        <v>0</v>
      </c>
      <c r="G1858" s="28">
        <v>200</v>
      </c>
      <c r="H1858" s="28" t="b">
        <v>1</v>
      </c>
      <c r="I1858" s="34"/>
    </row>
    <row r="1859" spans="1:9" ht="30" x14ac:dyDescent="0.25">
      <c r="A1859" s="54" t="s">
        <v>534</v>
      </c>
      <c r="B1859" s="43" t="s">
        <v>503</v>
      </c>
      <c r="C1859" s="37" t="s">
        <v>1986</v>
      </c>
      <c r="D1859" s="37"/>
      <c r="E1859" s="37" t="s">
        <v>1974</v>
      </c>
      <c r="F1859" s="37" t="b">
        <v>0</v>
      </c>
      <c r="G1859" s="37">
        <v>200</v>
      </c>
      <c r="H1859" s="37" t="b">
        <v>1</v>
      </c>
    </row>
    <row r="1860" spans="1:9" ht="30" x14ac:dyDescent="0.25">
      <c r="A1860" s="54" t="s">
        <v>534</v>
      </c>
      <c r="B1860" s="31" t="s">
        <v>608</v>
      </c>
      <c r="C1860" s="28" t="s">
        <v>1987</v>
      </c>
      <c r="D1860" s="28"/>
      <c r="E1860" s="28" t="s">
        <v>1974</v>
      </c>
      <c r="F1860" s="28" t="b">
        <v>0</v>
      </c>
      <c r="G1860" s="28">
        <v>200</v>
      </c>
      <c r="H1860" s="28" t="b">
        <v>1</v>
      </c>
      <c r="I1860" s="34"/>
    </row>
    <row r="1861" spans="1:9" ht="30" x14ac:dyDescent="0.25">
      <c r="A1861" s="54" t="s">
        <v>534</v>
      </c>
      <c r="B1861" s="43" t="s">
        <v>127</v>
      </c>
      <c r="C1861" s="37" t="s">
        <v>1975</v>
      </c>
      <c r="D1861" s="37"/>
      <c r="E1861" s="37" t="s">
        <v>1974</v>
      </c>
      <c r="F1861" s="37" t="b">
        <v>0</v>
      </c>
      <c r="G1861" s="37">
        <v>200</v>
      </c>
      <c r="H1861" s="37" t="b">
        <v>1</v>
      </c>
    </row>
    <row r="1862" spans="1:9" ht="30" x14ac:dyDescent="0.25">
      <c r="A1862" s="54" t="s">
        <v>534</v>
      </c>
      <c r="B1862" s="31" t="s">
        <v>135</v>
      </c>
      <c r="C1862" s="28" t="s">
        <v>1976</v>
      </c>
      <c r="D1862" s="28"/>
      <c r="E1862" s="28" t="s">
        <v>1974</v>
      </c>
      <c r="F1862" s="28" t="b">
        <v>0</v>
      </c>
      <c r="G1862" s="28">
        <v>200</v>
      </c>
      <c r="H1862" s="28" t="b">
        <v>1</v>
      </c>
      <c r="I1862" s="34"/>
    </row>
    <row r="1863" spans="1:9" ht="30" x14ac:dyDescent="0.25">
      <c r="A1863" s="54" t="s">
        <v>534</v>
      </c>
      <c r="B1863" s="43" t="s">
        <v>655</v>
      </c>
      <c r="C1863" s="37" t="s">
        <v>1977</v>
      </c>
      <c r="D1863" s="37"/>
      <c r="E1863" s="37" t="s">
        <v>1974</v>
      </c>
      <c r="F1863" s="37" t="b">
        <v>0</v>
      </c>
      <c r="G1863" s="37">
        <v>200</v>
      </c>
      <c r="H1863" s="37" t="b">
        <v>1</v>
      </c>
    </row>
    <row r="1864" spans="1:9" ht="30" x14ac:dyDescent="0.25">
      <c r="A1864" s="54" t="s">
        <v>534</v>
      </c>
      <c r="B1864" s="31" t="s">
        <v>635</v>
      </c>
      <c r="C1864" s="28" t="s">
        <v>1978</v>
      </c>
      <c r="D1864" s="28"/>
      <c r="E1864" s="28" t="s">
        <v>1974</v>
      </c>
      <c r="F1864" s="28" t="b">
        <v>0</v>
      </c>
      <c r="G1864" s="28">
        <v>200</v>
      </c>
      <c r="H1864" s="28" t="b">
        <v>1</v>
      </c>
      <c r="I1864" s="34"/>
    </row>
    <row r="1865" spans="1:9" ht="30" x14ac:dyDescent="0.25">
      <c r="A1865" s="54" t="s">
        <v>534</v>
      </c>
      <c r="B1865" s="43" t="s">
        <v>144</v>
      </c>
      <c r="C1865" s="37" t="s">
        <v>1979</v>
      </c>
      <c r="D1865" s="37"/>
      <c r="E1865" s="37" t="s">
        <v>1974</v>
      </c>
      <c r="F1865" s="37" t="b">
        <v>0</v>
      </c>
      <c r="G1865" s="37">
        <v>200</v>
      </c>
      <c r="H1865" s="37" t="b">
        <v>1</v>
      </c>
    </row>
    <row r="1866" spans="1:9" ht="30" x14ac:dyDescent="0.25">
      <c r="A1866" s="54" t="s">
        <v>534</v>
      </c>
      <c r="B1866" s="31" t="s">
        <v>618</v>
      </c>
      <c r="C1866" s="28" t="s">
        <v>1980</v>
      </c>
      <c r="D1866" s="28"/>
      <c r="E1866" s="28" t="s">
        <v>1974</v>
      </c>
      <c r="F1866" s="28" t="b">
        <v>0</v>
      </c>
      <c r="G1866" s="28">
        <v>200</v>
      </c>
      <c r="H1866" s="28" t="b">
        <v>1</v>
      </c>
      <c r="I1866" s="34"/>
    </row>
    <row r="1867" spans="1:9" ht="30" x14ac:dyDescent="0.25">
      <c r="A1867" s="54" t="s">
        <v>534</v>
      </c>
      <c r="B1867" s="43" t="s">
        <v>585</v>
      </c>
      <c r="C1867" s="37" t="s">
        <v>1981</v>
      </c>
      <c r="D1867" s="37"/>
      <c r="E1867" s="37" t="s">
        <v>1974</v>
      </c>
      <c r="F1867" s="37" t="b">
        <v>0</v>
      </c>
      <c r="G1867" s="37">
        <v>200</v>
      </c>
      <c r="H1867" s="37" t="b">
        <v>1</v>
      </c>
    </row>
    <row r="1868" spans="1:9" ht="30" x14ac:dyDescent="0.25">
      <c r="A1868" s="54" t="s">
        <v>534</v>
      </c>
      <c r="B1868" s="31" t="s">
        <v>582</v>
      </c>
      <c r="C1868" s="28" t="s">
        <v>1982</v>
      </c>
      <c r="D1868" s="28"/>
      <c r="E1868" s="28" t="s">
        <v>1974</v>
      </c>
      <c r="F1868" s="28" t="b">
        <v>0</v>
      </c>
      <c r="G1868" s="28">
        <v>200</v>
      </c>
      <c r="H1868" s="28" t="b">
        <v>1</v>
      </c>
      <c r="I1868" s="34"/>
    </row>
    <row r="1869" spans="1:9" ht="30" x14ac:dyDescent="0.25">
      <c r="A1869" s="54" t="s">
        <v>534</v>
      </c>
      <c r="B1869" s="43" t="s">
        <v>638</v>
      </c>
      <c r="C1869" s="37" t="s">
        <v>1983</v>
      </c>
      <c r="D1869" s="37"/>
      <c r="E1869" s="37" t="s">
        <v>1974</v>
      </c>
      <c r="F1869" s="37" t="b">
        <v>0</v>
      </c>
      <c r="G1869" s="37">
        <v>200</v>
      </c>
      <c r="H1869" s="37" t="b">
        <v>1</v>
      </c>
    </row>
    <row r="1870" spans="1:9" ht="30" x14ac:dyDescent="0.25">
      <c r="A1870" s="54" t="s">
        <v>534</v>
      </c>
      <c r="B1870" s="31" t="s">
        <v>638</v>
      </c>
      <c r="C1870" s="28" t="s">
        <v>1984</v>
      </c>
      <c r="D1870" s="28"/>
      <c r="E1870" s="28" t="s">
        <v>1974</v>
      </c>
      <c r="F1870" s="28" t="b">
        <v>0</v>
      </c>
      <c r="G1870" s="28">
        <v>200</v>
      </c>
      <c r="H1870" s="28" t="b">
        <v>1</v>
      </c>
      <c r="I1870" s="34"/>
    </row>
    <row r="1871" spans="1:9" ht="30" x14ac:dyDescent="0.25">
      <c r="A1871" s="54" t="s">
        <v>534</v>
      </c>
      <c r="B1871" s="43" t="s">
        <v>647</v>
      </c>
      <c r="C1871" s="37" t="s">
        <v>1985</v>
      </c>
      <c r="D1871" s="37"/>
      <c r="E1871" s="37" t="s">
        <v>1974</v>
      </c>
      <c r="F1871" s="37" t="b">
        <v>0</v>
      </c>
      <c r="G1871" s="37">
        <v>200</v>
      </c>
      <c r="H1871" s="37" t="b">
        <v>1</v>
      </c>
    </row>
    <row r="1872" spans="1:9" ht="30" x14ac:dyDescent="0.25">
      <c r="A1872" s="54" t="s">
        <v>534</v>
      </c>
      <c r="B1872" s="31" t="s">
        <v>503</v>
      </c>
      <c r="C1872" s="28" t="s">
        <v>1986</v>
      </c>
      <c r="D1872" s="28"/>
      <c r="E1872" s="28" t="s">
        <v>1974</v>
      </c>
      <c r="F1872" s="28" t="b">
        <v>0</v>
      </c>
      <c r="G1872" s="28">
        <v>200</v>
      </c>
      <c r="H1872" s="28" t="b">
        <v>1</v>
      </c>
      <c r="I1872" s="34"/>
    </row>
    <row r="1873" spans="1:9" ht="30" x14ac:dyDescent="0.25">
      <c r="A1873" s="54" t="s">
        <v>534</v>
      </c>
      <c r="B1873" s="43" t="s">
        <v>608</v>
      </c>
      <c r="C1873" s="37" t="s">
        <v>1987</v>
      </c>
      <c r="D1873" s="37"/>
      <c r="E1873" s="37" t="s">
        <v>1974</v>
      </c>
      <c r="F1873" s="37" t="b">
        <v>0</v>
      </c>
      <c r="G1873" s="37">
        <v>200</v>
      </c>
      <c r="H1873" s="37" t="b">
        <v>1</v>
      </c>
    </row>
    <row r="1874" spans="1:9" ht="30" x14ac:dyDescent="0.25">
      <c r="A1874" s="54" t="s">
        <v>534</v>
      </c>
      <c r="B1874" s="31" t="s">
        <v>497</v>
      </c>
      <c r="C1874" s="28" t="s">
        <v>2027</v>
      </c>
      <c r="D1874" s="28"/>
      <c r="E1874" s="28" t="s">
        <v>1974</v>
      </c>
      <c r="F1874" s="28" t="b">
        <v>0</v>
      </c>
      <c r="G1874" s="28">
        <v>200</v>
      </c>
      <c r="H1874" s="28" t="b">
        <v>1</v>
      </c>
      <c r="I1874" s="34"/>
    </row>
    <row r="1875" spans="1:9" ht="30" x14ac:dyDescent="0.25">
      <c r="A1875" s="54" t="s">
        <v>534</v>
      </c>
      <c r="B1875" s="43" t="s">
        <v>652</v>
      </c>
      <c r="C1875" s="37" t="s">
        <v>2028</v>
      </c>
      <c r="D1875" s="37"/>
      <c r="E1875" s="37" t="s">
        <v>1974</v>
      </c>
      <c r="F1875" s="37" t="b">
        <v>0</v>
      </c>
      <c r="G1875" s="37">
        <v>200</v>
      </c>
      <c r="H1875" s="37" t="b">
        <v>1</v>
      </c>
    </row>
    <row r="1876" spans="1:9" ht="30" x14ac:dyDescent="0.25">
      <c r="A1876" s="54" t="s">
        <v>534</v>
      </c>
      <c r="B1876" s="31" t="s">
        <v>537</v>
      </c>
      <c r="C1876" s="28" t="s">
        <v>2029</v>
      </c>
      <c r="D1876" s="28"/>
      <c r="E1876" s="28" t="s">
        <v>1974</v>
      </c>
      <c r="F1876" s="28" t="b">
        <v>0</v>
      </c>
      <c r="G1876" s="28">
        <v>200</v>
      </c>
      <c r="H1876" s="28" t="b">
        <v>1</v>
      </c>
      <c r="I1876" s="34"/>
    </row>
    <row r="1877" spans="1:9" ht="30" x14ac:dyDescent="0.25">
      <c r="A1877" s="54" t="s">
        <v>534</v>
      </c>
      <c r="B1877" s="43" t="s">
        <v>543</v>
      </c>
      <c r="C1877" s="37" t="s">
        <v>2030</v>
      </c>
      <c r="D1877" s="37"/>
      <c r="E1877" s="37" t="s">
        <v>1974</v>
      </c>
      <c r="F1877" s="37" t="b">
        <v>0</v>
      </c>
      <c r="G1877" s="37">
        <v>200</v>
      </c>
      <c r="H1877" s="37" t="b">
        <v>1</v>
      </c>
    </row>
    <row r="1878" spans="1:9" ht="30" x14ac:dyDescent="0.25">
      <c r="A1878" s="54" t="s">
        <v>534</v>
      </c>
      <c r="B1878" s="31" t="s">
        <v>566</v>
      </c>
      <c r="C1878" s="28" t="s">
        <v>2031</v>
      </c>
      <c r="D1878" s="28"/>
      <c r="E1878" s="28" t="s">
        <v>1974</v>
      </c>
      <c r="F1878" s="28" t="b">
        <v>0</v>
      </c>
      <c r="G1878" s="28">
        <v>200</v>
      </c>
      <c r="H1878" s="28" t="b">
        <v>1</v>
      </c>
      <c r="I1878" s="34"/>
    </row>
    <row r="1879" spans="1:9" ht="30" x14ac:dyDescent="0.25">
      <c r="A1879" s="54" t="s">
        <v>534</v>
      </c>
      <c r="B1879" s="43" t="s">
        <v>601</v>
      </c>
      <c r="C1879" s="37" t="s">
        <v>2032</v>
      </c>
      <c r="D1879" s="37"/>
      <c r="E1879" s="37" t="s">
        <v>1974</v>
      </c>
      <c r="F1879" s="37" t="b">
        <v>0</v>
      </c>
      <c r="G1879" s="37">
        <v>200</v>
      </c>
      <c r="H1879" s="37" t="b">
        <v>1</v>
      </c>
    </row>
    <row r="1880" spans="1:9" ht="30" x14ac:dyDescent="0.25">
      <c r="A1880" s="54" t="s">
        <v>534</v>
      </c>
      <c r="B1880" s="31" t="s">
        <v>497</v>
      </c>
      <c r="C1880" s="28" t="s">
        <v>2027</v>
      </c>
      <c r="D1880" s="28"/>
      <c r="E1880" s="28" t="s">
        <v>1974</v>
      </c>
      <c r="F1880" s="28" t="b">
        <v>0</v>
      </c>
      <c r="G1880" s="28">
        <v>200</v>
      </c>
      <c r="H1880" s="28" t="b">
        <v>1</v>
      </c>
      <c r="I1880" s="34"/>
    </row>
    <row r="1881" spans="1:9" ht="30" x14ac:dyDescent="0.25">
      <c r="A1881" s="54" t="s">
        <v>534</v>
      </c>
      <c r="B1881" s="43" t="s">
        <v>652</v>
      </c>
      <c r="C1881" s="37" t="s">
        <v>2028</v>
      </c>
      <c r="D1881" s="37"/>
      <c r="E1881" s="37" t="s">
        <v>1974</v>
      </c>
      <c r="F1881" s="37" t="b">
        <v>0</v>
      </c>
      <c r="G1881" s="37">
        <v>200</v>
      </c>
      <c r="H1881" s="37" t="b">
        <v>1</v>
      </c>
    </row>
    <row r="1882" spans="1:9" ht="30" x14ac:dyDescent="0.25">
      <c r="A1882" s="54" t="s">
        <v>534</v>
      </c>
      <c r="B1882" s="31" t="s">
        <v>537</v>
      </c>
      <c r="C1882" s="28" t="s">
        <v>2029</v>
      </c>
      <c r="D1882" s="28"/>
      <c r="E1882" s="28" t="s">
        <v>1974</v>
      </c>
      <c r="F1882" s="28" t="b">
        <v>0</v>
      </c>
      <c r="G1882" s="28">
        <v>200</v>
      </c>
      <c r="H1882" s="28" t="b">
        <v>1</v>
      </c>
      <c r="I1882" s="34"/>
    </row>
    <row r="1883" spans="1:9" ht="30" x14ac:dyDescent="0.25">
      <c r="A1883" s="54" t="s">
        <v>534</v>
      </c>
      <c r="B1883" s="43" t="s">
        <v>543</v>
      </c>
      <c r="C1883" s="37" t="s">
        <v>2030</v>
      </c>
      <c r="D1883" s="37"/>
      <c r="E1883" s="37" t="s">
        <v>1974</v>
      </c>
      <c r="F1883" s="37" t="b">
        <v>0</v>
      </c>
      <c r="G1883" s="37">
        <v>200</v>
      </c>
      <c r="H1883" s="37" t="b">
        <v>1</v>
      </c>
    </row>
    <row r="1884" spans="1:9" ht="30" x14ac:dyDescent="0.25">
      <c r="A1884" s="54" t="s">
        <v>534</v>
      </c>
      <c r="B1884" s="31" t="s">
        <v>566</v>
      </c>
      <c r="C1884" s="28" t="s">
        <v>2031</v>
      </c>
      <c r="D1884" s="28"/>
      <c r="E1884" s="28" t="s">
        <v>1974</v>
      </c>
      <c r="F1884" s="28" t="b">
        <v>0</v>
      </c>
      <c r="G1884" s="28">
        <v>200</v>
      </c>
      <c r="H1884" s="28" t="b">
        <v>1</v>
      </c>
      <c r="I1884" s="34"/>
    </row>
    <row r="1885" spans="1:9" ht="30" x14ac:dyDescent="0.25">
      <c r="A1885" s="54" t="s">
        <v>534</v>
      </c>
      <c r="B1885" s="43" t="s">
        <v>601</v>
      </c>
      <c r="C1885" s="37" t="s">
        <v>2032</v>
      </c>
      <c r="D1885" s="37"/>
      <c r="E1885" s="37" t="s">
        <v>1974</v>
      </c>
      <c r="F1885" s="37" t="b">
        <v>0</v>
      </c>
      <c r="G1885" s="37">
        <v>200</v>
      </c>
      <c r="H1885" s="37" t="b">
        <v>1</v>
      </c>
    </row>
    <row r="1886" spans="1:9" ht="30" x14ac:dyDescent="0.25">
      <c r="A1886" s="54" t="s">
        <v>534</v>
      </c>
      <c r="B1886" s="31" t="s">
        <v>647</v>
      </c>
      <c r="C1886" s="28" t="s">
        <v>2010</v>
      </c>
      <c r="D1886" s="28"/>
      <c r="E1886" s="28" t="s">
        <v>1974</v>
      </c>
      <c r="F1886" s="28" t="b">
        <v>0</v>
      </c>
      <c r="G1886" s="28">
        <v>200</v>
      </c>
      <c r="H1886" s="28" t="b">
        <v>1</v>
      </c>
      <c r="I1886" s="34"/>
    </row>
    <row r="1887" spans="1:9" ht="30" x14ac:dyDescent="0.25">
      <c r="A1887" s="54" t="s">
        <v>534</v>
      </c>
      <c r="B1887" s="43" t="s">
        <v>2011</v>
      </c>
      <c r="C1887" s="37"/>
      <c r="D1887" s="37"/>
      <c r="E1887" s="37" t="s">
        <v>2012</v>
      </c>
      <c r="F1887" s="37" t="b">
        <v>0</v>
      </c>
      <c r="G1887" s="37"/>
      <c r="H1887" s="37" t="b">
        <v>1</v>
      </c>
    </row>
    <row r="1888" spans="1:9" ht="30" x14ac:dyDescent="0.25">
      <c r="A1888" s="54" t="s">
        <v>534</v>
      </c>
      <c r="B1888" s="31" t="s">
        <v>2013</v>
      </c>
      <c r="C1888" s="28"/>
      <c r="D1888" s="28"/>
      <c r="E1888" s="28" t="s">
        <v>2012</v>
      </c>
      <c r="F1888" s="28" t="b">
        <v>0</v>
      </c>
      <c r="G1888" s="28"/>
      <c r="H1888" s="28" t="b">
        <v>1</v>
      </c>
      <c r="I1888" s="34"/>
    </row>
    <row r="1889" spans="1:9" ht="30" x14ac:dyDescent="0.25">
      <c r="A1889" s="54" t="s">
        <v>534</v>
      </c>
      <c r="B1889" s="43" t="s">
        <v>2033</v>
      </c>
      <c r="C1889" s="37"/>
      <c r="D1889" s="37"/>
      <c r="E1889" s="37" t="s">
        <v>2012</v>
      </c>
      <c r="F1889" s="37" t="b">
        <v>0</v>
      </c>
      <c r="G1889" s="37"/>
      <c r="H1889" s="37" t="b">
        <v>1</v>
      </c>
    </row>
    <row r="1890" spans="1:9" ht="30" x14ac:dyDescent="0.25">
      <c r="A1890" s="54" t="s">
        <v>534</v>
      </c>
      <c r="B1890" s="31" t="s">
        <v>641</v>
      </c>
      <c r="C1890" s="28" t="s">
        <v>2034</v>
      </c>
      <c r="D1890" s="28"/>
      <c r="E1890" s="28" t="s">
        <v>1974</v>
      </c>
      <c r="F1890" s="28" t="b">
        <v>0</v>
      </c>
      <c r="G1890" s="28">
        <v>200</v>
      </c>
      <c r="H1890" s="28" t="b">
        <v>1</v>
      </c>
      <c r="I1890" s="34"/>
    </row>
    <row r="1891" spans="1:9" ht="30" x14ac:dyDescent="0.25">
      <c r="A1891" s="54" t="s">
        <v>534</v>
      </c>
      <c r="B1891" s="43" t="s">
        <v>2015</v>
      </c>
      <c r="C1891" s="37" t="s">
        <v>2016</v>
      </c>
      <c r="D1891" s="37"/>
      <c r="E1891" s="37" t="s">
        <v>1974</v>
      </c>
      <c r="F1891" s="37" t="b">
        <v>0</v>
      </c>
      <c r="G1891" s="37">
        <v>404</v>
      </c>
      <c r="H1891" s="37" t="b">
        <v>0</v>
      </c>
    </row>
    <row r="1892" spans="1:9" ht="30" x14ac:dyDescent="0.25">
      <c r="A1892" s="54" t="s">
        <v>534</v>
      </c>
      <c r="B1892" s="31" t="s">
        <v>2015</v>
      </c>
      <c r="C1892" s="28" t="s">
        <v>2017</v>
      </c>
      <c r="D1892" s="28"/>
      <c r="E1892" s="28" t="s">
        <v>1974</v>
      </c>
      <c r="F1892" s="28" t="b">
        <v>0</v>
      </c>
      <c r="G1892" s="28">
        <v>404</v>
      </c>
      <c r="H1892" s="28" t="b">
        <v>0</v>
      </c>
      <c r="I1892" s="34"/>
    </row>
    <row r="1893" spans="1:9" ht="30" x14ac:dyDescent="0.25">
      <c r="A1893" s="54" t="s">
        <v>537</v>
      </c>
      <c r="B1893" s="43" t="s">
        <v>2025</v>
      </c>
      <c r="C1893" s="37"/>
      <c r="D1893" s="37"/>
      <c r="E1893" s="37" t="s">
        <v>2012</v>
      </c>
      <c r="F1893" s="37" t="b">
        <v>0</v>
      </c>
      <c r="G1893" s="37"/>
      <c r="H1893" s="37" t="b">
        <v>1</v>
      </c>
    </row>
    <row r="1894" spans="1:9" ht="30" x14ac:dyDescent="0.25">
      <c r="A1894" s="54" t="s">
        <v>537</v>
      </c>
      <c r="B1894" s="31" t="s">
        <v>127</v>
      </c>
      <c r="C1894" s="28" t="s">
        <v>1975</v>
      </c>
      <c r="D1894" s="28"/>
      <c r="E1894" s="28" t="s">
        <v>1974</v>
      </c>
      <c r="F1894" s="28" t="b">
        <v>0</v>
      </c>
      <c r="G1894" s="28">
        <v>200</v>
      </c>
      <c r="H1894" s="28" t="b">
        <v>1</v>
      </c>
      <c r="I1894" s="34"/>
    </row>
    <row r="1895" spans="1:9" ht="30" x14ac:dyDescent="0.25">
      <c r="A1895" s="54" t="s">
        <v>537</v>
      </c>
      <c r="B1895" s="43" t="s">
        <v>135</v>
      </c>
      <c r="C1895" s="37" t="s">
        <v>1976</v>
      </c>
      <c r="D1895" s="37"/>
      <c r="E1895" s="37" t="s">
        <v>1974</v>
      </c>
      <c r="F1895" s="37" t="b">
        <v>0</v>
      </c>
      <c r="G1895" s="37">
        <v>200</v>
      </c>
      <c r="H1895" s="37" t="b">
        <v>1</v>
      </c>
    </row>
    <row r="1896" spans="1:9" ht="30" x14ac:dyDescent="0.25">
      <c r="A1896" s="54" t="s">
        <v>537</v>
      </c>
      <c r="B1896" s="31" t="s">
        <v>655</v>
      </c>
      <c r="C1896" s="28" t="s">
        <v>1977</v>
      </c>
      <c r="D1896" s="28"/>
      <c r="E1896" s="28" t="s">
        <v>1974</v>
      </c>
      <c r="F1896" s="28" t="b">
        <v>0</v>
      </c>
      <c r="G1896" s="28">
        <v>200</v>
      </c>
      <c r="H1896" s="28" t="b">
        <v>1</v>
      </c>
      <c r="I1896" s="34"/>
    </row>
    <row r="1897" spans="1:9" ht="30" x14ac:dyDescent="0.25">
      <c r="A1897" s="54" t="s">
        <v>537</v>
      </c>
      <c r="B1897" s="43" t="s">
        <v>635</v>
      </c>
      <c r="C1897" s="37" t="s">
        <v>1978</v>
      </c>
      <c r="D1897" s="37"/>
      <c r="E1897" s="37" t="s">
        <v>1974</v>
      </c>
      <c r="F1897" s="37" t="b">
        <v>0</v>
      </c>
      <c r="G1897" s="37">
        <v>200</v>
      </c>
      <c r="H1897" s="37" t="b">
        <v>1</v>
      </c>
    </row>
    <row r="1898" spans="1:9" ht="30" x14ac:dyDescent="0.25">
      <c r="A1898" s="54" t="s">
        <v>537</v>
      </c>
      <c r="B1898" s="31" t="s">
        <v>144</v>
      </c>
      <c r="C1898" s="28" t="s">
        <v>1979</v>
      </c>
      <c r="D1898" s="28"/>
      <c r="E1898" s="28" t="s">
        <v>1974</v>
      </c>
      <c r="F1898" s="28" t="b">
        <v>0</v>
      </c>
      <c r="G1898" s="28">
        <v>200</v>
      </c>
      <c r="H1898" s="28" t="b">
        <v>1</v>
      </c>
      <c r="I1898" s="34"/>
    </row>
    <row r="1899" spans="1:9" ht="30" x14ac:dyDescent="0.25">
      <c r="A1899" s="54" t="s">
        <v>537</v>
      </c>
      <c r="B1899" s="43" t="s">
        <v>618</v>
      </c>
      <c r="C1899" s="37" t="s">
        <v>1980</v>
      </c>
      <c r="D1899" s="37"/>
      <c r="E1899" s="37" t="s">
        <v>1974</v>
      </c>
      <c r="F1899" s="37" t="b">
        <v>0</v>
      </c>
      <c r="G1899" s="37">
        <v>200</v>
      </c>
      <c r="H1899" s="37" t="b">
        <v>1</v>
      </c>
    </row>
    <row r="1900" spans="1:9" ht="30" x14ac:dyDescent="0.25">
      <c r="A1900" s="54" t="s">
        <v>537</v>
      </c>
      <c r="B1900" s="31" t="s">
        <v>585</v>
      </c>
      <c r="C1900" s="28" t="s">
        <v>1981</v>
      </c>
      <c r="D1900" s="28"/>
      <c r="E1900" s="28" t="s">
        <v>1974</v>
      </c>
      <c r="F1900" s="28" t="b">
        <v>0</v>
      </c>
      <c r="G1900" s="28">
        <v>200</v>
      </c>
      <c r="H1900" s="28" t="b">
        <v>1</v>
      </c>
      <c r="I1900" s="34"/>
    </row>
    <row r="1901" spans="1:9" ht="30" x14ac:dyDescent="0.25">
      <c r="A1901" s="54" t="s">
        <v>537</v>
      </c>
      <c r="B1901" s="43" t="s">
        <v>582</v>
      </c>
      <c r="C1901" s="37" t="s">
        <v>1982</v>
      </c>
      <c r="D1901" s="37"/>
      <c r="E1901" s="37" t="s">
        <v>1974</v>
      </c>
      <c r="F1901" s="37" t="b">
        <v>0</v>
      </c>
      <c r="G1901" s="37">
        <v>200</v>
      </c>
      <c r="H1901" s="37" t="b">
        <v>1</v>
      </c>
    </row>
    <row r="1902" spans="1:9" ht="30" x14ac:dyDescent="0.25">
      <c r="A1902" s="54" t="s">
        <v>537</v>
      </c>
      <c r="B1902" s="31" t="s">
        <v>638</v>
      </c>
      <c r="C1902" s="28" t="s">
        <v>1983</v>
      </c>
      <c r="D1902" s="28"/>
      <c r="E1902" s="28" t="s">
        <v>1974</v>
      </c>
      <c r="F1902" s="28" t="b">
        <v>0</v>
      </c>
      <c r="G1902" s="28">
        <v>200</v>
      </c>
      <c r="H1902" s="28" t="b">
        <v>1</v>
      </c>
      <c r="I1902" s="34"/>
    </row>
    <row r="1903" spans="1:9" ht="30" x14ac:dyDescent="0.25">
      <c r="A1903" s="54" t="s">
        <v>537</v>
      </c>
      <c r="B1903" s="43" t="s">
        <v>638</v>
      </c>
      <c r="C1903" s="37" t="s">
        <v>1984</v>
      </c>
      <c r="D1903" s="37"/>
      <c r="E1903" s="37" t="s">
        <v>1974</v>
      </c>
      <c r="F1903" s="37" t="b">
        <v>0</v>
      </c>
      <c r="G1903" s="37">
        <v>200</v>
      </c>
      <c r="H1903" s="37" t="b">
        <v>1</v>
      </c>
    </row>
    <row r="1904" spans="1:9" ht="30" x14ac:dyDescent="0.25">
      <c r="A1904" s="54" t="s">
        <v>537</v>
      </c>
      <c r="B1904" s="31" t="s">
        <v>647</v>
      </c>
      <c r="C1904" s="28" t="s">
        <v>1985</v>
      </c>
      <c r="D1904" s="28"/>
      <c r="E1904" s="28" t="s">
        <v>1974</v>
      </c>
      <c r="F1904" s="28" t="b">
        <v>0</v>
      </c>
      <c r="G1904" s="28">
        <v>200</v>
      </c>
      <c r="H1904" s="28" t="b">
        <v>1</v>
      </c>
      <c r="I1904" s="34"/>
    </row>
    <row r="1905" spans="1:9" ht="30" x14ac:dyDescent="0.25">
      <c r="A1905" s="54" t="s">
        <v>537</v>
      </c>
      <c r="B1905" s="43" t="s">
        <v>503</v>
      </c>
      <c r="C1905" s="37" t="s">
        <v>1986</v>
      </c>
      <c r="D1905" s="37"/>
      <c r="E1905" s="37" t="s">
        <v>1974</v>
      </c>
      <c r="F1905" s="37" t="b">
        <v>0</v>
      </c>
      <c r="G1905" s="37">
        <v>200</v>
      </c>
      <c r="H1905" s="37" t="b">
        <v>1</v>
      </c>
    </row>
    <row r="1906" spans="1:9" ht="30" x14ac:dyDescent="0.25">
      <c r="A1906" s="54" t="s">
        <v>537</v>
      </c>
      <c r="B1906" s="31" t="s">
        <v>608</v>
      </c>
      <c r="C1906" s="28" t="s">
        <v>1987</v>
      </c>
      <c r="D1906" s="28"/>
      <c r="E1906" s="28" t="s">
        <v>1974</v>
      </c>
      <c r="F1906" s="28" t="b">
        <v>0</v>
      </c>
      <c r="G1906" s="28">
        <v>200</v>
      </c>
      <c r="H1906" s="28" t="b">
        <v>1</v>
      </c>
      <c r="I1906" s="34"/>
    </row>
    <row r="1907" spans="1:9" ht="30" x14ac:dyDescent="0.25">
      <c r="A1907" s="54" t="s">
        <v>537</v>
      </c>
      <c r="B1907" s="43" t="s">
        <v>127</v>
      </c>
      <c r="C1907" s="37" t="s">
        <v>1975</v>
      </c>
      <c r="D1907" s="37"/>
      <c r="E1907" s="37" t="s">
        <v>1974</v>
      </c>
      <c r="F1907" s="37" t="b">
        <v>0</v>
      </c>
      <c r="G1907" s="37">
        <v>200</v>
      </c>
      <c r="H1907" s="37" t="b">
        <v>1</v>
      </c>
    </row>
    <row r="1908" spans="1:9" ht="30" x14ac:dyDescent="0.25">
      <c r="A1908" s="54" t="s">
        <v>537</v>
      </c>
      <c r="B1908" s="31" t="s">
        <v>135</v>
      </c>
      <c r="C1908" s="28" t="s">
        <v>1976</v>
      </c>
      <c r="D1908" s="28"/>
      <c r="E1908" s="28" t="s">
        <v>1974</v>
      </c>
      <c r="F1908" s="28" t="b">
        <v>0</v>
      </c>
      <c r="G1908" s="28">
        <v>200</v>
      </c>
      <c r="H1908" s="28" t="b">
        <v>1</v>
      </c>
      <c r="I1908" s="34"/>
    </row>
    <row r="1909" spans="1:9" ht="30" x14ac:dyDescent="0.25">
      <c r="A1909" s="54" t="s">
        <v>537</v>
      </c>
      <c r="B1909" s="43" t="s">
        <v>655</v>
      </c>
      <c r="C1909" s="37" t="s">
        <v>1977</v>
      </c>
      <c r="D1909" s="37"/>
      <c r="E1909" s="37" t="s">
        <v>1974</v>
      </c>
      <c r="F1909" s="37" t="b">
        <v>0</v>
      </c>
      <c r="G1909" s="37">
        <v>200</v>
      </c>
      <c r="H1909" s="37" t="b">
        <v>1</v>
      </c>
    </row>
    <row r="1910" spans="1:9" ht="30" x14ac:dyDescent="0.25">
      <c r="A1910" s="54" t="s">
        <v>537</v>
      </c>
      <c r="B1910" s="31" t="s">
        <v>635</v>
      </c>
      <c r="C1910" s="28" t="s">
        <v>1978</v>
      </c>
      <c r="D1910" s="28"/>
      <c r="E1910" s="28" t="s">
        <v>1974</v>
      </c>
      <c r="F1910" s="28" t="b">
        <v>0</v>
      </c>
      <c r="G1910" s="28">
        <v>200</v>
      </c>
      <c r="H1910" s="28" t="b">
        <v>1</v>
      </c>
      <c r="I1910" s="34"/>
    </row>
    <row r="1911" spans="1:9" ht="30" x14ac:dyDescent="0.25">
      <c r="A1911" s="54" t="s">
        <v>537</v>
      </c>
      <c r="B1911" s="43" t="s">
        <v>144</v>
      </c>
      <c r="C1911" s="37" t="s">
        <v>1979</v>
      </c>
      <c r="D1911" s="37"/>
      <c r="E1911" s="37" t="s">
        <v>1974</v>
      </c>
      <c r="F1911" s="37" t="b">
        <v>0</v>
      </c>
      <c r="G1911" s="37">
        <v>200</v>
      </c>
      <c r="H1911" s="37" t="b">
        <v>1</v>
      </c>
    </row>
    <row r="1912" spans="1:9" ht="30" x14ac:dyDescent="0.25">
      <c r="A1912" s="54" t="s">
        <v>537</v>
      </c>
      <c r="B1912" s="31" t="s">
        <v>618</v>
      </c>
      <c r="C1912" s="28" t="s">
        <v>1980</v>
      </c>
      <c r="D1912" s="28"/>
      <c r="E1912" s="28" t="s">
        <v>1974</v>
      </c>
      <c r="F1912" s="28" t="b">
        <v>0</v>
      </c>
      <c r="G1912" s="28">
        <v>200</v>
      </c>
      <c r="H1912" s="28" t="b">
        <v>1</v>
      </c>
      <c r="I1912" s="34"/>
    </row>
    <row r="1913" spans="1:9" ht="30" x14ac:dyDescent="0.25">
      <c r="A1913" s="54" t="s">
        <v>537</v>
      </c>
      <c r="B1913" s="43" t="s">
        <v>585</v>
      </c>
      <c r="C1913" s="37" t="s">
        <v>1981</v>
      </c>
      <c r="D1913" s="37"/>
      <c r="E1913" s="37" t="s">
        <v>1974</v>
      </c>
      <c r="F1913" s="37" t="b">
        <v>0</v>
      </c>
      <c r="G1913" s="37">
        <v>200</v>
      </c>
      <c r="H1913" s="37" t="b">
        <v>1</v>
      </c>
    </row>
    <row r="1914" spans="1:9" ht="30" x14ac:dyDescent="0.25">
      <c r="A1914" s="54" t="s">
        <v>537</v>
      </c>
      <c r="B1914" s="31" t="s">
        <v>582</v>
      </c>
      <c r="C1914" s="28" t="s">
        <v>1982</v>
      </c>
      <c r="D1914" s="28"/>
      <c r="E1914" s="28" t="s">
        <v>1974</v>
      </c>
      <c r="F1914" s="28" t="b">
        <v>0</v>
      </c>
      <c r="G1914" s="28">
        <v>200</v>
      </c>
      <c r="H1914" s="28" t="b">
        <v>1</v>
      </c>
      <c r="I1914" s="34"/>
    </row>
    <row r="1915" spans="1:9" ht="30" x14ac:dyDescent="0.25">
      <c r="A1915" s="54" t="s">
        <v>537</v>
      </c>
      <c r="B1915" s="43" t="s">
        <v>638</v>
      </c>
      <c r="C1915" s="37" t="s">
        <v>1983</v>
      </c>
      <c r="D1915" s="37"/>
      <c r="E1915" s="37" t="s">
        <v>1974</v>
      </c>
      <c r="F1915" s="37" t="b">
        <v>0</v>
      </c>
      <c r="G1915" s="37">
        <v>200</v>
      </c>
      <c r="H1915" s="37" t="b">
        <v>1</v>
      </c>
    </row>
    <row r="1916" spans="1:9" ht="30" x14ac:dyDescent="0.25">
      <c r="A1916" s="54" t="s">
        <v>537</v>
      </c>
      <c r="B1916" s="31" t="s">
        <v>638</v>
      </c>
      <c r="C1916" s="28" t="s">
        <v>1984</v>
      </c>
      <c r="D1916" s="28"/>
      <c r="E1916" s="28" t="s">
        <v>1974</v>
      </c>
      <c r="F1916" s="28" t="b">
        <v>0</v>
      </c>
      <c r="G1916" s="28">
        <v>200</v>
      </c>
      <c r="H1916" s="28" t="b">
        <v>1</v>
      </c>
      <c r="I1916" s="34"/>
    </row>
    <row r="1917" spans="1:9" ht="30" x14ac:dyDescent="0.25">
      <c r="A1917" s="54" t="s">
        <v>537</v>
      </c>
      <c r="B1917" s="43" t="s">
        <v>647</v>
      </c>
      <c r="C1917" s="37" t="s">
        <v>1985</v>
      </c>
      <c r="D1917" s="37"/>
      <c r="E1917" s="37" t="s">
        <v>1974</v>
      </c>
      <c r="F1917" s="37" t="b">
        <v>0</v>
      </c>
      <c r="G1917" s="37">
        <v>200</v>
      </c>
      <c r="H1917" s="37" t="b">
        <v>1</v>
      </c>
    </row>
    <row r="1918" spans="1:9" ht="30" x14ac:dyDescent="0.25">
      <c r="A1918" s="54" t="s">
        <v>537</v>
      </c>
      <c r="B1918" s="31" t="s">
        <v>503</v>
      </c>
      <c r="C1918" s="28" t="s">
        <v>1986</v>
      </c>
      <c r="D1918" s="28"/>
      <c r="E1918" s="28" t="s">
        <v>1974</v>
      </c>
      <c r="F1918" s="28" t="b">
        <v>0</v>
      </c>
      <c r="G1918" s="28">
        <v>200</v>
      </c>
      <c r="H1918" s="28" t="b">
        <v>1</v>
      </c>
      <c r="I1918" s="34"/>
    </row>
    <row r="1919" spans="1:9" ht="30" x14ac:dyDescent="0.25">
      <c r="A1919" s="54" t="s">
        <v>537</v>
      </c>
      <c r="B1919" s="43" t="s">
        <v>608</v>
      </c>
      <c r="C1919" s="37" t="s">
        <v>1987</v>
      </c>
      <c r="D1919" s="37"/>
      <c r="E1919" s="37" t="s">
        <v>1974</v>
      </c>
      <c r="F1919" s="37" t="b">
        <v>0</v>
      </c>
      <c r="G1919" s="37">
        <v>200</v>
      </c>
      <c r="H1919" s="37" t="b">
        <v>1</v>
      </c>
    </row>
    <row r="1920" spans="1:9" ht="30" x14ac:dyDescent="0.25">
      <c r="A1920" s="54" t="s">
        <v>537</v>
      </c>
      <c r="B1920" s="31" t="s">
        <v>497</v>
      </c>
      <c r="C1920" s="28" t="s">
        <v>2027</v>
      </c>
      <c r="D1920" s="28"/>
      <c r="E1920" s="28" t="s">
        <v>1974</v>
      </c>
      <c r="F1920" s="28" t="b">
        <v>0</v>
      </c>
      <c r="G1920" s="28">
        <v>200</v>
      </c>
      <c r="H1920" s="28" t="b">
        <v>1</v>
      </c>
      <c r="I1920" s="34"/>
    </row>
    <row r="1921" spans="1:9" ht="30" x14ac:dyDescent="0.25">
      <c r="A1921" s="54" t="s">
        <v>537</v>
      </c>
      <c r="B1921" s="43" t="s">
        <v>652</v>
      </c>
      <c r="C1921" s="37" t="s">
        <v>2028</v>
      </c>
      <c r="D1921" s="37"/>
      <c r="E1921" s="37" t="s">
        <v>1974</v>
      </c>
      <c r="F1921" s="37" t="b">
        <v>0</v>
      </c>
      <c r="G1921" s="37">
        <v>200</v>
      </c>
      <c r="H1921" s="37" t="b">
        <v>1</v>
      </c>
    </row>
    <row r="1922" spans="1:9" ht="30" x14ac:dyDescent="0.25">
      <c r="A1922" s="54" t="s">
        <v>537</v>
      </c>
      <c r="B1922" s="31" t="s">
        <v>537</v>
      </c>
      <c r="C1922" s="28" t="s">
        <v>2029</v>
      </c>
      <c r="D1922" s="28"/>
      <c r="E1922" s="28" t="s">
        <v>1974</v>
      </c>
      <c r="F1922" s="28" t="b">
        <v>0</v>
      </c>
      <c r="G1922" s="28">
        <v>200</v>
      </c>
      <c r="H1922" s="28" t="b">
        <v>1</v>
      </c>
      <c r="I1922" s="34"/>
    </row>
    <row r="1923" spans="1:9" ht="30" x14ac:dyDescent="0.25">
      <c r="A1923" s="54" t="s">
        <v>537</v>
      </c>
      <c r="B1923" s="43" t="s">
        <v>543</v>
      </c>
      <c r="C1923" s="37" t="s">
        <v>2030</v>
      </c>
      <c r="D1923" s="37"/>
      <c r="E1923" s="37" t="s">
        <v>1974</v>
      </c>
      <c r="F1923" s="37" t="b">
        <v>0</v>
      </c>
      <c r="G1923" s="37">
        <v>200</v>
      </c>
      <c r="H1923" s="37" t="b">
        <v>1</v>
      </c>
    </row>
    <row r="1924" spans="1:9" ht="30" x14ac:dyDescent="0.25">
      <c r="A1924" s="54" t="s">
        <v>537</v>
      </c>
      <c r="B1924" s="31" t="s">
        <v>566</v>
      </c>
      <c r="C1924" s="28" t="s">
        <v>2031</v>
      </c>
      <c r="D1924" s="28"/>
      <c r="E1924" s="28" t="s">
        <v>1974</v>
      </c>
      <c r="F1924" s="28" t="b">
        <v>0</v>
      </c>
      <c r="G1924" s="28">
        <v>200</v>
      </c>
      <c r="H1924" s="28" t="b">
        <v>1</v>
      </c>
      <c r="I1924" s="34"/>
    </row>
    <row r="1925" spans="1:9" ht="30" x14ac:dyDescent="0.25">
      <c r="A1925" s="54" t="s">
        <v>537</v>
      </c>
      <c r="B1925" s="43" t="s">
        <v>601</v>
      </c>
      <c r="C1925" s="37" t="s">
        <v>2032</v>
      </c>
      <c r="D1925" s="37"/>
      <c r="E1925" s="37" t="s">
        <v>1974</v>
      </c>
      <c r="F1925" s="37" t="b">
        <v>0</v>
      </c>
      <c r="G1925" s="37">
        <v>200</v>
      </c>
      <c r="H1925" s="37" t="b">
        <v>1</v>
      </c>
    </row>
    <row r="1926" spans="1:9" ht="30" x14ac:dyDescent="0.25">
      <c r="A1926" s="54" t="s">
        <v>537</v>
      </c>
      <c r="B1926" s="31" t="s">
        <v>497</v>
      </c>
      <c r="C1926" s="28" t="s">
        <v>2027</v>
      </c>
      <c r="D1926" s="28"/>
      <c r="E1926" s="28" t="s">
        <v>1974</v>
      </c>
      <c r="F1926" s="28" t="b">
        <v>0</v>
      </c>
      <c r="G1926" s="28">
        <v>200</v>
      </c>
      <c r="H1926" s="28" t="b">
        <v>1</v>
      </c>
      <c r="I1926" s="34"/>
    </row>
    <row r="1927" spans="1:9" ht="30" x14ac:dyDescent="0.25">
      <c r="A1927" s="54" t="s">
        <v>537</v>
      </c>
      <c r="B1927" s="43" t="s">
        <v>652</v>
      </c>
      <c r="C1927" s="37" t="s">
        <v>2028</v>
      </c>
      <c r="D1927" s="37"/>
      <c r="E1927" s="37" t="s">
        <v>1974</v>
      </c>
      <c r="F1927" s="37" t="b">
        <v>0</v>
      </c>
      <c r="G1927" s="37">
        <v>200</v>
      </c>
      <c r="H1927" s="37" t="b">
        <v>1</v>
      </c>
    </row>
    <row r="1928" spans="1:9" ht="30" x14ac:dyDescent="0.25">
      <c r="A1928" s="54" t="s">
        <v>537</v>
      </c>
      <c r="B1928" s="31" t="s">
        <v>537</v>
      </c>
      <c r="C1928" s="28" t="s">
        <v>2029</v>
      </c>
      <c r="D1928" s="28"/>
      <c r="E1928" s="28" t="s">
        <v>1974</v>
      </c>
      <c r="F1928" s="28" t="b">
        <v>0</v>
      </c>
      <c r="G1928" s="28">
        <v>200</v>
      </c>
      <c r="H1928" s="28" t="b">
        <v>1</v>
      </c>
      <c r="I1928" s="34"/>
    </row>
    <row r="1929" spans="1:9" ht="30" x14ac:dyDescent="0.25">
      <c r="A1929" s="54" t="s">
        <v>537</v>
      </c>
      <c r="B1929" s="43" t="s">
        <v>543</v>
      </c>
      <c r="C1929" s="37" t="s">
        <v>2030</v>
      </c>
      <c r="D1929" s="37"/>
      <c r="E1929" s="37" t="s">
        <v>1974</v>
      </c>
      <c r="F1929" s="37" t="b">
        <v>0</v>
      </c>
      <c r="G1929" s="37">
        <v>200</v>
      </c>
      <c r="H1929" s="37" t="b">
        <v>1</v>
      </c>
    </row>
    <row r="1930" spans="1:9" ht="30" x14ac:dyDescent="0.25">
      <c r="A1930" s="54" t="s">
        <v>537</v>
      </c>
      <c r="B1930" s="31" t="s">
        <v>566</v>
      </c>
      <c r="C1930" s="28" t="s">
        <v>2031</v>
      </c>
      <c r="D1930" s="28"/>
      <c r="E1930" s="28" t="s">
        <v>1974</v>
      </c>
      <c r="F1930" s="28" t="b">
        <v>0</v>
      </c>
      <c r="G1930" s="28">
        <v>200</v>
      </c>
      <c r="H1930" s="28" t="b">
        <v>1</v>
      </c>
      <c r="I1930" s="34"/>
    </row>
    <row r="1931" spans="1:9" ht="30" x14ac:dyDescent="0.25">
      <c r="A1931" s="54" t="s">
        <v>537</v>
      </c>
      <c r="B1931" s="43" t="s">
        <v>601</v>
      </c>
      <c r="C1931" s="37" t="s">
        <v>2032</v>
      </c>
      <c r="D1931" s="37"/>
      <c r="E1931" s="37" t="s">
        <v>1974</v>
      </c>
      <c r="F1931" s="37" t="b">
        <v>0</v>
      </c>
      <c r="G1931" s="37">
        <v>200</v>
      </c>
      <c r="H1931" s="37" t="b">
        <v>1</v>
      </c>
    </row>
    <row r="1932" spans="1:9" ht="45" x14ac:dyDescent="0.25">
      <c r="A1932" s="54" t="s">
        <v>537</v>
      </c>
      <c r="B1932" s="31" t="s">
        <v>2865</v>
      </c>
      <c r="C1932" s="28" t="s">
        <v>2866</v>
      </c>
      <c r="D1932" s="28"/>
      <c r="E1932" s="28" t="s">
        <v>1974</v>
      </c>
      <c r="F1932" s="28" t="b">
        <v>0</v>
      </c>
      <c r="G1932" s="28">
        <v>200</v>
      </c>
      <c r="H1932" s="28" t="b">
        <v>1</v>
      </c>
      <c r="I1932" s="34"/>
    </row>
    <row r="1933" spans="1:9" ht="45" x14ac:dyDescent="0.25">
      <c r="A1933" s="54" t="s">
        <v>537</v>
      </c>
      <c r="B1933" s="43" t="s">
        <v>2867</v>
      </c>
      <c r="C1933" s="37" t="s">
        <v>2868</v>
      </c>
      <c r="D1933" s="37"/>
      <c r="E1933" s="37" t="s">
        <v>1974</v>
      </c>
      <c r="F1933" s="37" t="b">
        <v>0</v>
      </c>
      <c r="G1933" s="37">
        <v>200</v>
      </c>
      <c r="H1933" s="37" t="b">
        <v>1</v>
      </c>
    </row>
    <row r="1934" spans="1:9" ht="45" x14ac:dyDescent="0.25">
      <c r="A1934" s="54" t="s">
        <v>537</v>
      </c>
      <c r="B1934" s="31" t="s">
        <v>2869</v>
      </c>
      <c r="C1934" s="28" t="s">
        <v>2870</v>
      </c>
      <c r="D1934" s="28"/>
      <c r="E1934" s="28" t="s">
        <v>1974</v>
      </c>
      <c r="F1934" s="28" t="b">
        <v>0</v>
      </c>
      <c r="G1934" s="28">
        <v>200</v>
      </c>
      <c r="H1934" s="28" t="b">
        <v>1</v>
      </c>
      <c r="I1934" s="34"/>
    </row>
    <row r="1935" spans="1:9" ht="30" x14ac:dyDescent="0.25">
      <c r="A1935" s="54" t="s">
        <v>537</v>
      </c>
      <c r="B1935" s="43" t="s">
        <v>647</v>
      </c>
      <c r="C1935" s="37" t="s">
        <v>2010</v>
      </c>
      <c r="D1935" s="37"/>
      <c r="E1935" s="37" t="s">
        <v>1974</v>
      </c>
      <c r="F1935" s="37" t="b">
        <v>0</v>
      </c>
      <c r="G1935" s="37">
        <v>200</v>
      </c>
      <c r="H1935" s="37" t="b">
        <v>1</v>
      </c>
    </row>
    <row r="1936" spans="1:9" ht="30" x14ac:dyDescent="0.25">
      <c r="A1936" s="54" t="s">
        <v>537</v>
      </c>
      <c r="B1936" s="31" t="s">
        <v>2011</v>
      </c>
      <c r="C1936" s="28"/>
      <c r="D1936" s="28"/>
      <c r="E1936" s="28" t="s">
        <v>2012</v>
      </c>
      <c r="F1936" s="28" t="b">
        <v>0</v>
      </c>
      <c r="G1936" s="28"/>
      <c r="H1936" s="28" t="b">
        <v>1</v>
      </c>
      <c r="I1936" s="34"/>
    </row>
    <row r="1937" spans="1:9" ht="30" x14ac:dyDescent="0.25">
      <c r="A1937" s="54" t="s">
        <v>537</v>
      </c>
      <c r="B1937" s="43" t="s">
        <v>2013</v>
      </c>
      <c r="C1937" s="37"/>
      <c r="D1937" s="37"/>
      <c r="E1937" s="37" t="s">
        <v>2012</v>
      </c>
      <c r="F1937" s="37" t="b">
        <v>0</v>
      </c>
      <c r="G1937" s="37"/>
      <c r="H1937" s="37" t="b">
        <v>1</v>
      </c>
    </row>
    <row r="1938" spans="1:9" ht="30" x14ac:dyDescent="0.25">
      <c r="A1938" s="54" t="s">
        <v>537</v>
      </c>
      <c r="B1938" s="31" t="s">
        <v>2033</v>
      </c>
      <c r="C1938" s="28"/>
      <c r="D1938" s="28"/>
      <c r="E1938" s="28" t="s">
        <v>2012</v>
      </c>
      <c r="F1938" s="28" t="b">
        <v>0</v>
      </c>
      <c r="G1938" s="28"/>
      <c r="H1938" s="28" t="b">
        <v>1</v>
      </c>
      <c r="I1938" s="34"/>
    </row>
    <row r="1939" spans="1:9" ht="30" x14ac:dyDescent="0.25">
      <c r="A1939" s="54" t="s">
        <v>537</v>
      </c>
      <c r="B1939" s="43" t="s">
        <v>641</v>
      </c>
      <c r="C1939" s="37" t="s">
        <v>2034</v>
      </c>
      <c r="D1939" s="37"/>
      <c r="E1939" s="37" t="s">
        <v>1974</v>
      </c>
      <c r="F1939" s="37" t="b">
        <v>0</v>
      </c>
      <c r="G1939" s="37">
        <v>200</v>
      </c>
      <c r="H1939" s="37" t="b">
        <v>1</v>
      </c>
    </row>
    <row r="1940" spans="1:9" ht="30" x14ac:dyDescent="0.25">
      <c r="A1940" s="54" t="s">
        <v>537</v>
      </c>
      <c r="B1940" s="31" t="s">
        <v>2015</v>
      </c>
      <c r="C1940" s="28" t="s">
        <v>2016</v>
      </c>
      <c r="D1940" s="28"/>
      <c r="E1940" s="28" t="s">
        <v>1974</v>
      </c>
      <c r="F1940" s="28" t="b">
        <v>0</v>
      </c>
      <c r="G1940" s="28">
        <v>404</v>
      </c>
      <c r="H1940" s="28" t="b">
        <v>0</v>
      </c>
      <c r="I1940" s="34"/>
    </row>
    <row r="1941" spans="1:9" ht="30" x14ac:dyDescent="0.25">
      <c r="A1941" s="54" t="s">
        <v>537</v>
      </c>
      <c r="B1941" s="43" t="s">
        <v>2015</v>
      </c>
      <c r="C1941" s="37" t="s">
        <v>2017</v>
      </c>
      <c r="D1941" s="37"/>
      <c r="E1941" s="37" t="s">
        <v>1974</v>
      </c>
      <c r="F1941" s="37" t="b">
        <v>0</v>
      </c>
      <c r="G1941" s="37">
        <v>404</v>
      </c>
      <c r="H1941" s="37" t="b">
        <v>0</v>
      </c>
    </row>
    <row r="1942" spans="1:9" ht="30" x14ac:dyDescent="0.25">
      <c r="A1942" s="54" t="s">
        <v>540</v>
      </c>
      <c r="B1942" s="31" t="s">
        <v>2025</v>
      </c>
      <c r="C1942" s="28"/>
      <c r="D1942" s="28"/>
      <c r="E1942" s="28" t="s">
        <v>2012</v>
      </c>
      <c r="F1942" s="28" t="b">
        <v>0</v>
      </c>
      <c r="G1942" s="28"/>
      <c r="H1942" s="28" t="b">
        <v>1</v>
      </c>
      <c r="I1942" s="34"/>
    </row>
    <row r="1943" spans="1:9" ht="30" x14ac:dyDescent="0.25">
      <c r="A1943" s="54" t="s">
        <v>540</v>
      </c>
      <c r="B1943" s="43" t="s">
        <v>497</v>
      </c>
      <c r="C1943" s="37" t="s">
        <v>2027</v>
      </c>
      <c r="D1943" s="37"/>
      <c r="E1943" s="37" t="s">
        <v>1974</v>
      </c>
      <c r="F1943" s="37" t="b">
        <v>0</v>
      </c>
      <c r="G1943" s="37">
        <v>200</v>
      </c>
      <c r="H1943" s="37" t="b">
        <v>1</v>
      </c>
    </row>
    <row r="1944" spans="1:9" ht="30" x14ac:dyDescent="0.25">
      <c r="A1944" s="54" t="s">
        <v>540</v>
      </c>
      <c r="B1944" s="31" t="s">
        <v>652</v>
      </c>
      <c r="C1944" s="28" t="s">
        <v>2028</v>
      </c>
      <c r="D1944" s="28"/>
      <c r="E1944" s="28" t="s">
        <v>1974</v>
      </c>
      <c r="F1944" s="28" t="b">
        <v>0</v>
      </c>
      <c r="G1944" s="28">
        <v>200</v>
      </c>
      <c r="H1944" s="28" t="b">
        <v>1</v>
      </c>
      <c r="I1944" s="34"/>
    </row>
    <row r="1945" spans="1:9" ht="30" x14ac:dyDescent="0.25">
      <c r="A1945" s="54" t="s">
        <v>540</v>
      </c>
      <c r="B1945" s="43" t="s">
        <v>537</v>
      </c>
      <c r="C1945" s="37" t="s">
        <v>2029</v>
      </c>
      <c r="D1945" s="37"/>
      <c r="E1945" s="37" t="s">
        <v>1974</v>
      </c>
      <c r="F1945" s="37" t="b">
        <v>0</v>
      </c>
      <c r="G1945" s="37">
        <v>200</v>
      </c>
      <c r="H1945" s="37" t="b">
        <v>1</v>
      </c>
    </row>
    <row r="1946" spans="1:9" ht="30" x14ac:dyDescent="0.25">
      <c r="A1946" s="54" t="s">
        <v>540</v>
      </c>
      <c r="B1946" s="31" t="s">
        <v>543</v>
      </c>
      <c r="C1946" s="28" t="s">
        <v>2030</v>
      </c>
      <c r="D1946" s="28"/>
      <c r="E1946" s="28" t="s">
        <v>1974</v>
      </c>
      <c r="F1946" s="28" t="b">
        <v>0</v>
      </c>
      <c r="G1946" s="28">
        <v>200</v>
      </c>
      <c r="H1946" s="28" t="b">
        <v>1</v>
      </c>
      <c r="I1946" s="34"/>
    </row>
    <row r="1947" spans="1:9" ht="30" x14ac:dyDescent="0.25">
      <c r="A1947" s="54" t="s">
        <v>540</v>
      </c>
      <c r="B1947" s="43" t="s">
        <v>566</v>
      </c>
      <c r="C1947" s="37" t="s">
        <v>2031</v>
      </c>
      <c r="D1947" s="37"/>
      <c r="E1947" s="37" t="s">
        <v>1974</v>
      </c>
      <c r="F1947" s="37" t="b">
        <v>0</v>
      </c>
      <c r="G1947" s="37">
        <v>200</v>
      </c>
      <c r="H1947" s="37" t="b">
        <v>1</v>
      </c>
    </row>
    <row r="1948" spans="1:9" ht="30" x14ac:dyDescent="0.25">
      <c r="A1948" s="54" t="s">
        <v>540</v>
      </c>
      <c r="B1948" s="31" t="s">
        <v>601</v>
      </c>
      <c r="C1948" s="28" t="s">
        <v>2032</v>
      </c>
      <c r="D1948" s="28"/>
      <c r="E1948" s="28" t="s">
        <v>1974</v>
      </c>
      <c r="F1948" s="28" t="b">
        <v>0</v>
      </c>
      <c r="G1948" s="28">
        <v>200</v>
      </c>
      <c r="H1948" s="28" t="b">
        <v>1</v>
      </c>
      <c r="I1948" s="34"/>
    </row>
    <row r="1949" spans="1:9" ht="30" x14ac:dyDescent="0.25">
      <c r="A1949" s="54" t="s">
        <v>540</v>
      </c>
      <c r="B1949" s="43" t="s">
        <v>497</v>
      </c>
      <c r="C1949" s="37" t="s">
        <v>2027</v>
      </c>
      <c r="D1949" s="37"/>
      <c r="E1949" s="37" t="s">
        <v>1974</v>
      </c>
      <c r="F1949" s="37" t="b">
        <v>0</v>
      </c>
      <c r="G1949" s="37">
        <v>200</v>
      </c>
      <c r="H1949" s="37" t="b">
        <v>1</v>
      </c>
    </row>
    <row r="1950" spans="1:9" ht="30" x14ac:dyDescent="0.25">
      <c r="A1950" s="54" t="s">
        <v>540</v>
      </c>
      <c r="B1950" s="31" t="s">
        <v>652</v>
      </c>
      <c r="C1950" s="28" t="s">
        <v>2028</v>
      </c>
      <c r="D1950" s="28"/>
      <c r="E1950" s="28" t="s">
        <v>1974</v>
      </c>
      <c r="F1950" s="28" t="b">
        <v>0</v>
      </c>
      <c r="G1950" s="28">
        <v>200</v>
      </c>
      <c r="H1950" s="28" t="b">
        <v>1</v>
      </c>
      <c r="I1950" s="34"/>
    </row>
    <row r="1951" spans="1:9" ht="30" x14ac:dyDescent="0.25">
      <c r="A1951" s="54" t="s">
        <v>540</v>
      </c>
      <c r="B1951" s="43" t="s">
        <v>537</v>
      </c>
      <c r="C1951" s="37" t="s">
        <v>2029</v>
      </c>
      <c r="D1951" s="37"/>
      <c r="E1951" s="37" t="s">
        <v>1974</v>
      </c>
      <c r="F1951" s="37" t="b">
        <v>0</v>
      </c>
      <c r="G1951" s="37">
        <v>200</v>
      </c>
      <c r="H1951" s="37" t="b">
        <v>1</v>
      </c>
    </row>
    <row r="1952" spans="1:9" ht="30" x14ac:dyDescent="0.25">
      <c r="A1952" s="54" t="s">
        <v>540</v>
      </c>
      <c r="B1952" s="31" t="s">
        <v>543</v>
      </c>
      <c r="C1952" s="28" t="s">
        <v>2030</v>
      </c>
      <c r="D1952" s="28"/>
      <c r="E1952" s="28" t="s">
        <v>1974</v>
      </c>
      <c r="F1952" s="28" t="b">
        <v>0</v>
      </c>
      <c r="G1952" s="28">
        <v>200</v>
      </c>
      <c r="H1952" s="28" t="b">
        <v>1</v>
      </c>
      <c r="I1952" s="34"/>
    </row>
    <row r="1953" spans="1:9" ht="30" x14ac:dyDescent="0.25">
      <c r="A1953" s="54" t="s">
        <v>540</v>
      </c>
      <c r="B1953" s="43" t="s">
        <v>566</v>
      </c>
      <c r="C1953" s="37" t="s">
        <v>2031</v>
      </c>
      <c r="D1953" s="37"/>
      <c r="E1953" s="37" t="s">
        <v>1974</v>
      </c>
      <c r="F1953" s="37" t="b">
        <v>0</v>
      </c>
      <c r="G1953" s="37">
        <v>200</v>
      </c>
      <c r="H1953" s="37" t="b">
        <v>1</v>
      </c>
    </row>
    <row r="1954" spans="1:9" ht="30" x14ac:dyDescent="0.25">
      <c r="A1954" s="54" t="s">
        <v>540</v>
      </c>
      <c r="B1954" s="31" t="s">
        <v>601</v>
      </c>
      <c r="C1954" s="28" t="s">
        <v>2032</v>
      </c>
      <c r="D1954" s="28"/>
      <c r="E1954" s="28" t="s">
        <v>1974</v>
      </c>
      <c r="F1954" s="28" t="b">
        <v>0</v>
      </c>
      <c r="G1954" s="28">
        <v>200</v>
      </c>
      <c r="H1954" s="28" t="b">
        <v>1</v>
      </c>
      <c r="I1954" s="34"/>
    </row>
    <row r="1955" spans="1:9" ht="30" x14ac:dyDescent="0.25">
      <c r="A1955" s="54" t="s">
        <v>540</v>
      </c>
      <c r="B1955" s="43" t="s">
        <v>647</v>
      </c>
      <c r="C1955" s="37" t="s">
        <v>2010</v>
      </c>
      <c r="D1955" s="37"/>
      <c r="E1955" s="37" t="s">
        <v>1974</v>
      </c>
      <c r="F1955" s="37" t="b">
        <v>0</v>
      </c>
      <c r="G1955" s="37">
        <v>200</v>
      </c>
      <c r="H1955" s="37" t="b">
        <v>1</v>
      </c>
    </row>
    <row r="1956" spans="1:9" ht="30" x14ac:dyDescent="0.25">
      <c r="A1956" s="54" t="s">
        <v>540</v>
      </c>
      <c r="B1956" s="31" t="s">
        <v>2011</v>
      </c>
      <c r="C1956" s="28"/>
      <c r="D1956" s="28"/>
      <c r="E1956" s="28" t="s">
        <v>2012</v>
      </c>
      <c r="F1956" s="28" t="b">
        <v>0</v>
      </c>
      <c r="G1956" s="28"/>
      <c r="H1956" s="28" t="b">
        <v>1</v>
      </c>
      <c r="I1956" s="34"/>
    </row>
    <row r="1957" spans="1:9" ht="30" x14ac:dyDescent="0.25">
      <c r="A1957" s="54" t="s">
        <v>540</v>
      </c>
      <c r="B1957" s="43" t="s">
        <v>2013</v>
      </c>
      <c r="C1957" s="37"/>
      <c r="D1957" s="37"/>
      <c r="E1957" s="37" t="s">
        <v>2012</v>
      </c>
      <c r="F1957" s="37" t="b">
        <v>0</v>
      </c>
      <c r="G1957" s="37"/>
      <c r="H1957" s="37" t="b">
        <v>1</v>
      </c>
    </row>
    <row r="1958" spans="1:9" ht="30" x14ac:dyDescent="0.25">
      <c r="A1958" s="54" t="s">
        <v>540</v>
      </c>
      <c r="B1958" s="31" t="s">
        <v>2033</v>
      </c>
      <c r="C1958" s="28"/>
      <c r="D1958" s="28"/>
      <c r="E1958" s="28" t="s">
        <v>2012</v>
      </c>
      <c r="F1958" s="28" t="b">
        <v>0</v>
      </c>
      <c r="G1958" s="28"/>
      <c r="H1958" s="28" t="b">
        <v>1</v>
      </c>
      <c r="I1958" s="34"/>
    </row>
    <row r="1959" spans="1:9" ht="30" x14ac:dyDescent="0.25">
      <c r="A1959" s="54" t="s">
        <v>540</v>
      </c>
      <c r="B1959" s="43" t="s">
        <v>641</v>
      </c>
      <c r="C1959" s="37" t="s">
        <v>2034</v>
      </c>
      <c r="D1959" s="37"/>
      <c r="E1959" s="37" t="s">
        <v>1974</v>
      </c>
      <c r="F1959" s="37" t="b">
        <v>0</v>
      </c>
      <c r="G1959" s="37">
        <v>200</v>
      </c>
      <c r="H1959" s="37" t="b">
        <v>1</v>
      </c>
    </row>
    <row r="1960" spans="1:9" ht="30" x14ac:dyDescent="0.25">
      <c r="A1960" s="54" t="s">
        <v>540</v>
      </c>
      <c r="B1960" s="31" t="s">
        <v>2015</v>
      </c>
      <c r="C1960" s="28" t="s">
        <v>2016</v>
      </c>
      <c r="D1960" s="28"/>
      <c r="E1960" s="28" t="s">
        <v>1974</v>
      </c>
      <c r="F1960" s="28" t="b">
        <v>0</v>
      </c>
      <c r="G1960" s="28">
        <v>404</v>
      </c>
      <c r="H1960" s="28" t="b">
        <v>0</v>
      </c>
      <c r="I1960" s="34"/>
    </row>
    <row r="1961" spans="1:9" ht="30" x14ac:dyDescent="0.25">
      <c r="A1961" s="54" t="s">
        <v>540</v>
      </c>
      <c r="B1961" s="43" t="s">
        <v>2015</v>
      </c>
      <c r="C1961" s="37" t="s">
        <v>2017</v>
      </c>
      <c r="D1961" s="37"/>
      <c r="E1961" s="37" t="s">
        <v>1974</v>
      </c>
      <c r="F1961" s="37" t="b">
        <v>0</v>
      </c>
      <c r="G1961" s="37">
        <v>404</v>
      </c>
      <c r="H1961" s="37" t="b">
        <v>0</v>
      </c>
    </row>
    <row r="1962" spans="1:9" ht="30" x14ac:dyDescent="0.25">
      <c r="A1962" s="54" t="s">
        <v>543</v>
      </c>
      <c r="B1962" s="31" t="s">
        <v>2025</v>
      </c>
      <c r="C1962" s="28"/>
      <c r="D1962" s="28"/>
      <c r="E1962" s="28" t="s">
        <v>2012</v>
      </c>
      <c r="F1962" s="28" t="b">
        <v>0</v>
      </c>
      <c r="G1962" s="28"/>
      <c r="H1962" s="28" t="b">
        <v>1</v>
      </c>
      <c r="I1962" s="34"/>
    </row>
    <row r="1963" spans="1:9" ht="30" x14ac:dyDescent="0.25">
      <c r="A1963" s="54" t="s">
        <v>543</v>
      </c>
      <c r="B1963" s="43" t="s">
        <v>127</v>
      </c>
      <c r="C1963" s="37" t="s">
        <v>1975</v>
      </c>
      <c r="D1963" s="37"/>
      <c r="E1963" s="37" t="s">
        <v>1974</v>
      </c>
      <c r="F1963" s="37" t="b">
        <v>0</v>
      </c>
      <c r="G1963" s="37">
        <v>200</v>
      </c>
      <c r="H1963" s="37" t="b">
        <v>1</v>
      </c>
    </row>
    <row r="1964" spans="1:9" ht="30" x14ac:dyDescent="0.25">
      <c r="A1964" s="54" t="s">
        <v>543</v>
      </c>
      <c r="B1964" s="31" t="s">
        <v>135</v>
      </c>
      <c r="C1964" s="28" t="s">
        <v>1976</v>
      </c>
      <c r="D1964" s="28"/>
      <c r="E1964" s="28" t="s">
        <v>1974</v>
      </c>
      <c r="F1964" s="28" t="b">
        <v>0</v>
      </c>
      <c r="G1964" s="28">
        <v>200</v>
      </c>
      <c r="H1964" s="28" t="b">
        <v>1</v>
      </c>
      <c r="I1964" s="34"/>
    </row>
    <row r="1965" spans="1:9" ht="30" x14ac:dyDescent="0.25">
      <c r="A1965" s="54" t="s">
        <v>543</v>
      </c>
      <c r="B1965" s="43" t="s">
        <v>655</v>
      </c>
      <c r="C1965" s="37" t="s">
        <v>1977</v>
      </c>
      <c r="D1965" s="37"/>
      <c r="E1965" s="37" t="s">
        <v>1974</v>
      </c>
      <c r="F1965" s="37" t="b">
        <v>0</v>
      </c>
      <c r="G1965" s="37">
        <v>200</v>
      </c>
      <c r="H1965" s="37" t="b">
        <v>1</v>
      </c>
    </row>
    <row r="1966" spans="1:9" ht="30" x14ac:dyDescent="0.25">
      <c r="A1966" s="54" t="s">
        <v>543</v>
      </c>
      <c r="B1966" s="31" t="s">
        <v>635</v>
      </c>
      <c r="C1966" s="28" t="s">
        <v>1978</v>
      </c>
      <c r="D1966" s="28"/>
      <c r="E1966" s="28" t="s">
        <v>1974</v>
      </c>
      <c r="F1966" s="28" t="b">
        <v>0</v>
      </c>
      <c r="G1966" s="28">
        <v>200</v>
      </c>
      <c r="H1966" s="28" t="b">
        <v>1</v>
      </c>
      <c r="I1966" s="34"/>
    </row>
    <row r="1967" spans="1:9" ht="30" x14ac:dyDescent="0.25">
      <c r="A1967" s="54" t="s">
        <v>543</v>
      </c>
      <c r="B1967" s="43" t="s">
        <v>144</v>
      </c>
      <c r="C1967" s="37" t="s">
        <v>1979</v>
      </c>
      <c r="D1967" s="37"/>
      <c r="E1967" s="37" t="s">
        <v>1974</v>
      </c>
      <c r="F1967" s="37" t="b">
        <v>0</v>
      </c>
      <c r="G1967" s="37">
        <v>200</v>
      </c>
      <c r="H1967" s="37" t="b">
        <v>1</v>
      </c>
    </row>
    <row r="1968" spans="1:9" ht="30" x14ac:dyDescent="0.25">
      <c r="A1968" s="54" t="s">
        <v>543</v>
      </c>
      <c r="B1968" s="31" t="s">
        <v>618</v>
      </c>
      <c r="C1968" s="28" t="s">
        <v>1980</v>
      </c>
      <c r="D1968" s="28"/>
      <c r="E1968" s="28" t="s">
        <v>1974</v>
      </c>
      <c r="F1968" s="28" t="b">
        <v>0</v>
      </c>
      <c r="G1968" s="28">
        <v>200</v>
      </c>
      <c r="H1968" s="28" t="b">
        <v>1</v>
      </c>
      <c r="I1968" s="34"/>
    </row>
    <row r="1969" spans="1:9" ht="30" x14ac:dyDescent="0.25">
      <c r="A1969" s="54" t="s">
        <v>543</v>
      </c>
      <c r="B1969" s="43" t="s">
        <v>585</v>
      </c>
      <c r="C1969" s="37" t="s">
        <v>1981</v>
      </c>
      <c r="D1969" s="37"/>
      <c r="E1969" s="37" t="s">
        <v>1974</v>
      </c>
      <c r="F1969" s="37" t="b">
        <v>0</v>
      </c>
      <c r="G1969" s="37">
        <v>200</v>
      </c>
      <c r="H1969" s="37" t="b">
        <v>1</v>
      </c>
    </row>
    <row r="1970" spans="1:9" ht="30" x14ac:dyDescent="0.25">
      <c r="A1970" s="54" t="s">
        <v>543</v>
      </c>
      <c r="B1970" s="31" t="s">
        <v>582</v>
      </c>
      <c r="C1970" s="28" t="s">
        <v>1982</v>
      </c>
      <c r="D1970" s="28"/>
      <c r="E1970" s="28" t="s">
        <v>1974</v>
      </c>
      <c r="F1970" s="28" t="b">
        <v>0</v>
      </c>
      <c r="G1970" s="28">
        <v>200</v>
      </c>
      <c r="H1970" s="28" t="b">
        <v>1</v>
      </c>
      <c r="I1970" s="34"/>
    </row>
    <row r="1971" spans="1:9" ht="30" x14ac:dyDescent="0.25">
      <c r="A1971" s="54" t="s">
        <v>543</v>
      </c>
      <c r="B1971" s="43" t="s">
        <v>638</v>
      </c>
      <c r="C1971" s="37" t="s">
        <v>1983</v>
      </c>
      <c r="D1971" s="37"/>
      <c r="E1971" s="37" t="s">
        <v>1974</v>
      </c>
      <c r="F1971" s="37" t="b">
        <v>0</v>
      </c>
      <c r="G1971" s="37">
        <v>200</v>
      </c>
      <c r="H1971" s="37" t="b">
        <v>1</v>
      </c>
    </row>
    <row r="1972" spans="1:9" ht="30" x14ac:dyDescent="0.25">
      <c r="A1972" s="54" t="s">
        <v>543</v>
      </c>
      <c r="B1972" s="31" t="s">
        <v>638</v>
      </c>
      <c r="C1972" s="28" t="s">
        <v>1984</v>
      </c>
      <c r="D1972" s="28"/>
      <c r="E1972" s="28" t="s">
        <v>1974</v>
      </c>
      <c r="F1972" s="28" t="b">
        <v>0</v>
      </c>
      <c r="G1972" s="28">
        <v>200</v>
      </c>
      <c r="H1972" s="28" t="b">
        <v>1</v>
      </c>
      <c r="I1972" s="34"/>
    </row>
    <row r="1973" spans="1:9" ht="30" x14ac:dyDescent="0.25">
      <c r="A1973" s="54" t="s">
        <v>543</v>
      </c>
      <c r="B1973" s="43" t="s">
        <v>647</v>
      </c>
      <c r="C1973" s="37" t="s">
        <v>1985</v>
      </c>
      <c r="D1973" s="37"/>
      <c r="E1973" s="37" t="s">
        <v>1974</v>
      </c>
      <c r="F1973" s="37" t="b">
        <v>0</v>
      </c>
      <c r="G1973" s="37">
        <v>200</v>
      </c>
      <c r="H1973" s="37" t="b">
        <v>1</v>
      </c>
    </row>
    <row r="1974" spans="1:9" ht="30" x14ac:dyDescent="0.25">
      <c r="A1974" s="54" t="s">
        <v>543</v>
      </c>
      <c r="B1974" s="31" t="s">
        <v>503</v>
      </c>
      <c r="C1974" s="28" t="s">
        <v>1986</v>
      </c>
      <c r="D1974" s="28"/>
      <c r="E1974" s="28" t="s">
        <v>1974</v>
      </c>
      <c r="F1974" s="28" t="b">
        <v>0</v>
      </c>
      <c r="G1974" s="28">
        <v>200</v>
      </c>
      <c r="H1974" s="28" t="b">
        <v>1</v>
      </c>
      <c r="I1974" s="34"/>
    </row>
    <row r="1975" spans="1:9" ht="30" x14ac:dyDescent="0.25">
      <c r="A1975" s="54" t="s">
        <v>543</v>
      </c>
      <c r="B1975" s="43" t="s">
        <v>608</v>
      </c>
      <c r="C1975" s="37" t="s">
        <v>1987</v>
      </c>
      <c r="D1975" s="37"/>
      <c r="E1975" s="37" t="s">
        <v>1974</v>
      </c>
      <c r="F1975" s="37" t="b">
        <v>0</v>
      </c>
      <c r="G1975" s="37">
        <v>200</v>
      </c>
      <c r="H1975" s="37" t="b">
        <v>1</v>
      </c>
    </row>
    <row r="1976" spans="1:9" ht="30" x14ac:dyDescent="0.25">
      <c r="A1976" s="54" t="s">
        <v>543</v>
      </c>
      <c r="B1976" s="31" t="s">
        <v>127</v>
      </c>
      <c r="C1976" s="28" t="s">
        <v>1975</v>
      </c>
      <c r="D1976" s="28"/>
      <c r="E1976" s="28" t="s">
        <v>1974</v>
      </c>
      <c r="F1976" s="28" t="b">
        <v>0</v>
      </c>
      <c r="G1976" s="28">
        <v>200</v>
      </c>
      <c r="H1976" s="28" t="b">
        <v>1</v>
      </c>
      <c r="I1976" s="34"/>
    </row>
    <row r="1977" spans="1:9" ht="30" x14ac:dyDescent="0.25">
      <c r="A1977" s="54" t="s">
        <v>543</v>
      </c>
      <c r="B1977" s="43" t="s">
        <v>135</v>
      </c>
      <c r="C1977" s="37" t="s">
        <v>1976</v>
      </c>
      <c r="D1977" s="37"/>
      <c r="E1977" s="37" t="s">
        <v>1974</v>
      </c>
      <c r="F1977" s="37" t="b">
        <v>0</v>
      </c>
      <c r="G1977" s="37">
        <v>200</v>
      </c>
      <c r="H1977" s="37" t="b">
        <v>1</v>
      </c>
    </row>
    <row r="1978" spans="1:9" ht="30" x14ac:dyDescent="0.25">
      <c r="A1978" s="54" t="s">
        <v>543</v>
      </c>
      <c r="B1978" s="31" t="s">
        <v>655</v>
      </c>
      <c r="C1978" s="28" t="s">
        <v>1977</v>
      </c>
      <c r="D1978" s="28"/>
      <c r="E1978" s="28" t="s">
        <v>1974</v>
      </c>
      <c r="F1978" s="28" t="b">
        <v>0</v>
      </c>
      <c r="G1978" s="28">
        <v>200</v>
      </c>
      <c r="H1978" s="28" t="b">
        <v>1</v>
      </c>
      <c r="I1978" s="34"/>
    </row>
    <row r="1979" spans="1:9" ht="30" x14ac:dyDescent="0.25">
      <c r="A1979" s="54" t="s">
        <v>543</v>
      </c>
      <c r="B1979" s="43" t="s">
        <v>635</v>
      </c>
      <c r="C1979" s="37" t="s">
        <v>1978</v>
      </c>
      <c r="D1979" s="37"/>
      <c r="E1979" s="37" t="s">
        <v>1974</v>
      </c>
      <c r="F1979" s="37" t="b">
        <v>0</v>
      </c>
      <c r="G1979" s="37">
        <v>200</v>
      </c>
      <c r="H1979" s="37" t="b">
        <v>1</v>
      </c>
    </row>
    <row r="1980" spans="1:9" ht="30" x14ac:dyDescent="0.25">
      <c r="A1980" s="54" t="s">
        <v>543</v>
      </c>
      <c r="B1980" s="31" t="s">
        <v>144</v>
      </c>
      <c r="C1980" s="28" t="s">
        <v>1979</v>
      </c>
      <c r="D1980" s="28"/>
      <c r="E1980" s="28" t="s">
        <v>1974</v>
      </c>
      <c r="F1980" s="28" t="b">
        <v>0</v>
      </c>
      <c r="G1980" s="28">
        <v>200</v>
      </c>
      <c r="H1980" s="28" t="b">
        <v>1</v>
      </c>
      <c r="I1980" s="34"/>
    </row>
    <row r="1981" spans="1:9" ht="30" x14ac:dyDescent="0.25">
      <c r="A1981" s="54" t="s">
        <v>543</v>
      </c>
      <c r="B1981" s="43" t="s">
        <v>618</v>
      </c>
      <c r="C1981" s="37" t="s">
        <v>1980</v>
      </c>
      <c r="D1981" s="37"/>
      <c r="E1981" s="37" t="s">
        <v>1974</v>
      </c>
      <c r="F1981" s="37" t="b">
        <v>0</v>
      </c>
      <c r="G1981" s="37">
        <v>200</v>
      </c>
      <c r="H1981" s="37" t="b">
        <v>1</v>
      </c>
    </row>
    <row r="1982" spans="1:9" ht="30" x14ac:dyDescent="0.25">
      <c r="A1982" s="54" t="s">
        <v>543</v>
      </c>
      <c r="B1982" s="31" t="s">
        <v>585</v>
      </c>
      <c r="C1982" s="28" t="s">
        <v>1981</v>
      </c>
      <c r="D1982" s="28"/>
      <c r="E1982" s="28" t="s">
        <v>1974</v>
      </c>
      <c r="F1982" s="28" t="b">
        <v>0</v>
      </c>
      <c r="G1982" s="28">
        <v>200</v>
      </c>
      <c r="H1982" s="28" t="b">
        <v>1</v>
      </c>
      <c r="I1982" s="34"/>
    </row>
    <row r="1983" spans="1:9" ht="30" x14ac:dyDescent="0.25">
      <c r="A1983" s="54" t="s">
        <v>543</v>
      </c>
      <c r="B1983" s="43" t="s">
        <v>582</v>
      </c>
      <c r="C1983" s="37" t="s">
        <v>1982</v>
      </c>
      <c r="D1983" s="37"/>
      <c r="E1983" s="37" t="s">
        <v>1974</v>
      </c>
      <c r="F1983" s="37" t="b">
        <v>0</v>
      </c>
      <c r="G1983" s="37">
        <v>200</v>
      </c>
      <c r="H1983" s="37" t="b">
        <v>1</v>
      </c>
    </row>
    <row r="1984" spans="1:9" ht="30" x14ac:dyDescent="0.25">
      <c r="A1984" s="54" t="s">
        <v>543</v>
      </c>
      <c r="B1984" s="31" t="s">
        <v>638</v>
      </c>
      <c r="C1984" s="28" t="s">
        <v>1983</v>
      </c>
      <c r="D1984" s="28"/>
      <c r="E1984" s="28" t="s">
        <v>1974</v>
      </c>
      <c r="F1984" s="28" t="b">
        <v>0</v>
      </c>
      <c r="G1984" s="28">
        <v>200</v>
      </c>
      <c r="H1984" s="28" t="b">
        <v>1</v>
      </c>
      <c r="I1984" s="34"/>
    </row>
    <row r="1985" spans="1:9" ht="30" x14ac:dyDescent="0.25">
      <c r="A1985" s="54" t="s">
        <v>543</v>
      </c>
      <c r="B1985" s="43" t="s">
        <v>638</v>
      </c>
      <c r="C1985" s="37" t="s">
        <v>1984</v>
      </c>
      <c r="D1985" s="37"/>
      <c r="E1985" s="37" t="s">
        <v>1974</v>
      </c>
      <c r="F1985" s="37" t="b">
        <v>0</v>
      </c>
      <c r="G1985" s="37">
        <v>200</v>
      </c>
      <c r="H1985" s="37" t="b">
        <v>1</v>
      </c>
    </row>
    <row r="1986" spans="1:9" ht="30" x14ac:dyDescent="0.25">
      <c r="A1986" s="54" t="s">
        <v>543</v>
      </c>
      <c r="B1986" s="31" t="s">
        <v>647</v>
      </c>
      <c r="C1986" s="28" t="s">
        <v>1985</v>
      </c>
      <c r="D1986" s="28"/>
      <c r="E1986" s="28" t="s">
        <v>1974</v>
      </c>
      <c r="F1986" s="28" t="b">
        <v>0</v>
      </c>
      <c r="G1986" s="28">
        <v>200</v>
      </c>
      <c r="H1986" s="28" t="b">
        <v>1</v>
      </c>
      <c r="I1986" s="34"/>
    </row>
    <row r="1987" spans="1:9" ht="30" x14ac:dyDescent="0.25">
      <c r="A1987" s="54" t="s">
        <v>543</v>
      </c>
      <c r="B1987" s="43" t="s">
        <v>503</v>
      </c>
      <c r="C1987" s="37" t="s">
        <v>1986</v>
      </c>
      <c r="D1987" s="37"/>
      <c r="E1987" s="37" t="s">
        <v>1974</v>
      </c>
      <c r="F1987" s="37" t="b">
        <v>0</v>
      </c>
      <c r="G1987" s="37">
        <v>200</v>
      </c>
      <c r="H1987" s="37" t="b">
        <v>1</v>
      </c>
    </row>
    <row r="1988" spans="1:9" ht="30" x14ac:dyDescent="0.25">
      <c r="A1988" s="54" t="s">
        <v>543</v>
      </c>
      <c r="B1988" s="31" t="s">
        <v>608</v>
      </c>
      <c r="C1988" s="28" t="s">
        <v>1987</v>
      </c>
      <c r="D1988" s="28"/>
      <c r="E1988" s="28" t="s">
        <v>1974</v>
      </c>
      <c r="F1988" s="28" t="b">
        <v>0</v>
      </c>
      <c r="G1988" s="28">
        <v>200</v>
      </c>
      <c r="H1988" s="28" t="b">
        <v>1</v>
      </c>
      <c r="I1988" s="34"/>
    </row>
    <row r="1989" spans="1:9" ht="30" x14ac:dyDescent="0.25">
      <c r="A1989" s="54" t="s">
        <v>543</v>
      </c>
      <c r="B1989" s="43" t="s">
        <v>497</v>
      </c>
      <c r="C1989" s="37" t="s">
        <v>2027</v>
      </c>
      <c r="D1989" s="37"/>
      <c r="E1989" s="37" t="s">
        <v>1974</v>
      </c>
      <c r="F1989" s="37" t="b">
        <v>0</v>
      </c>
      <c r="G1989" s="37">
        <v>200</v>
      </c>
      <c r="H1989" s="37" t="b">
        <v>1</v>
      </c>
    </row>
    <row r="1990" spans="1:9" ht="30" x14ac:dyDescent="0.25">
      <c r="A1990" s="54" t="s">
        <v>543</v>
      </c>
      <c r="B1990" s="31" t="s">
        <v>652</v>
      </c>
      <c r="C1990" s="28" t="s">
        <v>2028</v>
      </c>
      <c r="D1990" s="28"/>
      <c r="E1990" s="28" t="s">
        <v>1974</v>
      </c>
      <c r="F1990" s="28" t="b">
        <v>0</v>
      </c>
      <c r="G1990" s="28">
        <v>200</v>
      </c>
      <c r="H1990" s="28" t="b">
        <v>1</v>
      </c>
      <c r="I1990" s="34"/>
    </row>
    <row r="1991" spans="1:9" ht="30" x14ac:dyDescent="0.25">
      <c r="A1991" s="54" t="s">
        <v>543</v>
      </c>
      <c r="B1991" s="43" t="s">
        <v>537</v>
      </c>
      <c r="C1991" s="37" t="s">
        <v>2029</v>
      </c>
      <c r="D1991" s="37"/>
      <c r="E1991" s="37" t="s">
        <v>1974</v>
      </c>
      <c r="F1991" s="37" t="b">
        <v>0</v>
      </c>
      <c r="G1991" s="37">
        <v>200</v>
      </c>
      <c r="H1991" s="37" t="b">
        <v>1</v>
      </c>
    </row>
    <row r="1992" spans="1:9" ht="30" x14ac:dyDescent="0.25">
      <c r="A1992" s="54" t="s">
        <v>543</v>
      </c>
      <c r="B1992" s="31" t="s">
        <v>543</v>
      </c>
      <c r="C1992" s="28" t="s">
        <v>2030</v>
      </c>
      <c r="D1992" s="28"/>
      <c r="E1992" s="28" t="s">
        <v>1974</v>
      </c>
      <c r="F1992" s="28" t="b">
        <v>0</v>
      </c>
      <c r="G1992" s="28">
        <v>200</v>
      </c>
      <c r="H1992" s="28" t="b">
        <v>1</v>
      </c>
      <c r="I1992" s="34"/>
    </row>
    <row r="1993" spans="1:9" ht="30" x14ac:dyDescent="0.25">
      <c r="A1993" s="54" t="s">
        <v>543</v>
      </c>
      <c r="B1993" s="43" t="s">
        <v>566</v>
      </c>
      <c r="C1993" s="37" t="s">
        <v>2031</v>
      </c>
      <c r="D1993" s="37"/>
      <c r="E1993" s="37" t="s">
        <v>1974</v>
      </c>
      <c r="F1993" s="37" t="b">
        <v>0</v>
      </c>
      <c r="G1993" s="37">
        <v>200</v>
      </c>
      <c r="H1993" s="37" t="b">
        <v>1</v>
      </c>
    </row>
    <row r="1994" spans="1:9" ht="30" x14ac:dyDescent="0.25">
      <c r="A1994" s="54" t="s">
        <v>543</v>
      </c>
      <c r="B1994" s="31" t="s">
        <v>601</v>
      </c>
      <c r="C1994" s="28" t="s">
        <v>2032</v>
      </c>
      <c r="D1994" s="28"/>
      <c r="E1994" s="28" t="s">
        <v>1974</v>
      </c>
      <c r="F1994" s="28" t="b">
        <v>0</v>
      </c>
      <c r="G1994" s="28">
        <v>200</v>
      </c>
      <c r="H1994" s="28" t="b">
        <v>1</v>
      </c>
      <c r="I1994" s="34"/>
    </row>
    <row r="1995" spans="1:9" ht="30" x14ac:dyDescent="0.25">
      <c r="A1995" s="54" t="s">
        <v>543</v>
      </c>
      <c r="B1995" s="43" t="s">
        <v>497</v>
      </c>
      <c r="C1995" s="37" t="s">
        <v>2027</v>
      </c>
      <c r="D1995" s="37"/>
      <c r="E1995" s="37" t="s">
        <v>1974</v>
      </c>
      <c r="F1995" s="37" t="b">
        <v>0</v>
      </c>
      <c r="G1995" s="37">
        <v>200</v>
      </c>
      <c r="H1995" s="37" t="b">
        <v>1</v>
      </c>
    </row>
    <row r="1996" spans="1:9" ht="30" x14ac:dyDescent="0.25">
      <c r="A1996" s="54" t="s">
        <v>543</v>
      </c>
      <c r="B1996" s="31" t="s">
        <v>652</v>
      </c>
      <c r="C1996" s="28" t="s">
        <v>2028</v>
      </c>
      <c r="D1996" s="28"/>
      <c r="E1996" s="28" t="s">
        <v>1974</v>
      </c>
      <c r="F1996" s="28" t="b">
        <v>0</v>
      </c>
      <c r="G1996" s="28">
        <v>200</v>
      </c>
      <c r="H1996" s="28" t="b">
        <v>1</v>
      </c>
      <c r="I1996" s="34"/>
    </row>
    <row r="1997" spans="1:9" ht="30" x14ac:dyDescent="0.25">
      <c r="A1997" s="54" t="s">
        <v>543</v>
      </c>
      <c r="B1997" s="43" t="s">
        <v>537</v>
      </c>
      <c r="C1997" s="37" t="s">
        <v>2029</v>
      </c>
      <c r="D1997" s="37"/>
      <c r="E1997" s="37" t="s">
        <v>1974</v>
      </c>
      <c r="F1997" s="37" t="b">
        <v>0</v>
      </c>
      <c r="G1997" s="37">
        <v>200</v>
      </c>
      <c r="H1997" s="37" t="b">
        <v>1</v>
      </c>
    </row>
    <row r="1998" spans="1:9" ht="30" x14ac:dyDescent="0.25">
      <c r="A1998" s="54" t="s">
        <v>543</v>
      </c>
      <c r="B1998" s="31" t="s">
        <v>543</v>
      </c>
      <c r="C1998" s="28" t="s">
        <v>2030</v>
      </c>
      <c r="D1998" s="28"/>
      <c r="E1998" s="28" t="s">
        <v>1974</v>
      </c>
      <c r="F1998" s="28" t="b">
        <v>0</v>
      </c>
      <c r="G1998" s="28">
        <v>200</v>
      </c>
      <c r="H1998" s="28" t="b">
        <v>1</v>
      </c>
      <c r="I1998" s="34"/>
    </row>
    <row r="1999" spans="1:9" ht="30" x14ac:dyDescent="0.25">
      <c r="A1999" s="54" t="s">
        <v>543</v>
      </c>
      <c r="B1999" s="43" t="s">
        <v>566</v>
      </c>
      <c r="C1999" s="37" t="s">
        <v>2031</v>
      </c>
      <c r="D1999" s="37"/>
      <c r="E1999" s="37" t="s">
        <v>1974</v>
      </c>
      <c r="F1999" s="37" t="b">
        <v>0</v>
      </c>
      <c r="G1999" s="37">
        <v>200</v>
      </c>
      <c r="H1999" s="37" t="b">
        <v>1</v>
      </c>
    </row>
    <row r="2000" spans="1:9" ht="30" x14ac:dyDescent="0.25">
      <c r="A2000" s="54" t="s">
        <v>543</v>
      </c>
      <c r="B2000" s="31" t="s">
        <v>601</v>
      </c>
      <c r="C2000" s="28" t="s">
        <v>2032</v>
      </c>
      <c r="D2000" s="28"/>
      <c r="E2000" s="28" t="s">
        <v>1974</v>
      </c>
      <c r="F2000" s="28" t="b">
        <v>0</v>
      </c>
      <c r="G2000" s="28">
        <v>200</v>
      </c>
      <c r="H2000" s="28" t="b">
        <v>1</v>
      </c>
      <c r="I2000" s="34"/>
    </row>
    <row r="2001" spans="1:9" ht="30" x14ac:dyDescent="0.25">
      <c r="A2001" s="54" t="s">
        <v>543</v>
      </c>
      <c r="B2001" s="43" t="s">
        <v>2729</v>
      </c>
      <c r="C2001" s="37"/>
      <c r="D2001" s="37"/>
      <c r="E2001" s="37" t="s">
        <v>2012</v>
      </c>
      <c r="F2001" s="37" t="b">
        <v>0</v>
      </c>
      <c r="G2001" s="37"/>
      <c r="H2001" s="37" t="b">
        <v>1</v>
      </c>
    </row>
    <row r="2002" spans="1:9" ht="30" x14ac:dyDescent="0.25">
      <c r="A2002" s="54" t="s">
        <v>543</v>
      </c>
      <c r="B2002" s="31" t="s">
        <v>2729</v>
      </c>
      <c r="C2002" s="28"/>
      <c r="D2002" s="28"/>
      <c r="E2002" s="28" t="s">
        <v>2012</v>
      </c>
      <c r="F2002" s="28" t="b">
        <v>0</v>
      </c>
      <c r="G2002" s="28"/>
      <c r="H2002" s="28" t="b">
        <v>1</v>
      </c>
      <c r="I2002" s="34"/>
    </row>
    <row r="2003" spans="1:9" ht="30" x14ac:dyDescent="0.25">
      <c r="A2003" s="54" t="s">
        <v>543</v>
      </c>
      <c r="B2003" s="43" t="s">
        <v>2730</v>
      </c>
      <c r="C2003" s="37"/>
      <c r="D2003" s="37"/>
      <c r="E2003" s="37" t="s">
        <v>2012</v>
      </c>
      <c r="F2003" s="37" t="b">
        <v>0</v>
      </c>
      <c r="G2003" s="37"/>
      <c r="H2003" s="37" t="b">
        <v>1</v>
      </c>
    </row>
    <row r="2004" spans="1:9" ht="30" x14ac:dyDescent="0.25">
      <c r="A2004" s="54" t="s">
        <v>543</v>
      </c>
      <c r="B2004" s="31" t="s">
        <v>2728</v>
      </c>
      <c r="C2004" s="28"/>
      <c r="D2004" s="28"/>
      <c r="E2004" s="28" t="s">
        <v>2012</v>
      </c>
      <c r="F2004" s="28" t="b">
        <v>0</v>
      </c>
      <c r="G2004" s="28"/>
      <c r="H2004" s="28" t="b">
        <v>1</v>
      </c>
      <c r="I2004" s="34"/>
    </row>
    <row r="2005" spans="1:9" ht="30" x14ac:dyDescent="0.25">
      <c r="A2005" s="54" t="s">
        <v>543</v>
      </c>
      <c r="B2005" s="43" t="s">
        <v>2728</v>
      </c>
      <c r="C2005" s="37"/>
      <c r="D2005" s="37"/>
      <c r="E2005" s="37" t="s">
        <v>2012</v>
      </c>
      <c r="F2005" s="37" t="b">
        <v>0</v>
      </c>
      <c r="G2005" s="37"/>
      <c r="H2005" s="37" t="b">
        <v>1</v>
      </c>
    </row>
    <row r="2006" spans="1:9" ht="30" x14ac:dyDescent="0.25">
      <c r="A2006" s="54" t="s">
        <v>543</v>
      </c>
      <c r="B2006" s="31" t="s">
        <v>2871</v>
      </c>
      <c r="C2006" s="28"/>
      <c r="D2006" s="28"/>
      <c r="E2006" s="28" t="s">
        <v>2012</v>
      </c>
      <c r="F2006" s="28" t="b">
        <v>0</v>
      </c>
      <c r="G2006" s="28"/>
      <c r="H2006" s="28" t="b">
        <v>1</v>
      </c>
      <c r="I2006" s="34"/>
    </row>
    <row r="2007" spans="1:9" ht="30" x14ac:dyDescent="0.25">
      <c r="A2007" s="54" t="s">
        <v>543</v>
      </c>
      <c r="B2007" s="43" t="s">
        <v>2729</v>
      </c>
      <c r="C2007" s="37"/>
      <c r="D2007" s="37"/>
      <c r="E2007" s="37" t="s">
        <v>2012</v>
      </c>
      <c r="F2007" s="37" t="b">
        <v>0</v>
      </c>
      <c r="G2007" s="37"/>
      <c r="H2007" s="37" t="b">
        <v>1</v>
      </c>
    </row>
    <row r="2008" spans="1:9" ht="30" x14ac:dyDescent="0.25">
      <c r="A2008" s="54" t="s">
        <v>543</v>
      </c>
      <c r="B2008" s="31" t="s">
        <v>2729</v>
      </c>
      <c r="C2008" s="28"/>
      <c r="D2008" s="28"/>
      <c r="E2008" s="28" t="s">
        <v>2012</v>
      </c>
      <c r="F2008" s="28" t="b">
        <v>0</v>
      </c>
      <c r="G2008" s="28"/>
      <c r="H2008" s="28" t="b">
        <v>1</v>
      </c>
      <c r="I2008" s="34"/>
    </row>
    <row r="2009" spans="1:9" ht="30" x14ac:dyDescent="0.25">
      <c r="A2009" s="54" t="s">
        <v>543</v>
      </c>
      <c r="B2009" s="43" t="s">
        <v>2730</v>
      </c>
      <c r="C2009" s="37"/>
      <c r="D2009" s="37"/>
      <c r="E2009" s="37" t="s">
        <v>2012</v>
      </c>
      <c r="F2009" s="37" t="b">
        <v>0</v>
      </c>
      <c r="G2009" s="37"/>
      <c r="H2009" s="37" t="b">
        <v>1</v>
      </c>
    </row>
    <row r="2010" spans="1:9" ht="30" x14ac:dyDescent="0.25">
      <c r="A2010" s="54" t="s">
        <v>543</v>
      </c>
      <c r="B2010" s="31" t="s">
        <v>2728</v>
      </c>
      <c r="C2010" s="28"/>
      <c r="D2010" s="28"/>
      <c r="E2010" s="28" t="s">
        <v>2012</v>
      </c>
      <c r="F2010" s="28" t="b">
        <v>0</v>
      </c>
      <c r="G2010" s="28"/>
      <c r="H2010" s="28" t="b">
        <v>1</v>
      </c>
      <c r="I2010" s="34"/>
    </row>
    <row r="2011" spans="1:9" ht="30" x14ac:dyDescent="0.25">
      <c r="A2011" s="54" t="s">
        <v>543</v>
      </c>
      <c r="B2011" s="43" t="s">
        <v>2728</v>
      </c>
      <c r="C2011" s="37"/>
      <c r="D2011" s="37"/>
      <c r="E2011" s="37" t="s">
        <v>2012</v>
      </c>
      <c r="F2011" s="37" t="b">
        <v>0</v>
      </c>
      <c r="G2011" s="37"/>
      <c r="H2011" s="37" t="b">
        <v>1</v>
      </c>
    </row>
    <row r="2012" spans="1:9" ht="30" x14ac:dyDescent="0.25">
      <c r="A2012" s="54" t="s">
        <v>543</v>
      </c>
      <c r="B2012" s="31" t="s">
        <v>2871</v>
      </c>
      <c r="C2012" s="28"/>
      <c r="D2012" s="28"/>
      <c r="E2012" s="28" t="s">
        <v>2012</v>
      </c>
      <c r="F2012" s="28" t="b">
        <v>0</v>
      </c>
      <c r="G2012" s="28"/>
      <c r="H2012" s="28" t="b">
        <v>1</v>
      </c>
      <c r="I2012" s="34"/>
    </row>
    <row r="2013" spans="1:9" ht="30" x14ac:dyDescent="0.25">
      <c r="A2013" s="54" t="s">
        <v>543</v>
      </c>
      <c r="B2013" s="43" t="s">
        <v>2729</v>
      </c>
      <c r="C2013" s="37"/>
      <c r="D2013" s="37"/>
      <c r="E2013" s="37" t="s">
        <v>2012</v>
      </c>
      <c r="F2013" s="37" t="b">
        <v>0</v>
      </c>
      <c r="G2013" s="37"/>
      <c r="H2013" s="37" t="b">
        <v>1</v>
      </c>
    </row>
    <row r="2014" spans="1:9" ht="30" x14ac:dyDescent="0.25">
      <c r="A2014" s="54" t="s">
        <v>543</v>
      </c>
      <c r="B2014" s="31" t="s">
        <v>647</v>
      </c>
      <c r="C2014" s="28" t="s">
        <v>2010</v>
      </c>
      <c r="D2014" s="28"/>
      <c r="E2014" s="28" t="s">
        <v>1974</v>
      </c>
      <c r="F2014" s="28" t="b">
        <v>0</v>
      </c>
      <c r="G2014" s="28">
        <v>200</v>
      </c>
      <c r="H2014" s="28" t="b">
        <v>1</v>
      </c>
      <c r="I2014" s="34"/>
    </row>
    <row r="2015" spans="1:9" ht="30" x14ac:dyDescent="0.25">
      <c r="A2015" s="54" t="s">
        <v>543</v>
      </c>
      <c r="B2015" s="43" t="s">
        <v>2011</v>
      </c>
      <c r="C2015" s="37"/>
      <c r="D2015" s="37"/>
      <c r="E2015" s="37" t="s">
        <v>2012</v>
      </c>
      <c r="F2015" s="37" t="b">
        <v>0</v>
      </c>
      <c r="G2015" s="37"/>
      <c r="H2015" s="37" t="b">
        <v>1</v>
      </c>
    </row>
    <row r="2016" spans="1:9" ht="30" x14ac:dyDescent="0.25">
      <c r="A2016" s="54" t="s">
        <v>543</v>
      </c>
      <c r="B2016" s="31" t="s">
        <v>2013</v>
      </c>
      <c r="C2016" s="28"/>
      <c r="D2016" s="28"/>
      <c r="E2016" s="28" t="s">
        <v>2012</v>
      </c>
      <c r="F2016" s="28" t="b">
        <v>0</v>
      </c>
      <c r="G2016" s="28"/>
      <c r="H2016" s="28" t="b">
        <v>1</v>
      </c>
      <c r="I2016" s="34"/>
    </row>
    <row r="2017" spans="1:9" ht="30" x14ac:dyDescent="0.25">
      <c r="A2017" s="54" t="s">
        <v>543</v>
      </c>
      <c r="B2017" s="43" t="s">
        <v>2033</v>
      </c>
      <c r="C2017" s="37"/>
      <c r="D2017" s="37"/>
      <c r="E2017" s="37" t="s">
        <v>2012</v>
      </c>
      <c r="F2017" s="37" t="b">
        <v>0</v>
      </c>
      <c r="G2017" s="37"/>
      <c r="H2017" s="37" t="b">
        <v>1</v>
      </c>
    </row>
    <row r="2018" spans="1:9" ht="30" x14ac:dyDescent="0.25">
      <c r="A2018" s="54" t="s">
        <v>543</v>
      </c>
      <c r="B2018" s="31" t="s">
        <v>641</v>
      </c>
      <c r="C2018" s="28" t="s">
        <v>2034</v>
      </c>
      <c r="D2018" s="28"/>
      <c r="E2018" s="28" t="s">
        <v>1974</v>
      </c>
      <c r="F2018" s="28" t="b">
        <v>0</v>
      </c>
      <c r="G2018" s="28">
        <v>200</v>
      </c>
      <c r="H2018" s="28" t="b">
        <v>1</v>
      </c>
      <c r="I2018" s="34"/>
    </row>
    <row r="2019" spans="1:9" ht="30" x14ac:dyDescent="0.25">
      <c r="A2019" s="54" t="s">
        <v>543</v>
      </c>
      <c r="B2019" s="43" t="s">
        <v>2015</v>
      </c>
      <c r="C2019" s="37" t="s">
        <v>2016</v>
      </c>
      <c r="D2019" s="37"/>
      <c r="E2019" s="37" t="s">
        <v>1974</v>
      </c>
      <c r="F2019" s="37" t="b">
        <v>0</v>
      </c>
      <c r="G2019" s="37">
        <v>404</v>
      </c>
      <c r="H2019" s="37" t="b">
        <v>0</v>
      </c>
    </row>
    <row r="2020" spans="1:9" ht="30" x14ac:dyDescent="0.25">
      <c r="A2020" s="54" t="s">
        <v>543</v>
      </c>
      <c r="B2020" s="31" t="s">
        <v>2015</v>
      </c>
      <c r="C2020" s="28" t="s">
        <v>2017</v>
      </c>
      <c r="D2020" s="28"/>
      <c r="E2020" s="28" t="s">
        <v>1974</v>
      </c>
      <c r="F2020" s="28" t="b">
        <v>0</v>
      </c>
      <c r="G2020" s="28">
        <v>404</v>
      </c>
      <c r="H2020" s="28" t="b">
        <v>0</v>
      </c>
      <c r="I2020" s="34"/>
    </row>
    <row r="2021" spans="1:9" ht="30" x14ac:dyDescent="0.25">
      <c r="A2021" s="54" t="s">
        <v>546</v>
      </c>
      <c r="B2021" s="43" t="s">
        <v>497</v>
      </c>
      <c r="C2021" s="37" t="s">
        <v>2027</v>
      </c>
      <c r="D2021" s="37"/>
      <c r="E2021" s="37" t="s">
        <v>1974</v>
      </c>
      <c r="F2021" s="37" t="b">
        <v>0</v>
      </c>
      <c r="G2021" s="37">
        <v>200</v>
      </c>
      <c r="H2021" s="37" t="b">
        <v>1</v>
      </c>
    </row>
    <row r="2022" spans="1:9" ht="30" x14ac:dyDescent="0.25">
      <c r="A2022" s="54" t="s">
        <v>546</v>
      </c>
      <c r="B2022" s="31" t="s">
        <v>652</v>
      </c>
      <c r="C2022" s="28" t="s">
        <v>2028</v>
      </c>
      <c r="D2022" s="28"/>
      <c r="E2022" s="28" t="s">
        <v>1974</v>
      </c>
      <c r="F2022" s="28" t="b">
        <v>0</v>
      </c>
      <c r="G2022" s="28">
        <v>200</v>
      </c>
      <c r="H2022" s="28" t="b">
        <v>1</v>
      </c>
      <c r="I2022" s="34"/>
    </row>
    <row r="2023" spans="1:9" ht="30" x14ac:dyDescent="0.25">
      <c r="A2023" s="54" t="s">
        <v>546</v>
      </c>
      <c r="B2023" s="43" t="s">
        <v>537</v>
      </c>
      <c r="C2023" s="37" t="s">
        <v>2029</v>
      </c>
      <c r="D2023" s="37"/>
      <c r="E2023" s="37" t="s">
        <v>1974</v>
      </c>
      <c r="F2023" s="37" t="b">
        <v>0</v>
      </c>
      <c r="G2023" s="37">
        <v>200</v>
      </c>
      <c r="H2023" s="37" t="b">
        <v>1</v>
      </c>
    </row>
    <row r="2024" spans="1:9" ht="30" x14ac:dyDescent="0.25">
      <c r="A2024" s="54" t="s">
        <v>546</v>
      </c>
      <c r="B2024" s="31" t="s">
        <v>543</v>
      </c>
      <c r="C2024" s="28" t="s">
        <v>2030</v>
      </c>
      <c r="D2024" s="28"/>
      <c r="E2024" s="28" t="s">
        <v>1974</v>
      </c>
      <c r="F2024" s="28" t="b">
        <v>0</v>
      </c>
      <c r="G2024" s="28">
        <v>200</v>
      </c>
      <c r="H2024" s="28" t="b">
        <v>1</v>
      </c>
      <c r="I2024" s="34"/>
    </row>
    <row r="2025" spans="1:9" ht="30" x14ac:dyDescent="0.25">
      <c r="A2025" s="54" t="s">
        <v>546</v>
      </c>
      <c r="B2025" s="43" t="s">
        <v>566</v>
      </c>
      <c r="C2025" s="37" t="s">
        <v>2031</v>
      </c>
      <c r="D2025" s="37"/>
      <c r="E2025" s="37" t="s">
        <v>1974</v>
      </c>
      <c r="F2025" s="37" t="b">
        <v>0</v>
      </c>
      <c r="G2025" s="37">
        <v>200</v>
      </c>
      <c r="H2025" s="37" t="b">
        <v>1</v>
      </c>
    </row>
    <row r="2026" spans="1:9" ht="30" x14ac:dyDescent="0.25">
      <c r="A2026" s="54" t="s">
        <v>546</v>
      </c>
      <c r="B2026" s="31" t="s">
        <v>601</v>
      </c>
      <c r="C2026" s="28" t="s">
        <v>2032</v>
      </c>
      <c r="D2026" s="28"/>
      <c r="E2026" s="28" t="s">
        <v>1974</v>
      </c>
      <c r="F2026" s="28" t="b">
        <v>0</v>
      </c>
      <c r="G2026" s="28">
        <v>200</v>
      </c>
      <c r="H2026" s="28" t="b">
        <v>1</v>
      </c>
      <c r="I2026" s="34"/>
    </row>
    <row r="2027" spans="1:9" ht="30" x14ac:dyDescent="0.25">
      <c r="A2027" s="54" t="s">
        <v>546</v>
      </c>
      <c r="B2027" s="43" t="s">
        <v>497</v>
      </c>
      <c r="C2027" s="37" t="s">
        <v>2027</v>
      </c>
      <c r="D2027" s="37"/>
      <c r="E2027" s="37" t="s">
        <v>1974</v>
      </c>
      <c r="F2027" s="37" t="b">
        <v>0</v>
      </c>
      <c r="G2027" s="37">
        <v>200</v>
      </c>
      <c r="H2027" s="37" t="b">
        <v>1</v>
      </c>
    </row>
    <row r="2028" spans="1:9" ht="30" x14ac:dyDescent="0.25">
      <c r="A2028" s="54" t="s">
        <v>546</v>
      </c>
      <c r="B2028" s="31" t="s">
        <v>652</v>
      </c>
      <c r="C2028" s="28" t="s">
        <v>2028</v>
      </c>
      <c r="D2028" s="28"/>
      <c r="E2028" s="28" t="s">
        <v>1974</v>
      </c>
      <c r="F2028" s="28" t="b">
        <v>0</v>
      </c>
      <c r="G2028" s="28">
        <v>200</v>
      </c>
      <c r="H2028" s="28" t="b">
        <v>1</v>
      </c>
      <c r="I2028" s="34"/>
    </row>
    <row r="2029" spans="1:9" ht="30" x14ac:dyDescent="0.25">
      <c r="A2029" s="54" t="s">
        <v>546</v>
      </c>
      <c r="B2029" s="43" t="s">
        <v>537</v>
      </c>
      <c r="C2029" s="37" t="s">
        <v>2029</v>
      </c>
      <c r="D2029" s="37"/>
      <c r="E2029" s="37" t="s">
        <v>1974</v>
      </c>
      <c r="F2029" s="37" t="b">
        <v>0</v>
      </c>
      <c r="G2029" s="37">
        <v>200</v>
      </c>
      <c r="H2029" s="37" t="b">
        <v>1</v>
      </c>
    </row>
    <row r="2030" spans="1:9" ht="30" x14ac:dyDescent="0.25">
      <c r="A2030" s="54" t="s">
        <v>546</v>
      </c>
      <c r="B2030" s="31" t="s">
        <v>543</v>
      </c>
      <c r="C2030" s="28" t="s">
        <v>2030</v>
      </c>
      <c r="D2030" s="28"/>
      <c r="E2030" s="28" t="s">
        <v>1974</v>
      </c>
      <c r="F2030" s="28" t="b">
        <v>0</v>
      </c>
      <c r="G2030" s="28">
        <v>200</v>
      </c>
      <c r="H2030" s="28" t="b">
        <v>1</v>
      </c>
      <c r="I2030" s="34"/>
    </row>
    <row r="2031" spans="1:9" ht="30" x14ac:dyDescent="0.25">
      <c r="A2031" s="54" t="s">
        <v>546</v>
      </c>
      <c r="B2031" s="43" t="s">
        <v>566</v>
      </c>
      <c r="C2031" s="37" t="s">
        <v>2031</v>
      </c>
      <c r="D2031" s="37"/>
      <c r="E2031" s="37" t="s">
        <v>1974</v>
      </c>
      <c r="F2031" s="37" t="b">
        <v>0</v>
      </c>
      <c r="G2031" s="37">
        <v>200</v>
      </c>
      <c r="H2031" s="37" t="b">
        <v>1</v>
      </c>
    </row>
    <row r="2032" spans="1:9" ht="30" x14ac:dyDescent="0.25">
      <c r="A2032" s="54" t="s">
        <v>546</v>
      </c>
      <c r="B2032" s="31" t="s">
        <v>601</v>
      </c>
      <c r="C2032" s="28" t="s">
        <v>2032</v>
      </c>
      <c r="D2032" s="28"/>
      <c r="E2032" s="28" t="s">
        <v>1974</v>
      </c>
      <c r="F2032" s="28" t="b">
        <v>0</v>
      </c>
      <c r="G2032" s="28">
        <v>200</v>
      </c>
      <c r="H2032" s="28" t="b">
        <v>1</v>
      </c>
      <c r="I2032" s="34"/>
    </row>
    <row r="2033" spans="1:9" ht="30" x14ac:dyDescent="0.25">
      <c r="A2033" s="54" t="s">
        <v>546</v>
      </c>
      <c r="B2033" s="43" t="s">
        <v>647</v>
      </c>
      <c r="C2033" s="37" t="s">
        <v>2010</v>
      </c>
      <c r="D2033" s="37"/>
      <c r="E2033" s="37" t="s">
        <v>1974</v>
      </c>
      <c r="F2033" s="37" t="b">
        <v>0</v>
      </c>
      <c r="G2033" s="37">
        <v>200</v>
      </c>
      <c r="H2033" s="37" t="b">
        <v>1</v>
      </c>
    </row>
    <row r="2034" spans="1:9" ht="30" x14ac:dyDescent="0.25">
      <c r="A2034" s="54" t="s">
        <v>546</v>
      </c>
      <c r="B2034" s="31" t="s">
        <v>2011</v>
      </c>
      <c r="C2034" s="28"/>
      <c r="D2034" s="28"/>
      <c r="E2034" s="28" t="s">
        <v>2012</v>
      </c>
      <c r="F2034" s="28" t="b">
        <v>0</v>
      </c>
      <c r="G2034" s="28"/>
      <c r="H2034" s="28" t="b">
        <v>1</v>
      </c>
      <c r="I2034" s="34"/>
    </row>
    <row r="2035" spans="1:9" ht="30" x14ac:dyDescent="0.25">
      <c r="A2035" s="54" t="s">
        <v>546</v>
      </c>
      <c r="B2035" s="43" t="s">
        <v>2013</v>
      </c>
      <c r="C2035" s="37"/>
      <c r="D2035" s="37"/>
      <c r="E2035" s="37" t="s">
        <v>2012</v>
      </c>
      <c r="F2035" s="37" t="b">
        <v>0</v>
      </c>
      <c r="G2035" s="37"/>
      <c r="H2035" s="37" t="b">
        <v>1</v>
      </c>
    </row>
    <row r="2036" spans="1:9" ht="30" x14ac:dyDescent="0.25">
      <c r="A2036" s="54" t="s">
        <v>546</v>
      </c>
      <c r="B2036" s="31" t="s">
        <v>2033</v>
      </c>
      <c r="C2036" s="28"/>
      <c r="D2036" s="28"/>
      <c r="E2036" s="28" t="s">
        <v>2012</v>
      </c>
      <c r="F2036" s="28" t="b">
        <v>0</v>
      </c>
      <c r="G2036" s="28"/>
      <c r="H2036" s="28" t="b">
        <v>1</v>
      </c>
      <c r="I2036" s="34"/>
    </row>
    <row r="2037" spans="1:9" ht="30" x14ac:dyDescent="0.25">
      <c r="A2037" s="54" t="s">
        <v>546</v>
      </c>
      <c r="B2037" s="43" t="s">
        <v>2123</v>
      </c>
      <c r="C2037" s="37"/>
      <c r="D2037" s="37"/>
      <c r="E2037" s="37" t="s">
        <v>1974</v>
      </c>
      <c r="F2037" s="37" t="b">
        <v>0</v>
      </c>
      <c r="G2037" s="37">
        <v>404</v>
      </c>
      <c r="H2037" s="37" t="b">
        <v>0</v>
      </c>
    </row>
    <row r="2038" spans="1:9" ht="30" x14ac:dyDescent="0.25">
      <c r="A2038" s="54" t="s">
        <v>546</v>
      </c>
      <c r="B2038" s="31" t="s">
        <v>2123</v>
      </c>
      <c r="C2038" s="28" t="s">
        <v>2124</v>
      </c>
      <c r="D2038" s="28"/>
      <c r="E2038" s="28" t="s">
        <v>1974</v>
      </c>
      <c r="F2038" s="28" t="b">
        <v>0</v>
      </c>
      <c r="G2038" s="28">
        <v>404</v>
      </c>
      <c r="H2038" s="28" t="b">
        <v>0</v>
      </c>
      <c r="I2038" s="34"/>
    </row>
    <row r="2039" spans="1:9" ht="30" x14ac:dyDescent="0.25">
      <c r="A2039" s="54" t="s">
        <v>546</v>
      </c>
      <c r="B2039" s="43" t="s">
        <v>641</v>
      </c>
      <c r="C2039" s="37" t="s">
        <v>2034</v>
      </c>
      <c r="D2039" s="37"/>
      <c r="E2039" s="37" t="s">
        <v>1974</v>
      </c>
      <c r="F2039" s="37" t="b">
        <v>0</v>
      </c>
      <c r="G2039" s="37">
        <v>200</v>
      </c>
      <c r="H2039" s="37" t="b">
        <v>1</v>
      </c>
    </row>
    <row r="2040" spans="1:9" ht="30" x14ac:dyDescent="0.25">
      <c r="A2040" s="54" t="s">
        <v>546</v>
      </c>
      <c r="B2040" s="31" t="s">
        <v>2015</v>
      </c>
      <c r="C2040" s="28" t="s">
        <v>2016</v>
      </c>
      <c r="D2040" s="28"/>
      <c r="E2040" s="28" t="s">
        <v>1974</v>
      </c>
      <c r="F2040" s="28" t="b">
        <v>0</v>
      </c>
      <c r="G2040" s="28">
        <v>404</v>
      </c>
      <c r="H2040" s="28" t="b">
        <v>0</v>
      </c>
      <c r="I2040" s="34"/>
    </row>
    <row r="2041" spans="1:9" ht="30" x14ac:dyDescent="0.25">
      <c r="A2041" s="54" t="s">
        <v>546</v>
      </c>
      <c r="B2041" s="43" t="s">
        <v>2015</v>
      </c>
      <c r="C2041" s="37" t="s">
        <v>2017</v>
      </c>
      <c r="D2041" s="37"/>
      <c r="E2041" s="37" t="s">
        <v>1974</v>
      </c>
      <c r="F2041" s="37" t="b">
        <v>0</v>
      </c>
      <c r="G2041" s="37">
        <v>404</v>
      </c>
      <c r="H2041" s="37" t="b">
        <v>0</v>
      </c>
    </row>
    <row r="2042" spans="1:9" ht="30" x14ac:dyDescent="0.25">
      <c r="A2042" s="54" t="s">
        <v>549</v>
      </c>
      <c r="B2042" s="31" t="s">
        <v>2025</v>
      </c>
      <c r="C2042" s="28"/>
      <c r="D2042" s="28"/>
      <c r="E2042" s="28" t="s">
        <v>2012</v>
      </c>
      <c r="F2042" s="28" t="b">
        <v>0</v>
      </c>
      <c r="G2042" s="28"/>
      <c r="H2042" s="28" t="b">
        <v>1</v>
      </c>
      <c r="I2042" s="34"/>
    </row>
    <row r="2043" spans="1:9" ht="30" x14ac:dyDescent="0.25">
      <c r="A2043" s="54" t="s">
        <v>549</v>
      </c>
      <c r="B2043" s="43" t="s">
        <v>497</v>
      </c>
      <c r="C2043" s="37" t="s">
        <v>2027</v>
      </c>
      <c r="D2043" s="37"/>
      <c r="E2043" s="37" t="s">
        <v>1974</v>
      </c>
      <c r="F2043" s="37" t="b">
        <v>0</v>
      </c>
      <c r="G2043" s="37">
        <v>200</v>
      </c>
      <c r="H2043" s="37" t="b">
        <v>1</v>
      </c>
    </row>
    <row r="2044" spans="1:9" ht="30" x14ac:dyDescent="0.25">
      <c r="A2044" s="54" t="s">
        <v>549</v>
      </c>
      <c r="B2044" s="31" t="s">
        <v>652</v>
      </c>
      <c r="C2044" s="28" t="s">
        <v>2028</v>
      </c>
      <c r="D2044" s="28"/>
      <c r="E2044" s="28" t="s">
        <v>1974</v>
      </c>
      <c r="F2044" s="28" t="b">
        <v>0</v>
      </c>
      <c r="G2044" s="28">
        <v>200</v>
      </c>
      <c r="H2044" s="28" t="b">
        <v>1</v>
      </c>
      <c r="I2044" s="34"/>
    </row>
    <row r="2045" spans="1:9" ht="30" x14ac:dyDescent="0.25">
      <c r="A2045" s="54" t="s">
        <v>549</v>
      </c>
      <c r="B2045" s="43" t="s">
        <v>537</v>
      </c>
      <c r="C2045" s="37" t="s">
        <v>2029</v>
      </c>
      <c r="D2045" s="37"/>
      <c r="E2045" s="37" t="s">
        <v>1974</v>
      </c>
      <c r="F2045" s="37" t="b">
        <v>0</v>
      </c>
      <c r="G2045" s="37">
        <v>200</v>
      </c>
      <c r="H2045" s="37" t="b">
        <v>1</v>
      </c>
    </row>
    <row r="2046" spans="1:9" ht="30" x14ac:dyDescent="0.25">
      <c r="A2046" s="54" t="s">
        <v>549</v>
      </c>
      <c r="B2046" s="31" t="s">
        <v>543</v>
      </c>
      <c r="C2046" s="28" t="s">
        <v>2030</v>
      </c>
      <c r="D2046" s="28"/>
      <c r="E2046" s="28" t="s">
        <v>1974</v>
      </c>
      <c r="F2046" s="28" t="b">
        <v>0</v>
      </c>
      <c r="G2046" s="28">
        <v>200</v>
      </c>
      <c r="H2046" s="28" t="b">
        <v>1</v>
      </c>
      <c r="I2046" s="34"/>
    </row>
    <row r="2047" spans="1:9" ht="30" x14ac:dyDescent="0.25">
      <c r="A2047" s="54" t="s">
        <v>549</v>
      </c>
      <c r="B2047" s="43" t="s">
        <v>566</v>
      </c>
      <c r="C2047" s="37" t="s">
        <v>2031</v>
      </c>
      <c r="D2047" s="37"/>
      <c r="E2047" s="37" t="s">
        <v>1974</v>
      </c>
      <c r="F2047" s="37" t="b">
        <v>0</v>
      </c>
      <c r="G2047" s="37">
        <v>200</v>
      </c>
      <c r="H2047" s="37" t="b">
        <v>1</v>
      </c>
    </row>
    <row r="2048" spans="1:9" ht="30" x14ac:dyDescent="0.25">
      <c r="A2048" s="54" t="s">
        <v>549</v>
      </c>
      <c r="B2048" s="31" t="s">
        <v>601</v>
      </c>
      <c r="C2048" s="28" t="s">
        <v>2032</v>
      </c>
      <c r="D2048" s="28"/>
      <c r="E2048" s="28" t="s">
        <v>1974</v>
      </c>
      <c r="F2048" s="28" t="b">
        <v>0</v>
      </c>
      <c r="G2048" s="28">
        <v>200</v>
      </c>
      <c r="H2048" s="28" t="b">
        <v>1</v>
      </c>
      <c r="I2048" s="34"/>
    </row>
    <row r="2049" spans="1:9" ht="30" x14ac:dyDescent="0.25">
      <c r="A2049" s="54" t="s">
        <v>549</v>
      </c>
      <c r="B2049" s="43" t="s">
        <v>497</v>
      </c>
      <c r="C2049" s="37" t="s">
        <v>2027</v>
      </c>
      <c r="D2049" s="37"/>
      <c r="E2049" s="37" t="s">
        <v>1974</v>
      </c>
      <c r="F2049" s="37" t="b">
        <v>0</v>
      </c>
      <c r="G2049" s="37">
        <v>200</v>
      </c>
      <c r="H2049" s="37" t="b">
        <v>1</v>
      </c>
    </row>
    <row r="2050" spans="1:9" ht="30" x14ac:dyDescent="0.25">
      <c r="A2050" s="54" t="s">
        <v>549</v>
      </c>
      <c r="B2050" s="31" t="s">
        <v>652</v>
      </c>
      <c r="C2050" s="28" t="s">
        <v>2028</v>
      </c>
      <c r="D2050" s="28"/>
      <c r="E2050" s="28" t="s">
        <v>1974</v>
      </c>
      <c r="F2050" s="28" t="b">
        <v>0</v>
      </c>
      <c r="G2050" s="28">
        <v>200</v>
      </c>
      <c r="H2050" s="28" t="b">
        <v>1</v>
      </c>
      <c r="I2050" s="34"/>
    </row>
    <row r="2051" spans="1:9" ht="30" x14ac:dyDescent="0.25">
      <c r="A2051" s="54" t="s">
        <v>549</v>
      </c>
      <c r="B2051" s="43" t="s">
        <v>537</v>
      </c>
      <c r="C2051" s="37" t="s">
        <v>2029</v>
      </c>
      <c r="D2051" s="37"/>
      <c r="E2051" s="37" t="s">
        <v>1974</v>
      </c>
      <c r="F2051" s="37" t="b">
        <v>0</v>
      </c>
      <c r="G2051" s="37">
        <v>200</v>
      </c>
      <c r="H2051" s="37" t="b">
        <v>1</v>
      </c>
    </row>
    <row r="2052" spans="1:9" ht="30" x14ac:dyDescent="0.25">
      <c r="A2052" s="54" t="s">
        <v>549</v>
      </c>
      <c r="B2052" s="31" t="s">
        <v>543</v>
      </c>
      <c r="C2052" s="28" t="s">
        <v>2030</v>
      </c>
      <c r="D2052" s="28"/>
      <c r="E2052" s="28" t="s">
        <v>1974</v>
      </c>
      <c r="F2052" s="28" t="b">
        <v>0</v>
      </c>
      <c r="G2052" s="28">
        <v>200</v>
      </c>
      <c r="H2052" s="28" t="b">
        <v>1</v>
      </c>
      <c r="I2052" s="34"/>
    </row>
    <row r="2053" spans="1:9" ht="30" x14ac:dyDescent="0.25">
      <c r="A2053" s="54" t="s">
        <v>549</v>
      </c>
      <c r="B2053" s="43" t="s">
        <v>566</v>
      </c>
      <c r="C2053" s="37" t="s">
        <v>2031</v>
      </c>
      <c r="D2053" s="37"/>
      <c r="E2053" s="37" t="s">
        <v>1974</v>
      </c>
      <c r="F2053" s="37" t="b">
        <v>0</v>
      </c>
      <c r="G2053" s="37">
        <v>200</v>
      </c>
      <c r="H2053" s="37" t="b">
        <v>1</v>
      </c>
    </row>
    <row r="2054" spans="1:9" ht="30" x14ac:dyDescent="0.25">
      <c r="A2054" s="54" t="s">
        <v>549</v>
      </c>
      <c r="B2054" s="31" t="s">
        <v>601</v>
      </c>
      <c r="C2054" s="28" t="s">
        <v>2032</v>
      </c>
      <c r="D2054" s="28"/>
      <c r="E2054" s="28" t="s">
        <v>1974</v>
      </c>
      <c r="F2054" s="28" t="b">
        <v>0</v>
      </c>
      <c r="G2054" s="28">
        <v>200</v>
      </c>
      <c r="H2054" s="28" t="b">
        <v>1</v>
      </c>
      <c r="I2054" s="34"/>
    </row>
    <row r="2055" spans="1:9" ht="30" x14ac:dyDescent="0.25">
      <c r="A2055" s="54" t="s">
        <v>549</v>
      </c>
      <c r="B2055" s="43" t="s">
        <v>647</v>
      </c>
      <c r="C2055" s="37" t="s">
        <v>2010</v>
      </c>
      <c r="D2055" s="37"/>
      <c r="E2055" s="37" t="s">
        <v>1974</v>
      </c>
      <c r="F2055" s="37" t="b">
        <v>0</v>
      </c>
      <c r="G2055" s="37">
        <v>200</v>
      </c>
      <c r="H2055" s="37" t="b">
        <v>1</v>
      </c>
    </row>
    <row r="2056" spans="1:9" ht="30" x14ac:dyDescent="0.25">
      <c r="A2056" s="54" t="s">
        <v>549</v>
      </c>
      <c r="B2056" s="31" t="s">
        <v>2011</v>
      </c>
      <c r="C2056" s="28"/>
      <c r="D2056" s="28"/>
      <c r="E2056" s="28" t="s">
        <v>2012</v>
      </c>
      <c r="F2056" s="28" t="b">
        <v>0</v>
      </c>
      <c r="G2056" s="28"/>
      <c r="H2056" s="28" t="b">
        <v>1</v>
      </c>
      <c r="I2056" s="34"/>
    </row>
    <row r="2057" spans="1:9" ht="30" x14ac:dyDescent="0.25">
      <c r="A2057" s="54" t="s">
        <v>549</v>
      </c>
      <c r="B2057" s="43" t="s">
        <v>2013</v>
      </c>
      <c r="C2057" s="37"/>
      <c r="D2057" s="37"/>
      <c r="E2057" s="37" t="s">
        <v>2012</v>
      </c>
      <c r="F2057" s="37" t="b">
        <v>0</v>
      </c>
      <c r="G2057" s="37"/>
      <c r="H2057" s="37" t="b">
        <v>1</v>
      </c>
    </row>
    <row r="2058" spans="1:9" ht="30" x14ac:dyDescent="0.25">
      <c r="A2058" s="54" t="s">
        <v>549</v>
      </c>
      <c r="B2058" s="31" t="s">
        <v>2033</v>
      </c>
      <c r="C2058" s="28"/>
      <c r="D2058" s="28"/>
      <c r="E2058" s="28" t="s">
        <v>2012</v>
      </c>
      <c r="F2058" s="28" t="b">
        <v>0</v>
      </c>
      <c r="G2058" s="28"/>
      <c r="H2058" s="28" t="b">
        <v>1</v>
      </c>
      <c r="I2058" s="34"/>
    </row>
    <row r="2059" spans="1:9" ht="30" x14ac:dyDescent="0.25">
      <c r="A2059" s="54" t="s">
        <v>549</v>
      </c>
      <c r="B2059" s="43" t="s">
        <v>641</v>
      </c>
      <c r="C2059" s="37" t="s">
        <v>2034</v>
      </c>
      <c r="D2059" s="37"/>
      <c r="E2059" s="37" t="s">
        <v>1974</v>
      </c>
      <c r="F2059" s="37" t="b">
        <v>0</v>
      </c>
      <c r="G2059" s="37">
        <v>200</v>
      </c>
      <c r="H2059" s="37" t="b">
        <v>1</v>
      </c>
    </row>
    <row r="2060" spans="1:9" ht="30" x14ac:dyDescent="0.25">
      <c r="A2060" s="54" t="s">
        <v>549</v>
      </c>
      <c r="B2060" s="31" t="s">
        <v>2015</v>
      </c>
      <c r="C2060" s="28" t="s">
        <v>2016</v>
      </c>
      <c r="D2060" s="28"/>
      <c r="E2060" s="28" t="s">
        <v>1974</v>
      </c>
      <c r="F2060" s="28" t="b">
        <v>0</v>
      </c>
      <c r="G2060" s="28">
        <v>404</v>
      </c>
      <c r="H2060" s="28" t="b">
        <v>0</v>
      </c>
      <c r="I2060" s="34"/>
    </row>
    <row r="2061" spans="1:9" ht="30" x14ac:dyDescent="0.25">
      <c r="A2061" s="54" t="s">
        <v>549</v>
      </c>
      <c r="B2061" s="43" t="s">
        <v>2015</v>
      </c>
      <c r="C2061" s="37" t="s">
        <v>2017</v>
      </c>
      <c r="D2061" s="37"/>
      <c r="E2061" s="37" t="s">
        <v>1974</v>
      </c>
      <c r="F2061" s="37" t="b">
        <v>0</v>
      </c>
      <c r="G2061" s="37">
        <v>404</v>
      </c>
      <c r="H2061" s="37" t="b">
        <v>0</v>
      </c>
    </row>
    <row r="2062" spans="1:9" ht="30" x14ac:dyDescent="0.25">
      <c r="A2062" s="54" t="s">
        <v>555</v>
      </c>
      <c r="B2062" s="31" t="s">
        <v>127</v>
      </c>
      <c r="C2062" s="28"/>
      <c r="D2062" s="28"/>
      <c r="E2062" s="28" t="s">
        <v>1974</v>
      </c>
      <c r="F2062" s="28" t="b">
        <v>0</v>
      </c>
      <c r="G2062" s="28">
        <v>200</v>
      </c>
      <c r="H2062" s="28" t="b">
        <v>1</v>
      </c>
      <c r="I2062" s="34"/>
    </row>
    <row r="2063" spans="1:9" ht="30" x14ac:dyDescent="0.25">
      <c r="A2063" s="54" t="s">
        <v>555</v>
      </c>
      <c r="B2063" s="43" t="s">
        <v>127</v>
      </c>
      <c r="C2063" s="37" t="s">
        <v>1975</v>
      </c>
      <c r="D2063" s="37"/>
      <c r="E2063" s="37" t="s">
        <v>1974</v>
      </c>
      <c r="F2063" s="37" t="b">
        <v>0</v>
      </c>
      <c r="G2063" s="37">
        <v>200</v>
      </c>
      <c r="H2063" s="37" t="b">
        <v>1</v>
      </c>
    </row>
    <row r="2064" spans="1:9" ht="30" x14ac:dyDescent="0.25">
      <c r="A2064" s="54" t="s">
        <v>555</v>
      </c>
      <c r="B2064" s="31" t="s">
        <v>135</v>
      </c>
      <c r="C2064" s="28" t="s">
        <v>1976</v>
      </c>
      <c r="D2064" s="28"/>
      <c r="E2064" s="28" t="s">
        <v>1974</v>
      </c>
      <c r="F2064" s="28" t="b">
        <v>0</v>
      </c>
      <c r="G2064" s="28">
        <v>200</v>
      </c>
      <c r="H2064" s="28" t="b">
        <v>1</v>
      </c>
      <c r="I2064" s="34"/>
    </row>
    <row r="2065" spans="1:9" ht="30" x14ac:dyDescent="0.25">
      <c r="A2065" s="54" t="s">
        <v>555</v>
      </c>
      <c r="B2065" s="43" t="s">
        <v>655</v>
      </c>
      <c r="C2065" s="37" t="s">
        <v>1977</v>
      </c>
      <c r="D2065" s="37"/>
      <c r="E2065" s="37" t="s">
        <v>1974</v>
      </c>
      <c r="F2065" s="37" t="b">
        <v>0</v>
      </c>
      <c r="G2065" s="37">
        <v>200</v>
      </c>
      <c r="H2065" s="37" t="b">
        <v>1</v>
      </c>
    </row>
    <row r="2066" spans="1:9" ht="30" x14ac:dyDescent="0.25">
      <c r="A2066" s="54" t="s">
        <v>555</v>
      </c>
      <c r="B2066" s="31" t="s">
        <v>635</v>
      </c>
      <c r="C2066" s="28" t="s">
        <v>1978</v>
      </c>
      <c r="D2066" s="28"/>
      <c r="E2066" s="28" t="s">
        <v>1974</v>
      </c>
      <c r="F2066" s="28" t="b">
        <v>0</v>
      </c>
      <c r="G2066" s="28">
        <v>200</v>
      </c>
      <c r="H2066" s="28" t="b">
        <v>1</v>
      </c>
      <c r="I2066" s="34"/>
    </row>
    <row r="2067" spans="1:9" ht="30" x14ac:dyDescent="0.25">
      <c r="A2067" s="54" t="s">
        <v>555</v>
      </c>
      <c r="B2067" s="43" t="s">
        <v>144</v>
      </c>
      <c r="C2067" s="37" t="s">
        <v>1979</v>
      </c>
      <c r="D2067" s="37"/>
      <c r="E2067" s="37" t="s">
        <v>1974</v>
      </c>
      <c r="F2067" s="37" t="b">
        <v>0</v>
      </c>
      <c r="G2067" s="37">
        <v>200</v>
      </c>
      <c r="H2067" s="37" t="b">
        <v>1</v>
      </c>
    </row>
    <row r="2068" spans="1:9" ht="30" x14ac:dyDescent="0.25">
      <c r="A2068" s="54" t="s">
        <v>555</v>
      </c>
      <c r="B2068" s="31" t="s">
        <v>618</v>
      </c>
      <c r="C2068" s="28" t="s">
        <v>1980</v>
      </c>
      <c r="D2068" s="28"/>
      <c r="E2068" s="28" t="s">
        <v>1974</v>
      </c>
      <c r="F2068" s="28" t="b">
        <v>0</v>
      </c>
      <c r="G2068" s="28">
        <v>200</v>
      </c>
      <c r="H2068" s="28" t="b">
        <v>1</v>
      </c>
      <c r="I2068" s="34"/>
    </row>
    <row r="2069" spans="1:9" ht="30" x14ac:dyDescent="0.25">
      <c r="A2069" s="54" t="s">
        <v>555</v>
      </c>
      <c r="B2069" s="43" t="s">
        <v>585</v>
      </c>
      <c r="C2069" s="37" t="s">
        <v>1981</v>
      </c>
      <c r="D2069" s="37"/>
      <c r="E2069" s="37" t="s">
        <v>1974</v>
      </c>
      <c r="F2069" s="37" t="b">
        <v>0</v>
      </c>
      <c r="G2069" s="37">
        <v>200</v>
      </c>
      <c r="H2069" s="37" t="b">
        <v>1</v>
      </c>
    </row>
    <row r="2070" spans="1:9" ht="30" x14ac:dyDescent="0.25">
      <c r="A2070" s="54" t="s">
        <v>555</v>
      </c>
      <c r="B2070" s="31" t="s">
        <v>582</v>
      </c>
      <c r="C2070" s="28" t="s">
        <v>1982</v>
      </c>
      <c r="D2070" s="28"/>
      <c r="E2070" s="28" t="s">
        <v>1974</v>
      </c>
      <c r="F2070" s="28" t="b">
        <v>0</v>
      </c>
      <c r="G2070" s="28">
        <v>200</v>
      </c>
      <c r="H2070" s="28" t="b">
        <v>1</v>
      </c>
      <c r="I2070" s="34"/>
    </row>
    <row r="2071" spans="1:9" ht="30" x14ac:dyDescent="0.25">
      <c r="A2071" s="54" t="s">
        <v>555</v>
      </c>
      <c r="B2071" s="43" t="s">
        <v>638</v>
      </c>
      <c r="C2071" s="37" t="s">
        <v>1983</v>
      </c>
      <c r="D2071" s="37"/>
      <c r="E2071" s="37" t="s">
        <v>1974</v>
      </c>
      <c r="F2071" s="37" t="b">
        <v>0</v>
      </c>
      <c r="G2071" s="37">
        <v>200</v>
      </c>
      <c r="H2071" s="37" t="b">
        <v>1</v>
      </c>
    </row>
    <row r="2072" spans="1:9" ht="30" x14ac:dyDescent="0.25">
      <c r="A2072" s="54" t="s">
        <v>555</v>
      </c>
      <c r="B2072" s="31" t="s">
        <v>638</v>
      </c>
      <c r="C2072" s="28" t="s">
        <v>1984</v>
      </c>
      <c r="D2072" s="28"/>
      <c r="E2072" s="28" t="s">
        <v>1974</v>
      </c>
      <c r="F2072" s="28" t="b">
        <v>0</v>
      </c>
      <c r="G2072" s="28">
        <v>200</v>
      </c>
      <c r="H2072" s="28" t="b">
        <v>1</v>
      </c>
      <c r="I2072" s="34"/>
    </row>
    <row r="2073" spans="1:9" ht="30" x14ac:dyDescent="0.25">
      <c r="A2073" s="54" t="s">
        <v>555</v>
      </c>
      <c r="B2073" s="43" t="s">
        <v>647</v>
      </c>
      <c r="C2073" s="37" t="s">
        <v>1985</v>
      </c>
      <c r="D2073" s="37"/>
      <c r="E2073" s="37" t="s">
        <v>1974</v>
      </c>
      <c r="F2073" s="37" t="b">
        <v>0</v>
      </c>
      <c r="G2073" s="37">
        <v>200</v>
      </c>
      <c r="H2073" s="37" t="b">
        <v>1</v>
      </c>
    </row>
    <row r="2074" spans="1:9" ht="30" x14ac:dyDescent="0.25">
      <c r="A2074" s="54" t="s">
        <v>555</v>
      </c>
      <c r="B2074" s="31" t="s">
        <v>503</v>
      </c>
      <c r="C2074" s="28" t="s">
        <v>1986</v>
      </c>
      <c r="D2074" s="28"/>
      <c r="E2074" s="28" t="s">
        <v>1974</v>
      </c>
      <c r="F2074" s="28" t="b">
        <v>0</v>
      </c>
      <c r="G2074" s="28">
        <v>200</v>
      </c>
      <c r="H2074" s="28" t="b">
        <v>1</v>
      </c>
      <c r="I2074" s="34"/>
    </row>
    <row r="2075" spans="1:9" ht="30" x14ac:dyDescent="0.25">
      <c r="A2075" s="54" t="s">
        <v>555</v>
      </c>
      <c r="B2075" s="43" t="s">
        <v>608</v>
      </c>
      <c r="C2075" s="37" t="s">
        <v>1987</v>
      </c>
      <c r="D2075" s="37"/>
      <c r="E2075" s="37" t="s">
        <v>1974</v>
      </c>
      <c r="F2075" s="37" t="b">
        <v>0</v>
      </c>
      <c r="G2075" s="37">
        <v>200</v>
      </c>
      <c r="H2075" s="37" t="b">
        <v>1</v>
      </c>
    </row>
    <row r="2076" spans="1:9" ht="30" x14ac:dyDescent="0.25">
      <c r="A2076" s="54" t="s">
        <v>555</v>
      </c>
      <c r="B2076" s="31" t="s">
        <v>127</v>
      </c>
      <c r="C2076" s="28" t="s">
        <v>1975</v>
      </c>
      <c r="D2076" s="28"/>
      <c r="E2076" s="28" t="s">
        <v>1974</v>
      </c>
      <c r="F2076" s="28" t="b">
        <v>0</v>
      </c>
      <c r="G2076" s="28">
        <v>200</v>
      </c>
      <c r="H2076" s="28" t="b">
        <v>1</v>
      </c>
      <c r="I2076" s="34"/>
    </row>
    <row r="2077" spans="1:9" ht="30" x14ac:dyDescent="0.25">
      <c r="A2077" s="54" t="s">
        <v>555</v>
      </c>
      <c r="B2077" s="43" t="s">
        <v>135</v>
      </c>
      <c r="C2077" s="37" t="s">
        <v>1976</v>
      </c>
      <c r="D2077" s="37"/>
      <c r="E2077" s="37" t="s">
        <v>1974</v>
      </c>
      <c r="F2077" s="37" t="b">
        <v>0</v>
      </c>
      <c r="G2077" s="37">
        <v>200</v>
      </c>
      <c r="H2077" s="37" t="b">
        <v>1</v>
      </c>
    </row>
    <row r="2078" spans="1:9" ht="30" x14ac:dyDescent="0.25">
      <c r="A2078" s="54" t="s">
        <v>555</v>
      </c>
      <c r="B2078" s="31" t="s">
        <v>655</v>
      </c>
      <c r="C2078" s="28" t="s">
        <v>1977</v>
      </c>
      <c r="D2078" s="28"/>
      <c r="E2078" s="28" t="s">
        <v>1974</v>
      </c>
      <c r="F2078" s="28" t="b">
        <v>0</v>
      </c>
      <c r="G2078" s="28">
        <v>200</v>
      </c>
      <c r="H2078" s="28" t="b">
        <v>1</v>
      </c>
      <c r="I2078" s="34"/>
    </row>
    <row r="2079" spans="1:9" ht="30" x14ac:dyDescent="0.25">
      <c r="A2079" s="54" t="s">
        <v>555</v>
      </c>
      <c r="B2079" s="43" t="s">
        <v>635</v>
      </c>
      <c r="C2079" s="37" t="s">
        <v>1978</v>
      </c>
      <c r="D2079" s="37"/>
      <c r="E2079" s="37" t="s">
        <v>1974</v>
      </c>
      <c r="F2079" s="37" t="b">
        <v>0</v>
      </c>
      <c r="G2079" s="37">
        <v>200</v>
      </c>
      <c r="H2079" s="37" t="b">
        <v>1</v>
      </c>
    </row>
    <row r="2080" spans="1:9" ht="30" x14ac:dyDescent="0.25">
      <c r="A2080" s="54" t="s">
        <v>555</v>
      </c>
      <c r="B2080" s="31" t="s">
        <v>144</v>
      </c>
      <c r="C2080" s="28" t="s">
        <v>1979</v>
      </c>
      <c r="D2080" s="28"/>
      <c r="E2080" s="28" t="s">
        <v>1974</v>
      </c>
      <c r="F2080" s="28" t="b">
        <v>0</v>
      </c>
      <c r="G2080" s="28">
        <v>200</v>
      </c>
      <c r="H2080" s="28" t="b">
        <v>1</v>
      </c>
      <c r="I2080" s="34"/>
    </row>
    <row r="2081" spans="1:9" ht="30" x14ac:dyDescent="0.25">
      <c r="A2081" s="54" t="s">
        <v>555</v>
      </c>
      <c r="B2081" s="43" t="s">
        <v>618</v>
      </c>
      <c r="C2081" s="37" t="s">
        <v>1980</v>
      </c>
      <c r="D2081" s="37"/>
      <c r="E2081" s="37" t="s">
        <v>1974</v>
      </c>
      <c r="F2081" s="37" t="b">
        <v>0</v>
      </c>
      <c r="G2081" s="37">
        <v>200</v>
      </c>
      <c r="H2081" s="37" t="b">
        <v>1</v>
      </c>
    </row>
    <row r="2082" spans="1:9" ht="30" x14ac:dyDescent="0.25">
      <c r="A2082" s="54" t="s">
        <v>555</v>
      </c>
      <c r="B2082" s="31" t="s">
        <v>585</v>
      </c>
      <c r="C2082" s="28" t="s">
        <v>1981</v>
      </c>
      <c r="D2082" s="28"/>
      <c r="E2082" s="28" t="s">
        <v>1974</v>
      </c>
      <c r="F2082" s="28" t="b">
        <v>0</v>
      </c>
      <c r="G2082" s="28">
        <v>200</v>
      </c>
      <c r="H2082" s="28" t="b">
        <v>1</v>
      </c>
      <c r="I2082" s="34"/>
    </row>
    <row r="2083" spans="1:9" ht="30" x14ac:dyDescent="0.25">
      <c r="A2083" s="54" t="s">
        <v>555</v>
      </c>
      <c r="B2083" s="43" t="s">
        <v>582</v>
      </c>
      <c r="C2083" s="37" t="s">
        <v>1982</v>
      </c>
      <c r="D2083" s="37"/>
      <c r="E2083" s="37" t="s">
        <v>1974</v>
      </c>
      <c r="F2083" s="37" t="b">
        <v>0</v>
      </c>
      <c r="G2083" s="37">
        <v>200</v>
      </c>
      <c r="H2083" s="37" t="b">
        <v>1</v>
      </c>
    </row>
    <row r="2084" spans="1:9" ht="30" x14ac:dyDescent="0.25">
      <c r="A2084" s="54" t="s">
        <v>555</v>
      </c>
      <c r="B2084" s="31" t="s">
        <v>638</v>
      </c>
      <c r="C2084" s="28" t="s">
        <v>1983</v>
      </c>
      <c r="D2084" s="28"/>
      <c r="E2084" s="28" t="s">
        <v>1974</v>
      </c>
      <c r="F2084" s="28" t="b">
        <v>0</v>
      </c>
      <c r="G2084" s="28">
        <v>200</v>
      </c>
      <c r="H2084" s="28" t="b">
        <v>1</v>
      </c>
      <c r="I2084" s="34"/>
    </row>
    <row r="2085" spans="1:9" ht="30" x14ac:dyDescent="0.25">
      <c r="A2085" s="54" t="s">
        <v>555</v>
      </c>
      <c r="B2085" s="43" t="s">
        <v>638</v>
      </c>
      <c r="C2085" s="37" t="s">
        <v>1984</v>
      </c>
      <c r="D2085" s="37"/>
      <c r="E2085" s="37" t="s">
        <v>1974</v>
      </c>
      <c r="F2085" s="37" t="b">
        <v>0</v>
      </c>
      <c r="G2085" s="37">
        <v>200</v>
      </c>
      <c r="H2085" s="37" t="b">
        <v>1</v>
      </c>
    </row>
    <row r="2086" spans="1:9" ht="30" x14ac:dyDescent="0.25">
      <c r="A2086" s="54" t="s">
        <v>555</v>
      </c>
      <c r="B2086" s="31" t="s">
        <v>647</v>
      </c>
      <c r="C2086" s="28" t="s">
        <v>1985</v>
      </c>
      <c r="D2086" s="28"/>
      <c r="E2086" s="28" t="s">
        <v>1974</v>
      </c>
      <c r="F2086" s="28" t="b">
        <v>0</v>
      </c>
      <c r="G2086" s="28">
        <v>200</v>
      </c>
      <c r="H2086" s="28" t="b">
        <v>1</v>
      </c>
      <c r="I2086" s="34"/>
    </row>
    <row r="2087" spans="1:9" ht="30" x14ac:dyDescent="0.25">
      <c r="A2087" s="54" t="s">
        <v>555</v>
      </c>
      <c r="B2087" s="43" t="s">
        <v>503</v>
      </c>
      <c r="C2087" s="37" t="s">
        <v>1986</v>
      </c>
      <c r="D2087" s="37"/>
      <c r="E2087" s="37" t="s">
        <v>1974</v>
      </c>
      <c r="F2087" s="37" t="b">
        <v>0</v>
      </c>
      <c r="G2087" s="37">
        <v>200</v>
      </c>
      <c r="H2087" s="37" t="b">
        <v>1</v>
      </c>
    </row>
    <row r="2088" spans="1:9" ht="30" x14ac:dyDescent="0.25">
      <c r="A2088" s="54" t="s">
        <v>555</v>
      </c>
      <c r="B2088" s="31" t="s">
        <v>608</v>
      </c>
      <c r="C2088" s="28" t="s">
        <v>1987</v>
      </c>
      <c r="D2088" s="28"/>
      <c r="E2088" s="28" t="s">
        <v>1974</v>
      </c>
      <c r="F2088" s="28" t="b">
        <v>0</v>
      </c>
      <c r="G2088" s="28">
        <v>200</v>
      </c>
      <c r="H2088" s="28" t="b">
        <v>1</v>
      </c>
      <c r="I2088" s="34"/>
    </row>
    <row r="2089" spans="1:9" ht="30" x14ac:dyDescent="0.25">
      <c r="A2089" s="54" t="s">
        <v>555</v>
      </c>
      <c r="B2089" s="43" t="s">
        <v>647</v>
      </c>
      <c r="C2089" s="37" t="s">
        <v>2010</v>
      </c>
      <c r="D2089" s="37"/>
      <c r="E2089" s="37" t="s">
        <v>1974</v>
      </c>
      <c r="F2089" s="37" t="b">
        <v>0</v>
      </c>
      <c r="G2089" s="37">
        <v>200</v>
      </c>
      <c r="H2089" s="37" t="b">
        <v>1</v>
      </c>
    </row>
    <row r="2090" spans="1:9" ht="30" x14ac:dyDescent="0.25">
      <c r="A2090" s="54" t="s">
        <v>555</v>
      </c>
      <c r="B2090" s="31" t="s">
        <v>2011</v>
      </c>
      <c r="C2090" s="28"/>
      <c r="D2090" s="28"/>
      <c r="E2090" s="28" t="s">
        <v>2012</v>
      </c>
      <c r="F2090" s="28" t="b">
        <v>0</v>
      </c>
      <c r="G2090" s="28"/>
      <c r="H2090" s="28" t="b">
        <v>1</v>
      </c>
      <c r="I2090" s="34"/>
    </row>
    <row r="2091" spans="1:9" ht="30" x14ac:dyDescent="0.25">
      <c r="A2091" s="54" t="s">
        <v>555</v>
      </c>
      <c r="B2091" s="43" t="s">
        <v>2013</v>
      </c>
      <c r="C2091" s="37"/>
      <c r="D2091" s="37"/>
      <c r="E2091" s="37" t="s">
        <v>2012</v>
      </c>
      <c r="F2091" s="37" t="b">
        <v>0</v>
      </c>
      <c r="G2091" s="37"/>
      <c r="H2091" s="37" t="b">
        <v>1</v>
      </c>
    </row>
    <row r="2092" spans="1:9" ht="30" x14ac:dyDescent="0.25">
      <c r="A2092" s="54" t="s">
        <v>555</v>
      </c>
      <c r="B2092" s="31" t="s">
        <v>641</v>
      </c>
      <c r="C2092" s="28" t="s">
        <v>2014</v>
      </c>
      <c r="D2092" s="28"/>
      <c r="E2092" s="28" t="s">
        <v>1974</v>
      </c>
      <c r="F2092" s="28" t="b">
        <v>0</v>
      </c>
      <c r="G2092" s="28">
        <v>200</v>
      </c>
      <c r="H2092" s="28" t="b">
        <v>1</v>
      </c>
      <c r="I2092" s="34"/>
    </row>
    <row r="2093" spans="1:9" ht="30" x14ac:dyDescent="0.25">
      <c r="A2093" s="54" t="s">
        <v>555</v>
      </c>
      <c r="B2093" s="43" t="s">
        <v>2015</v>
      </c>
      <c r="C2093" s="37" t="s">
        <v>2016</v>
      </c>
      <c r="D2093" s="37"/>
      <c r="E2093" s="37" t="s">
        <v>1974</v>
      </c>
      <c r="F2093" s="37" t="b">
        <v>0</v>
      </c>
      <c r="G2093" s="37">
        <v>404</v>
      </c>
      <c r="H2093" s="37" t="b">
        <v>0</v>
      </c>
    </row>
    <row r="2094" spans="1:9" ht="30" x14ac:dyDescent="0.25">
      <c r="A2094" s="54" t="s">
        <v>555</v>
      </c>
      <c r="B2094" s="31" t="s">
        <v>2015</v>
      </c>
      <c r="C2094" s="28" t="s">
        <v>2017</v>
      </c>
      <c r="D2094" s="28"/>
      <c r="E2094" s="28" t="s">
        <v>1974</v>
      </c>
      <c r="F2094" s="28" t="b">
        <v>0</v>
      </c>
      <c r="G2094" s="28">
        <v>404</v>
      </c>
      <c r="H2094" s="28" t="b">
        <v>0</v>
      </c>
      <c r="I2094" s="34"/>
    </row>
    <row r="2095" spans="1:9" ht="30" x14ac:dyDescent="0.25">
      <c r="A2095" s="54" t="s">
        <v>557</v>
      </c>
      <c r="B2095" s="43" t="s">
        <v>2015</v>
      </c>
      <c r="C2095" s="37" t="s">
        <v>2016</v>
      </c>
      <c r="D2095" s="37"/>
      <c r="E2095" s="37" t="s">
        <v>1974</v>
      </c>
      <c r="F2095" s="37" t="b">
        <v>0</v>
      </c>
      <c r="G2095" s="37">
        <v>404</v>
      </c>
      <c r="H2095" s="37" t="b">
        <v>0</v>
      </c>
    </row>
    <row r="2096" spans="1:9" ht="30" x14ac:dyDescent="0.25">
      <c r="A2096" s="54" t="s">
        <v>557</v>
      </c>
      <c r="B2096" s="31" t="s">
        <v>2015</v>
      </c>
      <c r="C2096" s="28" t="s">
        <v>2017</v>
      </c>
      <c r="D2096" s="28"/>
      <c r="E2096" s="28" t="s">
        <v>1974</v>
      </c>
      <c r="F2096" s="28" t="b">
        <v>0</v>
      </c>
      <c r="G2096" s="28">
        <v>404</v>
      </c>
      <c r="H2096" s="28" t="b">
        <v>0</v>
      </c>
      <c r="I2096" s="34"/>
    </row>
    <row r="2097" spans="1:9" x14ac:dyDescent="0.25">
      <c r="A2097" s="54" t="s">
        <v>552</v>
      </c>
      <c r="B2097" s="43" t="s">
        <v>127</v>
      </c>
      <c r="C2097" s="37"/>
      <c r="D2097" s="37"/>
      <c r="E2097" s="37" t="s">
        <v>1974</v>
      </c>
      <c r="F2097" s="37" t="b">
        <v>0</v>
      </c>
      <c r="G2097" s="37">
        <v>200</v>
      </c>
      <c r="H2097" s="37" t="b">
        <v>1</v>
      </c>
    </row>
    <row r="2098" spans="1:9" x14ac:dyDescent="0.25">
      <c r="A2098" s="54" t="s">
        <v>552</v>
      </c>
      <c r="B2098" s="31" t="s">
        <v>127</v>
      </c>
      <c r="C2098" s="28" t="s">
        <v>1975</v>
      </c>
      <c r="D2098" s="28"/>
      <c r="E2098" s="28" t="s">
        <v>1974</v>
      </c>
      <c r="F2098" s="28" t="b">
        <v>0</v>
      </c>
      <c r="G2098" s="28">
        <v>200</v>
      </c>
      <c r="H2098" s="28" t="b">
        <v>1</v>
      </c>
      <c r="I2098" s="34"/>
    </row>
    <row r="2099" spans="1:9" x14ac:dyDescent="0.25">
      <c r="A2099" s="54" t="s">
        <v>552</v>
      </c>
      <c r="B2099" s="43" t="s">
        <v>135</v>
      </c>
      <c r="C2099" s="37" t="s">
        <v>1976</v>
      </c>
      <c r="D2099" s="37"/>
      <c r="E2099" s="37" t="s">
        <v>1974</v>
      </c>
      <c r="F2099" s="37" t="b">
        <v>0</v>
      </c>
      <c r="G2099" s="37">
        <v>200</v>
      </c>
      <c r="H2099" s="37" t="b">
        <v>1</v>
      </c>
    </row>
    <row r="2100" spans="1:9" x14ac:dyDescent="0.25">
      <c r="A2100" s="54" t="s">
        <v>552</v>
      </c>
      <c r="B2100" s="31" t="s">
        <v>655</v>
      </c>
      <c r="C2100" s="28" t="s">
        <v>1977</v>
      </c>
      <c r="D2100" s="28"/>
      <c r="E2100" s="28" t="s">
        <v>1974</v>
      </c>
      <c r="F2100" s="28" t="b">
        <v>0</v>
      </c>
      <c r="G2100" s="28">
        <v>200</v>
      </c>
      <c r="H2100" s="28" t="b">
        <v>1</v>
      </c>
      <c r="I2100" s="34"/>
    </row>
    <row r="2101" spans="1:9" x14ac:dyDescent="0.25">
      <c r="A2101" s="54" t="s">
        <v>552</v>
      </c>
      <c r="B2101" s="43" t="s">
        <v>635</v>
      </c>
      <c r="C2101" s="37" t="s">
        <v>1978</v>
      </c>
      <c r="D2101" s="37"/>
      <c r="E2101" s="37" t="s">
        <v>1974</v>
      </c>
      <c r="F2101" s="37" t="b">
        <v>0</v>
      </c>
      <c r="G2101" s="37">
        <v>200</v>
      </c>
      <c r="H2101" s="37" t="b">
        <v>1</v>
      </c>
    </row>
    <row r="2102" spans="1:9" ht="30" x14ac:dyDescent="0.25">
      <c r="A2102" s="54" t="s">
        <v>552</v>
      </c>
      <c r="B2102" s="31" t="s">
        <v>144</v>
      </c>
      <c r="C2102" s="28" t="s">
        <v>1979</v>
      </c>
      <c r="D2102" s="28"/>
      <c r="E2102" s="28" t="s">
        <v>1974</v>
      </c>
      <c r="F2102" s="28" t="b">
        <v>0</v>
      </c>
      <c r="G2102" s="28">
        <v>200</v>
      </c>
      <c r="H2102" s="28" t="b">
        <v>1</v>
      </c>
      <c r="I2102" s="34"/>
    </row>
    <row r="2103" spans="1:9" x14ac:dyDescent="0.25">
      <c r="A2103" s="54" t="s">
        <v>552</v>
      </c>
      <c r="B2103" s="43" t="s">
        <v>618</v>
      </c>
      <c r="C2103" s="37" t="s">
        <v>1980</v>
      </c>
      <c r="D2103" s="37"/>
      <c r="E2103" s="37" t="s">
        <v>1974</v>
      </c>
      <c r="F2103" s="37" t="b">
        <v>0</v>
      </c>
      <c r="G2103" s="37">
        <v>200</v>
      </c>
      <c r="H2103" s="37" t="b">
        <v>1</v>
      </c>
    </row>
    <row r="2104" spans="1:9" ht="30" x14ac:dyDescent="0.25">
      <c r="A2104" s="54" t="s">
        <v>552</v>
      </c>
      <c r="B2104" s="31" t="s">
        <v>585</v>
      </c>
      <c r="C2104" s="28" t="s">
        <v>1981</v>
      </c>
      <c r="D2104" s="28"/>
      <c r="E2104" s="28" t="s">
        <v>1974</v>
      </c>
      <c r="F2104" s="28" t="b">
        <v>0</v>
      </c>
      <c r="G2104" s="28">
        <v>200</v>
      </c>
      <c r="H2104" s="28" t="b">
        <v>1</v>
      </c>
      <c r="I2104" s="34"/>
    </row>
    <row r="2105" spans="1:9" ht="30" x14ac:dyDescent="0.25">
      <c r="A2105" s="54" t="s">
        <v>552</v>
      </c>
      <c r="B2105" s="43" t="s">
        <v>582</v>
      </c>
      <c r="C2105" s="37" t="s">
        <v>1982</v>
      </c>
      <c r="D2105" s="37"/>
      <c r="E2105" s="37" t="s">
        <v>1974</v>
      </c>
      <c r="F2105" s="37" t="b">
        <v>0</v>
      </c>
      <c r="G2105" s="37">
        <v>200</v>
      </c>
      <c r="H2105" s="37" t="b">
        <v>1</v>
      </c>
    </row>
    <row r="2106" spans="1:9" x14ac:dyDescent="0.25">
      <c r="A2106" s="54" t="s">
        <v>552</v>
      </c>
      <c r="B2106" s="31" t="s">
        <v>638</v>
      </c>
      <c r="C2106" s="28" t="s">
        <v>1983</v>
      </c>
      <c r="D2106" s="28"/>
      <c r="E2106" s="28" t="s">
        <v>1974</v>
      </c>
      <c r="F2106" s="28" t="b">
        <v>0</v>
      </c>
      <c r="G2106" s="28">
        <v>200</v>
      </c>
      <c r="H2106" s="28" t="b">
        <v>1</v>
      </c>
      <c r="I2106" s="34"/>
    </row>
    <row r="2107" spans="1:9" x14ac:dyDescent="0.25">
      <c r="A2107" s="54" t="s">
        <v>552</v>
      </c>
      <c r="B2107" s="43" t="s">
        <v>638</v>
      </c>
      <c r="C2107" s="37" t="s">
        <v>1984</v>
      </c>
      <c r="D2107" s="37"/>
      <c r="E2107" s="37" t="s">
        <v>1974</v>
      </c>
      <c r="F2107" s="37" t="b">
        <v>0</v>
      </c>
      <c r="G2107" s="37">
        <v>200</v>
      </c>
      <c r="H2107" s="37" t="b">
        <v>1</v>
      </c>
    </row>
    <row r="2108" spans="1:9" x14ac:dyDescent="0.25">
      <c r="A2108" s="54" t="s">
        <v>552</v>
      </c>
      <c r="B2108" s="31" t="s">
        <v>647</v>
      </c>
      <c r="C2108" s="28" t="s">
        <v>1985</v>
      </c>
      <c r="D2108" s="28"/>
      <c r="E2108" s="28" t="s">
        <v>1974</v>
      </c>
      <c r="F2108" s="28" t="b">
        <v>0</v>
      </c>
      <c r="G2108" s="28">
        <v>200</v>
      </c>
      <c r="H2108" s="28" t="b">
        <v>1</v>
      </c>
      <c r="I2108" s="34"/>
    </row>
    <row r="2109" spans="1:9" ht="30" x14ac:dyDescent="0.25">
      <c r="A2109" s="54" t="s">
        <v>552</v>
      </c>
      <c r="B2109" s="43" t="s">
        <v>503</v>
      </c>
      <c r="C2109" s="37" t="s">
        <v>1986</v>
      </c>
      <c r="D2109" s="37"/>
      <c r="E2109" s="37" t="s">
        <v>1974</v>
      </c>
      <c r="F2109" s="37" t="b">
        <v>0</v>
      </c>
      <c r="G2109" s="37">
        <v>200</v>
      </c>
      <c r="H2109" s="37" t="b">
        <v>1</v>
      </c>
    </row>
    <row r="2110" spans="1:9" x14ac:dyDescent="0.25">
      <c r="A2110" s="54" t="s">
        <v>552</v>
      </c>
      <c r="B2110" s="31" t="s">
        <v>608</v>
      </c>
      <c r="C2110" s="28" t="s">
        <v>1987</v>
      </c>
      <c r="D2110" s="28"/>
      <c r="E2110" s="28" t="s">
        <v>1974</v>
      </c>
      <c r="F2110" s="28" t="b">
        <v>0</v>
      </c>
      <c r="G2110" s="28">
        <v>200</v>
      </c>
      <c r="H2110" s="28" t="b">
        <v>1</v>
      </c>
      <c r="I2110" s="34"/>
    </row>
    <row r="2111" spans="1:9" x14ac:dyDescent="0.25">
      <c r="A2111" s="54" t="s">
        <v>552</v>
      </c>
      <c r="B2111" s="43" t="s">
        <v>127</v>
      </c>
      <c r="C2111" s="37" t="s">
        <v>1975</v>
      </c>
      <c r="D2111" s="37"/>
      <c r="E2111" s="37" t="s">
        <v>1974</v>
      </c>
      <c r="F2111" s="37" t="b">
        <v>0</v>
      </c>
      <c r="G2111" s="37">
        <v>200</v>
      </c>
      <c r="H2111" s="37" t="b">
        <v>1</v>
      </c>
    </row>
    <row r="2112" spans="1:9" x14ac:dyDescent="0.25">
      <c r="A2112" s="54" t="s">
        <v>552</v>
      </c>
      <c r="B2112" s="31" t="s">
        <v>135</v>
      </c>
      <c r="C2112" s="28" t="s">
        <v>1976</v>
      </c>
      <c r="D2112" s="28"/>
      <c r="E2112" s="28" t="s">
        <v>1974</v>
      </c>
      <c r="F2112" s="28" t="b">
        <v>0</v>
      </c>
      <c r="G2112" s="28">
        <v>200</v>
      </c>
      <c r="H2112" s="28" t="b">
        <v>1</v>
      </c>
      <c r="I2112" s="34"/>
    </row>
    <row r="2113" spans="1:9" x14ac:dyDescent="0.25">
      <c r="A2113" s="54" t="s">
        <v>552</v>
      </c>
      <c r="B2113" s="43" t="s">
        <v>655</v>
      </c>
      <c r="C2113" s="37" t="s">
        <v>1977</v>
      </c>
      <c r="D2113" s="37"/>
      <c r="E2113" s="37" t="s">
        <v>1974</v>
      </c>
      <c r="F2113" s="37" t="b">
        <v>0</v>
      </c>
      <c r="G2113" s="37">
        <v>200</v>
      </c>
      <c r="H2113" s="37" t="b">
        <v>1</v>
      </c>
    </row>
    <row r="2114" spans="1:9" x14ac:dyDescent="0.25">
      <c r="A2114" s="54" t="s">
        <v>552</v>
      </c>
      <c r="B2114" s="31" t="s">
        <v>635</v>
      </c>
      <c r="C2114" s="28" t="s">
        <v>1978</v>
      </c>
      <c r="D2114" s="28"/>
      <c r="E2114" s="28" t="s">
        <v>1974</v>
      </c>
      <c r="F2114" s="28" t="b">
        <v>0</v>
      </c>
      <c r="G2114" s="28">
        <v>200</v>
      </c>
      <c r="H2114" s="28" t="b">
        <v>1</v>
      </c>
      <c r="I2114" s="34"/>
    </row>
    <row r="2115" spans="1:9" ht="30" x14ac:dyDescent="0.25">
      <c r="A2115" s="54" t="s">
        <v>552</v>
      </c>
      <c r="B2115" s="43" t="s">
        <v>144</v>
      </c>
      <c r="C2115" s="37" t="s">
        <v>1979</v>
      </c>
      <c r="D2115" s="37"/>
      <c r="E2115" s="37" t="s">
        <v>1974</v>
      </c>
      <c r="F2115" s="37" t="b">
        <v>0</v>
      </c>
      <c r="G2115" s="37">
        <v>200</v>
      </c>
      <c r="H2115" s="37" t="b">
        <v>1</v>
      </c>
    </row>
    <row r="2116" spans="1:9" x14ac:dyDescent="0.25">
      <c r="A2116" s="54" t="s">
        <v>552</v>
      </c>
      <c r="B2116" s="31" t="s">
        <v>618</v>
      </c>
      <c r="C2116" s="28" t="s">
        <v>1980</v>
      </c>
      <c r="D2116" s="28"/>
      <c r="E2116" s="28" t="s">
        <v>1974</v>
      </c>
      <c r="F2116" s="28" t="b">
        <v>0</v>
      </c>
      <c r="G2116" s="28">
        <v>200</v>
      </c>
      <c r="H2116" s="28" t="b">
        <v>1</v>
      </c>
      <c r="I2116" s="34"/>
    </row>
    <row r="2117" spans="1:9" ht="30" x14ac:dyDescent="0.25">
      <c r="A2117" s="54" t="s">
        <v>552</v>
      </c>
      <c r="B2117" s="43" t="s">
        <v>585</v>
      </c>
      <c r="C2117" s="37" t="s">
        <v>1981</v>
      </c>
      <c r="D2117" s="37"/>
      <c r="E2117" s="37" t="s">
        <v>1974</v>
      </c>
      <c r="F2117" s="37" t="b">
        <v>0</v>
      </c>
      <c r="G2117" s="37">
        <v>200</v>
      </c>
      <c r="H2117" s="37" t="b">
        <v>1</v>
      </c>
    </row>
    <row r="2118" spans="1:9" ht="30" x14ac:dyDescent="0.25">
      <c r="A2118" s="54" t="s">
        <v>552</v>
      </c>
      <c r="B2118" s="31" t="s">
        <v>582</v>
      </c>
      <c r="C2118" s="28" t="s">
        <v>1982</v>
      </c>
      <c r="D2118" s="28"/>
      <c r="E2118" s="28" t="s">
        <v>1974</v>
      </c>
      <c r="F2118" s="28" t="b">
        <v>0</v>
      </c>
      <c r="G2118" s="28">
        <v>200</v>
      </c>
      <c r="H2118" s="28" t="b">
        <v>1</v>
      </c>
      <c r="I2118" s="34"/>
    </row>
    <row r="2119" spans="1:9" x14ac:dyDescent="0.25">
      <c r="A2119" s="54" t="s">
        <v>552</v>
      </c>
      <c r="B2119" s="43" t="s">
        <v>638</v>
      </c>
      <c r="C2119" s="37" t="s">
        <v>1983</v>
      </c>
      <c r="D2119" s="37"/>
      <c r="E2119" s="37" t="s">
        <v>1974</v>
      </c>
      <c r="F2119" s="37" t="b">
        <v>0</v>
      </c>
      <c r="G2119" s="37">
        <v>200</v>
      </c>
      <c r="H2119" s="37" t="b">
        <v>1</v>
      </c>
    </row>
    <row r="2120" spans="1:9" x14ac:dyDescent="0.25">
      <c r="A2120" s="54" t="s">
        <v>552</v>
      </c>
      <c r="B2120" s="31" t="s">
        <v>638</v>
      </c>
      <c r="C2120" s="28" t="s">
        <v>1984</v>
      </c>
      <c r="D2120" s="28"/>
      <c r="E2120" s="28" t="s">
        <v>1974</v>
      </c>
      <c r="F2120" s="28" t="b">
        <v>0</v>
      </c>
      <c r="G2120" s="28">
        <v>200</v>
      </c>
      <c r="H2120" s="28" t="b">
        <v>1</v>
      </c>
      <c r="I2120" s="34"/>
    </row>
    <row r="2121" spans="1:9" x14ac:dyDescent="0.25">
      <c r="A2121" s="54" t="s">
        <v>552</v>
      </c>
      <c r="B2121" s="43" t="s">
        <v>647</v>
      </c>
      <c r="C2121" s="37" t="s">
        <v>1985</v>
      </c>
      <c r="D2121" s="37"/>
      <c r="E2121" s="37" t="s">
        <v>1974</v>
      </c>
      <c r="F2121" s="37" t="b">
        <v>0</v>
      </c>
      <c r="G2121" s="37">
        <v>200</v>
      </c>
      <c r="H2121" s="37" t="b">
        <v>1</v>
      </c>
    </row>
    <row r="2122" spans="1:9" ht="30" x14ac:dyDescent="0.25">
      <c r="A2122" s="54" t="s">
        <v>552</v>
      </c>
      <c r="B2122" s="31" t="s">
        <v>503</v>
      </c>
      <c r="C2122" s="28" t="s">
        <v>1986</v>
      </c>
      <c r="D2122" s="28"/>
      <c r="E2122" s="28" t="s">
        <v>1974</v>
      </c>
      <c r="F2122" s="28" t="b">
        <v>0</v>
      </c>
      <c r="G2122" s="28">
        <v>200</v>
      </c>
      <c r="H2122" s="28" t="b">
        <v>1</v>
      </c>
      <c r="I2122" s="34"/>
    </row>
    <row r="2123" spans="1:9" x14ac:dyDescent="0.25">
      <c r="A2123" s="54" t="s">
        <v>552</v>
      </c>
      <c r="B2123" s="43" t="s">
        <v>608</v>
      </c>
      <c r="C2123" s="37" t="s">
        <v>1987</v>
      </c>
      <c r="D2123" s="37"/>
      <c r="E2123" s="37" t="s">
        <v>1974</v>
      </c>
      <c r="F2123" s="37" t="b">
        <v>0</v>
      </c>
      <c r="G2123" s="37">
        <v>200</v>
      </c>
      <c r="H2123" s="37" t="b">
        <v>1</v>
      </c>
    </row>
    <row r="2124" spans="1:9" x14ac:dyDescent="0.25">
      <c r="A2124" s="54" t="s">
        <v>552</v>
      </c>
      <c r="B2124" s="31" t="s">
        <v>647</v>
      </c>
      <c r="C2124" s="28" t="s">
        <v>2010</v>
      </c>
      <c r="D2124" s="28"/>
      <c r="E2124" s="28" t="s">
        <v>1974</v>
      </c>
      <c r="F2124" s="28" t="b">
        <v>0</v>
      </c>
      <c r="G2124" s="28">
        <v>200</v>
      </c>
      <c r="H2124" s="28" t="b">
        <v>1</v>
      </c>
      <c r="I2124" s="34"/>
    </row>
    <row r="2125" spans="1:9" ht="30" x14ac:dyDescent="0.25">
      <c r="A2125" s="54" t="s">
        <v>552</v>
      </c>
      <c r="B2125" s="43" t="s">
        <v>2011</v>
      </c>
      <c r="C2125" s="37"/>
      <c r="D2125" s="37"/>
      <c r="E2125" s="37" t="s">
        <v>2012</v>
      </c>
      <c r="F2125" s="37" t="b">
        <v>0</v>
      </c>
      <c r="G2125" s="37"/>
      <c r="H2125" s="37" t="b">
        <v>1</v>
      </c>
    </row>
    <row r="2126" spans="1:9" ht="30" x14ac:dyDescent="0.25">
      <c r="A2126" s="54" t="s">
        <v>552</v>
      </c>
      <c r="B2126" s="31" t="s">
        <v>2013</v>
      </c>
      <c r="C2126" s="28"/>
      <c r="D2126" s="28"/>
      <c r="E2126" s="28" t="s">
        <v>2012</v>
      </c>
      <c r="F2126" s="28" t="b">
        <v>0</v>
      </c>
      <c r="G2126" s="28"/>
      <c r="H2126" s="28" t="b">
        <v>1</v>
      </c>
      <c r="I2126" s="34"/>
    </row>
    <row r="2127" spans="1:9" x14ac:dyDescent="0.25">
      <c r="A2127" s="54" t="s">
        <v>552</v>
      </c>
      <c r="B2127" s="43" t="s">
        <v>641</v>
      </c>
      <c r="C2127" s="37" t="s">
        <v>2014</v>
      </c>
      <c r="D2127" s="37"/>
      <c r="E2127" s="37" t="s">
        <v>1974</v>
      </c>
      <c r="F2127" s="37" t="b">
        <v>0</v>
      </c>
      <c r="G2127" s="37">
        <v>200</v>
      </c>
      <c r="H2127" s="37" t="b">
        <v>1</v>
      </c>
    </row>
    <row r="2128" spans="1:9" ht="30" x14ac:dyDescent="0.25">
      <c r="A2128" s="54" t="s">
        <v>552</v>
      </c>
      <c r="B2128" s="31" t="s">
        <v>2015</v>
      </c>
      <c r="C2128" s="28" t="s">
        <v>2016</v>
      </c>
      <c r="D2128" s="28"/>
      <c r="E2128" s="28" t="s">
        <v>1974</v>
      </c>
      <c r="F2128" s="28" t="b">
        <v>0</v>
      </c>
      <c r="G2128" s="28">
        <v>404</v>
      </c>
      <c r="H2128" s="28" t="b">
        <v>0</v>
      </c>
      <c r="I2128" s="34"/>
    </row>
    <row r="2129" spans="1:9" ht="30" x14ac:dyDescent="0.25">
      <c r="A2129" s="54" t="s">
        <v>552</v>
      </c>
      <c r="B2129" s="43" t="s">
        <v>2015</v>
      </c>
      <c r="C2129" s="37" t="s">
        <v>2017</v>
      </c>
      <c r="D2129" s="37"/>
      <c r="E2129" s="37" t="s">
        <v>1974</v>
      </c>
      <c r="F2129" s="37" t="b">
        <v>0</v>
      </c>
      <c r="G2129" s="37">
        <v>404</v>
      </c>
      <c r="H2129" s="37" t="b">
        <v>0</v>
      </c>
    </row>
    <row r="2130" spans="1:9" ht="30" x14ac:dyDescent="0.25">
      <c r="A2130" s="54" t="s">
        <v>560</v>
      </c>
      <c r="B2130" s="31" t="s">
        <v>127</v>
      </c>
      <c r="C2130" s="28"/>
      <c r="D2130" s="28"/>
      <c r="E2130" s="28" t="s">
        <v>1974</v>
      </c>
      <c r="F2130" s="28" t="b">
        <v>0</v>
      </c>
      <c r="G2130" s="28">
        <v>200</v>
      </c>
      <c r="H2130" s="28" t="b">
        <v>1</v>
      </c>
      <c r="I2130" s="34"/>
    </row>
    <row r="2131" spans="1:9" ht="30" x14ac:dyDescent="0.25">
      <c r="A2131" s="54" t="s">
        <v>560</v>
      </c>
      <c r="B2131" s="43" t="s">
        <v>127</v>
      </c>
      <c r="C2131" s="37" t="s">
        <v>1975</v>
      </c>
      <c r="D2131" s="37"/>
      <c r="E2131" s="37" t="s">
        <v>1974</v>
      </c>
      <c r="F2131" s="37" t="b">
        <v>0</v>
      </c>
      <c r="G2131" s="37">
        <v>200</v>
      </c>
      <c r="H2131" s="37" t="b">
        <v>1</v>
      </c>
    </row>
    <row r="2132" spans="1:9" ht="30" x14ac:dyDescent="0.25">
      <c r="A2132" s="54" t="s">
        <v>560</v>
      </c>
      <c r="B2132" s="31" t="s">
        <v>135</v>
      </c>
      <c r="C2132" s="28" t="s">
        <v>1976</v>
      </c>
      <c r="D2132" s="28"/>
      <c r="E2132" s="28" t="s">
        <v>1974</v>
      </c>
      <c r="F2132" s="28" t="b">
        <v>0</v>
      </c>
      <c r="G2132" s="28">
        <v>200</v>
      </c>
      <c r="H2132" s="28" t="b">
        <v>1</v>
      </c>
      <c r="I2132" s="34"/>
    </row>
    <row r="2133" spans="1:9" ht="30" x14ac:dyDescent="0.25">
      <c r="A2133" s="54" t="s">
        <v>560</v>
      </c>
      <c r="B2133" s="43" t="s">
        <v>655</v>
      </c>
      <c r="C2133" s="37" t="s">
        <v>1977</v>
      </c>
      <c r="D2133" s="37"/>
      <c r="E2133" s="37" t="s">
        <v>1974</v>
      </c>
      <c r="F2133" s="37" t="b">
        <v>0</v>
      </c>
      <c r="G2133" s="37">
        <v>200</v>
      </c>
      <c r="H2133" s="37" t="b">
        <v>1</v>
      </c>
    </row>
    <row r="2134" spans="1:9" ht="30" x14ac:dyDescent="0.25">
      <c r="A2134" s="54" t="s">
        <v>560</v>
      </c>
      <c r="B2134" s="31" t="s">
        <v>635</v>
      </c>
      <c r="C2134" s="28" t="s">
        <v>1978</v>
      </c>
      <c r="D2134" s="28"/>
      <c r="E2134" s="28" t="s">
        <v>1974</v>
      </c>
      <c r="F2134" s="28" t="b">
        <v>0</v>
      </c>
      <c r="G2134" s="28">
        <v>200</v>
      </c>
      <c r="H2134" s="28" t="b">
        <v>1</v>
      </c>
      <c r="I2134" s="34"/>
    </row>
    <row r="2135" spans="1:9" ht="30" x14ac:dyDescent="0.25">
      <c r="A2135" s="54" t="s">
        <v>560</v>
      </c>
      <c r="B2135" s="43" t="s">
        <v>144</v>
      </c>
      <c r="C2135" s="37" t="s">
        <v>1979</v>
      </c>
      <c r="D2135" s="37"/>
      <c r="E2135" s="37" t="s">
        <v>1974</v>
      </c>
      <c r="F2135" s="37" t="b">
        <v>0</v>
      </c>
      <c r="G2135" s="37">
        <v>200</v>
      </c>
      <c r="H2135" s="37" t="b">
        <v>1</v>
      </c>
    </row>
    <row r="2136" spans="1:9" ht="30" x14ac:dyDescent="0.25">
      <c r="A2136" s="54" t="s">
        <v>560</v>
      </c>
      <c r="B2136" s="31" t="s">
        <v>618</v>
      </c>
      <c r="C2136" s="28" t="s">
        <v>1980</v>
      </c>
      <c r="D2136" s="28"/>
      <c r="E2136" s="28" t="s">
        <v>1974</v>
      </c>
      <c r="F2136" s="28" t="b">
        <v>0</v>
      </c>
      <c r="G2136" s="28">
        <v>200</v>
      </c>
      <c r="H2136" s="28" t="b">
        <v>1</v>
      </c>
      <c r="I2136" s="34"/>
    </row>
    <row r="2137" spans="1:9" ht="30" x14ac:dyDescent="0.25">
      <c r="A2137" s="54" t="s">
        <v>560</v>
      </c>
      <c r="B2137" s="43" t="s">
        <v>585</v>
      </c>
      <c r="C2137" s="37" t="s">
        <v>1981</v>
      </c>
      <c r="D2137" s="37"/>
      <c r="E2137" s="37" t="s">
        <v>1974</v>
      </c>
      <c r="F2137" s="37" t="b">
        <v>0</v>
      </c>
      <c r="G2137" s="37">
        <v>200</v>
      </c>
      <c r="H2137" s="37" t="b">
        <v>1</v>
      </c>
    </row>
    <row r="2138" spans="1:9" ht="30" x14ac:dyDescent="0.25">
      <c r="A2138" s="54" t="s">
        <v>560</v>
      </c>
      <c r="B2138" s="31" t="s">
        <v>582</v>
      </c>
      <c r="C2138" s="28" t="s">
        <v>1982</v>
      </c>
      <c r="D2138" s="28"/>
      <c r="E2138" s="28" t="s">
        <v>1974</v>
      </c>
      <c r="F2138" s="28" t="b">
        <v>0</v>
      </c>
      <c r="G2138" s="28">
        <v>200</v>
      </c>
      <c r="H2138" s="28" t="b">
        <v>1</v>
      </c>
      <c r="I2138" s="34"/>
    </row>
    <row r="2139" spans="1:9" ht="30" x14ac:dyDescent="0.25">
      <c r="A2139" s="54" t="s">
        <v>560</v>
      </c>
      <c r="B2139" s="43" t="s">
        <v>638</v>
      </c>
      <c r="C2139" s="37" t="s">
        <v>1983</v>
      </c>
      <c r="D2139" s="37"/>
      <c r="E2139" s="37" t="s">
        <v>1974</v>
      </c>
      <c r="F2139" s="37" t="b">
        <v>0</v>
      </c>
      <c r="G2139" s="37">
        <v>200</v>
      </c>
      <c r="H2139" s="37" t="b">
        <v>1</v>
      </c>
    </row>
    <row r="2140" spans="1:9" ht="30" x14ac:dyDescent="0.25">
      <c r="A2140" s="54" t="s">
        <v>560</v>
      </c>
      <c r="B2140" s="31" t="s">
        <v>638</v>
      </c>
      <c r="C2140" s="28" t="s">
        <v>1984</v>
      </c>
      <c r="D2140" s="28"/>
      <c r="E2140" s="28" t="s">
        <v>1974</v>
      </c>
      <c r="F2140" s="28" t="b">
        <v>0</v>
      </c>
      <c r="G2140" s="28">
        <v>200</v>
      </c>
      <c r="H2140" s="28" t="b">
        <v>1</v>
      </c>
      <c r="I2140" s="34"/>
    </row>
    <row r="2141" spans="1:9" ht="30" x14ac:dyDescent="0.25">
      <c r="A2141" s="54" t="s">
        <v>560</v>
      </c>
      <c r="B2141" s="43" t="s">
        <v>647</v>
      </c>
      <c r="C2141" s="37" t="s">
        <v>1985</v>
      </c>
      <c r="D2141" s="37"/>
      <c r="E2141" s="37" t="s">
        <v>1974</v>
      </c>
      <c r="F2141" s="37" t="b">
        <v>0</v>
      </c>
      <c r="G2141" s="37">
        <v>200</v>
      </c>
      <c r="H2141" s="37" t="b">
        <v>1</v>
      </c>
    </row>
    <row r="2142" spans="1:9" ht="30" x14ac:dyDescent="0.25">
      <c r="A2142" s="54" t="s">
        <v>560</v>
      </c>
      <c r="B2142" s="31" t="s">
        <v>503</v>
      </c>
      <c r="C2142" s="28" t="s">
        <v>1986</v>
      </c>
      <c r="D2142" s="28"/>
      <c r="E2142" s="28" t="s">
        <v>1974</v>
      </c>
      <c r="F2142" s="28" t="b">
        <v>0</v>
      </c>
      <c r="G2142" s="28">
        <v>200</v>
      </c>
      <c r="H2142" s="28" t="b">
        <v>1</v>
      </c>
      <c r="I2142" s="34"/>
    </row>
    <row r="2143" spans="1:9" ht="30" x14ac:dyDescent="0.25">
      <c r="A2143" s="54" t="s">
        <v>560</v>
      </c>
      <c r="B2143" s="43" t="s">
        <v>608</v>
      </c>
      <c r="C2143" s="37" t="s">
        <v>1987</v>
      </c>
      <c r="D2143" s="37"/>
      <c r="E2143" s="37" t="s">
        <v>1974</v>
      </c>
      <c r="F2143" s="37" t="b">
        <v>0</v>
      </c>
      <c r="G2143" s="37">
        <v>200</v>
      </c>
      <c r="H2143" s="37" t="b">
        <v>1</v>
      </c>
    </row>
    <row r="2144" spans="1:9" ht="30" x14ac:dyDescent="0.25">
      <c r="A2144" s="54" t="s">
        <v>560</v>
      </c>
      <c r="B2144" s="31" t="s">
        <v>127</v>
      </c>
      <c r="C2144" s="28" t="s">
        <v>1975</v>
      </c>
      <c r="D2144" s="28"/>
      <c r="E2144" s="28" t="s">
        <v>1974</v>
      </c>
      <c r="F2144" s="28" t="b">
        <v>0</v>
      </c>
      <c r="G2144" s="28">
        <v>200</v>
      </c>
      <c r="H2144" s="28" t="b">
        <v>1</v>
      </c>
      <c r="I2144" s="34"/>
    </row>
    <row r="2145" spans="1:9" ht="30" x14ac:dyDescent="0.25">
      <c r="A2145" s="54" t="s">
        <v>560</v>
      </c>
      <c r="B2145" s="43" t="s">
        <v>135</v>
      </c>
      <c r="C2145" s="37" t="s">
        <v>1976</v>
      </c>
      <c r="D2145" s="37"/>
      <c r="E2145" s="37" t="s">
        <v>1974</v>
      </c>
      <c r="F2145" s="37" t="b">
        <v>0</v>
      </c>
      <c r="G2145" s="37">
        <v>200</v>
      </c>
      <c r="H2145" s="37" t="b">
        <v>1</v>
      </c>
    </row>
    <row r="2146" spans="1:9" ht="30" x14ac:dyDescent="0.25">
      <c r="A2146" s="54" t="s">
        <v>560</v>
      </c>
      <c r="B2146" s="31" t="s">
        <v>655</v>
      </c>
      <c r="C2146" s="28" t="s">
        <v>1977</v>
      </c>
      <c r="D2146" s="28"/>
      <c r="E2146" s="28" t="s">
        <v>1974</v>
      </c>
      <c r="F2146" s="28" t="b">
        <v>0</v>
      </c>
      <c r="G2146" s="28">
        <v>200</v>
      </c>
      <c r="H2146" s="28" t="b">
        <v>1</v>
      </c>
      <c r="I2146" s="34"/>
    </row>
    <row r="2147" spans="1:9" ht="30" x14ac:dyDescent="0.25">
      <c r="A2147" s="54" t="s">
        <v>560</v>
      </c>
      <c r="B2147" s="43" t="s">
        <v>635</v>
      </c>
      <c r="C2147" s="37" t="s">
        <v>1978</v>
      </c>
      <c r="D2147" s="37"/>
      <c r="E2147" s="37" t="s">
        <v>1974</v>
      </c>
      <c r="F2147" s="37" t="b">
        <v>0</v>
      </c>
      <c r="G2147" s="37">
        <v>200</v>
      </c>
      <c r="H2147" s="37" t="b">
        <v>1</v>
      </c>
    </row>
    <row r="2148" spans="1:9" ht="30" x14ac:dyDescent="0.25">
      <c r="A2148" s="54" t="s">
        <v>560</v>
      </c>
      <c r="B2148" s="31" t="s">
        <v>144</v>
      </c>
      <c r="C2148" s="28" t="s">
        <v>1979</v>
      </c>
      <c r="D2148" s="28"/>
      <c r="E2148" s="28" t="s">
        <v>1974</v>
      </c>
      <c r="F2148" s="28" t="b">
        <v>0</v>
      </c>
      <c r="G2148" s="28">
        <v>200</v>
      </c>
      <c r="H2148" s="28" t="b">
        <v>1</v>
      </c>
      <c r="I2148" s="34"/>
    </row>
    <row r="2149" spans="1:9" ht="30" x14ac:dyDescent="0.25">
      <c r="A2149" s="54" t="s">
        <v>560</v>
      </c>
      <c r="B2149" s="43" t="s">
        <v>618</v>
      </c>
      <c r="C2149" s="37" t="s">
        <v>1980</v>
      </c>
      <c r="D2149" s="37"/>
      <c r="E2149" s="37" t="s">
        <v>1974</v>
      </c>
      <c r="F2149" s="37" t="b">
        <v>0</v>
      </c>
      <c r="G2149" s="37">
        <v>200</v>
      </c>
      <c r="H2149" s="37" t="b">
        <v>1</v>
      </c>
    </row>
    <row r="2150" spans="1:9" ht="30" x14ac:dyDescent="0.25">
      <c r="A2150" s="54" t="s">
        <v>560</v>
      </c>
      <c r="B2150" s="31" t="s">
        <v>585</v>
      </c>
      <c r="C2150" s="28" t="s">
        <v>1981</v>
      </c>
      <c r="D2150" s="28"/>
      <c r="E2150" s="28" t="s">
        <v>1974</v>
      </c>
      <c r="F2150" s="28" t="b">
        <v>0</v>
      </c>
      <c r="G2150" s="28">
        <v>200</v>
      </c>
      <c r="H2150" s="28" t="b">
        <v>1</v>
      </c>
      <c r="I2150" s="34"/>
    </row>
    <row r="2151" spans="1:9" ht="30" x14ac:dyDescent="0.25">
      <c r="A2151" s="54" t="s">
        <v>560</v>
      </c>
      <c r="B2151" s="43" t="s">
        <v>582</v>
      </c>
      <c r="C2151" s="37" t="s">
        <v>1982</v>
      </c>
      <c r="D2151" s="37"/>
      <c r="E2151" s="37" t="s">
        <v>1974</v>
      </c>
      <c r="F2151" s="37" t="b">
        <v>0</v>
      </c>
      <c r="G2151" s="37">
        <v>200</v>
      </c>
      <c r="H2151" s="37" t="b">
        <v>1</v>
      </c>
    </row>
    <row r="2152" spans="1:9" ht="30" x14ac:dyDescent="0.25">
      <c r="A2152" s="54" t="s">
        <v>560</v>
      </c>
      <c r="B2152" s="31" t="s">
        <v>638</v>
      </c>
      <c r="C2152" s="28" t="s">
        <v>1983</v>
      </c>
      <c r="D2152" s="28"/>
      <c r="E2152" s="28" t="s">
        <v>1974</v>
      </c>
      <c r="F2152" s="28" t="b">
        <v>0</v>
      </c>
      <c r="G2152" s="28">
        <v>200</v>
      </c>
      <c r="H2152" s="28" t="b">
        <v>1</v>
      </c>
      <c r="I2152" s="34"/>
    </row>
    <row r="2153" spans="1:9" ht="30" x14ac:dyDescent="0.25">
      <c r="A2153" s="54" t="s">
        <v>560</v>
      </c>
      <c r="B2153" s="43" t="s">
        <v>638</v>
      </c>
      <c r="C2153" s="37" t="s">
        <v>1984</v>
      </c>
      <c r="D2153" s="37"/>
      <c r="E2153" s="37" t="s">
        <v>1974</v>
      </c>
      <c r="F2153" s="37" t="b">
        <v>0</v>
      </c>
      <c r="G2153" s="37">
        <v>200</v>
      </c>
      <c r="H2153" s="37" t="b">
        <v>1</v>
      </c>
    </row>
    <row r="2154" spans="1:9" ht="30" x14ac:dyDescent="0.25">
      <c r="A2154" s="54" t="s">
        <v>560</v>
      </c>
      <c r="B2154" s="31" t="s">
        <v>647</v>
      </c>
      <c r="C2154" s="28" t="s">
        <v>1985</v>
      </c>
      <c r="D2154" s="28"/>
      <c r="E2154" s="28" t="s">
        <v>1974</v>
      </c>
      <c r="F2154" s="28" t="b">
        <v>0</v>
      </c>
      <c r="G2154" s="28">
        <v>200</v>
      </c>
      <c r="H2154" s="28" t="b">
        <v>1</v>
      </c>
      <c r="I2154" s="34"/>
    </row>
    <row r="2155" spans="1:9" ht="30" x14ac:dyDescent="0.25">
      <c r="A2155" s="54" t="s">
        <v>560</v>
      </c>
      <c r="B2155" s="43" t="s">
        <v>503</v>
      </c>
      <c r="C2155" s="37" t="s">
        <v>1986</v>
      </c>
      <c r="D2155" s="37"/>
      <c r="E2155" s="37" t="s">
        <v>1974</v>
      </c>
      <c r="F2155" s="37" t="b">
        <v>0</v>
      </c>
      <c r="G2155" s="37">
        <v>200</v>
      </c>
      <c r="H2155" s="37" t="b">
        <v>1</v>
      </c>
    </row>
    <row r="2156" spans="1:9" ht="30" x14ac:dyDescent="0.25">
      <c r="A2156" s="54" t="s">
        <v>560</v>
      </c>
      <c r="B2156" s="31" t="s">
        <v>608</v>
      </c>
      <c r="C2156" s="28" t="s">
        <v>1987</v>
      </c>
      <c r="D2156" s="28"/>
      <c r="E2156" s="28" t="s">
        <v>1974</v>
      </c>
      <c r="F2156" s="28" t="b">
        <v>0</v>
      </c>
      <c r="G2156" s="28">
        <v>200</v>
      </c>
      <c r="H2156" s="28" t="b">
        <v>1</v>
      </c>
      <c r="I2156" s="34"/>
    </row>
    <row r="2157" spans="1:9" ht="30" x14ac:dyDescent="0.25">
      <c r="A2157" s="54" t="s">
        <v>560</v>
      </c>
      <c r="B2157" s="43" t="s">
        <v>647</v>
      </c>
      <c r="C2157" s="37" t="s">
        <v>2010</v>
      </c>
      <c r="D2157" s="37"/>
      <c r="E2157" s="37" t="s">
        <v>1974</v>
      </c>
      <c r="F2157" s="37" t="b">
        <v>0</v>
      </c>
      <c r="G2157" s="37">
        <v>200</v>
      </c>
      <c r="H2157" s="37" t="b">
        <v>1</v>
      </c>
    </row>
    <row r="2158" spans="1:9" ht="30" x14ac:dyDescent="0.25">
      <c r="A2158" s="54" t="s">
        <v>560</v>
      </c>
      <c r="B2158" s="31" t="s">
        <v>2011</v>
      </c>
      <c r="C2158" s="28"/>
      <c r="D2158" s="28"/>
      <c r="E2158" s="28" t="s">
        <v>2012</v>
      </c>
      <c r="F2158" s="28" t="b">
        <v>0</v>
      </c>
      <c r="G2158" s="28"/>
      <c r="H2158" s="28" t="b">
        <v>1</v>
      </c>
      <c r="I2158" s="34"/>
    </row>
    <row r="2159" spans="1:9" ht="30" x14ac:dyDescent="0.25">
      <c r="A2159" s="54" t="s">
        <v>560</v>
      </c>
      <c r="B2159" s="43" t="s">
        <v>2013</v>
      </c>
      <c r="C2159" s="37"/>
      <c r="D2159" s="37"/>
      <c r="E2159" s="37" t="s">
        <v>2012</v>
      </c>
      <c r="F2159" s="37" t="b">
        <v>0</v>
      </c>
      <c r="G2159" s="37"/>
      <c r="H2159" s="37" t="b">
        <v>1</v>
      </c>
    </row>
    <row r="2160" spans="1:9" ht="30" x14ac:dyDescent="0.25">
      <c r="A2160" s="54" t="s">
        <v>560</v>
      </c>
      <c r="B2160" s="31" t="s">
        <v>641</v>
      </c>
      <c r="C2160" s="28" t="s">
        <v>2014</v>
      </c>
      <c r="D2160" s="28"/>
      <c r="E2160" s="28" t="s">
        <v>1974</v>
      </c>
      <c r="F2160" s="28" t="b">
        <v>0</v>
      </c>
      <c r="G2160" s="28">
        <v>200</v>
      </c>
      <c r="H2160" s="28" t="b">
        <v>1</v>
      </c>
      <c r="I2160" s="34"/>
    </row>
    <row r="2161" spans="1:9" ht="30" x14ac:dyDescent="0.25">
      <c r="A2161" s="54" t="s">
        <v>560</v>
      </c>
      <c r="B2161" s="43" t="s">
        <v>2015</v>
      </c>
      <c r="C2161" s="37" t="s">
        <v>2016</v>
      </c>
      <c r="D2161" s="37"/>
      <c r="E2161" s="37" t="s">
        <v>1974</v>
      </c>
      <c r="F2161" s="37" t="b">
        <v>0</v>
      </c>
      <c r="G2161" s="37">
        <v>404</v>
      </c>
      <c r="H2161" s="37" t="b">
        <v>0</v>
      </c>
    </row>
    <row r="2162" spans="1:9" ht="30" x14ac:dyDescent="0.25">
      <c r="A2162" s="54" t="s">
        <v>560</v>
      </c>
      <c r="B2162" s="31" t="s">
        <v>2015</v>
      </c>
      <c r="C2162" s="28" t="s">
        <v>2017</v>
      </c>
      <c r="D2162" s="28"/>
      <c r="E2162" s="28" t="s">
        <v>1974</v>
      </c>
      <c r="F2162" s="28" t="b">
        <v>0</v>
      </c>
      <c r="G2162" s="28">
        <v>404</v>
      </c>
      <c r="H2162" s="28" t="b">
        <v>0</v>
      </c>
      <c r="I2162" s="34"/>
    </row>
    <row r="2163" spans="1:9" ht="30" x14ac:dyDescent="0.25">
      <c r="A2163" s="54" t="s">
        <v>563</v>
      </c>
      <c r="B2163" s="43" t="s">
        <v>2025</v>
      </c>
      <c r="C2163" s="37"/>
      <c r="D2163" s="37"/>
      <c r="E2163" s="37" t="s">
        <v>2012</v>
      </c>
      <c r="F2163" s="37" t="b">
        <v>0</v>
      </c>
      <c r="G2163" s="37"/>
      <c r="H2163" s="37" t="b">
        <v>1</v>
      </c>
    </row>
    <row r="2164" spans="1:9" ht="30" x14ac:dyDescent="0.25">
      <c r="A2164" s="54" t="s">
        <v>563</v>
      </c>
      <c r="B2164" s="31" t="s">
        <v>497</v>
      </c>
      <c r="C2164" s="28" t="s">
        <v>2027</v>
      </c>
      <c r="D2164" s="28"/>
      <c r="E2164" s="28" t="s">
        <v>1974</v>
      </c>
      <c r="F2164" s="28" t="b">
        <v>0</v>
      </c>
      <c r="G2164" s="28">
        <v>200</v>
      </c>
      <c r="H2164" s="28" t="b">
        <v>1</v>
      </c>
      <c r="I2164" s="34"/>
    </row>
    <row r="2165" spans="1:9" ht="30" x14ac:dyDescent="0.25">
      <c r="A2165" s="54" t="s">
        <v>563</v>
      </c>
      <c r="B2165" s="43" t="s">
        <v>652</v>
      </c>
      <c r="C2165" s="37" t="s">
        <v>2028</v>
      </c>
      <c r="D2165" s="37"/>
      <c r="E2165" s="37" t="s">
        <v>1974</v>
      </c>
      <c r="F2165" s="37" t="b">
        <v>0</v>
      </c>
      <c r="G2165" s="37">
        <v>200</v>
      </c>
      <c r="H2165" s="37" t="b">
        <v>1</v>
      </c>
    </row>
    <row r="2166" spans="1:9" ht="30" x14ac:dyDescent="0.25">
      <c r="A2166" s="54" t="s">
        <v>563</v>
      </c>
      <c r="B2166" s="31" t="s">
        <v>537</v>
      </c>
      <c r="C2166" s="28" t="s">
        <v>2029</v>
      </c>
      <c r="D2166" s="28"/>
      <c r="E2166" s="28" t="s">
        <v>1974</v>
      </c>
      <c r="F2166" s="28" t="b">
        <v>0</v>
      </c>
      <c r="G2166" s="28">
        <v>200</v>
      </c>
      <c r="H2166" s="28" t="b">
        <v>1</v>
      </c>
      <c r="I2166" s="34"/>
    </row>
    <row r="2167" spans="1:9" ht="30" x14ac:dyDescent="0.25">
      <c r="A2167" s="54" t="s">
        <v>563</v>
      </c>
      <c r="B2167" s="43" t="s">
        <v>543</v>
      </c>
      <c r="C2167" s="37" t="s">
        <v>2030</v>
      </c>
      <c r="D2167" s="37"/>
      <c r="E2167" s="37" t="s">
        <v>1974</v>
      </c>
      <c r="F2167" s="37" t="b">
        <v>0</v>
      </c>
      <c r="G2167" s="37">
        <v>200</v>
      </c>
      <c r="H2167" s="37" t="b">
        <v>1</v>
      </c>
    </row>
    <row r="2168" spans="1:9" ht="30" x14ac:dyDescent="0.25">
      <c r="A2168" s="54" t="s">
        <v>563</v>
      </c>
      <c r="B2168" s="31" t="s">
        <v>566</v>
      </c>
      <c r="C2168" s="28" t="s">
        <v>2031</v>
      </c>
      <c r="D2168" s="28"/>
      <c r="E2168" s="28" t="s">
        <v>1974</v>
      </c>
      <c r="F2168" s="28" t="b">
        <v>0</v>
      </c>
      <c r="G2168" s="28">
        <v>200</v>
      </c>
      <c r="H2168" s="28" t="b">
        <v>1</v>
      </c>
      <c r="I2168" s="34"/>
    </row>
    <row r="2169" spans="1:9" ht="30" x14ac:dyDescent="0.25">
      <c r="A2169" s="54" t="s">
        <v>563</v>
      </c>
      <c r="B2169" s="43" t="s">
        <v>601</v>
      </c>
      <c r="C2169" s="37" t="s">
        <v>2032</v>
      </c>
      <c r="D2169" s="37"/>
      <c r="E2169" s="37" t="s">
        <v>1974</v>
      </c>
      <c r="F2169" s="37" t="b">
        <v>0</v>
      </c>
      <c r="G2169" s="37">
        <v>200</v>
      </c>
      <c r="H2169" s="37" t="b">
        <v>1</v>
      </c>
    </row>
    <row r="2170" spans="1:9" ht="30" x14ac:dyDescent="0.25">
      <c r="A2170" s="54" t="s">
        <v>563</v>
      </c>
      <c r="B2170" s="31" t="s">
        <v>497</v>
      </c>
      <c r="C2170" s="28" t="s">
        <v>2027</v>
      </c>
      <c r="D2170" s="28"/>
      <c r="E2170" s="28" t="s">
        <v>1974</v>
      </c>
      <c r="F2170" s="28" t="b">
        <v>0</v>
      </c>
      <c r="G2170" s="28">
        <v>200</v>
      </c>
      <c r="H2170" s="28" t="b">
        <v>1</v>
      </c>
      <c r="I2170" s="34"/>
    </row>
    <row r="2171" spans="1:9" ht="30" x14ac:dyDescent="0.25">
      <c r="A2171" s="54" t="s">
        <v>563</v>
      </c>
      <c r="B2171" s="43" t="s">
        <v>652</v>
      </c>
      <c r="C2171" s="37" t="s">
        <v>2028</v>
      </c>
      <c r="D2171" s="37"/>
      <c r="E2171" s="37" t="s">
        <v>1974</v>
      </c>
      <c r="F2171" s="37" t="b">
        <v>0</v>
      </c>
      <c r="G2171" s="37">
        <v>200</v>
      </c>
      <c r="H2171" s="37" t="b">
        <v>1</v>
      </c>
    </row>
    <row r="2172" spans="1:9" ht="30" x14ac:dyDescent="0.25">
      <c r="A2172" s="54" t="s">
        <v>563</v>
      </c>
      <c r="B2172" s="31" t="s">
        <v>537</v>
      </c>
      <c r="C2172" s="28" t="s">
        <v>2029</v>
      </c>
      <c r="D2172" s="28"/>
      <c r="E2172" s="28" t="s">
        <v>1974</v>
      </c>
      <c r="F2172" s="28" t="b">
        <v>0</v>
      </c>
      <c r="G2172" s="28">
        <v>200</v>
      </c>
      <c r="H2172" s="28" t="b">
        <v>1</v>
      </c>
      <c r="I2172" s="34"/>
    </row>
    <row r="2173" spans="1:9" ht="30" x14ac:dyDescent="0.25">
      <c r="A2173" s="54" t="s">
        <v>563</v>
      </c>
      <c r="B2173" s="43" t="s">
        <v>543</v>
      </c>
      <c r="C2173" s="37" t="s">
        <v>2030</v>
      </c>
      <c r="D2173" s="37"/>
      <c r="E2173" s="37" t="s">
        <v>1974</v>
      </c>
      <c r="F2173" s="37" t="b">
        <v>0</v>
      </c>
      <c r="G2173" s="37">
        <v>200</v>
      </c>
      <c r="H2173" s="37" t="b">
        <v>1</v>
      </c>
    </row>
    <row r="2174" spans="1:9" ht="30" x14ac:dyDescent="0.25">
      <c r="A2174" s="54" t="s">
        <v>563</v>
      </c>
      <c r="B2174" s="31" t="s">
        <v>566</v>
      </c>
      <c r="C2174" s="28" t="s">
        <v>2031</v>
      </c>
      <c r="D2174" s="28"/>
      <c r="E2174" s="28" t="s">
        <v>1974</v>
      </c>
      <c r="F2174" s="28" t="b">
        <v>0</v>
      </c>
      <c r="G2174" s="28">
        <v>200</v>
      </c>
      <c r="H2174" s="28" t="b">
        <v>1</v>
      </c>
      <c r="I2174" s="34"/>
    </row>
    <row r="2175" spans="1:9" ht="30" x14ac:dyDescent="0.25">
      <c r="A2175" s="54" t="s">
        <v>563</v>
      </c>
      <c r="B2175" s="43" t="s">
        <v>601</v>
      </c>
      <c r="C2175" s="37" t="s">
        <v>2032</v>
      </c>
      <c r="D2175" s="37"/>
      <c r="E2175" s="37" t="s">
        <v>1974</v>
      </c>
      <c r="F2175" s="37" t="b">
        <v>0</v>
      </c>
      <c r="G2175" s="37">
        <v>200</v>
      </c>
      <c r="H2175" s="37" t="b">
        <v>1</v>
      </c>
    </row>
    <row r="2176" spans="1:9" ht="30" x14ac:dyDescent="0.25">
      <c r="A2176" s="54" t="s">
        <v>563</v>
      </c>
      <c r="B2176" s="31" t="s">
        <v>2743</v>
      </c>
      <c r="C2176" s="28"/>
      <c r="D2176" s="28"/>
      <c r="E2176" s="28" t="s">
        <v>2012</v>
      </c>
      <c r="F2176" s="28" t="b">
        <v>0</v>
      </c>
      <c r="G2176" s="28"/>
      <c r="H2176" s="28" t="b">
        <v>1</v>
      </c>
      <c r="I2176" s="34"/>
    </row>
    <row r="2177" spans="1:9" ht="30" x14ac:dyDescent="0.25">
      <c r="A2177" s="54" t="s">
        <v>563</v>
      </c>
      <c r="B2177" s="43" t="s">
        <v>2744</v>
      </c>
      <c r="C2177" s="37"/>
      <c r="D2177" s="37"/>
      <c r="E2177" s="37" t="s">
        <v>2012</v>
      </c>
      <c r="F2177" s="37" t="b">
        <v>0</v>
      </c>
      <c r="G2177" s="37"/>
      <c r="H2177" s="37" t="b">
        <v>1</v>
      </c>
    </row>
    <row r="2178" spans="1:9" ht="30" x14ac:dyDescent="0.25">
      <c r="A2178" s="54" t="s">
        <v>563</v>
      </c>
      <c r="B2178" s="31" t="s">
        <v>2745</v>
      </c>
      <c r="C2178" s="28"/>
      <c r="D2178" s="28"/>
      <c r="E2178" s="28" t="s">
        <v>2012</v>
      </c>
      <c r="F2178" s="28" t="b">
        <v>0</v>
      </c>
      <c r="G2178" s="28"/>
      <c r="H2178" s="28" t="b">
        <v>1</v>
      </c>
      <c r="I2178" s="34"/>
    </row>
    <row r="2179" spans="1:9" ht="30" x14ac:dyDescent="0.25">
      <c r="A2179" s="54" t="s">
        <v>563</v>
      </c>
      <c r="B2179" s="43" t="s">
        <v>2746</v>
      </c>
      <c r="C2179" s="37"/>
      <c r="D2179" s="37"/>
      <c r="E2179" s="37" t="s">
        <v>2012</v>
      </c>
      <c r="F2179" s="37" t="b">
        <v>0</v>
      </c>
      <c r="G2179" s="37"/>
      <c r="H2179" s="37" t="b">
        <v>1</v>
      </c>
    </row>
    <row r="2180" spans="1:9" ht="30" x14ac:dyDescent="0.25">
      <c r="A2180" s="54" t="s">
        <v>563</v>
      </c>
      <c r="B2180" s="31" t="s">
        <v>2738</v>
      </c>
      <c r="C2180" s="28"/>
      <c r="D2180" s="28"/>
      <c r="E2180" s="28" t="s">
        <v>2012</v>
      </c>
      <c r="F2180" s="28" t="b">
        <v>0</v>
      </c>
      <c r="G2180" s="28"/>
      <c r="H2180" s="28" t="b">
        <v>1</v>
      </c>
      <c r="I2180" s="34"/>
    </row>
    <row r="2181" spans="1:9" ht="30" x14ac:dyDescent="0.25">
      <c r="A2181" s="54" t="s">
        <v>563</v>
      </c>
      <c r="B2181" s="43" t="s">
        <v>2739</v>
      </c>
      <c r="C2181" s="37"/>
      <c r="D2181" s="37"/>
      <c r="E2181" s="37" t="s">
        <v>2012</v>
      </c>
      <c r="F2181" s="37" t="b">
        <v>0</v>
      </c>
      <c r="G2181" s="37"/>
      <c r="H2181" s="37" t="b">
        <v>1</v>
      </c>
    </row>
    <row r="2182" spans="1:9" ht="30" x14ac:dyDescent="0.25">
      <c r="A2182" s="54" t="s">
        <v>563</v>
      </c>
      <c r="B2182" s="31" t="s">
        <v>2740</v>
      </c>
      <c r="C2182" s="28"/>
      <c r="D2182" s="28"/>
      <c r="E2182" s="28" t="s">
        <v>2012</v>
      </c>
      <c r="F2182" s="28" t="b">
        <v>0</v>
      </c>
      <c r="G2182" s="28"/>
      <c r="H2182" s="28" t="b">
        <v>1</v>
      </c>
      <c r="I2182" s="34"/>
    </row>
    <row r="2183" spans="1:9" ht="30" x14ac:dyDescent="0.25">
      <c r="A2183" s="54" t="s">
        <v>563</v>
      </c>
      <c r="B2183" s="43" t="s">
        <v>2741</v>
      </c>
      <c r="C2183" s="37"/>
      <c r="D2183" s="37"/>
      <c r="E2183" s="37" t="s">
        <v>2012</v>
      </c>
      <c r="F2183" s="37" t="b">
        <v>0</v>
      </c>
      <c r="G2183" s="37"/>
      <c r="H2183" s="37" t="b">
        <v>1</v>
      </c>
    </row>
    <row r="2184" spans="1:9" ht="30" x14ac:dyDescent="0.25">
      <c r="A2184" s="54" t="s">
        <v>563</v>
      </c>
      <c r="B2184" s="31" t="s">
        <v>2742</v>
      </c>
      <c r="C2184" s="28"/>
      <c r="D2184" s="28"/>
      <c r="E2184" s="28" t="s">
        <v>2012</v>
      </c>
      <c r="F2184" s="28" t="b">
        <v>0</v>
      </c>
      <c r="G2184" s="28"/>
      <c r="H2184" s="28" t="b">
        <v>1</v>
      </c>
      <c r="I2184" s="34"/>
    </row>
    <row r="2185" spans="1:9" ht="30" x14ac:dyDescent="0.25">
      <c r="A2185" s="54" t="s">
        <v>563</v>
      </c>
      <c r="B2185" s="43" t="s">
        <v>2743</v>
      </c>
      <c r="C2185" s="37"/>
      <c r="D2185" s="37"/>
      <c r="E2185" s="37" t="s">
        <v>2012</v>
      </c>
      <c r="F2185" s="37" t="b">
        <v>0</v>
      </c>
      <c r="G2185" s="37"/>
      <c r="H2185" s="37" t="b">
        <v>1</v>
      </c>
    </row>
    <row r="2186" spans="1:9" ht="30" x14ac:dyDescent="0.25">
      <c r="A2186" s="54" t="s">
        <v>563</v>
      </c>
      <c r="B2186" s="31" t="s">
        <v>2744</v>
      </c>
      <c r="C2186" s="28"/>
      <c r="D2186" s="28"/>
      <c r="E2186" s="28" t="s">
        <v>2012</v>
      </c>
      <c r="F2186" s="28" t="b">
        <v>0</v>
      </c>
      <c r="G2186" s="28"/>
      <c r="H2186" s="28" t="b">
        <v>1</v>
      </c>
      <c r="I2186" s="34"/>
    </row>
    <row r="2187" spans="1:9" ht="30" x14ac:dyDescent="0.25">
      <c r="A2187" s="54" t="s">
        <v>563</v>
      </c>
      <c r="B2187" s="43" t="s">
        <v>2745</v>
      </c>
      <c r="C2187" s="37"/>
      <c r="D2187" s="37"/>
      <c r="E2187" s="37" t="s">
        <v>2012</v>
      </c>
      <c r="F2187" s="37" t="b">
        <v>0</v>
      </c>
      <c r="G2187" s="37"/>
      <c r="H2187" s="37" t="b">
        <v>1</v>
      </c>
    </row>
    <row r="2188" spans="1:9" ht="30" x14ac:dyDescent="0.25">
      <c r="A2188" s="54" t="s">
        <v>563</v>
      </c>
      <c r="B2188" s="31" t="s">
        <v>2746</v>
      </c>
      <c r="C2188" s="28"/>
      <c r="D2188" s="28"/>
      <c r="E2188" s="28" t="s">
        <v>2012</v>
      </c>
      <c r="F2188" s="28" t="b">
        <v>0</v>
      </c>
      <c r="G2188" s="28"/>
      <c r="H2188" s="28" t="b">
        <v>1</v>
      </c>
      <c r="I2188" s="34"/>
    </row>
    <row r="2189" spans="1:9" ht="30" x14ac:dyDescent="0.25">
      <c r="A2189" s="54" t="s">
        <v>563</v>
      </c>
      <c r="B2189" s="43" t="s">
        <v>2738</v>
      </c>
      <c r="C2189" s="37"/>
      <c r="D2189" s="37"/>
      <c r="E2189" s="37" t="s">
        <v>2012</v>
      </c>
      <c r="F2189" s="37" t="b">
        <v>0</v>
      </c>
      <c r="G2189" s="37"/>
      <c r="H2189" s="37" t="b">
        <v>1</v>
      </c>
    </row>
    <row r="2190" spans="1:9" ht="30" x14ac:dyDescent="0.25">
      <c r="A2190" s="54" t="s">
        <v>563</v>
      </c>
      <c r="B2190" s="31" t="s">
        <v>2739</v>
      </c>
      <c r="C2190" s="28"/>
      <c r="D2190" s="28"/>
      <c r="E2190" s="28" t="s">
        <v>2012</v>
      </c>
      <c r="F2190" s="28" t="b">
        <v>0</v>
      </c>
      <c r="G2190" s="28"/>
      <c r="H2190" s="28" t="b">
        <v>1</v>
      </c>
      <c r="I2190" s="34"/>
    </row>
    <row r="2191" spans="1:9" ht="30" x14ac:dyDescent="0.25">
      <c r="A2191" s="54" t="s">
        <v>563</v>
      </c>
      <c r="B2191" s="43" t="s">
        <v>2740</v>
      </c>
      <c r="C2191" s="37"/>
      <c r="D2191" s="37"/>
      <c r="E2191" s="37" t="s">
        <v>2012</v>
      </c>
      <c r="F2191" s="37" t="b">
        <v>0</v>
      </c>
      <c r="G2191" s="37"/>
      <c r="H2191" s="37" t="b">
        <v>1</v>
      </c>
    </row>
    <row r="2192" spans="1:9" ht="30" x14ac:dyDescent="0.25">
      <c r="A2192" s="54" t="s">
        <v>563</v>
      </c>
      <c r="B2192" s="31" t="s">
        <v>2741</v>
      </c>
      <c r="C2192" s="28"/>
      <c r="D2192" s="28"/>
      <c r="E2192" s="28" t="s">
        <v>2012</v>
      </c>
      <c r="F2192" s="28" t="b">
        <v>0</v>
      </c>
      <c r="G2192" s="28"/>
      <c r="H2192" s="28" t="b">
        <v>1</v>
      </c>
      <c r="I2192" s="34"/>
    </row>
    <row r="2193" spans="1:9" ht="30" x14ac:dyDescent="0.25">
      <c r="A2193" s="54" t="s">
        <v>563</v>
      </c>
      <c r="B2193" s="43" t="s">
        <v>647</v>
      </c>
      <c r="C2193" s="37" t="s">
        <v>2010</v>
      </c>
      <c r="D2193" s="37"/>
      <c r="E2193" s="37" t="s">
        <v>1974</v>
      </c>
      <c r="F2193" s="37" t="b">
        <v>0</v>
      </c>
      <c r="G2193" s="37">
        <v>200</v>
      </c>
      <c r="H2193" s="37" t="b">
        <v>1</v>
      </c>
    </row>
    <row r="2194" spans="1:9" ht="30" x14ac:dyDescent="0.25">
      <c r="A2194" s="54" t="s">
        <v>563</v>
      </c>
      <c r="B2194" s="31" t="s">
        <v>2011</v>
      </c>
      <c r="C2194" s="28"/>
      <c r="D2194" s="28"/>
      <c r="E2194" s="28" t="s">
        <v>2012</v>
      </c>
      <c r="F2194" s="28" t="b">
        <v>0</v>
      </c>
      <c r="G2194" s="28"/>
      <c r="H2194" s="28" t="b">
        <v>1</v>
      </c>
      <c r="I2194" s="34"/>
    </row>
    <row r="2195" spans="1:9" ht="30" x14ac:dyDescent="0.25">
      <c r="A2195" s="54" t="s">
        <v>563</v>
      </c>
      <c r="B2195" s="43" t="s">
        <v>2013</v>
      </c>
      <c r="C2195" s="37"/>
      <c r="D2195" s="37"/>
      <c r="E2195" s="37" t="s">
        <v>2012</v>
      </c>
      <c r="F2195" s="37" t="b">
        <v>0</v>
      </c>
      <c r="G2195" s="37"/>
      <c r="H2195" s="37" t="b">
        <v>1</v>
      </c>
    </row>
    <row r="2196" spans="1:9" ht="30" x14ac:dyDescent="0.25">
      <c r="A2196" s="54" t="s">
        <v>563</v>
      </c>
      <c r="B2196" s="31" t="s">
        <v>2033</v>
      </c>
      <c r="C2196" s="28"/>
      <c r="D2196" s="28"/>
      <c r="E2196" s="28" t="s">
        <v>2012</v>
      </c>
      <c r="F2196" s="28" t="b">
        <v>0</v>
      </c>
      <c r="G2196" s="28"/>
      <c r="H2196" s="28" t="b">
        <v>1</v>
      </c>
      <c r="I2196" s="34"/>
    </row>
    <row r="2197" spans="1:9" ht="30" x14ac:dyDescent="0.25">
      <c r="A2197" s="54" t="s">
        <v>563</v>
      </c>
      <c r="B2197" s="43" t="s">
        <v>641</v>
      </c>
      <c r="C2197" s="37" t="s">
        <v>2034</v>
      </c>
      <c r="D2197" s="37"/>
      <c r="E2197" s="37" t="s">
        <v>1974</v>
      </c>
      <c r="F2197" s="37" t="b">
        <v>0</v>
      </c>
      <c r="G2197" s="37">
        <v>200</v>
      </c>
      <c r="H2197" s="37" t="b">
        <v>1</v>
      </c>
    </row>
    <row r="2198" spans="1:9" ht="30" x14ac:dyDescent="0.25">
      <c r="A2198" s="54" t="s">
        <v>563</v>
      </c>
      <c r="B2198" s="31" t="s">
        <v>2015</v>
      </c>
      <c r="C2198" s="28" t="s">
        <v>2016</v>
      </c>
      <c r="D2198" s="28"/>
      <c r="E2198" s="28" t="s">
        <v>1974</v>
      </c>
      <c r="F2198" s="28" t="b">
        <v>0</v>
      </c>
      <c r="G2198" s="28">
        <v>404</v>
      </c>
      <c r="H2198" s="28" t="b">
        <v>0</v>
      </c>
      <c r="I2198" s="34"/>
    </row>
    <row r="2199" spans="1:9" ht="30" x14ac:dyDescent="0.25">
      <c r="A2199" s="54" t="s">
        <v>563</v>
      </c>
      <c r="B2199" s="43" t="s">
        <v>2015</v>
      </c>
      <c r="C2199" s="37" t="s">
        <v>2017</v>
      </c>
      <c r="D2199" s="37"/>
      <c r="E2199" s="37" t="s">
        <v>1974</v>
      </c>
      <c r="F2199" s="37" t="b">
        <v>0</v>
      </c>
      <c r="G2199" s="37">
        <v>404</v>
      </c>
      <c r="H2199" s="37" t="b">
        <v>0</v>
      </c>
    </row>
    <row r="2200" spans="1:9" x14ac:dyDescent="0.25">
      <c r="A2200" s="54" t="s">
        <v>566</v>
      </c>
      <c r="B2200" s="31" t="s">
        <v>2025</v>
      </c>
      <c r="C2200" s="28"/>
      <c r="D2200" s="28"/>
      <c r="E2200" s="28" t="s">
        <v>2012</v>
      </c>
      <c r="F2200" s="28" t="b">
        <v>0</v>
      </c>
      <c r="G2200" s="28"/>
      <c r="H2200" s="28" t="b">
        <v>1</v>
      </c>
      <c r="I2200" s="34"/>
    </row>
    <row r="2201" spans="1:9" x14ac:dyDescent="0.25">
      <c r="A2201" s="54" t="s">
        <v>566</v>
      </c>
      <c r="B2201" s="43" t="s">
        <v>127</v>
      </c>
      <c r="C2201" s="37" t="s">
        <v>1975</v>
      </c>
      <c r="D2201" s="37"/>
      <c r="E2201" s="37" t="s">
        <v>1974</v>
      </c>
      <c r="F2201" s="37" t="b">
        <v>0</v>
      </c>
      <c r="G2201" s="37">
        <v>200</v>
      </c>
      <c r="H2201" s="37" t="b">
        <v>1</v>
      </c>
    </row>
    <row r="2202" spans="1:9" x14ac:dyDescent="0.25">
      <c r="A2202" s="54" t="s">
        <v>566</v>
      </c>
      <c r="B2202" s="31" t="s">
        <v>135</v>
      </c>
      <c r="C2202" s="28" t="s">
        <v>1976</v>
      </c>
      <c r="D2202" s="28"/>
      <c r="E2202" s="28" t="s">
        <v>1974</v>
      </c>
      <c r="F2202" s="28" t="b">
        <v>0</v>
      </c>
      <c r="G2202" s="28">
        <v>200</v>
      </c>
      <c r="H2202" s="28" t="b">
        <v>1</v>
      </c>
      <c r="I2202" s="34"/>
    </row>
    <row r="2203" spans="1:9" x14ac:dyDescent="0.25">
      <c r="A2203" s="54" t="s">
        <v>566</v>
      </c>
      <c r="B2203" s="43" t="s">
        <v>655</v>
      </c>
      <c r="C2203" s="37" t="s">
        <v>1977</v>
      </c>
      <c r="D2203" s="37"/>
      <c r="E2203" s="37" t="s">
        <v>1974</v>
      </c>
      <c r="F2203" s="37" t="b">
        <v>0</v>
      </c>
      <c r="G2203" s="37">
        <v>200</v>
      </c>
      <c r="H2203" s="37" t="b">
        <v>1</v>
      </c>
    </row>
    <row r="2204" spans="1:9" x14ac:dyDescent="0.25">
      <c r="A2204" s="54" t="s">
        <v>566</v>
      </c>
      <c r="B2204" s="31" t="s">
        <v>635</v>
      </c>
      <c r="C2204" s="28" t="s">
        <v>1978</v>
      </c>
      <c r="D2204" s="28"/>
      <c r="E2204" s="28" t="s">
        <v>1974</v>
      </c>
      <c r="F2204" s="28" t="b">
        <v>0</v>
      </c>
      <c r="G2204" s="28">
        <v>200</v>
      </c>
      <c r="H2204" s="28" t="b">
        <v>1</v>
      </c>
      <c r="I2204" s="34"/>
    </row>
    <row r="2205" spans="1:9" ht="30" x14ac:dyDescent="0.25">
      <c r="A2205" s="54" t="s">
        <v>566</v>
      </c>
      <c r="B2205" s="43" t="s">
        <v>144</v>
      </c>
      <c r="C2205" s="37" t="s">
        <v>1979</v>
      </c>
      <c r="D2205" s="37"/>
      <c r="E2205" s="37" t="s">
        <v>1974</v>
      </c>
      <c r="F2205" s="37" t="b">
        <v>0</v>
      </c>
      <c r="G2205" s="37">
        <v>200</v>
      </c>
      <c r="H2205" s="37" t="b">
        <v>1</v>
      </c>
    </row>
    <row r="2206" spans="1:9" x14ac:dyDescent="0.25">
      <c r="A2206" s="54" t="s">
        <v>566</v>
      </c>
      <c r="B2206" s="31" t="s">
        <v>618</v>
      </c>
      <c r="C2206" s="28" t="s">
        <v>1980</v>
      </c>
      <c r="D2206" s="28"/>
      <c r="E2206" s="28" t="s">
        <v>1974</v>
      </c>
      <c r="F2206" s="28" t="b">
        <v>0</v>
      </c>
      <c r="G2206" s="28">
        <v>200</v>
      </c>
      <c r="H2206" s="28" t="b">
        <v>1</v>
      </c>
      <c r="I2206" s="34"/>
    </row>
    <row r="2207" spans="1:9" ht="30" x14ac:dyDescent="0.25">
      <c r="A2207" s="54" t="s">
        <v>566</v>
      </c>
      <c r="B2207" s="43" t="s">
        <v>585</v>
      </c>
      <c r="C2207" s="37" t="s">
        <v>1981</v>
      </c>
      <c r="D2207" s="37"/>
      <c r="E2207" s="37" t="s">
        <v>1974</v>
      </c>
      <c r="F2207" s="37" t="b">
        <v>0</v>
      </c>
      <c r="G2207" s="37">
        <v>200</v>
      </c>
      <c r="H2207" s="37" t="b">
        <v>1</v>
      </c>
    </row>
    <row r="2208" spans="1:9" ht="30" x14ac:dyDescent="0.25">
      <c r="A2208" s="54" t="s">
        <v>566</v>
      </c>
      <c r="B2208" s="31" t="s">
        <v>582</v>
      </c>
      <c r="C2208" s="28" t="s">
        <v>1982</v>
      </c>
      <c r="D2208" s="28"/>
      <c r="E2208" s="28" t="s">
        <v>1974</v>
      </c>
      <c r="F2208" s="28" t="b">
        <v>0</v>
      </c>
      <c r="G2208" s="28">
        <v>200</v>
      </c>
      <c r="H2208" s="28" t="b">
        <v>1</v>
      </c>
      <c r="I2208" s="34"/>
    </row>
    <row r="2209" spans="1:9" x14ac:dyDescent="0.25">
      <c r="A2209" s="54" t="s">
        <v>566</v>
      </c>
      <c r="B2209" s="43" t="s">
        <v>638</v>
      </c>
      <c r="C2209" s="37" t="s">
        <v>1983</v>
      </c>
      <c r="D2209" s="37"/>
      <c r="E2209" s="37" t="s">
        <v>1974</v>
      </c>
      <c r="F2209" s="37" t="b">
        <v>0</v>
      </c>
      <c r="G2209" s="37">
        <v>200</v>
      </c>
      <c r="H2209" s="37" t="b">
        <v>1</v>
      </c>
    </row>
    <row r="2210" spans="1:9" x14ac:dyDescent="0.25">
      <c r="A2210" s="54" t="s">
        <v>566</v>
      </c>
      <c r="B2210" s="31" t="s">
        <v>638</v>
      </c>
      <c r="C2210" s="28" t="s">
        <v>1984</v>
      </c>
      <c r="D2210" s="28"/>
      <c r="E2210" s="28" t="s">
        <v>1974</v>
      </c>
      <c r="F2210" s="28" t="b">
        <v>0</v>
      </c>
      <c r="G2210" s="28">
        <v>200</v>
      </c>
      <c r="H2210" s="28" t="b">
        <v>1</v>
      </c>
      <c r="I2210" s="34"/>
    </row>
    <row r="2211" spans="1:9" x14ac:dyDescent="0.25">
      <c r="A2211" s="54" t="s">
        <v>566</v>
      </c>
      <c r="B2211" s="43" t="s">
        <v>647</v>
      </c>
      <c r="C2211" s="37" t="s">
        <v>1985</v>
      </c>
      <c r="D2211" s="37"/>
      <c r="E2211" s="37" t="s">
        <v>1974</v>
      </c>
      <c r="F2211" s="37" t="b">
        <v>0</v>
      </c>
      <c r="G2211" s="37">
        <v>200</v>
      </c>
      <c r="H2211" s="37" t="b">
        <v>1</v>
      </c>
    </row>
    <row r="2212" spans="1:9" ht="30" x14ac:dyDescent="0.25">
      <c r="A2212" s="54" t="s">
        <v>566</v>
      </c>
      <c r="B2212" s="31" t="s">
        <v>503</v>
      </c>
      <c r="C2212" s="28" t="s">
        <v>1986</v>
      </c>
      <c r="D2212" s="28"/>
      <c r="E2212" s="28" t="s">
        <v>1974</v>
      </c>
      <c r="F2212" s="28" t="b">
        <v>0</v>
      </c>
      <c r="G2212" s="28">
        <v>200</v>
      </c>
      <c r="H2212" s="28" t="b">
        <v>1</v>
      </c>
      <c r="I2212" s="34"/>
    </row>
    <row r="2213" spans="1:9" x14ac:dyDescent="0.25">
      <c r="A2213" s="54" t="s">
        <v>566</v>
      </c>
      <c r="B2213" s="43" t="s">
        <v>608</v>
      </c>
      <c r="C2213" s="37" t="s">
        <v>1987</v>
      </c>
      <c r="D2213" s="37"/>
      <c r="E2213" s="37" t="s">
        <v>1974</v>
      </c>
      <c r="F2213" s="37" t="b">
        <v>0</v>
      </c>
      <c r="G2213" s="37">
        <v>200</v>
      </c>
      <c r="H2213" s="37" t="b">
        <v>1</v>
      </c>
    </row>
    <row r="2214" spans="1:9" x14ac:dyDescent="0.25">
      <c r="A2214" s="54" t="s">
        <v>566</v>
      </c>
      <c r="B2214" s="31" t="s">
        <v>127</v>
      </c>
      <c r="C2214" s="28" t="s">
        <v>1975</v>
      </c>
      <c r="D2214" s="28"/>
      <c r="E2214" s="28" t="s">
        <v>1974</v>
      </c>
      <c r="F2214" s="28" t="b">
        <v>0</v>
      </c>
      <c r="G2214" s="28">
        <v>200</v>
      </c>
      <c r="H2214" s="28" t="b">
        <v>1</v>
      </c>
      <c r="I2214" s="34"/>
    </row>
    <row r="2215" spans="1:9" x14ac:dyDescent="0.25">
      <c r="A2215" s="54" t="s">
        <v>566</v>
      </c>
      <c r="B2215" s="43" t="s">
        <v>135</v>
      </c>
      <c r="C2215" s="37" t="s">
        <v>1976</v>
      </c>
      <c r="D2215" s="37"/>
      <c r="E2215" s="37" t="s">
        <v>1974</v>
      </c>
      <c r="F2215" s="37" t="b">
        <v>0</v>
      </c>
      <c r="G2215" s="37">
        <v>200</v>
      </c>
      <c r="H2215" s="37" t="b">
        <v>1</v>
      </c>
    </row>
    <row r="2216" spans="1:9" x14ac:dyDescent="0.25">
      <c r="A2216" s="54" t="s">
        <v>566</v>
      </c>
      <c r="B2216" s="31" t="s">
        <v>655</v>
      </c>
      <c r="C2216" s="28" t="s">
        <v>1977</v>
      </c>
      <c r="D2216" s="28"/>
      <c r="E2216" s="28" t="s">
        <v>1974</v>
      </c>
      <c r="F2216" s="28" t="b">
        <v>0</v>
      </c>
      <c r="G2216" s="28">
        <v>200</v>
      </c>
      <c r="H2216" s="28" t="b">
        <v>1</v>
      </c>
      <c r="I2216" s="34"/>
    </row>
    <row r="2217" spans="1:9" x14ac:dyDescent="0.25">
      <c r="A2217" s="54" t="s">
        <v>566</v>
      </c>
      <c r="B2217" s="43" t="s">
        <v>635</v>
      </c>
      <c r="C2217" s="37" t="s">
        <v>1978</v>
      </c>
      <c r="D2217" s="37"/>
      <c r="E2217" s="37" t="s">
        <v>1974</v>
      </c>
      <c r="F2217" s="37" t="b">
        <v>0</v>
      </c>
      <c r="G2217" s="37">
        <v>200</v>
      </c>
      <c r="H2217" s="37" t="b">
        <v>1</v>
      </c>
    </row>
    <row r="2218" spans="1:9" ht="30" x14ac:dyDescent="0.25">
      <c r="A2218" s="54" t="s">
        <v>566</v>
      </c>
      <c r="B2218" s="31" t="s">
        <v>144</v>
      </c>
      <c r="C2218" s="28" t="s">
        <v>1979</v>
      </c>
      <c r="D2218" s="28"/>
      <c r="E2218" s="28" t="s">
        <v>1974</v>
      </c>
      <c r="F2218" s="28" t="b">
        <v>0</v>
      </c>
      <c r="G2218" s="28">
        <v>200</v>
      </c>
      <c r="H2218" s="28" t="b">
        <v>1</v>
      </c>
      <c r="I2218" s="34"/>
    </row>
    <row r="2219" spans="1:9" x14ac:dyDescent="0.25">
      <c r="A2219" s="54" t="s">
        <v>566</v>
      </c>
      <c r="B2219" s="43" t="s">
        <v>618</v>
      </c>
      <c r="C2219" s="37" t="s">
        <v>1980</v>
      </c>
      <c r="D2219" s="37"/>
      <c r="E2219" s="37" t="s">
        <v>1974</v>
      </c>
      <c r="F2219" s="37" t="b">
        <v>0</v>
      </c>
      <c r="G2219" s="37">
        <v>200</v>
      </c>
      <c r="H2219" s="37" t="b">
        <v>1</v>
      </c>
    </row>
    <row r="2220" spans="1:9" ht="30" x14ac:dyDescent="0.25">
      <c r="A2220" s="54" t="s">
        <v>566</v>
      </c>
      <c r="B2220" s="31" t="s">
        <v>585</v>
      </c>
      <c r="C2220" s="28" t="s">
        <v>1981</v>
      </c>
      <c r="D2220" s="28"/>
      <c r="E2220" s="28" t="s">
        <v>1974</v>
      </c>
      <c r="F2220" s="28" t="b">
        <v>0</v>
      </c>
      <c r="G2220" s="28">
        <v>200</v>
      </c>
      <c r="H2220" s="28" t="b">
        <v>1</v>
      </c>
      <c r="I2220" s="34"/>
    </row>
    <row r="2221" spans="1:9" ht="30" x14ac:dyDescent="0.25">
      <c r="A2221" s="54" t="s">
        <v>566</v>
      </c>
      <c r="B2221" s="43" t="s">
        <v>582</v>
      </c>
      <c r="C2221" s="37" t="s">
        <v>1982</v>
      </c>
      <c r="D2221" s="37"/>
      <c r="E2221" s="37" t="s">
        <v>1974</v>
      </c>
      <c r="F2221" s="37" t="b">
        <v>0</v>
      </c>
      <c r="G2221" s="37">
        <v>200</v>
      </c>
      <c r="H2221" s="37" t="b">
        <v>1</v>
      </c>
    </row>
    <row r="2222" spans="1:9" x14ac:dyDescent="0.25">
      <c r="A2222" s="54" t="s">
        <v>566</v>
      </c>
      <c r="B2222" s="31" t="s">
        <v>638</v>
      </c>
      <c r="C2222" s="28" t="s">
        <v>1983</v>
      </c>
      <c r="D2222" s="28"/>
      <c r="E2222" s="28" t="s">
        <v>1974</v>
      </c>
      <c r="F2222" s="28" t="b">
        <v>0</v>
      </c>
      <c r="G2222" s="28">
        <v>200</v>
      </c>
      <c r="H2222" s="28" t="b">
        <v>1</v>
      </c>
      <c r="I2222" s="34"/>
    </row>
    <row r="2223" spans="1:9" x14ac:dyDescent="0.25">
      <c r="A2223" s="54" t="s">
        <v>566</v>
      </c>
      <c r="B2223" s="43" t="s">
        <v>638</v>
      </c>
      <c r="C2223" s="37" t="s">
        <v>1984</v>
      </c>
      <c r="D2223" s="37"/>
      <c r="E2223" s="37" t="s">
        <v>1974</v>
      </c>
      <c r="F2223" s="37" t="b">
        <v>0</v>
      </c>
      <c r="G2223" s="37">
        <v>200</v>
      </c>
      <c r="H2223" s="37" t="b">
        <v>1</v>
      </c>
    </row>
    <row r="2224" spans="1:9" x14ac:dyDescent="0.25">
      <c r="A2224" s="54" t="s">
        <v>566</v>
      </c>
      <c r="B2224" s="31" t="s">
        <v>647</v>
      </c>
      <c r="C2224" s="28" t="s">
        <v>1985</v>
      </c>
      <c r="D2224" s="28"/>
      <c r="E2224" s="28" t="s">
        <v>1974</v>
      </c>
      <c r="F2224" s="28" t="b">
        <v>0</v>
      </c>
      <c r="G2224" s="28">
        <v>200</v>
      </c>
      <c r="H2224" s="28" t="b">
        <v>1</v>
      </c>
      <c r="I2224" s="34"/>
    </row>
    <row r="2225" spans="1:9" ht="30" x14ac:dyDescent="0.25">
      <c r="A2225" s="54" t="s">
        <v>566</v>
      </c>
      <c r="B2225" s="43" t="s">
        <v>503</v>
      </c>
      <c r="C2225" s="37" t="s">
        <v>1986</v>
      </c>
      <c r="D2225" s="37"/>
      <c r="E2225" s="37" t="s">
        <v>1974</v>
      </c>
      <c r="F2225" s="37" t="b">
        <v>0</v>
      </c>
      <c r="G2225" s="37">
        <v>200</v>
      </c>
      <c r="H2225" s="37" t="b">
        <v>1</v>
      </c>
    </row>
    <row r="2226" spans="1:9" x14ac:dyDescent="0.25">
      <c r="A2226" s="54" t="s">
        <v>566</v>
      </c>
      <c r="B2226" s="31" t="s">
        <v>608</v>
      </c>
      <c r="C2226" s="28" t="s">
        <v>1987</v>
      </c>
      <c r="D2226" s="28"/>
      <c r="E2226" s="28" t="s">
        <v>1974</v>
      </c>
      <c r="F2226" s="28" t="b">
        <v>0</v>
      </c>
      <c r="G2226" s="28">
        <v>200</v>
      </c>
      <c r="H2226" s="28" t="b">
        <v>1</v>
      </c>
      <c r="I2226" s="34"/>
    </row>
    <row r="2227" spans="1:9" ht="30" x14ac:dyDescent="0.25">
      <c r="A2227" s="54" t="s">
        <v>566</v>
      </c>
      <c r="B2227" s="43" t="s">
        <v>497</v>
      </c>
      <c r="C2227" s="37" t="s">
        <v>2027</v>
      </c>
      <c r="D2227" s="37"/>
      <c r="E2227" s="37" t="s">
        <v>1974</v>
      </c>
      <c r="F2227" s="37" t="b">
        <v>0</v>
      </c>
      <c r="G2227" s="37">
        <v>200</v>
      </c>
      <c r="H2227" s="37" t="b">
        <v>1</v>
      </c>
    </row>
    <row r="2228" spans="1:9" x14ac:dyDescent="0.25">
      <c r="A2228" s="54" t="s">
        <v>566</v>
      </c>
      <c r="B2228" s="31" t="s">
        <v>652</v>
      </c>
      <c r="C2228" s="28" t="s">
        <v>2028</v>
      </c>
      <c r="D2228" s="28"/>
      <c r="E2228" s="28" t="s">
        <v>1974</v>
      </c>
      <c r="F2228" s="28" t="b">
        <v>0</v>
      </c>
      <c r="G2228" s="28">
        <v>200</v>
      </c>
      <c r="H2228" s="28" t="b">
        <v>1</v>
      </c>
      <c r="I2228" s="34"/>
    </row>
    <row r="2229" spans="1:9" ht="30" x14ac:dyDescent="0.25">
      <c r="A2229" s="54" t="s">
        <v>566</v>
      </c>
      <c r="B2229" s="43" t="s">
        <v>537</v>
      </c>
      <c r="C2229" s="37" t="s">
        <v>2029</v>
      </c>
      <c r="D2229" s="37"/>
      <c r="E2229" s="37" t="s">
        <v>1974</v>
      </c>
      <c r="F2229" s="37" t="b">
        <v>0</v>
      </c>
      <c r="G2229" s="37">
        <v>200</v>
      </c>
      <c r="H2229" s="37" t="b">
        <v>1</v>
      </c>
    </row>
    <row r="2230" spans="1:9" ht="30" x14ac:dyDescent="0.25">
      <c r="A2230" s="54" t="s">
        <v>566</v>
      </c>
      <c r="B2230" s="31" t="s">
        <v>543</v>
      </c>
      <c r="C2230" s="28" t="s">
        <v>2030</v>
      </c>
      <c r="D2230" s="28"/>
      <c r="E2230" s="28" t="s">
        <v>1974</v>
      </c>
      <c r="F2230" s="28" t="b">
        <v>0</v>
      </c>
      <c r="G2230" s="28">
        <v>200</v>
      </c>
      <c r="H2230" s="28" t="b">
        <v>1</v>
      </c>
      <c r="I2230" s="34"/>
    </row>
    <row r="2231" spans="1:9" x14ac:dyDescent="0.25">
      <c r="A2231" s="54" t="s">
        <v>566</v>
      </c>
      <c r="B2231" s="43" t="s">
        <v>566</v>
      </c>
      <c r="C2231" s="37" t="s">
        <v>2031</v>
      </c>
      <c r="D2231" s="37"/>
      <c r="E2231" s="37" t="s">
        <v>1974</v>
      </c>
      <c r="F2231" s="37" t="b">
        <v>0</v>
      </c>
      <c r="G2231" s="37">
        <v>200</v>
      </c>
      <c r="H2231" s="37" t="b">
        <v>1</v>
      </c>
    </row>
    <row r="2232" spans="1:9" x14ac:dyDescent="0.25">
      <c r="A2232" s="54" t="s">
        <v>566</v>
      </c>
      <c r="B2232" s="31" t="s">
        <v>601</v>
      </c>
      <c r="C2232" s="28" t="s">
        <v>2032</v>
      </c>
      <c r="D2232" s="28"/>
      <c r="E2232" s="28" t="s">
        <v>1974</v>
      </c>
      <c r="F2232" s="28" t="b">
        <v>0</v>
      </c>
      <c r="G2232" s="28">
        <v>200</v>
      </c>
      <c r="H2232" s="28" t="b">
        <v>1</v>
      </c>
      <c r="I2232" s="34"/>
    </row>
    <row r="2233" spans="1:9" ht="30" x14ac:dyDescent="0.25">
      <c r="A2233" s="54" t="s">
        <v>566</v>
      </c>
      <c r="B2233" s="43" t="s">
        <v>497</v>
      </c>
      <c r="C2233" s="37" t="s">
        <v>2027</v>
      </c>
      <c r="D2233" s="37"/>
      <c r="E2233" s="37" t="s">
        <v>1974</v>
      </c>
      <c r="F2233" s="37" t="b">
        <v>0</v>
      </c>
      <c r="G2233" s="37">
        <v>200</v>
      </c>
      <c r="H2233" s="37" t="b">
        <v>1</v>
      </c>
    </row>
    <row r="2234" spans="1:9" x14ac:dyDescent="0.25">
      <c r="A2234" s="54" t="s">
        <v>566</v>
      </c>
      <c r="B2234" s="31" t="s">
        <v>652</v>
      </c>
      <c r="C2234" s="28" t="s">
        <v>2028</v>
      </c>
      <c r="D2234" s="28"/>
      <c r="E2234" s="28" t="s">
        <v>1974</v>
      </c>
      <c r="F2234" s="28" t="b">
        <v>0</v>
      </c>
      <c r="G2234" s="28">
        <v>200</v>
      </c>
      <c r="H2234" s="28" t="b">
        <v>1</v>
      </c>
      <c r="I2234" s="34"/>
    </row>
    <row r="2235" spans="1:9" ht="30" x14ac:dyDescent="0.25">
      <c r="A2235" s="54" t="s">
        <v>566</v>
      </c>
      <c r="B2235" s="43" t="s">
        <v>537</v>
      </c>
      <c r="C2235" s="37" t="s">
        <v>2029</v>
      </c>
      <c r="D2235" s="37"/>
      <c r="E2235" s="37" t="s">
        <v>1974</v>
      </c>
      <c r="F2235" s="37" t="b">
        <v>0</v>
      </c>
      <c r="G2235" s="37">
        <v>200</v>
      </c>
      <c r="H2235" s="37" t="b">
        <v>1</v>
      </c>
    </row>
    <row r="2236" spans="1:9" ht="30" x14ac:dyDescent="0.25">
      <c r="A2236" s="54" t="s">
        <v>566</v>
      </c>
      <c r="B2236" s="31" t="s">
        <v>543</v>
      </c>
      <c r="C2236" s="28" t="s">
        <v>2030</v>
      </c>
      <c r="D2236" s="28"/>
      <c r="E2236" s="28" t="s">
        <v>1974</v>
      </c>
      <c r="F2236" s="28" t="b">
        <v>0</v>
      </c>
      <c r="G2236" s="28">
        <v>200</v>
      </c>
      <c r="H2236" s="28" t="b">
        <v>1</v>
      </c>
      <c r="I2236" s="34"/>
    </row>
    <row r="2237" spans="1:9" x14ac:dyDescent="0.25">
      <c r="A2237" s="54" t="s">
        <v>566</v>
      </c>
      <c r="B2237" s="43" t="s">
        <v>566</v>
      </c>
      <c r="C2237" s="37" t="s">
        <v>2031</v>
      </c>
      <c r="D2237" s="37"/>
      <c r="E2237" s="37" t="s">
        <v>1974</v>
      </c>
      <c r="F2237" s="37" t="b">
        <v>0</v>
      </c>
      <c r="G2237" s="37">
        <v>200</v>
      </c>
      <c r="H2237" s="37" t="b">
        <v>1</v>
      </c>
    </row>
    <row r="2238" spans="1:9" x14ac:dyDescent="0.25">
      <c r="A2238" s="54" t="s">
        <v>566</v>
      </c>
      <c r="B2238" s="31" t="s">
        <v>601</v>
      </c>
      <c r="C2238" s="28" t="s">
        <v>2032</v>
      </c>
      <c r="D2238" s="28"/>
      <c r="E2238" s="28" t="s">
        <v>1974</v>
      </c>
      <c r="F2238" s="28" t="b">
        <v>0</v>
      </c>
      <c r="G2238" s="28">
        <v>200</v>
      </c>
      <c r="H2238" s="28" t="b">
        <v>1</v>
      </c>
      <c r="I2238" s="34"/>
    </row>
    <row r="2239" spans="1:9" x14ac:dyDescent="0.25">
      <c r="A2239" s="54" t="s">
        <v>566</v>
      </c>
      <c r="B2239" s="43" t="s">
        <v>2830</v>
      </c>
      <c r="C2239" s="37"/>
      <c r="D2239" s="37"/>
      <c r="E2239" s="37" t="s">
        <v>2012</v>
      </c>
      <c r="F2239" s="37" t="b">
        <v>0</v>
      </c>
      <c r="G2239" s="37"/>
      <c r="H2239" s="37" t="b">
        <v>1</v>
      </c>
    </row>
    <row r="2240" spans="1:9" x14ac:dyDescent="0.25">
      <c r="A2240" s="54" t="s">
        <v>566</v>
      </c>
      <c r="B2240" s="31" t="s">
        <v>2831</v>
      </c>
      <c r="C2240" s="28"/>
      <c r="D2240" s="28"/>
      <c r="E2240" s="28" t="s">
        <v>2012</v>
      </c>
      <c r="F2240" s="28" t="b">
        <v>0</v>
      </c>
      <c r="G2240" s="28"/>
      <c r="H2240" s="28" t="b">
        <v>1</v>
      </c>
      <c r="I2240" s="34"/>
    </row>
    <row r="2241" spans="1:9" x14ac:dyDescent="0.25">
      <c r="A2241" s="54" t="s">
        <v>566</v>
      </c>
      <c r="B2241" s="43" t="s">
        <v>2832</v>
      </c>
      <c r="C2241" s="37"/>
      <c r="D2241" s="37"/>
      <c r="E2241" s="37" t="s">
        <v>2012</v>
      </c>
      <c r="F2241" s="37" t="b">
        <v>0</v>
      </c>
      <c r="G2241" s="37"/>
      <c r="H2241" s="37" t="b">
        <v>1</v>
      </c>
    </row>
    <row r="2242" spans="1:9" x14ac:dyDescent="0.25">
      <c r="A2242" s="54" t="s">
        <v>566</v>
      </c>
      <c r="B2242" s="31" t="s">
        <v>2832</v>
      </c>
      <c r="C2242" s="28"/>
      <c r="D2242" s="28"/>
      <c r="E2242" s="28" t="s">
        <v>2012</v>
      </c>
      <c r="F2242" s="28" t="b">
        <v>0</v>
      </c>
      <c r="G2242" s="28"/>
      <c r="H2242" s="28" t="b">
        <v>1</v>
      </c>
      <c r="I2242" s="34"/>
    </row>
    <row r="2243" spans="1:9" x14ac:dyDescent="0.25">
      <c r="A2243" s="54" t="s">
        <v>566</v>
      </c>
      <c r="B2243" s="43" t="s">
        <v>2832</v>
      </c>
      <c r="C2243" s="37"/>
      <c r="D2243" s="37"/>
      <c r="E2243" s="37" t="s">
        <v>2012</v>
      </c>
      <c r="F2243" s="37" t="b">
        <v>0</v>
      </c>
      <c r="G2243" s="37"/>
      <c r="H2243" s="37" t="b">
        <v>1</v>
      </c>
    </row>
    <row r="2244" spans="1:9" x14ac:dyDescent="0.25">
      <c r="A2244" s="54" t="s">
        <v>566</v>
      </c>
      <c r="B2244" s="31" t="s">
        <v>2833</v>
      </c>
      <c r="C2244" s="28"/>
      <c r="D2244" s="28"/>
      <c r="E2244" s="28" t="s">
        <v>2012</v>
      </c>
      <c r="F2244" s="28" t="b">
        <v>0</v>
      </c>
      <c r="G2244" s="28"/>
      <c r="H2244" s="28" t="b">
        <v>1</v>
      </c>
      <c r="I2244" s="34"/>
    </row>
    <row r="2245" spans="1:9" x14ac:dyDescent="0.25">
      <c r="A2245" s="54" t="s">
        <v>566</v>
      </c>
      <c r="B2245" s="43" t="s">
        <v>2834</v>
      </c>
      <c r="C2245" s="37"/>
      <c r="D2245" s="37"/>
      <c r="E2245" s="37" t="s">
        <v>2012</v>
      </c>
      <c r="F2245" s="37" t="b">
        <v>0</v>
      </c>
      <c r="G2245" s="37"/>
      <c r="H2245" s="37" t="b">
        <v>1</v>
      </c>
    </row>
    <row r="2246" spans="1:9" x14ac:dyDescent="0.25">
      <c r="A2246" s="54" t="s">
        <v>566</v>
      </c>
      <c r="B2246" s="31" t="s">
        <v>2835</v>
      </c>
      <c r="C2246" s="28"/>
      <c r="D2246" s="28"/>
      <c r="E2246" s="28" t="s">
        <v>2012</v>
      </c>
      <c r="F2246" s="28" t="b">
        <v>0</v>
      </c>
      <c r="G2246" s="28"/>
      <c r="H2246" s="28" t="b">
        <v>1</v>
      </c>
      <c r="I2246" s="34"/>
    </row>
    <row r="2247" spans="1:9" x14ac:dyDescent="0.25">
      <c r="A2247" s="54" t="s">
        <v>566</v>
      </c>
      <c r="B2247" s="43" t="s">
        <v>2829</v>
      </c>
      <c r="C2247" s="37"/>
      <c r="D2247" s="37"/>
      <c r="E2247" s="37" t="s">
        <v>2012</v>
      </c>
      <c r="F2247" s="37" t="b">
        <v>0</v>
      </c>
      <c r="G2247" s="37"/>
      <c r="H2247" s="37" t="b">
        <v>1</v>
      </c>
    </row>
    <row r="2248" spans="1:9" x14ac:dyDescent="0.25">
      <c r="A2248" s="54" t="s">
        <v>566</v>
      </c>
      <c r="B2248" s="31" t="s">
        <v>2740</v>
      </c>
      <c r="C2248" s="28"/>
      <c r="D2248" s="28"/>
      <c r="E2248" s="28" t="s">
        <v>2012</v>
      </c>
      <c r="F2248" s="28" t="b">
        <v>0</v>
      </c>
      <c r="G2248" s="28"/>
      <c r="H2248" s="28" t="b">
        <v>1</v>
      </c>
      <c r="I2248" s="34"/>
    </row>
    <row r="2249" spans="1:9" x14ac:dyDescent="0.25">
      <c r="A2249" s="54" t="s">
        <v>566</v>
      </c>
      <c r="B2249" s="43" t="s">
        <v>2830</v>
      </c>
      <c r="C2249" s="37"/>
      <c r="D2249" s="37"/>
      <c r="E2249" s="37" t="s">
        <v>2012</v>
      </c>
      <c r="F2249" s="37" t="b">
        <v>0</v>
      </c>
      <c r="G2249" s="37"/>
      <c r="H2249" s="37" t="b">
        <v>1</v>
      </c>
    </row>
    <row r="2250" spans="1:9" x14ac:dyDescent="0.25">
      <c r="A2250" s="54" t="s">
        <v>566</v>
      </c>
      <c r="B2250" s="31" t="s">
        <v>2831</v>
      </c>
      <c r="C2250" s="28"/>
      <c r="D2250" s="28"/>
      <c r="E2250" s="28" t="s">
        <v>2012</v>
      </c>
      <c r="F2250" s="28" t="b">
        <v>0</v>
      </c>
      <c r="G2250" s="28"/>
      <c r="H2250" s="28" t="b">
        <v>1</v>
      </c>
      <c r="I2250" s="34"/>
    </row>
    <row r="2251" spans="1:9" x14ac:dyDescent="0.25">
      <c r="A2251" s="54" t="s">
        <v>566</v>
      </c>
      <c r="B2251" s="43" t="s">
        <v>2832</v>
      </c>
      <c r="C2251" s="37"/>
      <c r="D2251" s="37"/>
      <c r="E2251" s="37" t="s">
        <v>2012</v>
      </c>
      <c r="F2251" s="37" t="b">
        <v>0</v>
      </c>
      <c r="G2251" s="37"/>
      <c r="H2251" s="37" t="b">
        <v>1</v>
      </c>
    </row>
    <row r="2252" spans="1:9" x14ac:dyDescent="0.25">
      <c r="A2252" s="54" t="s">
        <v>566</v>
      </c>
      <c r="B2252" s="31" t="s">
        <v>2832</v>
      </c>
      <c r="C2252" s="28"/>
      <c r="D2252" s="28"/>
      <c r="E2252" s="28" t="s">
        <v>2012</v>
      </c>
      <c r="F2252" s="28" t="b">
        <v>0</v>
      </c>
      <c r="G2252" s="28"/>
      <c r="H2252" s="28" t="b">
        <v>1</v>
      </c>
      <c r="I2252" s="34"/>
    </row>
    <row r="2253" spans="1:9" x14ac:dyDescent="0.25">
      <c r="A2253" s="54" t="s">
        <v>566</v>
      </c>
      <c r="B2253" s="43" t="s">
        <v>2832</v>
      </c>
      <c r="C2253" s="37"/>
      <c r="D2253" s="37"/>
      <c r="E2253" s="37" t="s">
        <v>2012</v>
      </c>
      <c r="F2253" s="37" t="b">
        <v>0</v>
      </c>
      <c r="G2253" s="37"/>
      <c r="H2253" s="37" t="b">
        <v>1</v>
      </c>
    </row>
    <row r="2254" spans="1:9" x14ac:dyDescent="0.25">
      <c r="A2254" s="54" t="s">
        <v>566</v>
      </c>
      <c r="B2254" s="31" t="s">
        <v>2833</v>
      </c>
      <c r="C2254" s="28"/>
      <c r="D2254" s="28"/>
      <c r="E2254" s="28" t="s">
        <v>2012</v>
      </c>
      <c r="F2254" s="28" t="b">
        <v>0</v>
      </c>
      <c r="G2254" s="28"/>
      <c r="H2254" s="28" t="b">
        <v>1</v>
      </c>
      <c r="I2254" s="34"/>
    </row>
    <row r="2255" spans="1:9" x14ac:dyDescent="0.25">
      <c r="A2255" s="54" t="s">
        <v>566</v>
      </c>
      <c r="B2255" s="43" t="s">
        <v>2834</v>
      </c>
      <c r="C2255" s="37"/>
      <c r="D2255" s="37"/>
      <c r="E2255" s="37" t="s">
        <v>2012</v>
      </c>
      <c r="F2255" s="37" t="b">
        <v>0</v>
      </c>
      <c r="G2255" s="37"/>
      <c r="H2255" s="37" t="b">
        <v>1</v>
      </c>
    </row>
    <row r="2256" spans="1:9" x14ac:dyDescent="0.25">
      <c r="A2256" s="54" t="s">
        <v>566</v>
      </c>
      <c r="B2256" s="31" t="s">
        <v>2835</v>
      </c>
      <c r="C2256" s="28"/>
      <c r="D2256" s="28"/>
      <c r="E2256" s="28" t="s">
        <v>2012</v>
      </c>
      <c r="F2256" s="28" t="b">
        <v>0</v>
      </c>
      <c r="G2256" s="28"/>
      <c r="H2256" s="28" t="b">
        <v>1</v>
      </c>
      <c r="I2256" s="34"/>
    </row>
    <row r="2257" spans="1:9" x14ac:dyDescent="0.25">
      <c r="A2257" s="54" t="s">
        <v>566</v>
      </c>
      <c r="B2257" s="43" t="s">
        <v>2829</v>
      </c>
      <c r="C2257" s="37"/>
      <c r="D2257" s="37"/>
      <c r="E2257" s="37" t="s">
        <v>2012</v>
      </c>
      <c r="F2257" s="37" t="b">
        <v>0</v>
      </c>
      <c r="G2257" s="37"/>
      <c r="H2257" s="37" t="b">
        <v>1</v>
      </c>
    </row>
    <row r="2258" spans="1:9" x14ac:dyDescent="0.25">
      <c r="A2258" s="54" t="s">
        <v>566</v>
      </c>
      <c r="B2258" s="31" t="s">
        <v>2740</v>
      </c>
      <c r="C2258" s="28"/>
      <c r="D2258" s="28"/>
      <c r="E2258" s="28" t="s">
        <v>2012</v>
      </c>
      <c r="F2258" s="28" t="b">
        <v>0</v>
      </c>
      <c r="G2258" s="28"/>
      <c r="H2258" s="28" t="b">
        <v>1</v>
      </c>
      <c r="I2258" s="34"/>
    </row>
    <row r="2259" spans="1:9" ht="45" x14ac:dyDescent="0.25">
      <c r="A2259" s="54" t="s">
        <v>566</v>
      </c>
      <c r="B2259" s="43" t="s">
        <v>2872</v>
      </c>
      <c r="C2259" s="37" t="s">
        <v>2873</v>
      </c>
      <c r="D2259" s="37"/>
      <c r="E2259" s="37" t="s">
        <v>1974</v>
      </c>
      <c r="F2259" s="37" t="b">
        <v>0</v>
      </c>
      <c r="G2259" s="37">
        <v>200</v>
      </c>
      <c r="H2259" s="37" t="b">
        <v>1</v>
      </c>
    </row>
    <row r="2260" spans="1:9" x14ac:dyDescent="0.25">
      <c r="A2260" s="54" t="s">
        <v>566</v>
      </c>
      <c r="B2260" s="31" t="s">
        <v>647</v>
      </c>
      <c r="C2260" s="28" t="s">
        <v>2010</v>
      </c>
      <c r="D2260" s="28"/>
      <c r="E2260" s="28" t="s">
        <v>1974</v>
      </c>
      <c r="F2260" s="28" t="b">
        <v>0</v>
      </c>
      <c r="G2260" s="28">
        <v>200</v>
      </c>
      <c r="H2260" s="28" t="b">
        <v>1</v>
      </c>
      <c r="I2260" s="34"/>
    </row>
    <row r="2261" spans="1:9" ht="30" x14ac:dyDescent="0.25">
      <c r="A2261" s="54" t="s">
        <v>566</v>
      </c>
      <c r="B2261" s="43" t="s">
        <v>2011</v>
      </c>
      <c r="C2261" s="37"/>
      <c r="D2261" s="37"/>
      <c r="E2261" s="37" t="s">
        <v>2012</v>
      </c>
      <c r="F2261" s="37" t="b">
        <v>0</v>
      </c>
      <c r="G2261" s="37"/>
      <c r="H2261" s="37" t="b">
        <v>1</v>
      </c>
    </row>
    <row r="2262" spans="1:9" ht="30" x14ac:dyDescent="0.25">
      <c r="A2262" s="54" t="s">
        <v>566</v>
      </c>
      <c r="B2262" s="31" t="s">
        <v>2013</v>
      </c>
      <c r="C2262" s="28"/>
      <c r="D2262" s="28"/>
      <c r="E2262" s="28" t="s">
        <v>2012</v>
      </c>
      <c r="F2262" s="28" t="b">
        <v>0</v>
      </c>
      <c r="G2262" s="28"/>
      <c r="H2262" s="28" t="b">
        <v>1</v>
      </c>
      <c r="I2262" s="34"/>
    </row>
    <row r="2263" spans="1:9" x14ac:dyDescent="0.25">
      <c r="A2263" s="54" t="s">
        <v>566</v>
      </c>
      <c r="B2263" s="43" t="s">
        <v>2033</v>
      </c>
      <c r="C2263" s="37"/>
      <c r="D2263" s="37"/>
      <c r="E2263" s="37" t="s">
        <v>2012</v>
      </c>
      <c r="F2263" s="37" t="b">
        <v>0</v>
      </c>
      <c r="G2263" s="37"/>
      <c r="H2263" s="37" t="b">
        <v>1</v>
      </c>
    </row>
    <row r="2264" spans="1:9" x14ac:dyDescent="0.25">
      <c r="A2264" s="54" t="s">
        <v>566</v>
      </c>
      <c r="B2264" s="31" t="s">
        <v>641</v>
      </c>
      <c r="C2264" s="28" t="s">
        <v>2034</v>
      </c>
      <c r="D2264" s="28"/>
      <c r="E2264" s="28" t="s">
        <v>1974</v>
      </c>
      <c r="F2264" s="28" t="b">
        <v>0</v>
      </c>
      <c r="G2264" s="28">
        <v>200</v>
      </c>
      <c r="H2264" s="28" t="b">
        <v>1</v>
      </c>
      <c r="I2264" s="34"/>
    </row>
    <row r="2265" spans="1:9" ht="30" x14ac:dyDescent="0.25">
      <c r="A2265" s="54" t="s">
        <v>566</v>
      </c>
      <c r="B2265" s="43" t="s">
        <v>2015</v>
      </c>
      <c r="C2265" s="37" t="s">
        <v>2016</v>
      </c>
      <c r="D2265" s="37"/>
      <c r="E2265" s="37" t="s">
        <v>1974</v>
      </c>
      <c r="F2265" s="37" t="b">
        <v>0</v>
      </c>
      <c r="G2265" s="37">
        <v>404</v>
      </c>
      <c r="H2265" s="37" t="b">
        <v>0</v>
      </c>
    </row>
    <row r="2266" spans="1:9" ht="30" x14ac:dyDescent="0.25">
      <c r="A2266" s="54" t="s">
        <v>566</v>
      </c>
      <c r="B2266" s="31" t="s">
        <v>2015</v>
      </c>
      <c r="C2266" s="28" t="s">
        <v>2017</v>
      </c>
      <c r="D2266" s="28"/>
      <c r="E2266" s="28" t="s">
        <v>1974</v>
      </c>
      <c r="F2266" s="28" t="b">
        <v>0</v>
      </c>
      <c r="G2266" s="28">
        <v>404</v>
      </c>
      <c r="H2266" s="28" t="b">
        <v>0</v>
      </c>
      <c r="I2266" s="34"/>
    </row>
    <row r="2267" spans="1:9" ht="30" x14ac:dyDescent="0.25">
      <c r="A2267" s="54" t="s">
        <v>570</v>
      </c>
      <c r="B2267" s="43" t="s">
        <v>2025</v>
      </c>
      <c r="C2267" s="37"/>
      <c r="D2267" s="37"/>
      <c r="E2267" s="37" t="s">
        <v>2012</v>
      </c>
      <c r="F2267" s="37" t="b">
        <v>0</v>
      </c>
      <c r="G2267" s="37"/>
      <c r="H2267" s="37" t="b">
        <v>1</v>
      </c>
    </row>
    <row r="2268" spans="1:9" ht="30" x14ac:dyDescent="0.25">
      <c r="A2268" s="54" t="s">
        <v>570</v>
      </c>
      <c r="B2268" s="31" t="s">
        <v>497</v>
      </c>
      <c r="C2268" s="28" t="s">
        <v>2027</v>
      </c>
      <c r="D2268" s="28"/>
      <c r="E2268" s="28" t="s">
        <v>1974</v>
      </c>
      <c r="F2268" s="28" t="b">
        <v>0</v>
      </c>
      <c r="G2268" s="28">
        <v>200</v>
      </c>
      <c r="H2268" s="28" t="b">
        <v>1</v>
      </c>
      <c r="I2268" s="34"/>
    </row>
    <row r="2269" spans="1:9" ht="30" x14ac:dyDescent="0.25">
      <c r="A2269" s="54" t="s">
        <v>570</v>
      </c>
      <c r="B2269" s="43" t="s">
        <v>652</v>
      </c>
      <c r="C2269" s="37" t="s">
        <v>2028</v>
      </c>
      <c r="D2269" s="37"/>
      <c r="E2269" s="37" t="s">
        <v>1974</v>
      </c>
      <c r="F2269" s="37" t="b">
        <v>0</v>
      </c>
      <c r="G2269" s="37">
        <v>200</v>
      </c>
      <c r="H2269" s="37" t="b">
        <v>1</v>
      </c>
    </row>
    <row r="2270" spans="1:9" ht="30" x14ac:dyDescent="0.25">
      <c r="A2270" s="54" t="s">
        <v>570</v>
      </c>
      <c r="B2270" s="31" t="s">
        <v>537</v>
      </c>
      <c r="C2270" s="28" t="s">
        <v>2029</v>
      </c>
      <c r="D2270" s="28"/>
      <c r="E2270" s="28" t="s">
        <v>1974</v>
      </c>
      <c r="F2270" s="28" t="b">
        <v>0</v>
      </c>
      <c r="G2270" s="28">
        <v>200</v>
      </c>
      <c r="H2270" s="28" t="b">
        <v>1</v>
      </c>
      <c r="I2270" s="34"/>
    </row>
    <row r="2271" spans="1:9" ht="30" x14ac:dyDescent="0.25">
      <c r="A2271" s="54" t="s">
        <v>570</v>
      </c>
      <c r="B2271" s="43" t="s">
        <v>543</v>
      </c>
      <c r="C2271" s="37" t="s">
        <v>2030</v>
      </c>
      <c r="D2271" s="37"/>
      <c r="E2271" s="37" t="s">
        <v>1974</v>
      </c>
      <c r="F2271" s="37" t="b">
        <v>0</v>
      </c>
      <c r="G2271" s="37">
        <v>200</v>
      </c>
      <c r="H2271" s="37" t="b">
        <v>1</v>
      </c>
    </row>
    <row r="2272" spans="1:9" ht="30" x14ac:dyDescent="0.25">
      <c r="A2272" s="54" t="s">
        <v>570</v>
      </c>
      <c r="B2272" s="31" t="s">
        <v>566</v>
      </c>
      <c r="C2272" s="28" t="s">
        <v>2031</v>
      </c>
      <c r="D2272" s="28"/>
      <c r="E2272" s="28" t="s">
        <v>1974</v>
      </c>
      <c r="F2272" s="28" t="b">
        <v>0</v>
      </c>
      <c r="G2272" s="28">
        <v>200</v>
      </c>
      <c r="H2272" s="28" t="b">
        <v>1</v>
      </c>
      <c r="I2272" s="34"/>
    </row>
    <row r="2273" spans="1:9" ht="30" x14ac:dyDescent="0.25">
      <c r="A2273" s="54" t="s">
        <v>570</v>
      </c>
      <c r="B2273" s="43" t="s">
        <v>601</v>
      </c>
      <c r="C2273" s="37" t="s">
        <v>2032</v>
      </c>
      <c r="D2273" s="37"/>
      <c r="E2273" s="37" t="s">
        <v>1974</v>
      </c>
      <c r="F2273" s="37" t="b">
        <v>0</v>
      </c>
      <c r="G2273" s="37">
        <v>200</v>
      </c>
      <c r="H2273" s="37" t="b">
        <v>1</v>
      </c>
    </row>
    <row r="2274" spans="1:9" ht="30" x14ac:dyDescent="0.25">
      <c r="A2274" s="54" t="s">
        <v>570</v>
      </c>
      <c r="B2274" s="31" t="s">
        <v>497</v>
      </c>
      <c r="C2274" s="28" t="s">
        <v>2027</v>
      </c>
      <c r="D2274" s="28"/>
      <c r="E2274" s="28" t="s">
        <v>1974</v>
      </c>
      <c r="F2274" s="28" t="b">
        <v>0</v>
      </c>
      <c r="G2274" s="28">
        <v>200</v>
      </c>
      <c r="H2274" s="28" t="b">
        <v>1</v>
      </c>
      <c r="I2274" s="34"/>
    </row>
    <row r="2275" spans="1:9" ht="30" x14ac:dyDescent="0.25">
      <c r="A2275" s="54" t="s">
        <v>570</v>
      </c>
      <c r="B2275" s="43" t="s">
        <v>652</v>
      </c>
      <c r="C2275" s="37" t="s">
        <v>2028</v>
      </c>
      <c r="D2275" s="37"/>
      <c r="E2275" s="37" t="s">
        <v>1974</v>
      </c>
      <c r="F2275" s="37" t="b">
        <v>0</v>
      </c>
      <c r="G2275" s="37">
        <v>200</v>
      </c>
      <c r="H2275" s="37" t="b">
        <v>1</v>
      </c>
    </row>
    <row r="2276" spans="1:9" ht="30" x14ac:dyDescent="0.25">
      <c r="A2276" s="54" t="s">
        <v>570</v>
      </c>
      <c r="B2276" s="31" t="s">
        <v>537</v>
      </c>
      <c r="C2276" s="28" t="s">
        <v>2029</v>
      </c>
      <c r="D2276" s="28"/>
      <c r="E2276" s="28" t="s">
        <v>1974</v>
      </c>
      <c r="F2276" s="28" t="b">
        <v>0</v>
      </c>
      <c r="G2276" s="28">
        <v>200</v>
      </c>
      <c r="H2276" s="28" t="b">
        <v>1</v>
      </c>
      <c r="I2276" s="34"/>
    </row>
    <row r="2277" spans="1:9" ht="30" x14ac:dyDescent="0.25">
      <c r="A2277" s="54" t="s">
        <v>570</v>
      </c>
      <c r="B2277" s="43" t="s">
        <v>543</v>
      </c>
      <c r="C2277" s="37" t="s">
        <v>2030</v>
      </c>
      <c r="D2277" s="37"/>
      <c r="E2277" s="37" t="s">
        <v>1974</v>
      </c>
      <c r="F2277" s="37" t="b">
        <v>0</v>
      </c>
      <c r="G2277" s="37">
        <v>200</v>
      </c>
      <c r="H2277" s="37" t="b">
        <v>1</v>
      </c>
    </row>
    <row r="2278" spans="1:9" ht="30" x14ac:dyDescent="0.25">
      <c r="A2278" s="54" t="s">
        <v>570</v>
      </c>
      <c r="B2278" s="31" t="s">
        <v>566</v>
      </c>
      <c r="C2278" s="28" t="s">
        <v>2031</v>
      </c>
      <c r="D2278" s="28"/>
      <c r="E2278" s="28" t="s">
        <v>1974</v>
      </c>
      <c r="F2278" s="28" t="b">
        <v>0</v>
      </c>
      <c r="G2278" s="28">
        <v>200</v>
      </c>
      <c r="H2278" s="28" t="b">
        <v>1</v>
      </c>
      <c r="I2278" s="34"/>
    </row>
    <row r="2279" spans="1:9" ht="30" x14ac:dyDescent="0.25">
      <c r="A2279" s="54" t="s">
        <v>570</v>
      </c>
      <c r="B2279" s="43" t="s">
        <v>601</v>
      </c>
      <c r="C2279" s="37" t="s">
        <v>2032</v>
      </c>
      <c r="D2279" s="37"/>
      <c r="E2279" s="37" t="s">
        <v>1974</v>
      </c>
      <c r="F2279" s="37" t="b">
        <v>0</v>
      </c>
      <c r="G2279" s="37">
        <v>200</v>
      </c>
      <c r="H2279" s="37" t="b">
        <v>1</v>
      </c>
    </row>
    <row r="2280" spans="1:9" ht="30" x14ac:dyDescent="0.25">
      <c r="A2280" s="54" t="s">
        <v>570</v>
      </c>
      <c r="B2280" s="31" t="s">
        <v>2743</v>
      </c>
      <c r="C2280" s="28"/>
      <c r="D2280" s="28"/>
      <c r="E2280" s="28" t="s">
        <v>2012</v>
      </c>
      <c r="F2280" s="28" t="b">
        <v>0</v>
      </c>
      <c r="G2280" s="28"/>
      <c r="H2280" s="28" t="b">
        <v>1</v>
      </c>
      <c r="I2280" s="34"/>
    </row>
    <row r="2281" spans="1:9" ht="30" x14ac:dyDescent="0.25">
      <c r="A2281" s="54" t="s">
        <v>570</v>
      </c>
      <c r="B2281" s="43" t="s">
        <v>2744</v>
      </c>
      <c r="C2281" s="37"/>
      <c r="D2281" s="37"/>
      <c r="E2281" s="37" t="s">
        <v>2012</v>
      </c>
      <c r="F2281" s="37" t="b">
        <v>0</v>
      </c>
      <c r="G2281" s="37"/>
      <c r="H2281" s="37" t="b">
        <v>1</v>
      </c>
    </row>
    <row r="2282" spans="1:9" ht="30" x14ac:dyDescent="0.25">
      <c r="A2282" s="54" t="s">
        <v>570</v>
      </c>
      <c r="B2282" s="31" t="s">
        <v>2745</v>
      </c>
      <c r="C2282" s="28"/>
      <c r="D2282" s="28"/>
      <c r="E2282" s="28" t="s">
        <v>2012</v>
      </c>
      <c r="F2282" s="28" t="b">
        <v>0</v>
      </c>
      <c r="G2282" s="28"/>
      <c r="H2282" s="28" t="b">
        <v>1</v>
      </c>
      <c r="I2282" s="34"/>
    </row>
    <row r="2283" spans="1:9" ht="30" x14ac:dyDescent="0.25">
      <c r="A2283" s="54" t="s">
        <v>570</v>
      </c>
      <c r="B2283" s="43" t="s">
        <v>2746</v>
      </c>
      <c r="C2283" s="37"/>
      <c r="D2283" s="37"/>
      <c r="E2283" s="37" t="s">
        <v>2012</v>
      </c>
      <c r="F2283" s="37" t="b">
        <v>0</v>
      </c>
      <c r="G2283" s="37"/>
      <c r="H2283" s="37" t="b">
        <v>1</v>
      </c>
    </row>
    <row r="2284" spans="1:9" ht="30" x14ac:dyDescent="0.25">
      <c r="A2284" s="54" t="s">
        <v>570</v>
      </c>
      <c r="B2284" s="31" t="s">
        <v>2738</v>
      </c>
      <c r="C2284" s="28"/>
      <c r="D2284" s="28"/>
      <c r="E2284" s="28" t="s">
        <v>2012</v>
      </c>
      <c r="F2284" s="28" t="b">
        <v>0</v>
      </c>
      <c r="G2284" s="28"/>
      <c r="H2284" s="28" t="b">
        <v>1</v>
      </c>
      <c r="I2284" s="34"/>
    </row>
    <row r="2285" spans="1:9" ht="30" x14ac:dyDescent="0.25">
      <c r="A2285" s="54" t="s">
        <v>570</v>
      </c>
      <c r="B2285" s="43" t="s">
        <v>2739</v>
      </c>
      <c r="C2285" s="37"/>
      <c r="D2285" s="37"/>
      <c r="E2285" s="37" t="s">
        <v>2012</v>
      </c>
      <c r="F2285" s="37" t="b">
        <v>0</v>
      </c>
      <c r="G2285" s="37"/>
      <c r="H2285" s="37" t="b">
        <v>1</v>
      </c>
    </row>
    <row r="2286" spans="1:9" ht="30" x14ac:dyDescent="0.25">
      <c r="A2286" s="54" t="s">
        <v>570</v>
      </c>
      <c r="B2286" s="31" t="s">
        <v>2740</v>
      </c>
      <c r="C2286" s="28"/>
      <c r="D2286" s="28"/>
      <c r="E2286" s="28" t="s">
        <v>2012</v>
      </c>
      <c r="F2286" s="28" t="b">
        <v>0</v>
      </c>
      <c r="G2286" s="28"/>
      <c r="H2286" s="28" t="b">
        <v>1</v>
      </c>
      <c r="I2286" s="34"/>
    </row>
    <row r="2287" spans="1:9" ht="30" x14ac:dyDescent="0.25">
      <c r="A2287" s="54" t="s">
        <v>570</v>
      </c>
      <c r="B2287" s="43" t="s">
        <v>2741</v>
      </c>
      <c r="C2287" s="37"/>
      <c r="D2287" s="37"/>
      <c r="E2287" s="37" t="s">
        <v>2012</v>
      </c>
      <c r="F2287" s="37" t="b">
        <v>0</v>
      </c>
      <c r="G2287" s="37"/>
      <c r="H2287" s="37" t="b">
        <v>1</v>
      </c>
    </row>
    <row r="2288" spans="1:9" ht="30" x14ac:dyDescent="0.25">
      <c r="A2288" s="54" t="s">
        <v>570</v>
      </c>
      <c r="B2288" s="31" t="s">
        <v>2742</v>
      </c>
      <c r="C2288" s="28"/>
      <c r="D2288" s="28"/>
      <c r="E2288" s="28" t="s">
        <v>2012</v>
      </c>
      <c r="F2288" s="28" t="b">
        <v>0</v>
      </c>
      <c r="G2288" s="28"/>
      <c r="H2288" s="28" t="b">
        <v>1</v>
      </c>
      <c r="I2288" s="34"/>
    </row>
    <row r="2289" spans="1:9" ht="30" x14ac:dyDescent="0.25">
      <c r="A2289" s="54" t="s">
        <v>570</v>
      </c>
      <c r="B2289" s="43" t="s">
        <v>2743</v>
      </c>
      <c r="C2289" s="37"/>
      <c r="D2289" s="37"/>
      <c r="E2289" s="37" t="s">
        <v>2012</v>
      </c>
      <c r="F2289" s="37" t="b">
        <v>0</v>
      </c>
      <c r="G2289" s="37"/>
      <c r="H2289" s="37" t="b">
        <v>1</v>
      </c>
    </row>
    <row r="2290" spans="1:9" ht="30" x14ac:dyDescent="0.25">
      <c r="A2290" s="54" t="s">
        <v>570</v>
      </c>
      <c r="B2290" s="31" t="s">
        <v>2744</v>
      </c>
      <c r="C2290" s="28"/>
      <c r="D2290" s="28"/>
      <c r="E2290" s="28" t="s">
        <v>2012</v>
      </c>
      <c r="F2290" s="28" t="b">
        <v>0</v>
      </c>
      <c r="G2290" s="28"/>
      <c r="H2290" s="28" t="b">
        <v>1</v>
      </c>
      <c r="I2290" s="34"/>
    </row>
    <row r="2291" spans="1:9" ht="30" x14ac:dyDescent="0.25">
      <c r="A2291" s="54" t="s">
        <v>570</v>
      </c>
      <c r="B2291" s="43" t="s">
        <v>2745</v>
      </c>
      <c r="C2291" s="37"/>
      <c r="D2291" s="37"/>
      <c r="E2291" s="37" t="s">
        <v>2012</v>
      </c>
      <c r="F2291" s="37" t="b">
        <v>0</v>
      </c>
      <c r="G2291" s="37"/>
      <c r="H2291" s="37" t="b">
        <v>1</v>
      </c>
    </row>
    <row r="2292" spans="1:9" ht="30" x14ac:dyDescent="0.25">
      <c r="A2292" s="54" t="s">
        <v>570</v>
      </c>
      <c r="B2292" s="31" t="s">
        <v>2746</v>
      </c>
      <c r="C2292" s="28"/>
      <c r="D2292" s="28"/>
      <c r="E2292" s="28" t="s">
        <v>2012</v>
      </c>
      <c r="F2292" s="28" t="b">
        <v>0</v>
      </c>
      <c r="G2292" s="28"/>
      <c r="H2292" s="28" t="b">
        <v>1</v>
      </c>
      <c r="I2292" s="34"/>
    </row>
    <row r="2293" spans="1:9" ht="30" x14ac:dyDescent="0.25">
      <c r="A2293" s="54" t="s">
        <v>570</v>
      </c>
      <c r="B2293" s="43" t="s">
        <v>2738</v>
      </c>
      <c r="C2293" s="37"/>
      <c r="D2293" s="37"/>
      <c r="E2293" s="37" t="s">
        <v>2012</v>
      </c>
      <c r="F2293" s="37" t="b">
        <v>0</v>
      </c>
      <c r="G2293" s="37"/>
      <c r="H2293" s="37" t="b">
        <v>1</v>
      </c>
    </row>
    <row r="2294" spans="1:9" ht="30" x14ac:dyDescent="0.25">
      <c r="A2294" s="54" t="s">
        <v>570</v>
      </c>
      <c r="B2294" s="31" t="s">
        <v>2739</v>
      </c>
      <c r="C2294" s="28"/>
      <c r="D2294" s="28"/>
      <c r="E2294" s="28" t="s">
        <v>2012</v>
      </c>
      <c r="F2294" s="28" t="b">
        <v>0</v>
      </c>
      <c r="G2294" s="28"/>
      <c r="H2294" s="28" t="b">
        <v>1</v>
      </c>
      <c r="I2294" s="34"/>
    </row>
    <row r="2295" spans="1:9" ht="30" x14ac:dyDescent="0.25">
      <c r="A2295" s="54" t="s">
        <v>570</v>
      </c>
      <c r="B2295" s="43" t="s">
        <v>2740</v>
      </c>
      <c r="C2295" s="37"/>
      <c r="D2295" s="37"/>
      <c r="E2295" s="37" t="s">
        <v>2012</v>
      </c>
      <c r="F2295" s="37" t="b">
        <v>0</v>
      </c>
      <c r="G2295" s="37"/>
      <c r="H2295" s="37" t="b">
        <v>1</v>
      </c>
    </row>
    <row r="2296" spans="1:9" ht="30" x14ac:dyDescent="0.25">
      <c r="A2296" s="54" t="s">
        <v>570</v>
      </c>
      <c r="B2296" s="31" t="s">
        <v>2741</v>
      </c>
      <c r="C2296" s="28"/>
      <c r="D2296" s="28"/>
      <c r="E2296" s="28" t="s">
        <v>2012</v>
      </c>
      <c r="F2296" s="28" t="b">
        <v>0</v>
      </c>
      <c r="G2296" s="28"/>
      <c r="H2296" s="28" t="b">
        <v>1</v>
      </c>
      <c r="I2296" s="34"/>
    </row>
    <row r="2297" spans="1:9" ht="30" x14ac:dyDescent="0.25">
      <c r="A2297" s="54" t="s">
        <v>570</v>
      </c>
      <c r="B2297" s="43" t="s">
        <v>647</v>
      </c>
      <c r="C2297" s="37" t="s">
        <v>2010</v>
      </c>
      <c r="D2297" s="37"/>
      <c r="E2297" s="37" t="s">
        <v>1974</v>
      </c>
      <c r="F2297" s="37" t="b">
        <v>0</v>
      </c>
      <c r="G2297" s="37">
        <v>200</v>
      </c>
      <c r="H2297" s="37" t="b">
        <v>1</v>
      </c>
    </row>
    <row r="2298" spans="1:9" ht="30" x14ac:dyDescent="0.25">
      <c r="A2298" s="54" t="s">
        <v>570</v>
      </c>
      <c r="B2298" s="31" t="s">
        <v>2011</v>
      </c>
      <c r="C2298" s="28"/>
      <c r="D2298" s="28"/>
      <c r="E2298" s="28" t="s">
        <v>2012</v>
      </c>
      <c r="F2298" s="28" t="b">
        <v>0</v>
      </c>
      <c r="G2298" s="28"/>
      <c r="H2298" s="28" t="b">
        <v>1</v>
      </c>
      <c r="I2298" s="34"/>
    </row>
    <row r="2299" spans="1:9" ht="30" x14ac:dyDescent="0.25">
      <c r="A2299" s="54" t="s">
        <v>570</v>
      </c>
      <c r="B2299" s="43" t="s">
        <v>2013</v>
      </c>
      <c r="C2299" s="37"/>
      <c r="D2299" s="37"/>
      <c r="E2299" s="37" t="s">
        <v>2012</v>
      </c>
      <c r="F2299" s="37" t="b">
        <v>0</v>
      </c>
      <c r="G2299" s="37"/>
      <c r="H2299" s="37" t="b">
        <v>1</v>
      </c>
    </row>
    <row r="2300" spans="1:9" ht="30" x14ac:dyDescent="0.25">
      <c r="A2300" s="54" t="s">
        <v>570</v>
      </c>
      <c r="B2300" s="31" t="s">
        <v>2033</v>
      </c>
      <c r="C2300" s="28"/>
      <c r="D2300" s="28"/>
      <c r="E2300" s="28" t="s">
        <v>2012</v>
      </c>
      <c r="F2300" s="28" t="b">
        <v>0</v>
      </c>
      <c r="G2300" s="28"/>
      <c r="H2300" s="28" t="b">
        <v>1</v>
      </c>
      <c r="I2300" s="34"/>
    </row>
    <row r="2301" spans="1:9" ht="30" x14ac:dyDescent="0.25">
      <c r="A2301" s="54" t="s">
        <v>570</v>
      </c>
      <c r="B2301" s="43" t="s">
        <v>641</v>
      </c>
      <c r="C2301" s="37" t="s">
        <v>2034</v>
      </c>
      <c r="D2301" s="37"/>
      <c r="E2301" s="37" t="s">
        <v>1974</v>
      </c>
      <c r="F2301" s="37" t="b">
        <v>0</v>
      </c>
      <c r="G2301" s="37">
        <v>200</v>
      </c>
      <c r="H2301" s="37" t="b">
        <v>1</v>
      </c>
    </row>
    <row r="2302" spans="1:9" ht="30" x14ac:dyDescent="0.25">
      <c r="A2302" s="54" t="s">
        <v>570</v>
      </c>
      <c r="B2302" s="31" t="s">
        <v>2015</v>
      </c>
      <c r="C2302" s="28" t="s">
        <v>2016</v>
      </c>
      <c r="D2302" s="28"/>
      <c r="E2302" s="28" t="s">
        <v>1974</v>
      </c>
      <c r="F2302" s="28" t="b">
        <v>0</v>
      </c>
      <c r="G2302" s="28">
        <v>404</v>
      </c>
      <c r="H2302" s="28" t="b">
        <v>0</v>
      </c>
      <c r="I2302" s="34"/>
    </row>
    <row r="2303" spans="1:9" ht="30" x14ac:dyDescent="0.25">
      <c r="A2303" s="54" t="s">
        <v>570</v>
      </c>
      <c r="B2303" s="43" t="s">
        <v>2015</v>
      </c>
      <c r="C2303" s="37" t="s">
        <v>2017</v>
      </c>
      <c r="D2303" s="37"/>
      <c r="E2303" s="37" t="s">
        <v>1974</v>
      </c>
      <c r="F2303" s="37" t="b">
        <v>0</v>
      </c>
      <c r="G2303" s="37">
        <v>404</v>
      </c>
      <c r="H2303" s="37" t="b">
        <v>0</v>
      </c>
    </row>
    <row r="2304" spans="1:9" x14ac:dyDescent="0.25">
      <c r="A2304" s="54" t="s">
        <v>577</v>
      </c>
      <c r="B2304" s="31" t="s">
        <v>2025</v>
      </c>
      <c r="C2304" s="28"/>
      <c r="D2304" s="28"/>
      <c r="E2304" s="28" t="s">
        <v>2012</v>
      </c>
      <c r="F2304" s="28" t="b">
        <v>0</v>
      </c>
      <c r="G2304" s="28"/>
      <c r="H2304" s="28" t="b">
        <v>1</v>
      </c>
      <c r="I2304" s="34"/>
    </row>
    <row r="2305" spans="1:9" x14ac:dyDescent="0.25">
      <c r="A2305" s="54" t="s">
        <v>577</v>
      </c>
      <c r="B2305" s="43" t="s">
        <v>127</v>
      </c>
      <c r="C2305" s="37" t="s">
        <v>1975</v>
      </c>
      <c r="D2305" s="37"/>
      <c r="E2305" s="37" t="s">
        <v>1974</v>
      </c>
      <c r="F2305" s="37" t="b">
        <v>0</v>
      </c>
      <c r="G2305" s="37">
        <v>200</v>
      </c>
      <c r="H2305" s="37" t="b">
        <v>1</v>
      </c>
    </row>
    <row r="2306" spans="1:9" x14ac:dyDescent="0.25">
      <c r="A2306" s="54" t="s">
        <v>577</v>
      </c>
      <c r="B2306" s="31" t="s">
        <v>135</v>
      </c>
      <c r="C2306" s="28" t="s">
        <v>1976</v>
      </c>
      <c r="D2306" s="28"/>
      <c r="E2306" s="28" t="s">
        <v>1974</v>
      </c>
      <c r="F2306" s="28" t="b">
        <v>0</v>
      </c>
      <c r="G2306" s="28">
        <v>200</v>
      </c>
      <c r="H2306" s="28" t="b">
        <v>1</v>
      </c>
      <c r="I2306" s="34"/>
    </row>
    <row r="2307" spans="1:9" x14ac:dyDescent="0.25">
      <c r="A2307" s="54" t="s">
        <v>577</v>
      </c>
      <c r="B2307" s="43" t="s">
        <v>655</v>
      </c>
      <c r="C2307" s="37" t="s">
        <v>1977</v>
      </c>
      <c r="D2307" s="37"/>
      <c r="E2307" s="37" t="s">
        <v>1974</v>
      </c>
      <c r="F2307" s="37" t="b">
        <v>0</v>
      </c>
      <c r="G2307" s="37">
        <v>200</v>
      </c>
      <c r="H2307" s="37" t="b">
        <v>1</v>
      </c>
    </row>
    <row r="2308" spans="1:9" x14ac:dyDescent="0.25">
      <c r="A2308" s="54" t="s">
        <v>577</v>
      </c>
      <c r="B2308" s="31" t="s">
        <v>635</v>
      </c>
      <c r="C2308" s="28" t="s">
        <v>1978</v>
      </c>
      <c r="D2308" s="28"/>
      <c r="E2308" s="28" t="s">
        <v>1974</v>
      </c>
      <c r="F2308" s="28" t="b">
        <v>0</v>
      </c>
      <c r="G2308" s="28">
        <v>200</v>
      </c>
      <c r="H2308" s="28" t="b">
        <v>1</v>
      </c>
      <c r="I2308" s="34"/>
    </row>
    <row r="2309" spans="1:9" ht="30" x14ac:dyDescent="0.25">
      <c r="A2309" s="54" t="s">
        <v>577</v>
      </c>
      <c r="B2309" s="43" t="s">
        <v>144</v>
      </c>
      <c r="C2309" s="37" t="s">
        <v>1979</v>
      </c>
      <c r="D2309" s="37"/>
      <c r="E2309" s="37" t="s">
        <v>1974</v>
      </c>
      <c r="F2309" s="37" t="b">
        <v>0</v>
      </c>
      <c r="G2309" s="37">
        <v>200</v>
      </c>
      <c r="H2309" s="37" t="b">
        <v>1</v>
      </c>
    </row>
    <row r="2310" spans="1:9" x14ac:dyDescent="0.25">
      <c r="A2310" s="54" t="s">
        <v>577</v>
      </c>
      <c r="B2310" s="31" t="s">
        <v>618</v>
      </c>
      <c r="C2310" s="28" t="s">
        <v>1980</v>
      </c>
      <c r="D2310" s="28"/>
      <c r="E2310" s="28" t="s">
        <v>1974</v>
      </c>
      <c r="F2310" s="28" t="b">
        <v>0</v>
      </c>
      <c r="G2310" s="28">
        <v>200</v>
      </c>
      <c r="H2310" s="28" t="b">
        <v>1</v>
      </c>
      <c r="I2310" s="34"/>
    </row>
    <row r="2311" spans="1:9" ht="30" x14ac:dyDescent="0.25">
      <c r="A2311" s="54" t="s">
        <v>577</v>
      </c>
      <c r="B2311" s="43" t="s">
        <v>585</v>
      </c>
      <c r="C2311" s="37" t="s">
        <v>1981</v>
      </c>
      <c r="D2311" s="37"/>
      <c r="E2311" s="37" t="s">
        <v>1974</v>
      </c>
      <c r="F2311" s="37" t="b">
        <v>0</v>
      </c>
      <c r="G2311" s="37">
        <v>200</v>
      </c>
      <c r="H2311" s="37" t="b">
        <v>1</v>
      </c>
    </row>
    <row r="2312" spans="1:9" ht="30" x14ac:dyDescent="0.25">
      <c r="A2312" s="54" t="s">
        <v>577</v>
      </c>
      <c r="B2312" s="31" t="s">
        <v>582</v>
      </c>
      <c r="C2312" s="28" t="s">
        <v>1982</v>
      </c>
      <c r="D2312" s="28"/>
      <c r="E2312" s="28" t="s">
        <v>1974</v>
      </c>
      <c r="F2312" s="28" t="b">
        <v>0</v>
      </c>
      <c r="G2312" s="28">
        <v>200</v>
      </c>
      <c r="H2312" s="28" t="b">
        <v>1</v>
      </c>
      <c r="I2312" s="34"/>
    </row>
    <row r="2313" spans="1:9" x14ac:dyDescent="0.25">
      <c r="A2313" s="54" t="s">
        <v>577</v>
      </c>
      <c r="B2313" s="43" t="s">
        <v>638</v>
      </c>
      <c r="C2313" s="37" t="s">
        <v>1983</v>
      </c>
      <c r="D2313" s="37"/>
      <c r="E2313" s="37" t="s">
        <v>1974</v>
      </c>
      <c r="F2313" s="37" t="b">
        <v>0</v>
      </c>
      <c r="G2313" s="37">
        <v>200</v>
      </c>
      <c r="H2313" s="37" t="b">
        <v>1</v>
      </c>
    </row>
    <row r="2314" spans="1:9" x14ac:dyDescent="0.25">
      <c r="A2314" s="54" t="s">
        <v>577</v>
      </c>
      <c r="B2314" s="31" t="s">
        <v>638</v>
      </c>
      <c r="C2314" s="28" t="s">
        <v>1984</v>
      </c>
      <c r="D2314" s="28"/>
      <c r="E2314" s="28" t="s">
        <v>1974</v>
      </c>
      <c r="F2314" s="28" t="b">
        <v>0</v>
      </c>
      <c r="G2314" s="28">
        <v>200</v>
      </c>
      <c r="H2314" s="28" t="b">
        <v>1</v>
      </c>
      <c r="I2314" s="34"/>
    </row>
    <row r="2315" spans="1:9" x14ac:dyDescent="0.25">
      <c r="A2315" s="54" t="s">
        <v>577</v>
      </c>
      <c r="B2315" s="43" t="s">
        <v>647</v>
      </c>
      <c r="C2315" s="37" t="s">
        <v>1985</v>
      </c>
      <c r="D2315" s="37"/>
      <c r="E2315" s="37" t="s">
        <v>1974</v>
      </c>
      <c r="F2315" s="37" t="b">
        <v>0</v>
      </c>
      <c r="G2315" s="37">
        <v>200</v>
      </c>
      <c r="H2315" s="37" t="b">
        <v>1</v>
      </c>
    </row>
    <row r="2316" spans="1:9" ht="30" x14ac:dyDescent="0.25">
      <c r="A2316" s="54" t="s">
        <v>577</v>
      </c>
      <c r="B2316" s="31" t="s">
        <v>503</v>
      </c>
      <c r="C2316" s="28" t="s">
        <v>1986</v>
      </c>
      <c r="D2316" s="28"/>
      <c r="E2316" s="28" t="s">
        <v>1974</v>
      </c>
      <c r="F2316" s="28" t="b">
        <v>0</v>
      </c>
      <c r="G2316" s="28">
        <v>200</v>
      </c>
      <c r="H2316" s="28" t="b">
        <v>1</v>
      </c>
      <c r="I2316" s="34"/>
    </row>
    <row r="2317" spans="1:9" x14ac:dyDescent="0.25">
      <c r="A2317" s="54" t="s">
        <v>577</v>
      </c>
      <c r="B2317" s="43" t="s">
        <v>608</v>
      </c>
      <c r="C2317" s="37" t="s">
        <v>1987</v>
      </c>
      <c r="D2317" s="37"/>
      <c r="E2317" s="37" t="s">
        <v>1974</v>
      </c>
      <c r="F2317" s="37" t="b">
        <v>0</v>
      </c>
      <c r="G2317" s="37">
        <v>200</v>
      </c>
      <c r="H2317" s="37" t="b">
        <v>1</v>
      </c>
    </row>
    <row r="2318" spans="1:9" x14ac:dyDescent="0.25">
      <c r="A2318" s="54" t="s">
        <v>577</v>
      </c>
      <c r="B2318" s="31" t="s">
        <v>127</v>
      </c>
      <c r="C2318" s="28" t="s">
        <v>1975</v>
      </c>
      <c r="D2318" s="28"/>
      <c r="E2318" s="28" t="s">
        <v>1974</v>
      </c>
      <c r="F2318" s="28" t="b">
        <v>0</v>
      </c>
      <c r="G2318" s="28">
        <v>200</v>
      </c>
      <c r="H2318" s="28" t="b">
        <v>1</v>
      </c>
      <c r="I2318" s="34"/>
    </row>
    <row r="2319" spans="1:9" x14ac:dyDescent="0.25">
      <c r="A2319" s="54" t="s">
        <v>577</v>
      </c>
      <c r="B2319" s="43" t="s">
        <v>135</v>
      </c>
      <c r="C2319" s="37" t="s">
        <v>1976</v>
      </c>
      <c r="D2319" s="37"/>
      <c r="E2319" s="37" t="s">
        <v>1974</v>
      </c>
      <c r="F2319" s="37" t="b">
        <v>0</v>
      </c>
      <c r="G2319" s="37">
        <v>200</v>
      </c>
      <c r="H2319" s="37" t="b">
        <v>1</v>
      </c>
    </row>
    <row r="2320" spans="1:9" x14ac:dyDescent="0.25">
      <c r="A2320" s="54" t="s">
        <v>577</v>
      </c>
      <c r="B2320" s="31" t="s">
        <v>655</v>
      </c>
      <c r="C2320" s="28" t="s">
        <v>1977</v>
      </c>
      <c r="D2320" s="28"/>
      <c r="E2320" s="28" t="s">
        <v>1974</v>
      </c>
      <c r="F2320" s="28" t="b">
        <v>0</v>
      </c>
      <c r="G2320" s="28">
        <v>200</v>
      </c>
      <c r="H2320" s="28" t="b">
        <v>1</v>
      </c>
      <c r="I2320" s="34"/>
    </row>
    <row r="2321" spans="1:9" x14ac:dyDescent="0.25">
      <c r="A2321" s="54" t="s">
        <v>577</v>
      </c>
      <c r="B2321" s="43" t="s">
        <v>635</v>
      </c>
      <c r="C2321" s="37" t="s">
        <v>1978</v>
      </c>
      <c r="D2321" s="37"/>
      <c r="E2321" s="37" t="s">
        <v>1974</v>
      </c>
      <c r="F2321" s="37" t="b">
        <v>0</v>
      </c>
      <c r="G2321" s="37">
        <v>200</v>
      </c>
      <c r="H2321" s="37" t="b">
        <v>1</v>
      </c>
    </row>
    <row r="2322" spans="1:9" ht="30" x14ac:dyDescent="0.25">
      <c r="A2322" s="54" t="s">
        <v>577</v>
      </c>
      <c r="B2322" s="31" t="s">
        <v>144</v>
      </c>
      <c r="C2322" s="28" t="s">
        <v>1979</v>
      </c>
      <c r="D2322" s="28"/>
      <c r="E2322" s="28" t="s">
        <v>1974</v>
      </c>
      <c r="F2322" s="28" t="b">
        <v>0</v>
      </c>
      <c r="G2322" s="28">
        <v>200</v>
      </c>
      <c r="H2322" s="28" t="b">
        <v>1</v>
      </c>
      <c r="I2322" s="34"/>
    </row>
    <row r="2323" spans="1:9" x14ac:dyDescent="0.25">
      <c r="A2323" s="54" t="s">
        <v>577</v>
      </c>
      <c r="B2323" s="43" t="s">
        <v>618</v>
      </c>
      <c r="C2323" s="37" t="s">
        <v>1980</v>
      </c>
      <c r="D2323" s="37"/>
      <c r="E2323" s="37" t="s">
        <v>1974</v>
      </c>
      <c r="F2323" s="37" t="b">
        <v>0</v>
      </c>
      <c r="G2323" s="37">
        <v>200</v>
      </c>
      <c r="H2323" s="37" t="b">
        <v>1</v>
      </c>
    </row>
    <row r="2324" spans="1:9" ht="30" x14ac:dyDescent="0.25">
      <c r="A2324" s="54" t="s">
        <v>577</v>
      </c>
      <c r="B2324" s="31" t="s">
        <v>585</v>
      </c>
      <c r="C2324" s="28" t="s">
        <v>1981</v>
      </c>
      <c r="D2324" s="28"/>
      <c r="E2324" s="28" t="s">
        <v>1974</v>
      </c>
      <c r="F2324" s="28" t="b">
        <v>0</v>
      </c>
      <c r="G2324" s="28">
        <v>200</v>
      </c>
      <c r="H2324" s="28" t="b">
        <v>1</v>
      </c>
      <c r="I2324" s="34"/>
    </row>
    <row r="2325" spans="1:9" ht="30" x14ac:dyDescent="0.25">
      <c r="A2325" s="54" t="s">
        <v>577</v>
      </c>
      <c r="B2325" s="43" t="s">
        <v>582</v>
      </c>
      <c r="C2325" s="37" t="s">
        <v>1982</v>
      </c>
      <c r="D2325" s="37"/>
      <c r="E2325" s="37" t="s">
        <v>1974</v>
      </c>
      <c r="F2325" s="37" t="b">
        <v>0</v>
      </c>
      <c r="G2325" s="37">
        <v>200</v>
      </c>
      <c r="H2325" s="37" t="b">
        <v>1</v>
      </c>
    </row>
    <row r="2326" spans="1:9" x14ac:dyDescent="0.25">
      <c r="A2326" s="54" t="s">
        <v>577</v>
      </c>
      <c r="B2326" s="31" t="s">
        <v>638</v>
      </c>
      <c r="C2326" s="28" t="s">
        <v>1983</v>
      </c>
      <c r="D2326" s="28"/>
      <c r="E2326" s="28" t="s">
        <v>1974</v>
      </c>
      <c r="F2326" s="28" t="b">
        <v>0</v>
      </c>
      <c r="G2326" s="28">
        <v>200</v>
      </c>
      <c r="H2326" s="28" t="b">
        <v>1</v>
      </c>
      <c r="I2326" s="34"/>
    </row>
    <row r="2327" spans="1:9" x14ac:dyDescent="0.25">
      <c r="A2327" s="54" t="s">
        <v>577</v>
      </c>
      <c r="B2327" s="43" t="s">
        <v>638</v>
      </c>
      <c r="C2327" s="37" t="s">
        <v>1984</v>
      </c>
      <c r="D2327" s="37"/>
      <c r="E2327" s="37" t="s">
        <v>1974</v>
      </c>
      <c r="F2327" s="37" t="b">
        <v>0</v>
      </c>
      <c r="G2327" s="37">
        <v>200</v>
      </c>
      <c r="H2327" s="37" t="b">
        <v>1</v>
      </c>
    </row>
    <row r="2328" spans="1:9" x14ac:dyDescent="0.25">
      <c r="A2328" s="54" t="s">
        <v>577</v>
      </c>
      <c r="B2328" s="31" t="s">
        <v>647</v>
      </c>
      <c r="C2328" s="28" t="s">
        <v>1985</v>
      </c>
      <c r="D2328" s="28"/>
      <c r="E2328" s="28" t="s">
        <v>1974</v>
      </c>
      <c r="F2328" s="28" t="b">
        <v>0</v>
      </c>
      <c r="G2328" s="28">
        <v>200</v>
      </c>
      <c r="H2328" s="28" t="b">
        <v>1</v>
      </c>
      <c r="I2328" s="34"/>
    </row>
    <row r="2329" spans="1:9" ht="30" x14ac:dyDescent="0.25">
      <c r="A2329" s="54" t="s">
        <v>577</v>
      </c>
      <c r="B2329" s="43" t="s">
        <v>503</v>
      </c>
      <c r="C2329" s="37" t="s">
        <v>1986</v>
      </c>
      <c r="D2329" s="37"/>
      <c r="E2329" s="37" t="s">
        <v>1974</v>
      </c>
      <c r="F2329" s="37" t="b">
        <v>0</v>
      </c>
      <c r="G2329" s="37">
        <v>200</v>
      </c>
      <c r="H2329" s="37" t="b">
        <v>1</v>
      </c>
    </row>
    <row r="2330" spans="1:9" x14ac:dyDescent="0.25">
      <c r="A2330" s="54" t="s">
        <v>577</v>
      </c>
      <c r="B2330" s="31" t="s">
        <v>608</v>
      </c>
      <c r="C2330" s="28" t="s">
        <v>1987</v>
      </c>
      <c r="D2330" s="28"/>
      <c r="E2330" s="28" t="s">
        <v>1974</v>
      </c>
      <c r="F2330" s="28" t="b">
        <v>0</v>
      </c>
      <c r="G2330" s="28">
        <v>200</v>
      </c>
      <c r="H2330" s="28" t="b">
        <v>1</v>
      </c>
      <c r="I2330" s="34"/>
    </row>
    <row r="2331" spans="1:9" ht="30" x14ac:dyDescent="0.25">
      <c r="A2331" s="54" t="s">
        <v>577</v>
      </c>
      <c r="B2331" s="43" t="s">
        <v>2874</v>
      </c>
      <c r="C2331" s="37" t="s">
        <v>2875</v>
      </c>
      <c r="D2331" s="37"/>
      <c r="E2331" s="37" t="s">
        <v>1974</v>
      </c>
      <c r="F2331" s="37" t="b">
        <v>0</v>
      </c>
      <c r="G2331" s="37">
        <v>200</v>
      </c>
      <c r="H2331" s="37" t="b">
        <v>1</v>
      </c>
    </row>
    <row r="2332" spans="1:9" ht="30" x14ac:dyDescent="0.25">
      <c r="A2332" s="54" t="s">
        <v>577</v>
      </c>
      <c r="B2332" s="31" t="s">
        <v>2874</v>
      </c>
      <c r="C2332" s="28" t="s">
        <v>2876</v>
      </c>
      <c r="D2332" s="28"/>
      <c r="E2332" s="28" t="s">
        <v>1974</v>
      </c>
      <c r="F2332" s="28" t="b">
        <v>0</v>
      </c>
      <c r="G2332" s="28">
        <v>200</v>
      </c>
      <c r="H2332" s="28" t="b">
        <v>1</v>
      </c>
      <c r="I2332" s="34"/>
    </row>
    <row r="2333" spans="1:9" ht="30" x14ac:dyDescent="0.25">
      <c r="A2333" s="54" t="s">
        <v>577</v>
      </c>
      <c r="B2333" s="43" t="s">
        <v>2874</v>
      </c>
      <c r="C2333" s="37" t="s">
        <v>2877</v>
      </c>
      <c r="D2333" s="37"/>
      <c r="E2333" s="37" t="s">
        <v>1974</v>
      </c>
      <c r="F2333" s="37" t="b">
        <v>0</v>
      </c>
      <c r="G2333" s="37">
        <v>200</v>
      </c>
      <c r="H2333" s="37" t="b">
        <v>1</v>
      </c>
    </row>
    <row r="2334" spans="1:9" ht="30" x14ac:dyDescent="0.25">
      <c r="A2334" s="54" t="s">
        <v>577</v>
      </c>
      <c r="B2334" s="31" t="s">
        <v>2878</v>
      </c>
      <c r="C2334" s="28" t="s">
        <v>1994</v>
      </c>
      <c r="D2334" s="28"/>
      <c r="E2334" s="28" t="s">
        <v>1974</v>
      </c>
      <c r="F2334" s="28" t="b">
        <v>0</v>
      </c>
      <c r="G2334" s="28">
        <v>200</v>
      </c>
      <c r="H2334" s="28" t="b">
        <v>1</v>
      </c>
      <c r="I2334" s="34"/>
    </row>
    <row r="2335" spans="1:9" x14ac:dyDescent="0.25">
      <c r="A2335" s="54" t="s">
        <v>577</v>
      </c>
      <c r="B2335" s="43" t="s">
        <v>647</v>
      </c>
      <c r="C2335" s="37" t="s">
        <v>2010</v>
      </c>
      <c r="D2335" s="37"/>
      <c r="E2335" s="37" t="s">
        <v>1974</v>
      </c>
      <c r="F2335" s="37" t="b">
        <v>0</v>
      </c>
      <c r="G2335" s="37">
        <v>200</v>
      </c>
      <c r="H2335" s="37" t="b">
        <v>1</v>
      </c>
    </row>
    <row r="2336" spans="1:9" ht="30" x14ac:dyDescent="0.25">
      <c r="A2336" s="54" t="s">
        <v>577</v>
      </c>
      <c r="B2336" s="31" t="s">
        <v>2011</v>
      </c>
      <c r="C2336" s="28"/>
      <c r="D2336" s="28"/>
      <c r="E2336" s="28" t="s">
        <v>2012</v>
      </c>
      <c r="F2336" s="28" t="b">
        <v>0</v>
      </c>
      <c r="G2336" s="28"/>
      <c r="H2336" s="28" t="b">
        <v>1</v>
      </c>
      <c r="I2336" s="34"/>
    </row>
    <row r="2337" spans="1:9" ht="30" x14ac:dyDescent="0.25">
      <c r="A2337" s="54" t="s">
        <v>577</v>
      </c>
      <c r="B2337" s="43" t="s">
        <v>2013</v>
      </c>
      <c r="C2337" s="37"/>
      <c r="D2337" s="37"/>
      <c r="E2337" s="37" t="s">
        <v>2012</v>
      </c>
      <c r="F2337" s="37" t="b">
        <v>0</v>
      </c>
      <c r="G2337" s="37"/>
      <c r="H2337" s="37" t="b">
        <v>1</v>
      </c>
    </row>
    <row r="2338" spans="1:9" x14ac:dyDescent="0.25">
      <c r="A2338" s="54" t="s">
        <v>577</v>
      </c>
      <c r="B2338" s="31" t="s">
        <v>2033</v>
      </c>
      <c r="C2338" s="28"/>
      <c r="D2338" s="28"/>
      <c r="E2338" s="28" t="s">
        <v>2012</v>
      </c>
      <c r="F2338" s="28" t="b">
        <v>0</v>
      </c>
      <c r="G2338" s="28"/>
      <c r="H2338" s="28" t="b">
        <v>1</v>
      </c>
      <c r="I2338" s="34"/>
    </row>
    <row r="2339" spans="1:9" x14ac:dyDescent="0.25">
      <c r="A2339" s="54" t="s">
        <v>577</v>
      </c>
      <c r="B2339" s="43" t="s">
        <v>641</v>
      </c>
      <c r="C2339" s="37" t="s">
        <v>2034</v>
      </c>
      <c r="D2339" s="37"/>
      <c r="E2339" s="37" t="s">
        <v>1974</v>
      </c>
      <c r="F2339" s="37" t="b">
        <v>0</v>
      </c>
      <c r="G2339" s="37">
        <v>200</v>
      </c>
      <c r="H2339" s="37" t="b">
        <v>1</v>
      </c>
    </row>
    <row r="2340" spans="1:9" ht="30" x14ac:dyDescent="0.25">
      <c r="A2340" s="54" t="s">
        <v>577</v>
      </c>
      <c r="B2340" s="31" t="s">
        <v>2015</v>
      </c>
      <c r="C2340" s="28" t="s">
        <v>2016</v>
      </c>
      <c r="D2340" s="28"/>
      <c r="E2340" s="28" t="s">
        <v>1974</v>
      </c>
      <c r="F2340" s="28" t="b">
        <v>0</v>
      </c>
      <c r="G2340" s="28">
        <v>404</v>
      </c>
      <c r="H2340" s="28" t="b">
        <v>0</v>
      </c>
      <c r="I2340" s="34"/>
    </row>
    <row r="2341" spans="1:9" ht="30" x14ac:dyDescent="0.25">
      <c r="A2341" s="54" t="s">
        <v>577</v>
      </c>
      <c r="B2341" s="43" t="s">
        <v>2015</v>
      </c>
      <c r="C2341" s="37" t="s">
        <v>2017</v>
      </c>
      <c r="D2341" s="37"/>
      <c r="E2341" s="37" t="s">
        <v>1974</v>
      </c>
      <c r="F2341" s="37" t="b">
        <v>0</v>
      </c>
      <c r="G2341" s="37">
        <v>404</v>
      </c>
      <c r="H2341" s="37" t="b">
        <v>0</v>
      </c>
    </row>
    <row r="2342" spans="1:9" x14ac:dyDescent="0.25">
      <c r="A2342" s="54" t="s">
        <v>579</v>
      </c>
      <c r="B2342" s="31" t="s">
        <v>127</v>
      </c>
      <c r="C2342" s="28"/>
      <c r="D2342" s="28"/>
      <c r="E2342" s="28" t="s">
        <v>1974</v>
      </c>
      <c r="F2342" s="28" t="b">
        <v>0</v>
      </c>
      <c r="G2342" s="28">
        <v>200</v>
      </c>
      <c r="H2342" s="28" t="b">
        <v>1</v>
      </c>
      <c r="I2342" s="34"/>
    </row>
    <row r="2343" spans="1:9" x14ac:dyDescent="0.25">
      <c r="A2343" s="54" t="s">
        <v>579</v>
      </c>
      <c r="B2343" s="43" t="s">
        <v>127</v>
      </c>
      <c r="C2343" s="37" t="s">
        <v>1975</v>
      </c>
      <c r="D2343" s="37"/>
      <c r="E2343" s="37" t="s">
        <v>1974</v>
      </c>
      <c r="F2343" s="37" t="b">
        <v>0</v>
      </c>
      <c r="G2343" s="37">
        <v>200</v>
      </c>
      <c r="H2343" s="37" t="b">
        <v>1</v>
      </c>
    </row>
    <row r="2344" spans="1:9" x14ac:dyDescent="0.25">
      <c r="A2344" s="54" t="s">
        <v>579</v>
      </c>
      <c r="B2344" s="31" t="s">
        <v>135</v>
      </c>
      <c r="C2344" s="28" t="s">
        <v>1976</v>
      </c>
      <c r="D2344" s="28"/>
      <c r="E2344" s="28" t="s">
        <v>1974</v>
      </c>
      <c r="F2344" s="28" t="b">
        <v>0</v>
      </c>
      <c r="G2344" s="28">
        <v>200</v>
      </c>
      <c r="H2344" s="28" t="b">
        <v>1</v>
      </c>
      <c r="I2344" s="34"/>
    </row>
    <row r="2345" spans="1:9" x14ac:dyDescent="0.25">
      <c r="A2345" s="54" t="s">
        <v>579</v>
      </c>
      <c r="B2345" s="43" t="s">
        <v>655</v>
      </c>
      <c r="C2345" s="37" t="s">
        <v>1977</v>
      </c>
      <c r="D2345" s="37"/>
      <c r="E2345" s="37" t="s">
        <v>1974</v>
      </c>
      <c r="F2345" s="37" t="b">
        <v>0</v>
      </c>
      <c r="G2345" s="37">
        <v>200</v>
      </c>
      <c r="H2345" s="37" t="b">
        <v>1</v>
      </c>
    </row>
    <row r="2346" spans="1:9" x14ac:dyDescent="0.25">
      <c r="A2346" s="54" t="s">
        <v>579</v>
      </c>
      <c r="B2346" s="31" t="s">
        <v>635</v>
      </c>
      <c r="C2346" s="28" t="s">
        <v>1978</v>
      </c>
      <c r="D2346" s="28"/>
      <c r="E2346" s="28" t="s">
        <v>1974</v>
      </c>
      <c r="F2346" s="28" t="b">
        <v>0</v>
      </c>
      <c r="G2346" s="28">
        <v>200</v>
      </c>
      <c r="H2346" s="28" t="b">
        <v>1</v>
      </c>
      <c r="I2346" s="34"/>
    </row>
    <row r="2347" spans="1:9" ht="30" x14ac:dyDescent="0.25">
      <c r="A2347" s="54" t="s">
        <v>579</v>
      </c>
      <c r="B2347" s="43" t="s">
        <v>144</v>
      </c>
      <c r="C2347" s="37" t="s">
        <v>1979</v>
      </c>
      <c r="D2347" s="37"/>
      <c r="E2347" s="37" t="s">
        <v>1974</v>
      </c>
      <c r="F2347" s="37" t="b">
        <v>0</v>
      </c>
      <c r="G2347" s="37">
        <v>200</v>
      </c>
      <c r="H2347" s="37" t="b">
        <v>1</v>
      </c>
    </row>
    <row r="2348" spans="1:9" x14ac:dyDescent="0.25">
      <c r="A2348" s="54" t="s">
        <v>579</v>
      </c>
      <c r="B2348" s="31" t="s">
        <v>618</v>
      </c>
      <c r="C2348" s="28" t="s">
        <v>1980</v>
      </c>
      <c r="D2348" s="28"/>
      <c r="E2348" s="28" t="s">
        <v>1974</v>
      </c>
      <c r="F2348" s="28" t="b">
        <v>0</v>
      </c>
      <c r="G2348" s="28">
        <v>200</v>
      </c>
      <c r="H2348" s="28" t="b">
        <v>1</v>
      </c>
      <c r="I2348" s="34"/>
    </row>
    <row r="2349" spans="1:9" ht="30" x14ac:dyDescent="0.25">
      <c r="A2349" s="54" t="s">
        <v>579</v>
      </c>
      <c r="B2349" s="43" t="s">
        <v>585</v>
      </c>
      <c r="C2349" s="37" t="s">
        <v>1981</v>
      </c>
      <c r="D2349" s="37"/>
      <c r="E2349" s="37" t="s">
        <v>1974</v>
      </c>
      <c r="F2349" s="37" t="b">
        <v>0</v>
      </c>
      <c r="G2349" s="37">
        <v>200</v>
      </c>
      <c r="H2349" s="37" t="b">
        <v>1</v>
      </c>
    </row>
    <row r="2350" spans="1:9" ht="30" x14ac:dyDescent="0.25">
      <c r="A2350" s="54" t="s">
        <v>579</v>
      </c>
      <c r="B2350" s="31" t="s">
        <v>582</v>
      </c>
      <c r="C2350" s="28" t="s">
        <v>1982</v>
      </c>
      <c r="D2350" s="28"/>
      <c r="E2350" s="28" t="s">
        <v>1974</v>
      </c>
      <c r="F2350" s="28" t="b">
        <v>0</v>
      </c>
      <c r="G2350" s="28">
        <v>200</v>
      </c>
      <c r="H2350" s="28" t="b">
        <v>1</v>
      </c>
      <c r="I2350" s="34"/>
    </row>
    <row r="2351" spans="1:9" x14ac:dyDescent="0.25">
      <c r="A2351" s="54" t="s">
        <v>579</v>
      </c>
      <c r="B2351" s="43" t="s">
        <v>638</v>
      </c>
      <c r="C2351" s="37" t="s">
        <v>1983</v>
      </c>
      <c r="D2351" s="37"/>
      <c r="E2351" s="37" t="s">
        <v>1974</v>
      </c>
      <c r="F2351" s="37" t="b">
        <v>0</v>
      </c>
      <c r="G2351" s="37">
        <v>200</v>
      </c>
      <c r="H2351" s="37" t="b">
        <v>1</v>
      </c>
    </row>
    <row r="2352" spans="1:9" x14ac:dyDescent="0.25">
      <c r="A2352" s="54" t="s">
        <v>579</v>
      </c>
      <c r="B2352" s="31" t="s">
        <v>638</v>
      </c>
      <c r="C2352" s="28" t="s">
        <v>1984</v>
      </c>
      <c r="D2352" s="28"/>
      <c r="E2352" s="28" t="s">
        <v>1974</v>
      </c>
      <c r="F2352" s="28" t="b">
        <v>0</v>
      </c>
      <c r="G2352" s="28">
        <v>200</v>
      </c>
      <c r="H2352" s="28" t="b">
        <v>1</v>
      </c>
      <c r="I2352" s="34"/>
    </row>
    <row r="2353" spans="1:9" x14ac:dyDescent="0.25">
      <c r="A2353" s="54" t="s">
        <v>579</v>
      </c>
      <c r="B2353" s="43" t="s">
        <v>647</v>
      </c>
      <c r="C2353" s="37" t="s">
        <v>1985</v>
      </c>
      <c r="D2353" s="37"/>
      <c r="E2353" s="37" t="s">
        <v>1974</v>
      </c>
      <c r="F2353" s="37" t="b">
        <v>0</v>
      </c>
      <c r="G2353" s="37">
        <v>200</v>
      </c>
      <c r="H2353" s="37" t="b">
        <v>1</v>
      </c>
    </row>
    <row r="2354" spans="1:9" ht="30" x14ac:dyDescent="0.25">
      <c r="A2354" s="54" t="s">
        <v>579</v>
      </c>
      <c r="B2354" s="31" t="s">
        <v>503</v>
      </c>
      <c r="C2354" s="28" t="s">
        <v>1986</v>
      </c>
      <c r="D2354" s="28"/>
      <c r="E2354" s="28" t="s">
        <v>1974</v>
      </c>
      <c r="F2354" s="28" t="b">
        <v>0</v>
      </c>
      <c r="G2354" s="28">
        <v>200</v>
      </c>
      <c r="H2354" s="28" t="b">
        <v>1</v>
      </c>
      <c r="I2354" s="34"/>
    </row>
    <row r="2355" spans="1:9" x14ac:dyDescent="0.25">
      <c r="A2355" s="54" t="s">
        <v>579</v>
      </c>
      <c r="B2355" s="43" t="s">
        <v>608</v>
      </c>
      <c r="C2355" s="37" t="s">
        <v>1987</v>
      </c>
      <c r="D2355" s="37"/>
      <c r="E2355" s="37" t="s">
        <v>1974</v>
      </c>
      <c r="F2355" s="37" t="b">
        <v>0</v>
      </c>
      <c r="G2355" s="37">
        <v>200</v>
      </c>
      <c r="H2355" s="37" t="b">
        <v>1</v>
      </c>
    </row>
    <row r="2356" spans="1:9" x14ac:dyDescent="0.25">
      <c r="A2356" s="54" t="s">
        <v>579</v>
      </c>
      <c r="B2356" s="31" t="s">
        <v>127</v>
      </c>
      <c r="C2356" s="28" t="s">
        <v>1975</v>
      </c>
      <c r="D2356" s="28"/>
      <c r="E2356" s="28" t="s">
        <v>1974</v>
      </c>
      <c r="F2356" s="28" t="b">
        <v>0</v>
      </c>
      <c r="G2356" s="28">
        <v>200</v>
      </c>
      <c r="H2356" s="28" t="b">
        <v>1</v>
      </c>
      <c r="I2356" s="34"/>
    </row>
    <row r="2357" spans="1:9" x14ac:dyDescent="0.25">
      <c r="A2357" s="54" t="s">
        <v>579</v>
      </c>
      <c r="B2357" s="43" t="s">
        <v>135</v>
      </c>
      <c r="C2357" s="37" t="s">
        <v>1976</v>
      </c>
      <c r="D2357" s="37"/>
      <c r="E2357" s="37" t="s">
        <v>1974</v>
      </c>
      <c r="F2357" s="37" t="b">
        <v>0</v>
      </c>
      <c r="G2357" s="37">
        <v>200</v>
      </c>
      <c r="H2357" s="37" t="b">
        <v>1</v>
      </c>
    </row>
    <row r="2358" spans="1:9" x14ac:dyDescent="0.25">
      <c r="A2358" s="54" t="s">
        <v>579</v>
      </c>
      <c r="B2358" s="31" t="s">
        <v>655</v>
      </c>
      <c r="C2358" s="28" t="s">
        <v>1977</v>
      </c>
      <c r="D2358" s="28"/>
      <c r="E2358" s="28" t="s">
        <v>1974</v>
      </c>
      <c r="F2358" s="28" t="b">
        <v>0</v>
      </c>
      <c r="G2358" s="28">
        <v>200</v>
      </c>
      <c r="H2358" s="28" t="b">
        <v>1</v>
      </c>
      <c r="I2358" s="34"/>
    </row>
    <row r="2359" spans="1:9" x14ac:dyDescent="0.25">
      <c r="A2359" s="54" t="s">
        <v>579</v>
      </c>
      <c r="B2359" s="43" t="s">
        <v>635</v>
      </c>
      <c r="C2359" s="37" t="s">
        <v>1978</v>
      </c>
      <c r="D2359" s="37"/>
      <c r="E2359" s="37" t="s">
        <v>1974</v>
      </c>
      <c r="F2359" s="37" t="b">
        <v>0</v>
      </c>
      <c r="G2359" s="37">
        <v>200</v>
      </c>
      <c r="H2359" s="37" t="b">
        <v>1</v>
      </c>
    </row>
    <row r="2360" spans="1:9" ht="30" x14ac:dyDescent="0.25">
      <c r="A2360" s="54" t="s">
        <v>579</v>
      </c>
      <c r="B2360" s="31" t="s">
        <v>144</v>
      </c>
      <c r="C2360" s="28" t="s">
        <v>1979</v>
      </c>
      <c r="D2360" s="28"/>
      <c r="E2360" s="28" t="s">
        <v>1974</v>
      </c>
      <c r="F2360" s="28" t="b">
        <v>0</v>
      </c>
      <c r="G2360" s="28">
        <v>200</v>
      </c>
      <c r="H2360" s="28" t="b">
        <v>1</v>
      </c>
      <c r="I2360" s="34"/>
    </row>
    <row r="2361" spans="1:9" x14ac:dyDescent="0.25">
      <c r="A2361" s="54" t="s">
        <v>579</v>
      </c>
      <c r="B2361" s="43" t="s">
        <v>618</v>
      </c>
      <c r="C2361" s="37" t="s">
        <v>1980</v>
      </c>
      <c r="D2361" s="37"/>
      <c r="E2361" s="37" t="s">
        <v>1974</v>
      </c>
      <c r="F2361" s="37" t="b">
        <v>0</v>
      </c>
      <c r="G2361" s="37">
        <v>200</v>
      </c>
      <c r="H2361" s="37" t="b">
        <v>1</v>
      </c>
    </row>
    <row r="2362" spans="1:9" ht="30" x14ac:dyDescent="0.25">
      <c r="A2362" s="54" t="s">
        <v>579</v>
      </c>
      <c r="B2362" s="31" t="s">
        <v>585</v>
      </c>
      <c r="C2362" s="28" t="s">
        <v>1981</v>
      </c>
      <c r="D2362" s="28"/>
      <c r="E2362" s="28" t="s">
        <v>1974</v>
      </c>
      <c r="F2362" s="28" t="b">
        <v>0</v>
      </c>
      <c r="G2362" s="28">
        <v>200</v>
      </c>
      <c r="H2362" s="28" t="b">
        <v>1</v>
      </c>
      <c r="I2362" s="34"/>
    </row>
    <row r="2363" spans="1:9" ht="30" x14ac:dyDescent="0.25">
      <c r="A2363" s="54" t="s">
        <v>579</v>
      </c>
      <c r="B2363" s="43" t="s">
        <v>582</v>
      </c>
      <c r="C2363" s="37" t="s">
        <v>1982</v>
      </c>
      <c r="D2363" s="37"/>
      <c r="E2363" s="37" t="s">
        <v>1974</v>
      </c>
      <c r="F2363" s="37" t="b">
        <v>0</v>
      </c>
      <c r="G2363" s="37">
        <v>200</v>
      </c>
      <c r="H2363" s="37" t="b">
        <v>1</v>
      </c>
    </row>
    <row r="2364" spans="1:9" x14ac:dyDescent="0.25">
      <c r="A2364" s="54" t="s">
        <v>579</v>
      </c>
      <c r="B2364" s="31" t="s">
        <v>638</v>
      </c>
      <c r="C2364" s="28" t="s">
        <v>1983</v>
      </c>
      <c r="D2364" s="28"/>
      <c r="E2364" s="28" t="s">
        <v>1974</v>
      </c>
      <c r="F2364" s="28" t="b">
        <v>0</v>
      </c>
      <c r="G2364" s="28">
        <v>200</v>
      </c>
      <c r="H2364" s="28" t="b">
        <v>1</v>
      </c>
      <c r="I2364" s="34"/>
    </row>
    <row r="2365" spans="1:9" x14ac:dyDescent="0.25">
      <c r="A2365" s="54" t="s">
        <v>579</v>
      </c>
      <c r="B2365" s="43" t="s">
        <v>638</v>
      </c>
      <c r="C2365" s="37" t="s">
        <v>1984</v>
      </c>
      <c r="D2365" s="37"/>
      <c r="E2365" s="37" t="s">
        <v>1974</v>
      </c>
      <c r="F2365" s="37" t="b">
        <v>0</v>
      </c>
      <c r="G2365" s="37">
        <v>200</v>
      </c>
      <c r="H2365" s="37" t="b">
        <v>1</v>
      </c>
    </row>
    <row r="2366" spans="1:9" x14ac:dyDescent="0.25">
      <c r="A2366" s="54" t="s">
        <v>579</v>
      </c>
      <c r="B2366" s="31" t="s">
        <v>647</v>
      </c>
      <c r="C2366" s="28" t="s">
        <v>1985</v>
      </c>
      <c r="D2366" s="28"/>
      <c r="E2366" s="28" t="s">
        <v>1974</v>
      </c>
      <c r="F2366" s="28" t="b">
        <v>0</v>
      </c>
      <c r="G2366" s="28">
        <v>200</v>
      </c>
      <c r="H2366" s="28" t="b">
        <v>1</v>
      </c>
      <c r="I2366" s="34"/>
    </row>
    <row r="2367" spans="1:9" ht="30" x14ac:dyDescent="0.25">
      <c r="A2367" s="54" t="s">
        <v>579</v>
      </c>
      <c r="B2367" s="43" t="s">
        <v>503</v>
      </c>
      <c r="C2367" s="37" t="s">
        <v>1986</v>
      </c>
      <c r="D2367" s="37"/>
      <c r="E2367" s="37" t="s">
        <v>1974</v>
      </c>
      <c r="F2367" s="37" t="b">
        <v>0</v>
      </c>
      <c r="G2367" s="37">
        <v>200</v>
      </c>
      <c r="H2367" s="37" t="b">
        <v>1</v>
      </c>
    </row>
    <row r="2368" spans="1:9" x14ac:dyDescent="0.25">
      <c r="A2368" s="54" t="s">
        <v>579</v>
      </c>
      <c r="B2368" s="31" t="s">
        <v>608</v>
      </c>
      <c r="C2368" s="28" t="s">
        <v>1987</v>
      </c>
      <c r="D2368" s="28"/>
      <c r="E2368" s="28" t="s">
        <v>1974</v>
      </c>
      <c r="F2368" s="28" t="b">
        <v>0</v>
      </c>
      <c r="G2368" s="28">
        <v>200</v>
      </c>
      <c r="H2368" s="28" t="b">
        <v>1</v>
      </c>
      <c r="I2368" s="34"/>
    </row>
    <row r="2369" spans="1:9" x14ac:dyDescent="0.25">
      <c r="A2369" s="54" t="s">
        <v>579</v>
      </c>
      <c r="B2369" s="43" t="s">
        <v>2025</v>
      </c>
      <c r="C2369" s="37"/>
      <c r="D2369" s="37"/>
      <c r="E2369" s="37" t="s">
        <v>2012</v>
      </c>
      <c r="F2369" s="37" t="b">
        <v>0</v>
      </c>
      <c r="G2369" s="37"/>
      <c r="H2369" s="37" t="b">
        <v>1</v>
      </c>
    </row>
    <row r="2370" spans="1:9" x14ac:dyDescent="0.25">
      <c r="A2370" s="54" t="s">
        <v>579</v>
      </c>
      <c r="B2370" s="31" t="s">
        <v>127</v>
      </c>
      <c r="C2370" s="28" t="s">
        <v>1975</v>
      </c>
      <c r="D2370" s="28"/>
      <c r="E2370" s="28" t="s">
        <v>1974</v>
      </c>
      <c r="F2370" s="28" t="b">
        <v>0</v>
      </c>
      <c r="G2370" s="28">
        <v>200</v>
      </c>
      <c r="H2370" s="28" t="b">
        <v>1</v>
      </c>
      <c r="I2370" s="34"/>
    </row>
    <row r="2371" spans="1:9" x14ac:dyDescent="0.25">
      <c r="A2371" s="54" t="s">
        <v>579</v>
      </c>
      <c r="B2371" s="43" t="s">
        <v>135</v>
      </c>
      <c r="C2371" s="37" t="s">
        <v>1976</v>
      </c>
      <c r="D2371" s="37"/>
      <c r="E2371" s="37" t="s">
        <v>1974</v>
      </c>
      <c r="F2371" s="37" t="b">
        <v>0</v>
      </c>
      <c r="G2371" s="37">
        <v>200</v>
      </c>
      <c r="H2371" s="37" t="b">
        <v>1</v>
      </c>
    </row>
    <row r="2372" spans="1:9" x14ac:dyDescent="0.25">
      <c r="A2372" s="54" t="s">
        <v>579</v>
      </c>
      <c r="B2372" s="31" t="s">
        <v>655</v>
      </c>
      <c r="C2372" s="28" t="s">
        <v>1977</v>
      </c>
      <c r="D2372" s="28"/>
      <c r="E2372" s="28" t="s">
        <v>1974</v>
      </c>
      <c r="F2372" s="28" t="b">
        <v>0</v>
      </c>
      <c r="G2372" s="28">
        <v>200</v>
      </c>
      <c r="H2372" s="28" t="b">
        <v>1</v>
      </c>
      <c r="I2372" s="34"/>
    </row>
    <row r="2373" spans="1:9" x14ac:dyDescent="0.25">
      <c r="A2373" s="54" t="s">
        <v>579</v>
      </c>
      <c r="B2373" s="43" t="s">
        <v>635</v>
      </c>
      <c r="C2373" s="37" t="s">
        <v>1978</v>
      </c>
      <c r="D2373" s="37"/>
      <c r="E2373" s="37" t="s">
        <v>1974</v>
      </c>
      <c r="F2373" s="37" t="b">
        <v>0</v>
      </c>
      <c r="G2373" s="37">
        <v>200</v>
      </c>
      <c r="H2373" s="37" t="b">
        <v>1</v>
      </c>
    </row>
    <row r="2374" spans="1:9" ht="30" x14ac:dyDescent="0.25">
      <c r="A2374" s="54" t="s">
        <v>579</v>
      </c>
      <c r="B2374" s="31" t="s">
        <v>144</v>
      </c>
      <c r="C2374" s="28" t="s">
        <v>1979</v>
      </c>
      <c r="D2374" s="28"/>
      <c r="E2374" s="28" t="s">
        <v>1974</v>
      </c>
      <c r="F2374" s="28" t="b">
        <v>0</v>
      </c>
      <c r="G2374" s="28">
        <v>200</v>
      </c>
      <c r="H2374" s="28" t="b">
        <v>1</v>
      </c>
      <c r="I2374" s="34"/>
    </row>
    <row r="2375" spans="1:9" x14ac:dyDescent="0.25">
      <c r="A2375" s="54" t="s">
        <v>579</v>
      </c>
      <c r="B2375" s="43" t="s">
        <v>618</v>
      </c>
      <c r="C2375" s="37" t="s">
        <v>1980</v>
      </c>
      <c r="D2375" s="37"/>
      <c r="E2375" s="37" t="s">
        <v>1974</v>
      </c>
      <c r="F2375" s="37" t="b">
        <v>0</v>
      </c>
      <c r="G2375" s="37">
        <v>200</v>
      </c>
      <c r="H2375" s="37" t="b">
        <v>1</v>
      </c>
    </row>
    <row r="2376" spans="1:9" ht="30" x14ac:dyDescent="0.25">
      <c r="A2376" s="54" t="s">
        <v>579</v>
      </c>
      <c r="B2376" s="31" t="s">
        <v>585</v>
      </c>
      <c r="C2376" s="28" t="s">
        <v>1981</v>
      </c>
      <c r="D2376" s="28"/>
      <c r="E2376" s="28" t="s">
        <v>1974</v>
      </c>
      <c r="F2376" s="28" t="b">
        <v>0</v>
      </c>
      <c r="G2376" s="28">
        <v>200</v>
      </c>
      <c r="H2376" s="28" t="b">
        <v>1</v>
      </c>
      <c r="I2376" s="34"/>
    </row>
    <row r="2377" spans="1:9" ht="30" x14ac:dyDescent="0.25">
      <c r="A2377" s="54" t="s">
        <v>579</v>
      </c>
      <c r="B2377" s="43" t="s">
        <v>582</v>
      </c>
      <c r="C2377" s="37" t="s">
        <v>1982</v>
      </c>
      <c r="D2377" s="37"/>
      <c r="E2377" s="37" t="s">
        <v>1974</v>
      </c>
      <c r="F2377" s="37" t="b">
        <v>0</v>
      </c>
      <c r="G2377" s="37">
        <v>200</v>
      </c>
      <c r="H2377" s="37" t="b">
        <v>1</v>
      </c>
    </row>
    <row r="2378" spans="1:9" x14ac:dyDescent="0.25">
      <c r="A2378" s="54" t="s">
        <v>579</v>
      </c>
      <c r="B2378" s="31" t="s">
        <v>638</v>
      </c>
      <c r="C2378" s="28" t="s">
        <v>1983</v>
      </c>
      <c r="D2378" s="28"/>
      <c r="E2378" s="28" t="s">
        <v>1974</v>
      </c>
      <c r="F2378" s="28" t="b">
        <v>0</v>
      </c>
      <c r="G2378" s="28">
        <v>200</v>
      </c>
      <c r="H2378" s="28" t="b">
        <v>1</v>
      </c>
      <c r="I2378" s="34"/>
    </row>
    <row r="2379" spans="1:9" x14ac:dyDescent="0.25">
      <c r="A2379" s="54" t="s">
        <v>579</v>
      </c>
      <c r="B2379" s="43" t="s">
        <v>638</v>
      </c>
      <c r="C2379" s="37" t="s">
        <v>1984</v>
      </c>
      <c r="D2379" s="37"/>
      <c r="E2379" s="37" t="s">
        <v>1974</v>
      </c>
      <c r="F2379" s="37" t="b">
        <v>0</v>
      </c>
      <c r="G2379" s="37">
        <v>200</v>
      </c>
      <c r="H2379" s="37" t="b">
        <v>1</v>
      </c>
    </row>
    <row r="2380" spans="1:9" x14ac:dyDescent="0.25">
      <c r="A2380" s="54" t="s">
        <v>579</v>
      </c>
      <c r="B2380" s="31" t="s">
        <v>647</v>
      </c>
      <c r="C2380" s="28" t="s">
        <v>1985</v>
      </c>
      <c r="D2380" s="28"/>
      <c r="E2380" s="28" t="s">
        <v>1974</v>
      </c>
      <c r="F2380" s="28" t="b">
        <v>0</v>
      </c>
      <c r="G2380" s="28">
        <v>200</v>
      </c>
      <c r="H2380" s="28" t="b">
        <v>1</v>
      </c>
      <c r="I2380" s="34"/>
    </row>
    <row r="2381" spans="1:9" ht="30" x14ac:dyDescent="0.25">
      <c r="A2381" s="54" t="s">
        <v>579</v>
      </c>
      <c r="B2381" s="43" t="s">
        <v>503</v>
      </c>
      <c r="C2381" s="37" t="s">
        <v>1986</v>
      </c>
      <c r="D2381" s="37"/>
      <c r="E2381" s="37" t="s">
        <v>1974</v>
      </c>
      <c r="F2381" s="37" t="b">
        <v>0</v>
      </c>
      <c r="G2381" s="37">
        <v>200</v>
      </c>
      <c r="H2381" s="37" t="b">
        <v>1</v>
      </c>
    </row>
    <row r="2382" spans="1:9" x14ac:dyDescent="0.25">
      <c r="A2382" s="54" t="s">
        <v>579</v>
      </c>
      <c r="B2382" s="31" t="s">
        <v>608</v>
      </c>
      <c r="C2382" s="28" t="s">
        <v>1987</v>
      </c>
      <c r="D2382" s="28"/>
      <c r="E2382" s="28" t="s">
        <v>1974</v>
      </c>
      <c r="F2382" s="28" t="b">
        <v>0</v>
      </c>
      <c r="G2382" s="28">
        <v>200</v>
      </c>
      <c r="H2382" s="28" t="b">
        <v>1</v>
      </c>
      <c r="I2382" s="34"/>
    </row>
    <row r="2383" spans="1:9" x14ac:dyDescent="0.25">
      <c r="A2383" s="54" t="s">
        <v>579</v>
      </c>
      <c r="B2383" s="43" t="s">
        <v>127</v>
      </c>
      <c r="C2383" s="37" t="s">
        <v>1975</v>
      </c>
      <c r="D2383" s="37"/>
      <c r="E2383" s="37" t="s">
        <v>1974</v>
      </c>
      <c r="F2383" s="37" t="b">
        <v>0</v>
      </c>
      <c r="G2383" s="37">
        <v>200</v>
      </c>
      <c r="H2383" s="37" t="b">
        <v>1</v>
      </c>
    </row>
    <row r="2384" spans="1:9" x14ac:dyDescent="0.25">
      <c r="A2384" s="54" t="s">
        <v>579</v>
      </c>
      <c r="B2384" s="31" t="s">
        <v>135</v>
      </c>
      <c r="C2384" s="28" t="s">
        <v>1976</v>
      </c>
      <c r="D2384" s="28"/>
      <c r="E2384" s="28" t="s">
        <v>1974</v>
      </c>
      <c r="F2384" s="28" t="b">
        <v>0</v>
      </c>
      <c r="G2384" s="28">
        <v>200</v>
      </c>
      <c r="H2384" s="28" t="b">
        <v>1</v>
      </c>
      <c r="I2384" s="34"/>
    </row>
    <row r="2385" spans="1:9" x14ac:dyDescent="0.25">
      <c r="A2385" s="54" t="s">
        <v>579</v>
      </c>
      <c r="B2385" s="43" t="s">
        <v>655</v>
      </c>
      <c r="C2385" s="37" t="s">
        <v>1977</v>
      </c>
      <c r="D2385" s="37"/>
      <c r="E2385" s="37" t="s">
        <v>1974</v>
      </c>
      <c r="F2385" s="37" t="b">
        <v>0</v>
      </c>
      <c r="G2385" s="37">
        <v>200</v>
      </c>
      <c r="H2385" s="37" t="b">
        <v>1</v>
      </c>
    </row>
    <row r="2386" spans="1:9" x14ac:dyDescent="0.25">
      <c r="A2386" s="54" t="s">
        <v>579</v>
      </c>
      <c r="B2386" s="31" t="s">
        <v>635</v>
      </c>
      <c r="C2386" s="28" t="s">
        <v>1978</v>
      </c>
      <c r="D2386" s="28"/>
      <c r="E2386" s="28" t="s">
        <v>1974</v>
      </c>
      <c r="F2386" s="28" t="b">
        <v>0</v>
      </c>
      <c r="G2386" s="28">
        <v>200</v>
      </c>
      <c r="H2386" s="28" t="b">
        <v>1</v>
      </c>
      <c r="I2386" s="34"/>
    </row>
    <row r="2387" spans="1:9" ht="30" x14ac:dyDescent="0.25">
      <c r="A2387" s="54" t="s">
        <v>579</v>
      </c>
      <c r="B2387" s="43" t="s">
        <v>144</v>
      </c>
      <c r="C2387" s="37" t="s">
        <v>1979</v>
      </c>
      <c r="D2387" s="37"/>
      <c r="E2387" s="37" t="s">
        <v>1974</v>
      </c>
      <c r="F2387" s="37" t="b">
        <v>0</v>
      </c>
      <c r="G2387" s="37">
        <v>200</v>
      </c>
      <c r="H2387" s="37" t="b">
        <v>1</v>
      </c>
    </row>
    <row r="2388" spans="1:9" x14ac:dyDescent="0.25">
      <c r="A2388" s="54" t="s">
        <v>579</v>
      </c>
      <c r="B2388" s="31" t="s">
        <v>618</v>
      </c>
      <c r="C2388" s="28" t="s">
        <v>1980</v>
      </c>
      <c r="D2388" s="28"/>
      <c r="E2388" s="28" t="s">
        <v>1974</v>
      </c>
      <c r="F2388" s="28" t="b">
        <v>0</v>
      </c>
      <c r="G2388" s="28">
        <v>200</v>
      </c>
      <c r="H2388" s="28" t="b">
        <v>1</v>
      </c>
      <c r="I2388" s="34"/>
    </row>
    <row r="2389" spans="1:9" ht="30" x14ac:dyDescent="0.25">
      <c r="A2389" s="54" t="s">
        <v>579</v>
      </c>
      <c r="B2389" s="43" t="s">
        <v>585</v>
      </c>
      <c r="C2389" s="37" t="s">
        <v>1981</v>
      </c>
      <c r="D2389" s="37"/>
      <c r="E2389" s="37" t="s">
        <v>1974</v>
      </c>
      <c r="F2389" s="37" t="b">
        <v>0</v>
      </c>
      <c r="G2389" s="37">
        <v>200</v>
      </c>
      <c r="H2389" s="37" t="b">
        <v>1</v>
      </c>
    </row>
    <row r="2390" spans="1:9" ht="30" x14ac:dyDescent="0.25">
      <c r="A2390" s="54" t="s">
        <v>579</v>
      </c>
      <c r="B2390" s="31" t="s">
        <v>582</v>
      </c>
      <c r="C2390" s="28" t="s">
        <v>1982</v>
      </c>
      <c r="D2390" s="28"/>
      <c r="E2390" s="28" t="s">
        <v>1974</v>
      </c>
      <c r="F2390" s="28" t="b">
        <v>0</v>
      </c>
      <c r="G2390" s="28">
        <v>200</v>
      </c>
      <c r="H2390" s="28" t="b">
        <v>1</v>
      </c>
      <c r="I2390" s="34"/>
    </row>
    <row r="2391" spans="1:9" x14ac:dyDescent="0.25">
      <c r="A2391" s="54" t="s">
        <v>579</v>
      </c>
      <c r="B2391" s="43" t="s">
        <v>638</v>
      </c>
      <c r="C2391" s="37" t="s">
        <v>1983</v>
      </c>
      <c r="D2391" s="37"/>
      <c r="E2391" s="37" t="s">
        <v>1974</v>
      </c>
      <c r="F2391" s="37" t="b">
        <v>0</v>
      </c>
      <c r="G2391" s="37">
        <v>200</v>
      </c>
      <c r="H2391" s="37" t="b">
        <v>1</v>
      </c>
    </row>
    <row r="2392" spans="1:9" x14ac:dyDescent="0.25">
      <c r="A2392" s="54" t="s">
        <v>579</v>
      </c>
      <c r="B2392" s="31" t="s">
        <v>638</v>
      </c>
      <c r="C2392" s="28" t="s">
        <v>1984</v>
      </c>
      <c r="D2392" s="28"/>
      <c r="E2392" s="28" t="s">
        <v>1974</v>
      </c>
      <c r="F2392" s="28" t="b">
        <v>0</v>
      </c>
      <c r="G2392" s="28">
        <v>200</v>
      </c>
      <c r="H2392" s="28" t="b">
        <v>1</v>
      </c>
      <c r="I2392" s="34"/>
    </row>
    <row r="2393" spans="1:9" x14ac:dyDescent="0.25">
      <c r="A2393" s="54" t="s">
        <v>579</v>
      </c>
      <c r="B2393" s="43" t="s">
        <v>647</v>
      </c>
      <c r="C2393" s="37" t="s">
        <v>1985</v>
      </c>
      <c r="D2393" s="37"/>
      <c r="E2393" s="37" t="s">
        <v>1974</v>
      </c>
      <c r="F2393" s="37" t="b">
        <v>0</v>
      </c>
      <c r="G2393" s="37">
        <v>200</v>
      </c>
      <c r="H2393" s="37" t="b">
        <v>1</v>
      </c>
    </row>
    <row r="2394" spans="1:9" ht="30" x14ac:dyDescent="0.25">
      <c r="A2394" s="54" t="s">
        <v>579</v>
      </c>
      <c r="B2394" s="31" t="s">
        <v>503</v>
      </c>
      <c r="C2394" s="28" t="s">
        <v>1986</v>
      </c>
      <c r="D2394" s="28"/>
      <c r="E2394" s="28" t="s">
        <v>1974</v>
      </c>
      <c r="F2394" s="28" t="b">
        <v>0</v>
      </c>
      <c r="G2394" s="28">
        <v>200</v>
      </c>
      <c r="H2394" s="28" t="b">
        <v>1</v>
      </c>
      <c r="I2394" s="34"/>
    </row>
    <row r="2395" spans="1:9" x14ac:dyDescent="0.25">
      <c r="A2395" s="54" t="s">
        <v>579</v>
      </c>
      <c r="B2395" s="43" t="s">
        <v>608</v>
      </c>
      <c r="C2395" s="37" t="s">
        <v>1987</v>
      </c>
      <c r="D2395" s="37"/>
      <c r="E2395" s="37" t="s">
        <v>1974</v>
      </c>
      <c r="F2395" s="37" t="b">
        <v>0</v>
      </c>
      <c r="G2395" s="37">
        <v>200</v>
      </c>
      <c r="H2395" s="37" t="b">
        <v>1</v>
      </c>
    </row>
    <row r="2396" spans="1:9" ht="30" x14ac:dyDescent="0.25">
      <c r="A2396" s="54" t="s">
        <v>579</v>
      </c>
      <c r="B2396" s="31" t="s">
        <v>2874</v>
      </c>
      <c r="C2396" s="28" t="s">
        <v>2875</v>
      </c>
      <c r="D2396" s="28"/>
      <c r="E2396" s="28" t="s">
        <v>1974</v>
      </c>
      <c r="F2396" s="28" t="b">
        <v>0</v>
      </c>
      <c r="G2396" s="28">
        <v>200</v>
      </c>
      <c r="H2396" s="28" t="b">
        <v>1</v>
      </c>
      <c r="I2396" s="34"/>
    </row>
    <row r="2397" spans="1:9" ht="30" x14ac:dyDescent="0.25">
      <c r="A2397" s="54" t="s">
        <v>579</v>
      </c>
      <c r="B2397" s="43" t="s">
        <v>2874</v>
      </c>
      <c r="C2397" s="37" t="s">
        <v>2876</v>
      </c>
      <c r="D2397" s="37"/>
      <c r="E2397" s="37" t="s">
        <v>1974</v>
      </c>
      <c r="F2397" s="37" t="b">
        <v>0</v>
      </c>
      <c r="G2397" s="37">
        <v>200</v>
      </c>
      <c r="H2397" s="37" t="b">
        <v>1</v>
      </c>
    </row>
    <row r="2398" spans="1:9" ht="30" x14ac:dyDescent="0.25">
      <c r="A2398" s="54" t="s">
        <v>579</v>
      </c>
      <c r="B2398" s="31" t="s">
        <v>2874</v>
      </c>
      <c r="C2398" s="28" t="s">
        <v>2877</v>
      </c>
      <c r="D2398" s="28"/>
      <c r="E2398" s="28" t="s">
        <v>1974</v>
      </c>
      <c r="F2398" s="28" t="b">
        <v>0</v>
      </c>
      <c r="G2398" s="28">
        <v>200</v>
      </c>
      <c r="H2398" s="28" t="b">
        <v>1</v>
      </c>
      <c r="I2398" s="34"/>
    </row>
    <row r="2399" spans="1:9" x14ac:dyDescent="0.25">
      <c r="A2399" s="54" t="s">
        <v>579</v>
      </c>
      <c r="B2399" s="43" t="s">
        <v>647</v>
      </c>
      <c r="C2399" s="37" t="s">
        <v>2010</v>
      </c>
      <c r="D2399" s="37"/>
      <c r="E2399" s="37" t="s">
        <v>1974</v>
      </c>
      <c r="F2399" s="37" t="b">
        <v>0</v>
      </c>
      <c r="G2399" s="37">
        <v>200</v>
      </c>
      <c r="H2399" s="37" t="b">
        <v>1</v>
      </c>
    </row>
    <row r="2400" spans="1:9" ht="30" x14ac:dyDescent="0.25">
      <c r="A2400" s="54" t="s">
        <v>579</v>
      </c>
      <c r="B2400" s="31" t="s">
        <v>2011</v>
      </c>
      <c r="C2400" s="28"/>
      <c r="D2400" s="28"/>
      <c r="E2400" s="28" t="s">
        <v>2012</v>
      </c>
      <c r="F2400" s="28" t="b">
        <v>0</v>
      </c>
      <c r="G2400" s="28"/>
      <c r="H2400" s="28" t="b">
        <v>1</v>
      </c>
      <c r="I2400" s="34"/>
    </row>
    <row r="2401" spans="1:9" ht="30" x14ac:dyDescent="0.25">
      <c r="A2401" s="54" t="s">
        <v>579</v>
      </c>
      <c r="B2401" s="43" t="s">
        <v>2013</v>
      </c>
      <c r="C2401" s="37"/>
      <c r="D2401" s="37"/>
      <c r="E2401" s="37" t="s">
        <v>2012</v>
      </c>
      <c r="F2401" s="37" t="b">
        <v>0</v>
      </c>
      <c r="G2401" s="37"/>
      <c r="H2401" s="37" t="b">
        <v>1</v>
      </c>
    </row>
    <row r="2402" spans="1:9" x14ac:dyDescent="0.25">
      <c r="A2402" s="54" t="s">
        <v>579</v>
      </c>
      <c r="B2402" s="31" t="s">
        <v>2033</v>
      </c>
      <c r="C2402" s="28"/>
      <c r="D2402" s="28"/>
      <c r="E2402" s="28" t="s">
        <v>2012</v>
      </c>
      <c r="F2402" s="28" t="b">
        <v>0</v>
      </c>
      <c r="G2402" s="28"/>
      <c r="H2402" s="28" t="b">
        <v>1</v>
      </c>
      <c r="I2402" s="34"/>
    </row>
    <row r="2403" spans="1:9" x14ac:dyDescent="0.25">
      <c r="A2403" s="54" t="s">
        <v>579</v>
      </c>
      <c r="B2403" s="43" t="s">
        <v>641</v>
      </c>
      <c r="C2403" s="37" t="s">
        <v>2034</v>
      </c>
      <c r="D2403" s="37"/>
      <c r="E2403" s="37" t="s">
        <v>1974</v>
      </c>
      <c r="F2403" s="37" t="b">
        <v>0</v>
      </c>
      <c r="G2403" s="37">
        <v>200</v>
      </c>
      <c r="H2403" s="37" t="b">
        <v>1</v>
      </c>
    </row>
    <row r="2404" spans="1:9" x14ac:dyDescent="0.25">
      <c r="A2404" s="54" t="s">
        <v>579</v>
      </c>
      <c r="B2404" s="31" t="s">
        <v>647</v>
      </c>
      <c r="C2404" s="28" t="s">
        <v>2010</v>
      </c>
      <c r="D2404" s="28"/>
      <c r="E2404" s="28" t="s">
        <v>1974</v>
      </c>
      <c r="F2404" s="28" t="b">
        <v>0</v>
      </c>
      <c r="G2404" s="28">
        <v>200</v>
      </c>
      <c r="H2404" s="28" t="b">
        <v>1</v>
      </c>
      <c r="I2404" s="34"/>
    </row>
    <row r="2405" spans="1:9" ht="30" x14ac:dyDescent="0.25">
      <c r="A2405" s="54" t="s">
        <v>579</v>
      </c>
      <c r="B2405" s="43" t="s">
        <v>2011</v>
      </c>
      <c r="C2405" s="37"/>
      <c r="D2405" s="37"/>
      <c r="E2405" s="37" t="s">
        <v>2012</v>
      </c>
      <c r="F2405" s="37" t="b">
        <v>0</v>
      </c>
      <c r="G2405" s="37"/>
      <c r="H2405" s="37" t="b">
        <v>1</v>
      </c>
    </row>
    <row r="2406" spans="1:9" ht="30" x14ac:dyDescent="0.25">
      <c r="A2406" s="54" t="s">
        <v>579</v>
      </c>
      <c r="B2406" s="31" t="s">
        <v>2013</v>
      </c>
      <c r="C2406" s="28"/>
      <c r="D2406" s="28"/>
      <c r="E2406" s="28" t="s">
        <v>2012</v>
      </c>
      <c r="F2406" s="28" t="b">
        <v>0</v>
      </c>
      <c r="G2406" s="28"/>
      <c r="H2406" s="28" t="b">
        <v>1</v>
      </c>
      <c r="I2406" s="34"/>
    </row>
    <row r="2407" spans="1:9" x14ac:dyDescent="0.25">
      <c r="A2407" s="54" t="s">
        <v>579</v>
      </c>
      <c r="B2407" s="43" t="s">
        <v>641</v>
      </c>
      <c r="C2407" s="37" t="s">
        <v>2014</v>
      </c>
      <c r="D2407" s="37"/>
      <c r="E2407" s="37" t="s">
        <v>1974</v>
      </c>
      <c r="F2407" s="37" t="b">
        <v>0</v>
      </c>
      <c r="G2407" s="37">
        <v>200</v>
      </c>
      <c r="H2407" s="37" t="b">
        <v>1</v>
      </c>
    </row>
    <row r="2408" spans="1:9" ht="30" x14ac:dyDescent="0.25">
      <c r="A2408" s="54" t="s">
        <v>579</v>
      </c>
      <c r="B2408" s="31" t="s">
        <v>2015</v>
      </c>
      <c r="C2408" s="28" t="s">
        <v>2016</v>
      </c>
      <c r="D2408" s="28"/>
      <c r="E2408" s="28" t="s">
        <v>1974</v>
      </c>
      <c r="F2408" s="28" t="b">
        <v>0</v>
      </c>
      <c r="G2408" s="28">
        <v>404</v>
      </c>
      <c r="H2408" s="28" t="b">
        <v>0</v>
      </c>
      <c r="I2408" s="34"/>
    </row>
    <row r="2409" spans="1:9" ht="30" x14ac:dyDescent="0.25">
      <c r="A2409" s="54" t="s">
        <v>579</v>
      </c>
      <c r="B2409" s="43" t="s">
        <v>2015</v>
      </c>
      <c r="C2409" s="37" t="s">
        <v>2017</v>
      </c>
      <c r="D2409" s="37"/>
      <c r="E2409" s="37" t="s">
        <v>1974</v>
      </c>
      <c r="F2409" s="37" t="b">
        <v>0</v>
      </c>
      <c r="G2409" s="37">
        <v>404</v>
      </c>
      <c r="H2409" s="37" t="b">
        <v>0</v>
      </c>
    </row>
    <row r="2410" spans="1:9" x14ac:dyDescent="0.25">
      <c r="A2410" s="54" t="s">
        <v>573</v>
      </c>
      <c r="B2410" s="31" t="s">
        <v>127</v>
      </c>
      <c r="C2410" s="28"/>
      <c r="D2410" s="28"/>
      <c r="E2410" s="28" t="s">
        <v>1974</v>
      </c>
      <c r="F2410" s="28" t="b">
        <v>0</v>
      </c>
      <c r="G2410" s="28">
        <v>200</v>
      </c>
      <c r="H2410" s="28" t="b">
        <v>1</v>
      </c>
      <c r="I2410" s="34"/>
    </row>
    <row r="2411" spans="1:9" x14ac:dyDescent="0.25">
      <c r="A2411" s="54" t="s">
        <v>573</v>
      </c>
      <c r="B2411" s="43" t="s">
        <v>127</v>
      </c>
      <c r="C2411" s="37" t="s">
        <v>1975</v>
      </c>
      <c r="D2411" s="37"/>
      <c r="E2411" s="37" t="s">
        <v>1974</v>
      </c>
      <c r="F2411" s="37" t="b">
        <v>0</v>
      </c>
      <c r="G2411" s="37">
        <v>200</v>
      </c>
      <c r="H2411" s="37" t="b">
        <v>1</v>
      </c>
    </row>
    <row r="2412" spans="1:9" x14ac:dyDescent="0.25">
      <c r="A2412" s="54" t="s">
        <v>573</v>
      </c>
      <c r="B2412" s="31" t="s">
        <v>135</v>
      </c>
      <c r="C2412" s="28" t="s">
        <v>1976</v>
      </c>
      <c r="D2412" s="28"/>
      <c r="E2412" s="28" t="s">
        <v>1974</v>
      </c>
      <c r="F2412" s="28" t="b">
        <v>0</v>
      </c>
      <c r="G2412" s="28">
        <v>200</v>
      </c>
      <c r="H2412" s="28" t="b">
        <v>1</v>
      </c>
      <c r="I2412" s="34"/>
    </row>
    <row r="2413" spans="1:9" x14ac:dyDescent="0.25">
      <c r="A2413" s="54" t="s">
        <v>573</v>
      </c>
      <c r="B2413" s="43" t="s">
        <v>655</v>
      </c>
      <c r="C2413" s="37" t="s">
        <v>1977</v>
      </c>
      <c r="D2413" s="37"/>
      <c r="E2413" s="37" t="s">
        <v>1974</v>
      </c>
      <c r="F2413" s="37" t="b">
        <v>0</v>
      </c>
      <c r="G2413" s="37">
        <v>200</v>
      </c>
      <c r="H2413" s="37" t="b">
        <v>1</v>
      </c>
    </row>
    <row r="2414" spans="1:9" x14ac:dyDescent="0.25">
      <c r="A2414" s="54" t="s">
        <v>573</v>
      </c>
      <c r="B2414" s="31" t="s">
        <v>635</v>
      </c>
      <c r="C2414" s="28" t="s">
        <v>1978</v>
      </c>
      <c r="D2414" s="28"/>
      <c r="E2414" s="28" t="s">
        <v>1974</v>
      </c>
      <c r="F2414" s="28" t="b">
        <v>0</v>
      </c>
      <c r="G2414" s="28">
        <v>200</v>
      </c>
      <c r="H2414" s="28" t="b">
        <v>1</v>
      </c>
      <c r="I2414" s="34"/>
    </row>
    <row r="2415" spans="1:9" ht="30" x14ac:dyDescent="0.25">
      <c r="A2415" s="54" t="s">
        <v>573</v>
      </c>
      <c r="B2415" s="43" t="s">
        <v>144</v>
      </c>
      <c r="C2415" s="37" t="s">
        <v>1979</v>
      </c>
      <c r="D2415" s="37"/>
      <c r="E2415" s="37" t="s">
        <v>1974</v>
      </c>
      <c r="F2415" s="37" t="b">
        <v>0</v>
      </c>
      <c r="G2415" s="37">
        <v>200</v>
      </c>
      <c r="H2415" s="37" t="b">
        <v>1</v>
      </c>
    </row>
    <row r="2416" spans="1:9" x14ac:dyDescent="0.25">
      <c r="A2416" s="54" t="s">
        <v>573</v>
      </c>
      <c r="B2416" s="31" t="s">
        <v>618</v>
      </c>
      <c r="C2416" s="28" t="s">
        <v>1980</v>
      </c>
      <c r="D2416" s="28"/>
      <c r="E2416" s="28" t="s">
        <v>1974</v>
      </c>
      <c r="F2416" s="28" t="b">
        <v>0</v>
      </c>
      <c r="G2416" s="28">
        <v>200</v>
      </c>
      <c r="H2416" s="28" t="b">
        <v>1</v>
      </c>
      <c r="I2416" s="34"/>
    </row>
    <row r="2417" spans="1:9" ht="30" x14ac:dyDescent="0.25">
      <c r="A2417" s="54" t="s">
        <v>573</v>
      </c>
      <c r="B2417" s="43" t="s">
        <v>585</v>
      </c>
      <c r="C2417" s="37" t="s">
        <v>1981</v>
      </c>
      <c r="D2417" s="37"/>
      <c r="E2417" s="37" t="s">
        <v>1974</v>
      </c>
      <c r="F2417" s="37" t="b">
        <v>0</v>
      </c>
      <c r="G2417" s="37">
        <v>200</v>
      </c>
      <c r="H2417" s="37" t="b">
        <v>1</v>
      </c>
    </row>
    <row r="2418" spans="1:9" ht="30" x14ac:dyDescent="0.25">
      <c r="A2418" s="54" t="s">
        <v>573</v>
      </c>
      <c r="B2418" s="31" t="s">
        <v>582</v>
      </c>
      <c r="C2418" s="28" t="s">
        <v>1982</v>
      </c>
      <c r="D2418" s="28"/>
      <c r="E2418" s="28" t="s">
        <v>1974</v>
      </c>
      <c r="F2418" s="28" t="b">
        <v>0</v>
      </c>
      <c r="G2418" s="28">
        <v>200</v>
      </c>
      <c r="H2418" s="28" t="b">
        <v>1</v>
      </c>
      <c r="I2418" s="34"/>
    </row>
    <row r="2419" spans="1:9" x14ac:dyDescent="0.25">
      <c r="A2419" s="54" t="s">
        <v>573</v>
      </c>
      <c r="B2419" s="43" t="s">
        <v>638</v>
      </c>
      <c r="C2419" s="37" t="s">
        <v>1983</v>
      </c>
      <c r="D2419" s="37"/>
      <c r="E2419" s="37" t="s">
        <v>1974</v>
      </c>
      <c r="F2419" s="37" t="b">
        <v>0</v>
      </c>
      <c r="G2419" s="37">
        <v>200</v>
      </c>
      <c r="H2419" s="37" t="b">
        <v>1</v>
      </c>
    </row>
    <row r="2420" spans="1:9" x14ac:dyDescent="0.25">
      <c r="A2420" s="54" t="s">
        <v>573</v>
      </c>
      <c r="B2420" s="31" t="s">
        <v>638</v>
      </c>
      <c r="C2420" s="28" t="s">
        <v>1984</v>
      </c>
      <c r="D2420" s="28"/>
      <c r="E2420" s="28" t="s">
        <v>1974</v>
      </c>
      <c r="F2420" s="28" t="b">
        <v>0</v>
      </c>
      <c r="G2420" s="28">
        <v>200</v>
      </c>
      <c r="H2420" s="28" t="b">
        <v>1</v>
      </c>
      <c r="I2420" s="34"/>
    </row>
    <row r="2421" spans="1:9" x14ac:dyDescent="0.25">
      <c r="A2421" s="54" t="s">
        <v>573</v>
      </c>
      <c r="B2421" s="43" t="s">
        <v>647</v>
      </c>
      <c r="C2421" s="37" t="s">
        <v>1985</v>
      </c>
      <c r="D2421" s="37"/>
      <c r="E2421" s="37" t="s">
        <v>1974</v>
      </c>
      <c r="F2421" s="37" t="b">
        <v>0</v>
      </c>
      <c r="G2421" s="37">
        <v>200</v>
      </c>
      <c r="H2421" s="37" t="b">
        <v>1</v>
      </c>
    </row>
    <row r="2422" spans="1:9" ht="30" x14ac:dyDescent="0.25">
      <c r="A2422" s="54" t="s">
        <v>573</v>
      </c>
      <c r="B2422" s="31" t="s">
        <v>503</v>
      </c>
      <c r="C2422" s="28" t="s">
        <v>1986</v>
      </c>
      <c r="D2422" s="28"/>
      <c r="E2422" s="28" t="s">
        <v>1974</v>
      </c>
      <c r="F2422" s="28" t="b">
        <v>0</v>
      </c>
      <c r="G2422" s="28">
        <v>200</v>
      </c>
      <c r="H2422" s="28" t="b">
        <v>1</v>
      </c>
      <c r="I2422" s="34"/>
    </row>
    <row r="2423" spans="1:9" x14ac:dyDescent="0.25">
      <c r="A2423" s="54" t="s">
        <v>573</v>
      </c>
      <c r="B2423" s="43" t="s">
        <v>608</v>
      </c>
      <c r="C2423" s="37" t="s">
        <v>1987</v>
      </c>
      <c r="D2423" s="37"/>
      <c r="E2423" s="37" t="s">
        <v>1974</v>
      </c>
      <c r="F2423" s="37" t="b">
        <v>0</v>
      </c>
      <c r="G2423" s="37">
        <v>200</v>
      </c>
      <c r="H2423" s="37" t="b">
        <v>1</v>
      </c>
    </row>
    <row r="2424" spans="1:9" x14ac:dyDescent="0.25">
      <c r="A2424" s="54" t="s">
        <v>573</v>
      </c>
      <c r="B2424" s="31" t="s">
        <v>127</v>
      </c>
      <c r="C2424" s="28" t="s">
        <v>1975</v>
      </c>
      <c r="D2424" s="28"/>
      <c r="E2424" s="28" t="s">
        <v>1974</v>
      </c>
      <c r="F2424" s="28" t="b">
        <v>0</v>
      </c>
      <c r="G2424" s="28">
        <v>200</v>
      </c>
      <c r="H2424" s="28" t="b">
        <v>1</v>
      </c>
      <c r="I2424" s="34"/>
    </row>
    <row r="2425" spans="1:9" x14ac:dyDescent="0.25">
      <c r="A2425" s="54" t="s">
        <v>573</v>
      </c>
      <c r="B2425" s="43" t="s">
        <v>135</v>
      </c>
      <c r="C2425" s="37" t="s">
        <v>1976</v>
      </c>
      <c r="D2425" s="37"/>
      <c r="E2425" s="37" t="s">
        <v>1974</v>
      </c>
      <c r="F2425" s="37" t="b">
        <v>0</v>
      </c>
      <c r="G2425" s="37">
        <v>200</v>
      </c>
      <c r="H2425" s="37" t="b">
        <v>1</v>
      </c>
    </row>
    <row r="2426" spans="1:9" x14ac:dyDescent="0.25">
      <c r="A2426" s="54" t="s">
        <v>573</v>
      </c>
      <c r="B2426" s="31" t="s">
        <v>655</v>
      </c>
      <c r="C2426" s="28" t="s">
        <v>1977</v>
      </c>
      <c r="D2426" s="28"/>
      <c r="E2426" s="28" t="s">
        <v>1974</v>
      </c>
      <c r="F2426" s="28" t="b">
        <v>0</v>
      </c>
      <c r="G2426" s="28">
        <v>200</v>
      </c>
      <c r="H2426" s="28" t="b">
        <v>1</v>
      </c>
      <c r="I2426" s="34"/>
    </row>
    <row r="2427" spans="1:9" x14ac:dyDescent="0.25">
      <c r="A2427" s="54" t="s">
        <v>573</v>
      </c>
      <c r="B2427" s="43" t="s">
        <v>635</v>
      </c>
      <c r="C2427" s="37" t="s">
        <v>1978</v>
      </c>
      <c r="D2427" s="37"/>
      <c r="E2427" s="37" t="s">
        <v>1974</v>
      </c>
      <c r="F2427" s="37" t="b">
        <v>0</v>
      </c>
      <c r="G2427" s="37">
        <v>200</v>
      </c>
      <c r="H2427" s="37" t="b">
        <v>1</v>
      </c>
    </row>
    <row r="2428" spans="1:9" ht="30" x14ac:dyDescent="0.25">
      <c r="A2428" s="54" t="s">
        <v>573</v>
      </c>
      <c r="B2428" s="31" t="s">
        <v>144</v>
      </c>
      <c r="C2428" s="28" t="s">
        <v>1979</v>
      </c>
      <c r="D2428" s="28"/>
      <c r="E2428" s="28" t="s">
        <v>1974</v>
      </c>
      <c r="F2428" s="28" t="b">
        <v>0</v>
      </c>
      <c r="G2428" s="28">
        <v>200</v>
      </c>
      <c r="H2428" s="28" t="b">
        <v>1</v>
      </c>
      <c r="I2428" s="34"/>
    </row>
    <row r="2429" spans="1:9" x14ac:dyDescent="0.25">
      <c r="A2429" s="54" t="s">
        <v>573</v>
      </c>
      <c r="B2429" s="43" t="s">
        <v>618</v>
      </c>
      <c r="C2429" s="37" t="s">
        <v>1980</v>
      </c>
      <c r="D2429" s="37"/>
      <c r="E2429" s="37" t="s">
        <v>1974</v>
      </c>
      <c r="F2429" s="37" t="b">
        <v>0</v>
      </c>
      <c r="G2429" s="37">
        <v>200</v>
      </c>
      <c r="H2429" s="37" t="b">
        <v>1</v>
      </c>
    </row>
    <row r="2430" spans="1:9" ht="30" x14ac:dyDescent="0.25">
      <c r="A2430" s="54" t="s">
        <v>573</v>
      </c>
      <c r="B2430" s="31" t="s">
        <v>585</v>
      </c>
      <c r="C2430" s="28" t="s">
        <v>1981</v>
      </c>
      <c r="D2430" s="28"/>
      <c r="E2430" s="28" t="s">
        <v>1974</v>
      </c>
      <c r="F2430" s="28" t="b">
        <v>0</v>
      </c>
      <c r="G2430" s="28">
        <v>200</v>
      </c>
      <c r="H2430" s="28" t="b">
        <v>1</v>
      </c>
      <c r="I2430" s="34"/>
    </row>
    <row r="2431" spans="1:9" ht="30" x14ac:dyDescent="0.25">
      <c r="A2431" s="54" t="s">
        <v>573</v>
      </c>
      <c r="B2431" s="43" t="s">
        <v>582</v>
      </c>
      <c r="C2431" s="37" t="s">
        <v>1982</v>
      </c>
      <c r="D2431" s="37"/>
      <c r="E2431" s="37" t="s">
        <v>1974</v>
      </c>
      <c r="F2431" s="37" t="b">
        <v>0</v>
      </c>
      <c r="G2431" s="37">
        <v>200</v>
      </c>
      <c r="H2431" s="37" t="b">
        <v>1</v>
      </c>
    </row>
    <row r="2432" spans="1:9" x14ac:dyDescent="0.25">
      <c r="A2432" s="54" t="s">
        <v>573</v>
      </c>
      <c r="B2432" s="31" t="s">
        <v>638</v>
      </c>
      <c r="C2432" s="28" t="s">
        <v>1983</v>
      </c>
      <c r="D2432" s="28"/>
      <c r="E2432" s="28" t="s">
        <v>1974</v>
      </c>
      <c r="F2432" s="28" t="b">
        <v>0</v>
      </c>
      <c r="G2432" s="28">
        <v>200</v>
      </c>
      <c r="H2432" s="28" t="b">
        <v>1</v>
      </c>
      <c r="I2432" s="34"/>
    </row>
    <row r="2433" spans="1:9" x14ac:dyDescent="0.25">
      <c r="A2433" s="54" t="s">
        <v>573</v>
      </c>
      <c r="B2433" s="43" t="s">
        <v>638</v>
      </c>
      <c r="C2433" s="37" t="s">
        <v>1984</v>
      </c>
      <c r="D2433" s="37"/>
      <c r="E2433" s="37" t="s">
        <v>1974</v>
      </c>
      <c r="F2433" s="37" t="b">
        <v>0</v>
      </c>
      <c r="G2433" s="37">
        <v>200</v>
      </c>
      <c r="H2433" s="37" t="b">
        <v>1</v>
      </c>
    </row>
    <row r="2434" spans="1:9" x14ac:dyDescent="0.25">
      <c r="A2434" s="54" t="s">
        <v>573</v>
      </c>
      <c r="B2434" s="31" t="s">
        <v>647</v>
      </c>
      <c r="C2434" s="28" t="s">
        <v>1985</v>
      </c>
      <c r="D2434" s="28"/>
      <c r="E2434" s="28" t="s">
        <v>1974</v>
      </c>
      <c r="F2434" s="28" t="b">
        <v>0</v>
      </c>
      <c r="G2434" s="28">
        <v>200</v>
      </c>
      <c r="H2434" s="28" t="b">
        <v>1</v>
      </c>
      <c r="I2434" s="34"/>
    </row>
    <row r="2435" spans="1:9" ht="30" x14ac:dyDescent="0.25">
      <c r="A2435" s="54" t="s">
        <v>573</v>
      </c>
      <c r="B2435" s="43" t="s">
        <v>503</v>
      </c>
      <c r="C2435" s="37" t="s">
        <v>1986</v>
      </c>
      <c r="D2435" s="37"/>
      <c r="E2435" s="37" t="s">
        <v>1974</v>
      </c>
      <c r="F2435" s="37" t="b">
        <v>0</v>
      </c>
      <c r="G2435" s="37">
        <v>200</v>
      </c>
      <c r="H2435" s="37" t="b">
        <v>1</v>
      </c>
    </row>
    <row r="2436" spans="1:9" x14ac:dyDescent="0.25">
      <c r="A2436" s="54" t="s">
        <v>573</v>
      </c>
      <c r="B2436" s="31" t="s">
        <v>608</v>
      </c>
      <c r="C2436" s="28" t="s">
        <v>1987</v>
      </c>
      <c r="D2436" s="28"/>
      <c r="E2436" s="28" t="s">
        <v>1974</v>
      </c>
      <c r="F2436" s="28" t="b">
        <v>0</v>
      </c>
      <c r="G2436" s="28">
        <v>200</v>
      </c>
      <c r="H2436" s="28" t="b">
        <v>1</v>
      </c>
      <c r="I2436" s="34"/>
    </row>
    <row r="2437" spans="1:9" ht="30" x14ac:dyDescent="0.25">
      <c r="A2437" s="54" t="s">
        <v>573</v>
      </c>
      <c r="B2437" s="43" t="s">
        <v>503</v>
      </c>
      <c r="C2437" s="37" t="s">
        <v>2849</v>
      </c>
      <c r="D2437" s="37"/>
      <c r="E2437" s="37" t="s">
        <v>1974</v>
      </c>
      <c r="F2437" s="37" t="b">
        <v>0</v>
      </c>
      <c r="G2437" s="37">
        <v>200</v>
      </c>
      <c r="H2437" s="37" t="b">
        <v>1</v>
      </c>
    </row>
    <row r="2438" spans="1:9" ht="30" x14ac:dyDescent="0.25">
      <c r="A2438" s="54" t="s">
        <v>573</v>
      </c>
      <c r="B2438" s="31" t="s">
        <v>632</v>
      </c>
      <c r="C2438" s="28" t="s">
        <v>2850</v>
      </c>
      <c r="D2438" s="28"/>
      <c r="E2438" s="28" t="s">
        <v>1974</v>
      </c>
      <c r="F2438" s="28" t="b">
        <v>0</v>
      </c>
      <c r="G2438" s="28">
        <v>200</v>
      </c>
      <c r="H2438" s="28" t="b">
        <v>1</v>
      </c>
      <c r="I2438" s="34"/>
    </row>
    <row r="2439" spans="1:9" x14ac:dyDescent="0.25">
      <c r="A2439" s="54" t="s">
        <v>573</v>
      </c>
      <c r="B2439" s="43" t="s">
        <v>573</v>
      </c>
      <c r="C2439" s="37" t="s">
        <v>2851</v>
      </c>
      <c r="D2439" s="37"/>
      <c r="E2439" s="37" t="s">
        <v>1974</v>
      </c>
      <c r="F2439" s="37" t="b">
        <v>0</v>
      </c>
      <c r="G2439" s="37">
        <v>200</v>
      </c>
      <c r="H2439" s="37" t="b">
        <v>1</v>
      </c>
    </row>
    <row r="2440" spans="1:9" ht="30" x14ac:dyDescent="0.25">
      <c r="A2440" s="54" t="s">
        <v>573</v>
      </c>
      <c r="B2440" s="31" t="s">
        <v>503</v>
      </c>
      <c r="C2440" s="28" t="s">
        <v>2849</v>
      </c>
      <c r="D2440" s="28"/>
      <c r="E2440" s="28" t="s">
        <v>1974</v>
      </c>
      <c r="F2440" s="28" t="b">
        <v>0</v>
      </c>
      <c r="G2440" s="28">
        <v>200</v>
      </c>
      <c r="H2440" s="28" t="b">
        <v>1</v>
      </c>
      <c r="I2440" s="34"/>
    </row>
    <row r="2441" spans="1:9" ht="30" x14ac:dyDescent="0.25">
      <c r="A2441" s="54" t="s">
        <v>573</v>
      </c>
      <c r="B2441" s="43" t="s">
        <v>632</v>
      </c>
      <c r="C2441" s="37" t="s">
        <v>2850</v>
      </c>
      <c r="D2441" s="37"/>
      <c r="E2441" s="37" t="s">
        <v>1974</v>
      </c>
      <c r="F2441" s="37" t="b">
        <v>0</v>
      </c>
      <c r="G2441" s="37">
        <v>200</v>
      </c>
      <c r="H2441" s="37" t="b">
        <v>1</v>
      </c>
    </row>
    <row r="2442" spans="1:9" x14ac:dyDescent="0.25">
      <c r="A2442" s="54" t="s">
        <v>573</v>
      </c>
      <c r="B2442" s="31" t="s">
        <v>573</v>
      </c>
      <c r="C2442" s="28" t="s">
        <v>2851</v>
      </c>
      <c r="D2442" s="28"/>
      <c r="E2442" s="28" t="s">
        <v>1974</v>
      </c>
      <c r="F2442" s="28" t="b">
        <v>0</v>
      </c>
      <c r="G2442" s="28">
        <v>200</v>
      </c>
      <c r="H2442" s="28" t="b">
        <v>1</v>
      </c>
      <c r="I2442" s="34"/>
    </row>
    <row r="2443" spans="1:9" ht="30" x14ac:dyDescent="0.25">
      <c r="A2443" s="54" t="s">
        <v>573</v>
      </c>
      <c r="B2443" s="43" t="s">
        <v>2879</v>
      </c>
      <c r="C2443" s="37" t="s">
        <v>2875</v>
      </c>
      <c r="D2443" s="37"/>
      <c r="E2443" s="37" t="s">
        <v>1974</v>
      </c>
      <c r="F2443" s="37" t="b">
        <v>0</v>
      </c>
      <c r="G2443" s="37">
        <v>200</v>
      </c>
      <c r="H2443" s="37" t="b">
        <v>1</v>
      </c>
    </row>
    <row r="2444" spans="1:9" ht="30" x14ac:dyDescent="0.25">
      <c r="A2444" s="54" t="s">
        <v>573</v>
      </c>
      <c r="B2444" s="31" t="s">
        <v>2874</v>
      </c>
      <c r="C2444" s="28" t="s">
        <v>2876</v>
      </c>
      <c r="D2444" s="28"/>
      <c r="E2444" s="28" t="s">
        <v>1974</v>
      </c>
      <c r="F2444" s="28" t="b">
        <v>0</v>
      </c>
      <c r="G2444" s="28">
        <v>200</v>
      </c>
      <c r="H2444" s="28" t="b">
        <v>1</v>
      </c>
      <c r="I2444" s="34"/>
    </row>
    <row r="2445" spans="1:9" ht="30" x14ac:dyDescent="0.25">
      <c r="A2445" s="54" t="s">
        <v>573</v>
      </c>
      <c r="B2445" s="43" t="s">
        <v>2879</v>
      </c>
      <c r="C2445" s="37" t="s">
        <v>2877</v>
      </c>
      <c r="D2445" s="37" t="s">
        <v>2880</v>
      </c>
      <c r="E2445" s="37" t="s">
        <v>1974</v>
      </c>
      <c r="F2445" s="37" t="b">
        <v>0</v>
      </c>
      <c r="G2445" s="37">
        <v>200</v>
      </c>
      <c r="H2445" s="37" t="b">
        <v>1</v>
      </c>
    </row>
    <row r="2446" spans="1:9" ht="30" x14ac:dyDescent="0.25">
      <c r="A2446" s="54" t="s">
        <v>573</v>
      </c>
      <c r="B2446" s="31" t="s">
        <v>2878</v>
      </c>
      <c r="C2446" s="28" t="s">
        <v>1994</v>
      </c>
      <c r="D2446" s="28"/>
      <c r="E2446" s="28" t="s">
        <v>1974</v>
      </c>
      <c r="F2446" s="28" t="b">
        <v>0</v>
      </c>
      <c r="G2446" s="28">
        <v>200</v>
      </c>
      <c r="H2446" s="28" t="b">
        <v>1</v>
      </c>
      <c r="I2446" s="34"/>
    </row>
    <row r="2447" spans="1:9" x14ac:dyDescent="0.25">
      <c r="A2447" s="54" t="s">
        <v>573</v>
      </c>
      <c r="B2447" s="43" t="s">
        <v>647</v>
      </c>
      <c r="C2447" s="37" t="s">
        <v>2010</v>
      </c>
      <c r="D2447" s="37"/>
      <c r="E2447" s="37" t="s">
        <v>1974</v>
      </c>
      <c r="F2447" s="37" t="b">
        <v>0</v>
      </c>
      <c r="G2447" s="37">
        <v>200</v>
      </c>
      <c r="H2447" s="37" t="b">
        <v>1</v>
      </c>
    </row>
    <row r="2448" spans="1:9" ht="30" x14ac:dyDescent="0.25">
      <c r="A2448" s="54" t="s">
        <v>573</v>
      </c>
      <c r="B2448" s="31" t="s">
        <v>2011</v>
      </c>
      <c r="C2448" s="28"/>
      <c r="D2448" s="28"/>
      <c r="E2448" s="28" t="s">
        <v>2012</v>
      </c>
      <c r="F2448" s="28" t="b">
        <v>0</v>
      </c>
      <c r="G2448" s="28"/>
      <c r="H2448" s="28" t="b">
        <v>1</v>
      </c>
      <c r="I2448" s="34"/>
    </row>
    <row r="2449" spans="1:9" ht="30" x14ac:dyDescent="0.25">
      <c r="A2449" s="54" t="s">
        <v>573</v>
      </c>
      <c r="B2449" s="43" t="s">
        <v>2013</v>
      </c>
      <c r="C2449" s="37"/>
      <c r="D2449" s="37"/>
      <c r="E2449" s="37" t="s">
        <v>2012</v>
      </c>
      <c r="F2449" s="37" t="b">
        <v>0</v>
      </c>
      <c r="G2449" s="37"/>
      <c r="H2449" s="37" t="b">
        <v>1</v>
      </c>
    </row>
    <row r="2450" spans="1:9" x14ac:dyDescent="0.25">
      <c r="A2450" s="54" t="s">
        <v>573</v>
      </c>
      <c r="B2450" s="31" t="s">
        <v>641</v>
      </c>
      <c r="C2450" s="28" t="s">
        <v>2014</v>
      </c>
      <c r="D2450" s="28"/>
      <c r="E2450" s="28" t="s">
        <v>1974</v>
      </c>
      <c r="F2450" s="28" t="b">
        <v>0</v>
      </c>
      <c r="G2450" s="28">
        <v>200</v>
      </c>
      <c r="H2450" s="28" t="b">
        <v>1</v>
      </c>
      <c r="I2450" s="34"/>
    </row>
    <row r="2451" spans="1:9" ht="30" x14ac:dyDescent="0.25">
      <c r="A2451" s="54" t="s">
        <v>573</v>
      </c>
      <c r="B2451" s="43" t="s">
        <v>2015</v>
      </c>
      <c r="C2451" s="37" t="s">
        <v>2016</v>
      </c>
      <c r="D2451" s="37"/>
      <c r="E2451" s="37" t="s">
        <v>1974</v>
      </c>
      <c r="F2451" s="37" t="b">
        <v>0</v>
      </c>
      <c r="G2451" s="37">
        <v>404</v>
      </c>
      <c r="H2451" s="37" t="b">
        <v>0</v>
      </c>
    </row>
    <row r="2452" spans="1:9" ht="30" x14ac:dyDescent="0.25">
      <c r="A2452" s="54" t="s">
        <v>573</v>
      </c>
      <c r="B2452" s="31" t="s">
        <v>2015</v>
      </c>
      <c r="C2452" s="28" t="s">
        <v>2017</v>
      </c>
      <c r="D2452" s="28"/>
      <c r="E2452" s="28" t="s">
        <v>1974</v>
      </c>
      <c r="F2452" s="28" t="b">
        <v>0</v>
      </c>
      <c r="G2452" s="28">
        <v>404</v>
      </c>
      <c r="H2452" s="28" t="b">
        <v>0</v>
      </c>
      <c r="I2452" s="34"/>
    </row>
    <row r="2453" spans="1:9" ht="30" x14ac:dyDescent="0.25">
      <c r="A2453" s="54" t="s">
        <v>582</v>
      </c>
      <c r="B2453" s="43" t="s">
        <v>127</v>
      </c>
      <c r="C2453" s="37"/>
      <c r="D2453" s="37"/>
      <c r="E2453" s="37" t="s">
        <v>1974</v>
      </c>
      <c r="F2453" s="37" t="b">
        <v>0</v>
      </c>
      <c r="G2453" s="37">
        <v>200</v>
      </c>
      <c r="H2453" s="37" t="b">
        <v>1</v>
      </c>
    </row>
    <row r="2454" spans="1:9" ht="30" x14ac:dyDescent="0.25">
      <c r="A2454" s="54" t="s">
        <v>582</v>
      </c>
      <c r="B2454" s="31" t="s">
        <v>127</v>
      </c>
      <c r="C2454" s="28" t="s">
        <v>1975</v>
      </c>
      <c r="D2454" s="28"/>
      <c r="E2454" s="28" t="s">
        <v>1974</v>
      </c>
      <c r="F2454" s="28" t="b">
        <v>0</v>
      </c>
      <c r="G2454" s="28">
        <v>200</v>
      </c>
      <c r="H2454" s="28" t="b">
        <v>1</v>
      </c>
      <c r="I2454" s="34"/>
    </row>
    <row r="2455" spans="1:9" ht="30" x14ac:dyDescent="0.25">
      <c r="A2455" s="54" t="s">
        <v>582</v>
      </c>
      <c r="B2455" s="43" t="s">
        <v>135</v>
      </c>
      <c r="C2455" s="37" t="s">
        <v>1976</v>
      </c>
      <c r="D2455" s="37"/>
      <c r="E2455" s="37" t="s">
        <v>1974</v>
      </c>
      <c r="F2455" s="37" t="b">
        <v>0</v>
      </c>
      <c r="G2455" s="37">
        <v>200</v>
      </c>
      <c r="H2455" s="37" t="b">
        <v>1</v>
      </c>
    </row>
    <row r="2456" spans="1:9" ht="30" x14ac:dyDescent="0.25">
      <c r="A2456" s="54" t="s">
        <v>582</v>
      </c>
      <c r="B2456" s="31" t="s">
        <v>655</v>
      </c>
      <c r="C2456" s="28" t="s">
        <v>1977</v>
      </c>
      <c r="D2456" s="28"/>
      <c r="E2456" s="28" t="s">
        <v>1974</v>
      </c>
      <c r="F2456" s="28" t="b">
        <v>0</v>
      </c>
      <c r="G2456" s="28">
        <v>200</v>
      </c>
      <c r="H2456" s="28" t="b">
        <v>1</v>
      </c>
      <c r="I2456" s="34"/>
    </row>
    <row r="2457" spans="1:9" ht="30" x14ac:dyDescent="0.25">
      <c r="A2457" s="54" t="s">
        <v>582</v>
      </c>
      <c r="B2457" s="43" t="s">
        <v>635</v>
      </c>
      <c r="C2457" s="37" t="s">
        <v>1978</v>
      </c>
      <c r="D2457" s="37"/>
      <c r="E2457" s="37" t="s">
        <v>1974</v>
      </c>
      <c r="F2457" s="37" t="b">
        <v>0</v>
      </c>
      <c r="G2457" s="37">
        <v>200</v>
      </c>
      <c r="H2457" s="37" t="b">
        <v>1</v>
      </c>
    </row>
    <row r="2458" spans="1:9" ht="30" x14ac:dyDescent="0.25">
      <c r="A2458" s="54" t="s">
        <v>582</v>
      </c>
      <c r="B2458" s="31" t="s">
        <v>144</v>
      </c>
      <c r="C2458" s="28" t="s">
        <v>1979</v>
      </c>
      <c r="D2458" s="28"/>
      <c r="E2458" s="28" t="s">
        <v>1974</v>
      </c>
      <c r="F2458" s="28" t="b">
        <v>0</v>
      </c>
      <c r="G2458" s="28">
        <v>200</v>
      </c>
      <c r="H2458" s="28" t="b">
        <v>1</v>
      </c>
      <c r="I2458" s="34"/>
    </row>
    <row r="2459" spans="1:9" ht="30" x14ac:dyDescent="0.25">
      <c r="A2459" s="54" t="s">
        <v>582</v>
      </c>
      <c r="B2459" s="43" t="s">
        <v>618</v>
      </c>
      <c r="C2459" s="37" t="s">
        <v>1980</v>
      </c>
      <c r="D2459" s="37"/>
      <c r="E2459" s="37" t="s">
        <v>1974</v>
      </c>
      <c r="F2459" s="37" t="b">
        <v>0</v>
      </c>
      <c r="G2459" s="37">
        <v>200</v>
      </c>
      <c r="H2459" s="37" t="b">
        <v>1</v>
      </c>
    </row>
    <row r="2460" spans="1:9" ht="30" x14ac:dyDescent="0.25">
      <c r="A2460" s="54" t="s">
        <v>582</v>
      </c>
      <c r="B2460" s="31" t="s">
        <v>585</v>
      </c>
      <c r="C2460" s="28" t="s">
        <v>1981</v>
      </c>
      <c r="D2460" s="28"/>
      <c r="E2460" s="28" t="s">
        <v>1974</v>
      </c>
      <c r="F2460" s="28" t="b">
        <v>0</v>
      </c>
      <c r="G2460" s="28">
        <v>200</v>
      </c>
      <c r="H2460" s="28" t="b">
        <v>1</v>
      </c>
      <c r="I2460" s="34"/>
    </row>
    <row r="2461" spans="1:9" ht="30" x14ac:dyDescent="0.25">
      <c r="A2461" s="54" t="s">
        <v>582</v>
      </c>
      <c r="B2461" s="43" t="s">
        <v>582</v>
      </c>
      <c r="C2461" s="37" t="s">
        <v>1982</v>
      </c>
      <c r="D2461" s="37"/>
      <c r="E2461" s="37" t="s">
        <v>1974</v>
      </c>
      <c r="F2461" s="37" t="b">
        <v>0</v>
      </c>
      <c r="G2461" s="37">
        <v>200</v>
      </c>
      <c r="H2461" s="37" t="b">
        <v>1</v>
      </c>
    </row>
    <row r="2462" spans="1:9" ht="30" x14ac:dyDescent="0.25">
      <c r="A2462" s="54" t="s">
        <v>582</v>
      </c>
      <c r="B2462" s="31" t="s">
        <v>638</v>
      </c>
      <c r="C2462" s="28" t="s">
        <v>1983</v>
      </c>
      <c r="D2462" s="28"/>
      <c r="E2462" s="28" t="s">
        <v>1974</v>
      </c>
      <c r="F2462" s="28" t="b">
        <v>0</v>
      </c>
      <c r="G2462" s="28">
        <v>200</v>
      </c>
      <c r="H2462" s="28" t="b">
        <v>1</v>
      </c>
      <c r="I2462" s="34"/>
    </row>
    <row r="2463" spans="1:9" ht="30" x14ac:dyDescent="0.25">
      <c r="A2463" s="54" t="s">
        <v>582</v>
      </c>
      <c r="B2463" s="43" t="s">
        <v>638</v>
      </c>
      <c r="C2463" s="37" t="s">
        <v>1984</v>
      </c>
      <c r="D2463" s="37"/>
      <c r="E2463" s="37" t="s">
        <v>1974</v>
      </c>
      <c r="F2463" s="37" t="b">
        <v>0</v>
      </c>
      <c r="G2463" s="37">
        <v>200</v>
      </c>
      <c r="H2463" s="37" t="b">
        <v>1</v>
      </c>
    </row>
    <row r="2464" spans="1:9" ht="30" x14ac:dyDescent="0.25">
      <c r="A2464" s="54" t="s">
        <v>582</v>
      </c>
      <c r="B2464" s="31" t="s">
        <v>647</v>
      </c>
      <c r="C2464" s="28" t="s">
        <v>1985</v>
      </c>
      <c r="D2464" s="28"/>
      <c r="E2464" s="28" t="s">
        <v>1974</v>
      </c>
      <c r="F2464" s="28" t="b">
        <v>0</v>
      </c>
      <c r="G2464" s="28">
        <v>200</v>
      </c>
      <c r="H2464" s="28" t="b">
        <v>1</v>
      </c>
      <c r="I2464" s="34"/>
    </row>
    <row r="2465" spans="1:9" ht="30" x14ac:dyDescent="0.25">
      <c r="A2465" s="54" t="s">
        <v>582</v>
      </c>
      <c r="B2465" s="43" t="s">
        <v>503</v>
      </c>
      <c r="C2465" s="37" t="s">
        <v>1986</v>
      </c>
      <c r="D2465" s="37"/>
      <c r="E2465" s="37" t="s">
        <v>1974</v>
      </c>
      <c r="F2465" s="37" t="b">
        <v>0</v>
      </c>
      <c r="G2465" s="37">
        <v>200</v>
      </c>
      <c r="H2465" s="37" t="b">
        <v>1</v>
      </c>
    </row>
    <row r="2466" spans="1:9" ht="30" x14ac:dyDescent="0.25">
      <c r="A2466" s="54" t="s">
        <v>582</v>
      </c>
      <c r="B2466" s="31" t="s">
        <v>608</v>
      </c>
      <c r="C2466" s="28" t="s">
        <v>1987</v>
      </c>
      <c r="D2466" s="28"/>
      <c r="E2466" s="28" t="s">
        <v>1974</v>
      </c>
      <c r="F2466" s="28" t="b">
        <v>0</v>
      </c>
      <c r="G2466" s="28">
        <v>200</v>
      </c>
      <c r="H2466" s="28" t="b">
        <v>1</v>
      </c>
      <c r="I2466" s="34"/>
    </row>
    <row r="2467" spans="1:9" ht="30" x14ac:dyDescent="0.25">
      <c r="A2467" s="54" t="s">
        <v>582</v>
      </c>
      <c r="B2467" s="43" t="s">
        <v>127</v>
      </c>
      <c r="C2467" s="37" t="s">
        <v>1975</v>
      </c>
      <c r="D2467" s="37"/>
      <c r="E2467" s="37" t="s">
        <v>1974</v>
      </c>
      <c r="F2467" s="37" t="b">
        <v>0</v>
      </c>
      <c r="G2467" s="37">
        <v>200</v>
      </c>
      <c r="H2467" s="37" t="b">
        <v>1</v>
      </c>
    </row>
    <row r="2468" spans="1:9" ht="30" x14ac:dyDescent="0.25">
      <c r="A2468" s="54" t="s">
        <v>582</v>
      </c>
      <c r="B2468" s="31" t="s">
        <v>135</v>
      </c>
      <c r="C2468" s="28" t="s">
        <v>1976</v>
      </c>
      <c r="D2468" s="28"/>
      <c r="E2468" s="28" t="s">
        <v>1974</v>
      </c>
      <c r="F2468" s="28" t="b">
        <v>0</v>
      </c>
      <c r="G2468" s="28">
        <v>200</v>
      </c>
      <c r="H2468" s="28" t="b">
        <v>1</v>
      </c>
      <c r="I2468" s="34"/>
    </row>
    <row r="2469" spans="1:9" ht="30" x14ac:dyDescent="0.25">
      <c r="A2469" s="54" t="s">
        <v>582</v>
      </c>
      <c r="B2469" s="43" t="s">
        <v>655</v>
      </c>
      <c r="C2469" s="37" t="s">
        <v>1977</v>
      </c>
      <c r="D2469" s="37"/>
      <c r="E2469" s="37" t="s">
        <v>1974</v>
      </c>
      <c r="F2469" s="37" t="b">
        <v>0</v>
      </c>
      <c r="G2469" s="37">
        <v>200</v>
      </c>
      <c r="H2469" s="37" t="b">
        <v>1</v>
      </c>
    </row>
    <row r="2470" spans="1:9" ht="30" x14ac:dyDescent="0.25">
      <c r="A2470" s="54" t="s">
        <v>582</v>
      </c>
      <c r="B2470" s="31" t="s">
        <v>635</v>
      </c>
      <c r="C2470" s="28" t="s">
        <v>1978</v>
      </c>
      <c r="D2470" s="28"/>
      <c r="E2470" s="28" t="s">
        <v>1974</v>
      </c>
      <c r="F2470" s="28" t="b">
        <v>0</v>
      </c>
      <c r="G2470" s="28">
        <v>200</v>
      </c>
      <c r="H2470" s="28" t="b">
        <v>1</v>
      </c>
      <c r="I2470" s="34"/>
    </row>
    <row r="2471" spans="1:9" ht="30" x14ac:dyDescent="0.25">
      <c r="A2471" s="54" t="s">
        <v>582</v>
      </c>
      <c r="B2471" s="43" t="s">
        <v>144</v>
      </c>
      <c r="C2471" s="37" t="s">
        <v>1979</v>
      </c>
      <c r="D2471" s="37"/>
      <c r="E2471" s="37" t="s">
        <v>1974</v>
      </c>
      <c r="F2471" s="37" t="b">
        <v>0</v>
      </c>
      <c r="G2471" s="37">
        <v>200</v>
      </c>
      <c r="H2471" s="37" t="b">
        <v>1</v>
      </c>
    </row>
    <row r="2472" spans="1:9" ht="30" x14ac:dyDescent="0.25">
      <c r="A2472" s="54" t="s">
        <v>582</v>
      </c>
      <c r="B2472" s="31" t="s">
        <v>618</v>
      </c>
      <c r="C2472" s="28" t="s">
        <v>1980</v>
      </c>
      <c r="D2472" s="28"/>
      <c r="E2472" s="28" t="s">
        <v>1974</v>
      </c>
      <c r="F2472" s="28" t="b">
        <v>0</v>
      </c>
      <c r="G2472" s="28">
        <v>200</v>
      </c>
      <c r="H2472" s="28" t="b">
        <v>1</v>
      </c>
      <c r="I2472" s="34"/>
    </row>
    <row r="2473" spans="1:9" ht="30" x14ac:dyDescent="0.25">
      <c r="A2473" s="54" t="s">
        <v>582</v>
      </c>
      <c r="B2473" s="43" t="s">
        <v>585</v>
      </c>
      <c r="C2473" s="37" t="s">
        <v>1981</v>
      </c>
      <c r="D2473" s="37"/>
      <c r="E2473" s="37" t="s">
        <v>1974</v>
      </c>
      <c r="F2473" s="37" t="b">
        <v>0</v>
      </c>
      <c r="G2473" s="37">
        <v>200</v>
      </c>
      <c r="H2473" s="37" t="b">
        <v>1</v>
      </c>
    </row>
    <row r="2474" spans="1:9" ht="30" x14ac:dyDescent="0.25">
      <c r="A2474" s="54" t="s">
        <v>582</v>
      </c>
      <c r="B2474" s="31" t="s">
        <v>582</v>
      </c>
      <c r="C2474" s="28" t="s">
        <v>1982</v>
      </c>
      <c r="D2474" s="28"/>
      <c r="E2474" s="28" t="s">
        <v>1974</v>
      </c>
      <c r="F2474" s="28" t="b">
        <v>0</v>
      </c>
      <c r="G2474" s="28">
        <v>200</v>
      </c>
      <c r="H2474" s="28" t="b">
        <v>1</v>
      </c>
      <c r="I2474" s="34"/>
    </row>
    <row r="2475" spans="1:9" ht="30" x14ac:dyDescent="0.25">
      <c r="A2475" s="54" t="s">
        <v>582</v>
      </c>
      <c r="B2475" s="43" t="s">
        <v>638</v>
      </c>
      <c r="C2475" s="37" t="s">
        <v>1983</v>
      </c>
      <c r="D2475" s="37"/>
      <c r="E2475" s="37" t="s">
        <v>1974</v>
      </c>
      <c r="F2475" s="37" t="b">
        <v>0</v>
      </c>
      <c r="G2475" s="37">
        <v>200</v>
      </c>
      <c r="H2475" s="37" t="b">
        <v>1</v>
      </c>
    </row>
    <row r="2476" spans="1:9" ht="30" x14ac:dyDescent="0.25">
      <c r="A2476" s="54" t="s">
        <v>582</v>
      </c>
      <c r="B2476" s="31" t="s">
        <v>638</v>
      </c>
      <c r="C2476" s="28" t="s">
        <v>1984</v>
      </c>
      <c r="D2476" s="28"/>
      <c r="E2476" s="28" t="s">
        <v>1974</v>
      </c>
      <c r="F2476" s="28" t="b">
        <v>0</v>
      </c>
      <c r="G2476" s="28">
        <v>200</v>
      </c>
      <c r="H2476" s="28" t="b">
        <v>1</v>
      </c>
      <c r="I2476" s="34"/>
    </row>
    <row r="2477" spans="1:9" ht="30" x14ac:dyDescent="0.25">
      <c r="A2477" s="54" t="s">
        <v>582</v>
      </c>
      <c r="B2477" s="43" t="s">
        <v>647</v>
      </c>
      <c r="C2477" s="37" t="s">
        <v>1985</v>
      </c>
      <c r="D2477" s="37"/>
      <c r="E2477" s="37" t="s">
        <v>1974</v>
      </c>
      <c r="F2477" s="37" t="b">
        <v>0</v>
      </c>
      <c r="G2477" s="37">
        <v>200</v>
      </c>
      <c r="H2477" s="37" t="b">
        <v>1</v>
      </c>
    </row>
    <row r="2478" spans="1:9" ht="30" x14ac:dyDescent="0.25">
      <c r="A2478" s="54" t="s">
        <v>582</v>
      </c>
      <c r="B2478" s="31" t="s">
        <v>503</v>
      </c>
      <c r="C2478" s="28" t="s">
        <v>1986</v>
      </c>
      <c r="D2478" s="28"/>
      <c r="E2478" s="28" t="s">
        <v>1974</v>
      </c>
      <c r="F2478" s="28" t="b">
        <v>0</v>
      </c>
      <c r="G2478" s="28">
        <v>200</v>
      </c>
      <c r="H2478" s="28" t="b">
        <v>1</v>
      </c>
      <c r="I2478" s="34"/>
    </row>
    <row r="2479" spans="1:9" ht="30" x14ac:dyDescent="0.25">
      <c r="A2479" s="54" t="s">
        <v>582</v>
      </c>
      <c r="B2479" s="43" t="s">
        <v>608</v>
      </c>
      <c r="C2479" s="37" t="s">
        <v>1987</v>
      </c>
      <c r="D2479" s="37"/>
      <c r="E2479" s="37" t="s">
        <v>1974</v>
      </c>
      <c r="F2479" s="37" t="b">
        <v>0</v>
      </c>
      <c r="G2479" s="37">
        <v>200</v>
      </c>
      <c r="H2479" s="37" t="b">
        <v>1</v>
      </c>
    </row>
    <row r="2480" spans="1:9" ht="30" x14ac:dyDescent="0.25">
      <c r="A2480" s="54" t="s">
        <v>582</v>
      </c>
      <c r="B2480" s="31" t="s">
        <v>647</v>
      </c>
      <c r="C2480" s="28" t="s">
        <v>2010</v>
      </c>
      <c r="D2480" s="28"/>
      <c r="E2480" s="28" t="s">
        <v>1974</v>
      </c>
      <c r="F2480" s="28" t="b">
        <v>0</v>
      </c>
      <c r="G2480" s="28">
        <v>200</v>
      </c>
      <c r="H2480" s="28" t="b">
        <v>1</v>
      </c>
      <c r="I2480" s="34"/>
    </row>
    <row r="2481" spans="1:9" ht="30" x14ac:dyDescent="0.25">
      <c r="A2481" s="54" t="s">
        <v>582</v>
      </c>
      <c r="B2481" s="43" t="s">
        <v>2011</v>
      </c>
      <c r="C2481" s="37"/>
      <c r="D2481" s="37"/>
      <c r="E2481" s="37" t="s">
        <v>2012</v>
      </c>
      <c r="F2481" s="37" t="b">
        <v>0</v>
      </c>
      <c r="G2481" s="37"/>
      <c r="H2481" s="37" t="b">
        <v>1</v>
      </c>
    </row>
    <row r="2482" spans="1:9" ht="30" x14ac:dyDescent="0.25">
      <c r="A2482" s="54" t="s">
        <v>582</v>
      </c>
      <c r="B2482" s="31" t="s">
        <v>2013</v>
      </c>
      <c r="C2482" s="28"/>
      <c r="D2482" s="28"/>
      <c r="E2482" s="28" t="s">
        <v>2012</v>
      </c>
      <c r="F2482" s="28" t="b">
        <v>0</v>
      </c>
      <c r="G2482" s="28"/>
      <c r="H2482" s="28" t="b">
        <v>1</v>
      </c>
      <c r="I2482" s="34"/>
    </row>
    <row r="2483" spans="1:9" ht="30" x14ac:dyDescent="0.25">
      <c r="A2483" s="54" t="s">
        <v>582</v>
      </c>
      <c r="B2483" s="43" t="s">
        <v>641</v>
      </c>
      <c r="C2483" s="37" t="s">
        <v>2014</v>
      </c>
      <c r="D2483" s="37"/>
      <c r="E2483" s="37" t="s">
        <v>1974</v>
      </c>
      <c r="F2483" s="37" t="b">
        <v>0</v>
      </c>
      <c r="G2483" s="37">
        <v>200</v>
      </c>
      <c r="H2483" s="37" t="b">
        <v>1</v>
      </c>
    </row>
    <row r="2484" spans="1:9" ht="30" x14ac:dyDescent="0.25">
      <c r="A2484" s="54" t="s">
        <v>582</v>
      </c>
      <c r="B2484" s="31" t="s">
        <v>2015</v>
      </c>
      <c r="C2484" s="28" t="s">
        <v>2016</v>
      </c>
      <c r="D2484" s="28"/>
      <c r="E2484" s="28" t="s">
        <v>1974</v>
      </c>
      <c r="F2484" s="28" t="b">
        <v>0</v>
      </c>
      <c r="G2484" s="28">
        <v>404</v>
      </c>
      <c r="H2484" s="28" t="b">
        <v>0</v>
      </c>
      <c r="I2484" s="34"/>
    </row>
    <row r="2485" spans="1:9" ht="30" x14ac:dyDescent="0.25">
      <c r="A2485" s="54" t="s">
        <v>582</v>
      </c>
      <c r="B2485" s="43" t="s">
        <v>2015</v>
      </c>
      <c r="C2485" s="37" t="s">
        <v>2017</v>
      </c>
      <c r="D2485" s="37"/>
      <c r="E2485" s="37" t="s">
        <v>1974</v>
      </c>
      <c r="F2485" s="37" t="b">
        <v>0</v>
      </c>
      <c r="G2485" s="37">
        <v>404</v>
      </c>
      <c r="H2485" s="37" t="b">
        <v>0</v>
      </c>
    </row>
    <row r="2486" spans="1:9" ht="30" x14ac:dyDescent="0.25">
      <c r="A2486" s="54" t="s">
        <v>588</v>
      </c>
      <c r="B2486" s="31" t="s">
        <v>127</v>
      </c>
      <c r="C2486" s="28"/>
      <c r="D2486" s="28"/>
      <c r="E2486" s="28" t="s">
        <v>1974</v>
      </c>
      <c r="F2486" s="28" t="b">
        <v>0</v>
      </c>
      <c r="G2486" s="28">
        <v>200</v>
      </c>
      <c r="H2486" s="28" t="b">
        <v>1</v>
      </c>
      <c r="I2486" s="34"/>
    </row>
    <row r="2487" spans="1:9" ht="30" x14ac:dyDescent="0.25">
      <c r="A2487" s="54" t="s">
        <v>588</v>
      </c>
      <c r="B2487" s="43" t="s">
        <v>127</v>
      </c>
      <c r="C2487" s="37" t="s">
        <v>1975</v>
      </c>
      <c r="D2487" s="37"/>
      <c r="E2487" s="37" t="s">
        <v>1974</v>
      </c>
      <c r="F2487" s="37" t="b">
        <v>0</v>
      </c>
      <c r="G2487" s="37">
        <v>200</v>
      </c>
      <c r="H2487" s="37" t="b">
        <v>1</v>
      </c>
    </row>
    <row r="2488" spans="1:9" ht="30" x14ac:dyDescent="0.25">
      <c r="A2488" s="54" t="s">
        <v>588</v>
      </c>
      <c r="B2488" s="31" t="s">
        <v>135</v>
      </c>
      <c r="C2488" s="28" t="s">
        <v>1976</v>
      </c>
      <c r="D2488" s="28"/>
      <c r="E2488" s="28" t="s">
        <v>1974</v>
      </c>
      <c r="F2488" s="28" t="b">
        <v>0</v>
      </c>
      <c r="G2488" s="28">
        <v>200</v>
      </c>
      <c r="H2488" s="28" t="b">
        <v>1</v>
      </c>
      <c r="I2488" s="34"/>
    </row>
    <row r="2489" spans="1:9" ht="30" x14ac:dyDescent="0.25">
      <c r="A2489" s="54" t="s">
        <v>588</v>
      </c>
      <c r="B2489" s="43" t="s">
        <v>655</v>
      </c>
      <c r="C2489" s="37" t="s">
        <v>1977</v>
      </c>
      <c r="D2489" s="37"/>
      <c r="E2489" s="37" t="s">
        <v>1974</v>
      </c>
      <c r="F2489" s="37" t="b">
        <v>0</v>
      </c>
      <c r="G2489" s="37">
        <v>200</v>
      </c>
      <c r="H2489" s="37" t="b">
        <v>1</v>
      </c>
    </row>
    <row r="2490" spans="1:9" ht="30" x14ac:dyDescent="0.25">
      <c r="A2490" s="54" t="s">
        <v>588</v>
      </c>
      <c r="B2490" s="31" t="s">
        <v>635</v>
      </c>
      <c r="C2490" s="28" t="s">
        <v>1978</v>
      </c>
      <c r="D2490" s="28"/>
      <c r="E2490" s="28" t="s">
        <v>1974</v>
      </c>
      <c r="F2490" s="28" t="b">
        <v>0</v>
      </c>
      <c r="G2490" s="28">
        <v>200</v>
      </c>
      <c r="H2490" s="28" t="b">
        <v>1</v>
      </c>
      <c r="I2490" s="34"/>
    </row>
    <row r="2491" spans="1:9" ht="30" x14ac:dyDescent="0.25">
      <c r="A2491" s="54" t="s">
        <v>588</v>
      </c>
      <c r="B2491" s="43" t="s">
        <v>144</v>
      </c>
      <c r="C2491" s="37" t="s">
        <v>1979</v>
      </c>
      <c r="D2491" s="37"/>
      <c r="E2491" s="37" t="s">
        <v>1974</v>
      </c>
      <c r="F2491" s="37" t="b">
        <v>0</v>
      </c>
      <c r="G2491" s="37">
        <v>200</v>
      </c>
      <c r="H2491" s="37" t="b">
        <v>1</v>
      </c>
    </row>
    <row r="2492" spans="1:9" ht="30" x14ac:dyDescent="0.25">
      <c r="A2492" s="54" t="s">
        <v>588</v>
      </c>
      <c r="B2492" s="31" t="s">
        <v>618</v>
      </c>
      <c r="C2492" s="28" t="s">
        <v>1980</v>
      </c>
      <c r="D2492" s="28"/>
      <c r="E2492" s="28" t="s">
        <v>1974</v>
      </c>
      <c r="F2492" s="28" t="b">
        <v>0</v>
      </c>
      <c r="G2492" s="28">
        <v>200</v>
      </c>
      <c r="H2492" s="28" t="b">
        <v>1</v>
      </c>
      <c r="I2492" s="34"/>
    </row>
    <row r="2493" spans="1:9" ht="30" x14ac:dyDescent="0.25">
      <c r="A2493" s="54" t="s">
        <v>588</v>
      </c>
      <c r="B2493" s="43" t="s">
        <v>585</v>
      </c>
      <c r="C2493" s="37" t="s">
        <v>1981</v>
      </c>
      <c r="D2493" s="37"/>
      <c r="E2493" s="37" t="s">
        <v>1974</v>
      </c>
      <c r="F2493" s="37" t="b">
        <v>0</v>
      </c>
      <c r="G2493" s="37">
        <v>200</v>
      </c>
      <c r="H2493" s="37" t="b">
        <v>1</v>
      </c>
    </row>
    <row r="2494" spans="1:9" ht="30" x14ac:dyDescent="0.25">
      <c r="A2494" s="54" t="s">
        <v>588</v>
      </c>
      <c r="B2494" s="31" t="s">
        <v>582</v>
      </c>
      <c r="C2494" s="28" t="s">
        <v>1982</v>
      </c>
      <c r="D2494" s="28"/>
      <c r="E2494" s="28" t="s">
        <v>1974</v>
      </c>
      <c r="F2494" s="28" t="b">
        <v>0</v>
      </c>
      <c r="G2494" s="28">
        <v>200</v>
      </c>
      <c r="H2494" s="28" t="b">
        <v>1</v>
      </c>
      <c r="I2494" s="34"/>
    </row>
    <row r="2495" spans="1:9" ht="30" x14ac:dyDescent="0.25">
      <c r="A2495" s="54" t="s">
        <v>588</v>
      </c>
      <c r="B2495" s="43" t="s">
        <v>638</v>
      </c>
      <c r="C2495" s="37" t="s">
        <v>1983</v>
      </c>
      <c r="D2495" s="37"/>
      <c r="E2495" s="37" t="s">
        <v>1974</v>
      </c>
      <c r="F2495" s="37" t="b">
        <v>0</v>
      </c>
      <c r="G2495" s="37">
        <v>200</v>
      </c>
      <c r="H2495" s="37" t="b">
        <v>1</v>
      </c>
    </row>
    <row r="2496" spans="1:9" ht="30" x14ac:dyDescent="0.25">
      <c r="A2496" s="54" t="s">
        <v>588</v>
      </c>
      <c r="B2496" s="31" t="s">
        <v>638</v>
      </c>
      <c r="C2496" s="28" t="s">
        <v>1984</v>
      </c>
      <c r="D2496" s="28"/>
      <c r="E2496" s="28" t="s">
        <v>1974</v>
      </c>
      <c r="F2496" s="28" t="b">
        <v>0</v>
      </c>
      <c r="G2496" s="28">
        <v>200</v>
      </c>
      <c r="H2496" s="28" t="b">
        <v>1</v>
      </c>
      <c r="I2496" s="34"/>
    </row>
    <row r="2497" spans="1:9" ht="30" x14ac:dyDescent="0.25">
      <c r="A2497" s="54" t="s">
        <v>588</v>
      </c>
      <c r="B2497" s="43" t="s">
        <v>647</v>
      </c>
      <c r="C2497" s="37" t="s">
        <v>1985</v>
      </c>
      <c r="D2497" s="37"/>
      <c r="E2497" s="37" t="s">
        <v>1974</v>
      </c>
      <c r="F2497" s="37" t="b">
        <v>0</v>
      </c>
      <c r="G2497" s="37">
        <v>200</v>
      </c>
      <c r="H2497" s="37" t="b">
        <v>1</v>
      </c>
    </row>
    <row r="2498" spans="1:9" ht="30" x14ac:dyDescent="0.25">
      <c r="A2498" s="54" t="s">
        <v>588</v>
      </c>
      <c r="B2498" s="31" t="s">
        <v>503</v>
      </c>
      <c r="C2498" s="28" t="s">
        <v>1986</v>
      </c>
      <c r="D2498" s="28"/>
      <c r="E2498" s="28" t="s">
        <v>1974</v>
      </c>
      <c r="F2498" s="28" t="b">
        <v>0</v>
      </c>
      <c r="G2498" s="28">
        <v>200</v>
      </c>
      <c r="H2498" s="28" t="b">
        <v>1</v>
      </c>
      <c r="I2498" s="34"/>
    </row>
    <row r="2499" spans="1:9" ht="30" x14ac:dyDescent="0.25">
      <c r="A2499" s="54" t="s">
        <v>588</v>
      </c>
      <c r="B2499" s="43" t="s">
        <v>608</v>
      </c>
      <c r="C2499" s="37" t="s">
        <v>1987</v>
      </c>
      <c r="D2499" s="37"/>
      <c r="E2499" s="37" t="s">
        <v>1974</v>
      </c>
      <c r="F2499" s="37" t="b">
        <v>0</v>
      </c>
      <c r="G2499" s="37">
        <v>200</v>
      </c>
      <c r="H2499" s="37" t="b">
        <v>1</v>
      </c>
    </row>
    <row r="2500" spans="1:9" ht="30" x14ac:dyDescent="0.25">
      <c r="A2500" s="54" t="s">
        <v>588</v>
      </c>
      <c r="B2500" s="31" t="s">
        <v>127</v>
      </c>
      <c r="C2500" s="28" t="s">
        <v>1975</v>
      </c>
      <c r="D2500" s="28"/>
      <c r="E2500" s="28" t="s">
        <v>1974</v>
      </c>
      <c r="F2500" s="28" t="b">
        <v>0</v>
      </c>
      <c r="G2500" s="28">
        <v>200</v>
      </c>
      <c r="H2500" s="28" t="b">
        <v>1</v>
      </c>
      <c r="I2500" s="34"/>
    </row>
    <row r="2501" spans="1:9" ht="30" x14ac:dyDescent="0.25">
      <c r="A2501" s="54" t="s">
        <v>588</v>
      </c>
      <c r="B2501" s="43" t="s">
        <v>135</v>
      </c>
      <c r="C2501" s="37" t="s">
        <v>1976</v>
      </c>
      <c r="D2501" s="37"/>
      <c r="E2501" s="37" t="s">
        <v>1974</v>
      </c>
      <c r="F2501" s="37" t="b">
        <v>0</v>
      </c>
      <c r="G2501" s="37">
        <v>200</v>
      </c>
      <c r="H2501" s="37" t="b">
        <v>1</v>
      </c>
    </row>
    <row r="2502" spans="1:9" ht="30" x14ac:dyDescent="0.25">
      <c r="A2502" s="54" t="s">
        <v>588</v>
      </c>
      <c r="B2502" s="31" t="s">
        <v>655</v>
      </c>
      <c r="C2502" s="28" t="s">
        <v>1977</v>
      </c>
      <c r="D2502" s="28"/>
      <c r="E2502" s="28" t="s">
        <v>1974</v>
      </c>
      <c r="F2502" s="28" t="b">
        <v>0</v>
      </c>
      <c r="G2502" s="28">
        <v>200</v>
      </c>
      <c r="H2502" s="28" t="b">
        <v>1</v>
      </c>
      <c r="I2502" s="34"/>
    </row>
    <row r="2503" spans="1:9" ht="30" x14ac:dyDescent="0.25">
      <c r="A2503" s="54" t="s">
        <v>588</v>
      </c>
      <c r="B2503" s="43" t="s">
        <v>635</v>
      </c>
      <c r="C2503" s="37" t="s">
        <v>1978</v>
      </c>
      <c r="D2503" s="37"/>
      <c r="E2503" s="37" t="s">
        <v>1974</v>
      </c>
      <c r="F2503" s="37" t="b">
        <v>0</v>
      </c>
      <c r="G2503" s="37">
        <v>200</v>
      </c>
      <c r="H2503" s="37" t="b">
        <v>1</v>
      </c>
    </row>
    <row r="2504" spans="1:9" ht="30" x14ac:dyDescent="0.25">
      <c r="A2504" s="54" t="s">
        <v>588</v>
      </c>
      <c r="B2504" s="31" t="s">
        <v>144</v>
      </c>
      <c r="C2504" s="28" t="s">
        <v>1979</v>
      </c>
      <c r="D2504" s="28"/>
      <c r="E2504" s="28" t="s">
        <v>1974</v>
      </c>
      <c r="F2504" s="28" t="b">
        <v>0</v>
      </c>
      <c r="G2504" s="28">
        <v>200</v>
      </c>
      <c r="H2504" s="28" t="b">
        <v>1</v>
      </c>
      <c r="I2504" s="34"/>
    </row>
    <row r="2505" spans="1:9" ht="30" x14ac:dyDescent="0.25">
      <c r="A2505" s="54" t="s">
        <v>588</v>
      </c>
      <c r="B2505" s="43" t="s">
        <v>618</v>
      </c>
      <c r="C2505" s="37" t="s">
        <v>1980</v>
      </c>
      <c r="D2505" s="37"/>
      <c r="E2505" s="37" t="s">
        <v>1974</v>
      </c>
      <c r="F2505" s="37" t="b">
        <v>0</v>
      </c>
      <c r="G2505" s="37">
        <v>200</v>
      </c>
      <c r="H2505" s="37" t="b">
        <v>1</v>
      </c>
    </row>
    <row r="2506" spans="1:9" ht="30" x14ac:dyDescent="0.25">
      <c r="A2506" s="54" t="s">
        <v>588</v>
      </c>
      <c r="B2506" s="31" t="s">
        <v>585</v>
      </c>
      <c r="C2506" s="28" t="s">
        <v>1981</v>
      </c>
      <c r="D2506" s="28"/>
      <c r="E2506" s="28" t="s">
        <v>1974</v>
      </c>
      <c r="F2506" s="28" t="b">
        <v>0</v>
      </c>
      <c r="G2506" s="28">
        <v>200</v>
      </c>
      <c r="H2506" s="28" t="b">
        <v>1</v>
      </c>
      <c r="I2506" s="34"/>
    </row>
    <row r="2507" spans="1:9" ht="30" x14ac:dyDescent="0.25">
      <c r="A2507" s="54" t="s">
        <v>588</v>
      </c>
      <c r="B2507" s="43" t="s">
        <v>582</v>
      </c>
      <c r="C2507" s="37" t="s">
        <v>1982</v>
      </c>
      <c r="D2507" s="37"/>
      <c r="E2507" s="37" t="s">
        <v>1974</v>
      </c>
      <c r="F2507" s="37" t="b">
        <v>0</v>
      </c>
      <c r="G2507" s="37">
        <v>200</v>
      </c>
      <c r="H2507" s="37" t="b">
        <v>1</v>
      </c>
    </row>
    <row r="2508" spans="1:9" ht="30" x14ac:dyDescent="0.25">
      <c r="A2508" s="54" t="s">
        <v>588</v>
      </c>
      <c r="B2508" s="31" t="s">
        <v>638</v>
      </c>
      <c r="C2508" s="28" t="s">
        <v>1983</v>
      </c>
      <c r="D2508" s="28"/>
      <c r="E2508" s="28" t="s">
        <v>1974</v>
      </c>
      <c r="F2508" s="28" t="b">
        <v>0</v>
      </c>
      <c r="G2508" s="28">
        <v>200</v>
      </c>
      <c r="H2508" s="28" t="b">
        <v>1</v>
      </c>
      <c r="I2508" s="34"/>
    </row>
    <row r="2509" spans="1:9" ht="30" x14ac:dyDescent="0.25">
      <c r="A2509" s="54" t="s">
        <v>588</v>
      </c>
      <c r="B2509" s="43" t="s">
        <v>638</v>
      </c>
      <c r="C2509" s="37" t="s">
        <v>1984</v>
      </c>
      <c r="D2509" s="37"/>
      <c r="E2509" s="37" t="s">
        <v>1974</v>
      </c>
      <c r="F2509" s="37" t="b">
        <v>0</v>
      </c>
      <c r="G2509" s="37">
        <v>200</v>
      </c>
      <c r="H2509" s="37" t="b">
        <v>1</v>
      </c>
    </row>
    <row r="2510" spans="1:9" ht="30" x14ac:dyDescent="0.25">
      <c r="A2510" s="54" t="s">
        <v>588</v>
      </c>
      <c r="B2510" s="31" t="s">
        <v>647</v>
      </c>
      <c r="C2510" s="28" t="s">
        <v>1985</v>
      </c>
      <c r="D2510" s="28"/>
      <c r="E2510" s="28" t="s">
        <v>1974</v>
      </c>
      <c r="F2510" s="28" t="b">
        <v>0</v>
      </c>
      <c r="G2510" s="28">
        <v>200</v>
      </c>
      <c r="H2510" s="28" t="b">
        <v>1</v>
      </c>
      <c r="I2510" s="34"/>
    </row>
    <row r="2511" spans="1:9" ht="30" x14ac:dyDescent="0.25">
      <c r="A2511" s="54" t="s">
        <v>588</v>
      </c>
      <c r="B2511" s="43" t="s">
        <v>503</v>
      </c>
      <c r="C2511" s="37" t="s">
        <v>1986</v>
      </c>
      <c r="D2511" s="37"/>
      <c r="E2511" s="37" t="s">
        <v>1974</v>
      </c>
      <c r="F2511" s="37" t="b">
        <v>0</v>
      </c>
      <c r="G2511" s="37">
        <v>200</v>
      </c>
      <c r="H2511" s="37" t="b">
        <v>1</v>
      </c>
    </row>
    <row r="2512" spans="1:9" ht="30" x14ac:dyDescent="0.25">
      <c r="A2512" s="54" t="s">
        <v>588</v>
      </c>
      <c r="B2512" s="31" t="s">
        <v>608</v>
      </c>
      <c r="C2512" s="28" t="s">
        <v>1987</v>
      </c>
      <c r="D2512" s="28"/>
      <c r="E2512" s="28" t="s">
        <v>1974</v>
      </c>
      <c r="F2512" s="28" t="b">
        <v>0</v>
      </c>
      <c r="G2512" s="28">
        <v>200</v>
      </c>
      <c r="H2512" s="28" t="b">
        <v>1</v>
      </c>
      <c r="I2512" s="34"/>
    </row>
    <row r="2513" spans="1:9" ht="30" x14ac:dyDescent="0.25">
      <c r="A2513" s="54" t="s">
        <v>588</v>
      </c>
      <c r="B2513" s="43" t="s">
        <v>2025</v>
      </c>
      <c r="C2513" s="37"/>
      <c r="D2513" s="37"/>
      <c r="E2513" s="37" t="s">
        <v>2012</v>
      </c>
      <c r="F2513" s="37" t="b">
        <v>0</v>
      </c>
      <c r="G2513" s="37"/>
      <c r="H2513" s="37" t="b">
        <v>1</v>
      </c>
    </row>
    <row r="2514" spans="1:9" ht="30" x14ac:dyDescent="0.25">
      <c r="A2514" s="54" t="s">
        <v>588</v>
      </c>
      <c r="B2514" s="31" t="s">
        <v>127</v>
      </c>
      <c r="C2514" s="28" t="s">
        <v>1975</v>
      </c>
      <c r="D2514" s="28"/>
      <c r="E2514" s="28" t="s">
        <v>1974</v>
      </c>
      <c r="F2514" s="28" t="b">
        <v>0</v>
      </c>
      <c r="G2514" s="28">
        <v>200</v>
      </c>
      <c r="H2514" s="28" t="b">
        <v>1</v>
      </c>
      <c r="I2514" s="34"/>
    </row>
    <row r="2515" spans="1:9" ht="30" x14ac:dyDescent="0.25">
      <c r="A2515" s="54" t="s">
        <v>588</v>
      </c>
      <c r="B2515" s="43" t="s">
        <v>135</v>
      </c>
      <c r="C2515" s="37" t="s">
        <v>1976</v>
      </c>
      <c r="D2515" s="37"/>
      <c r="E2515" s="37" t="s">
        <v>1974</v>
      </c>
      <c r="F2515" s="37" t="b">
        <v>0</v>
      </c>
      <c r="G2515" s="37">
        <v>200</v>
      </c>
      <c r="H2515" s="37" t="b">
        <v>1</v>
      </c>
    </row>
    <row r="2516" spans="1:9" ht="30" x14ac:dyDescent="0.25">
      <c r="A2516" s="54" t="s">
        <v>588</v>
      </c>
      <c r="B2516" s="31" t="s">
        <v>655</v>
      </c>
      <c r="C2516" s="28" t="s">
        <v>1977</v>
      </c>
      <c r="D2516" s="28"/>
      <c r="E2516" s="28" t="s">
        <v>1974</v>
      </c>
      <c r="F2516" s="28" t="b">
        <v>0</v>
      </c>
      <c r="G2516" s="28">
        <v>200</v>
      </c>
      <c r="H2516" s="28" t="b">
        <v>1</v>
      </c>
      <c r="I2516" s="34"/>
    </row>
    <row r="2517" spans="1:9" ht="30" x14ac:dyDescent="0.25">
      <c r="A2517" s="54" t="s">
        <v>588</v>
      </c>
      <c r="B2517" s="43" t="s">
        <v>635</v>
      </c>
      <c r="C2517" s="37" t="s">
        <v>1978</v>
      </c>
      <c r="D2517" s="37"/>
      <c r="E2517" s="37" t="s">
        <v>1974</v>
      </c>
      <c r="F2517" s="37" t="b">
        <v>0</v>
      </c>
      <c r="G2517" s="37">
        <v>200</v>
      </c>
      <c r="H2517" s="37" t="b">
        <v>1</v>
      </c>
    </row>
    <row r="2518" spans="1:9" ht="30" x14ac:dyDescent="0.25">
      <c r="A2518" s="54" t="s">
        <v>588</v>
      </c>
      <c r="B2518" s="31" t="s">
        <v>144</v>
      </c>
      <c r="C2518" s="28" t="s">
        <v>1979</v>
      </c>
      <c r="D2518" s="28"/>
      <c r="E2518" s="28" t="s">
        <v>1974</v>
      </c>
      <c r="F2518" s="28" t="b">
        <v>0</v>
      </c>
      <c r="G2518" s="28">
        <v>200</v>
      </c>
      <c r="H2518" s="28" t="b">
        <v>1</v>
      </c>
      <c r="I2518" s="34"/>
    </row>
    <row r="2519" spans="1:9" ht="30" x14ac:dyDescent="0.25">
      <c r="A2519" s="54" t="s">
        <v>588</v>
      </c>
      <c r="B2519" s="43" t="s">
        <v>618</v>
      </c>
      <c r="C2519" s="37" t="s">
        <v>1980</v>
      </c>
      <c r="D2519" s="37"/>
      <c r="E2519" s="37" t="s">
        <v>1974</v>
      </c>
      <c r="F2519" s="37" t="b">
        <v>0</v>
      </c>
      <c r="G2519" s="37">
        <v>200</v>
      </c>
      <c r="H2519" s="37" t="b">
        <v>1</v>
      </c>
    </row>
    <row r="2520" spans="1:9" ht="30" x14ac:dyDescent="0.25">
      <c r="A2520" s="54" t="s">
        <v>588</v>
      </c>
      <c r="B2520" s="31" t="s">
        <v>585</v>
      </c>
      <c r="C2520" s="28" t="s">
        <v>1981</v>
      </c>
      <c r="D2520" s="28"/>
      <c r="E2520" s="28" t="s">
        <v>1974</v>
      </c>
      <c r="F2520" s="28" t="b">
        <v>0</v>
      </c>
      <c r="G2520" s="28">
        <v>200</v>
      </c>
      <c r="H2520" s="28" t="b">
        <v>1</v>
      </c>
      <c r="I2520" s="34"/>
    </row>
    <row r="2521" spans="1:9" ht="30" x14ac:dyDescent="0.25">
      <c r="A2521" s="54" t="s">
        <v>588</v>
      </c>
      <c r="B2521" s="43" t="s">
        <v>582</v>
      </c>
      <c r="C2521" s="37" t="s">
        <v>1982</v>
      </c>
      <c r="D2521" s="37"/>
      <c r="E2521" s="37" t="s">
        <v>1974</v>
      </c>
      <c r="F2521" s="37" t="b">
        <v>0</v>
      </c>
      <c r="G2521" s="37">
        <v>200</v>
      </c>
      <c r="H2521" s="37" t="b">
        <v>1</v>
      </c>
    </row>
    <row r="2522" spans="1:9" ht="30" x14ac:dyDescent="0.25">
      <c r="A2522" s="54" t="s">
        <v>588</v>
      </c>
      <c r="B2522" s="31" t="s">
        <v>638</v>
      </c>
      <c r="C2522" s="28" t="s">
        <v>1983</v>
      </c>
      <c r="D2522" s="28"/>
      <c r="E2522" s="28" t="s">
        <v>1974</v>
      </c>
      <c r="F2522" s="28" t="b">
        <v>0</v>
      </c>
      <c r="G2522" s="28">
        <v>200</v>
      </c>
      <c r="H2522" s="28" t="b">
        <v>1</v>
      </c>
      <c r="I2522" s="34"/>
    </row>
    <row r="2523" spans="1:9" ht="30" x14ac:dyDescent="0.25">
      <c r="A2523" s="54" t="s">
        <v>588</v>
      </c>
      <c r="B2523" s="43" t="s">
        <v>638</v>
      </c>
      <c r="C2523" s="37" t="s">
        <v>1984</v>
      </c>
      <c r="D2523" s="37"/>
      <c r="E2523" s="37" t="s">
        <v>1974</v>
      </c>
      <c r="F2523" s="37" t="b">
        <v>0</v>
      </c>
      <c r="G2523" s="37">
        <v>200</v>
      </c>
      <c r="H2523" s="37" t="b">
        <v>1</v>
      </c>
    </row>
    <row r="2524" spans="1:9" ht="30" x14ac:dyDescent="0.25">
      <c r="A2524" s="54" t="s">
        <v>588</v>
      </c>
      <c r="B2524" s="31" t="s">
        <v>647</v>
      </c>
      <c r="C2524" s="28" t="s">
        <v>1985</v>
      </c>
      <c r="D2524" s="28"/>
      <c r="E2524" s="28" t="s">
        <v>1974</v>
      </c>
      <c r="F2524" s="28" t="b">
        <v>0</v>
      </c>
      <c r="G2524" s="28">
        <v>200</v>
      </c>
      <c r="H2524" s="28" t="b">
        <v>1</v>
      </c>
      <c r="I2524" s="34"/>
    </row>
    <row r="2525" spans="1:9" ht="30" x14ac:dyDescent="0.25">
      <c r="A2525" s="54" t="s">
        <v>588</v>
      </c>
      <c r="B2525" s="43" t="s">
        <v>503</v>
      </c>
      <c r="C2525" s="37" t="s">
        <v>1986</v>
      </c>
      <c r="D2525" s="37"/>
      <c r="E2525" s="37" t="s">
        <v>1974</v>
      </c>
      <c r="F2525" s="37" t="b">
        <v>0</v>
      </c>
      <c r="G2525" s="37">
        <v>200</v>
      </c>
      <c r="H2525" s="37" t="b">
        <v>1</v>
      </c>
    </row>
    <row r="2526" spans="1:9" ht="30" x14ac:dyDescent="0.25">
      <c r="A2526" s="54" t="s">
        <v>588</v>
      </c>
      <c r="B2526" s="31" t="s">
        <v>608</v>
      </c>
      <c r="C2526" s="28" t="s">
        <v>1987</v>
      </c>
      <c r="D2526" s="28"/>
      <c r="E2526" s="28" t="s">
        <v>1974</v>
      </c>
      <c r="F2526" s="28" t="b">
        <v>0</v>
      </c>
      <c r="G2526" s="28">
        <v>200</v>
      </c>
      <c r="H2526" s="28" t="b">
        <v>1</v>
      </c>
      <c r="I2526" s="34"/>
    </row>
    <row r="2527" spans="1:9" ht="30" x14ac:dyDescent="0.25">
      <c r="A2527" s="54" t="s">
        <v>588</v>
      </c>
      <c r="B2527" s="43" t="s">
        <v>127</v>
      </c>
      <c r="C2527" s="37" t="s">
        <v>1975</v>
      </c>
      <c r="D2527" s="37"/>
      <c r="E2527" s="37" t="s">
        <v>1974</v>
      </c>
      <c r="F2527" s="37" t="b">
        <v>0</v>
      </c>
      <c r="G2527" s="37">
        <v>200</v>
      </c>
      <c r="H2527" s="37" t="b">
        <v>1</v>
      </c>
    </row>
    <row r="2528" spans="1:9" ht="30" x14ac:dyDescent="0.25">
      <c r="A2528" s="54" t="s">
        <v>588</v>
      </c>
      <c r="B2528" s="31" t="s">
        <v>135</v>
      </c>
      <c r="C2528" s="28" t="s">
        <v>1976</v>
      </c>
      <c r="D2528" s="28"/>
      <c r="E2528" s="28" t="s">
        <v>1974</v>
      </c>
      <c r="F2528" s="28" t="b">
        <v>0</v>
      </c>
      <c r="G2528" s="28">
        <v>200</v>
      </c>
      <c r="H2528" s="28" t="b">
        <v>1</v>
      </c>
      <c r="I2528" s="34"/>
    </row>
    <row r="2529" spans="1:9" ht="30" x14ac:dyDescent="0.25">
      <c r="A2529" s="54" t="s">
        <v>588</v>
      </c>
      <c r="B2529" s="43" t="s">
        <v>655</v>
      </c>
      <c r="C2529" s="37" t="s">
        <v>1977</v>
      </c>
      <c r="D2529" s="37"/>
      <c r="E2529" s="37" t="s">
        <v>1974</v>
      </c>
      <c r="F2529" s="37" t="b">
        <v>0</v>
      </c>
      <c r="G2529" s="37">
        <v>200</v>
      </c>
      <c r="H2529" s="37" t="b">
        <v>1</v>
      </c>
    </row>
    <row r="2530" spans="1:9" ht="30" x14ac:dyDescent="0.25">
      <c r="A2530" s="54" t="s">
        <v>588</v>
      </c>
      <c r="B2530" s="31" t="s">
        <v>635</v>
      </c>
      <c r="C2530" s="28" t="s">
        <v>1978</v>
      </c>
      <c r="D2530" s="28"/>
      <c r="E2530" s="28" t="s">
        <v>1974</v>
      </c>
      <c r="F2530" s="28" t="b">
        <v>0</v>
      </c>
      <c r="G2530" s="28">
        <v>200</v>
      </c>
      <c r="H2530" s="28" t="b">
        <v>1</v>
      </c>
      <c r="I2530" s="34"/>
    </row>
    <row r="2531" spans="1:9" ht="30" x14ac:dyDescent="0.25">
      <c r="A2531" s="54" t="s">
        <v>588</v>
      </c>
      <c r="B2531" s="43" t="s">
        <v>144</v>
      </c>
      <c r="C2531" s="37" t="s">
        <v>1979</v>
      </c>
      <c r="D2531" s="37"/>
      <c r="E2531" s="37" t="s">
        <v>1974</v>
      </c>
      <c r="F2531" s="37" t="b">
        <v>0</v>
      </c>
      <c r="G2531" s="37">
        <v>200</v>
      </c>
      <c r="H2531" s="37" t="b">
        <v>1</v>
      </c>
    </row>
    <row r="2532" spans="1:9" ht="30" x14ac:dyDescent="0.25">
      <c r="A2532" s="54" t="s">
        <v>588</v>
      </c>
      <c r="B2532" s="31" t="s">
        <v>618</v>
      </c>
      <c r="C2532" s="28" t="s">
        <v>1980</v>
      </c>
      <c r="D2532" s="28"/>
      <c r="E2532" s="28" t="s">
        <v>1974</v>
      </c>
      <c r="F2532" s="28" t="b">
        <v>0</v>
      </c>
      <c r="G2532" s="28">
        <v>200</v>
      </c>
      <c r="H2532" s="28" t="b">
        <v>1</v>
      </c>
      <c r="I2532" s="34"/>
    </row>
    <row r="2533" spans="1:9" ht="30" x14ac:dyDescent="0.25">
      <c r="A2533" s="54" t="s">
        <v>588</v>
      </c>
      <c r="B2533" s="43" t="s">
        <v>585</v>
      </c>
      <c r="C2533" s="37" t="s">
        <v>1981</v>
      </c>
      <c r="D2533" s="37"/>
      <c r="E2533" s="37" t="s">
        <v>1974</v>
      </c>
      <c r="F2533" s="37" t="b">
        <v>0</v>
      </c>
      <c r="G2533" s="37">
        <v>200</v>
      </c>
      <c r="H2533" s="37" t="b">
        <v>1</v>
      </c>
    </row>
    <row r="2534" spans="1:9" ht="30" x14ac:dyDescent="0.25">
      <c r="A2534" s="54" t="s">
        <v>588</v>
      </c>
      <c r="B2534" s="31" t="s">
        <v>582</v>
      </c>
      <c r="C2534" s="28" t="s">
        <v>1982</v>
      </c>
      <c r="D2534" s="28"/>
      <c r="E2534" s="28" t="s">
        <v>1974</v>
      </c>
      <c r="F2534" s="28" t="b">
        <v>0</v>
      </c>
      <c r="G2534" s="28">
        <v>200</v>
      </c>
      <c r="H2534" s="28" t="b">
        <v>1</v>
      </c>
      <c r="I2534" s="34"/>
    </row>
    <row r="2535" spans="1:9" ht="30" x14ac:dyDescent="0.25">
      <c r="A2535" s="54" t="s">
        <v>588</v>
      </c>
      <c r="B2535" s="43" t="s">
        <v>638</v>
      </c>
      <c r="C2535" s="37" t="s">
        <v>1983</v>
      </c>
      <c r="D2535" s="37"/>
      <c r="E2535" s="37" t="s">
        <v>1974</v>
      </c>
      <c r="F2535" s="37" t="b">
        <v>0</v>
      </c>
      <c r="G2535" s="37">
        <v>200</v>
      </c>
      <c r="H2535" s="37" t="b">
        <v>1</v>
      </c>
    </row>
    <row r="2536" spans="1:9" ht="30" x14ac:dyDescent="0.25">
      <c r="A2536" s="54" t="s">
        <v>588</v>
      </c>
      <c r="B2536" s="31" t="s">
        <v>638</v>
      </c>
      <c r="C2536" s="28" t="s">
        <v>1984</v>
      </c>
      <c r="D2536" s="28"/>
      <c r="E2536" s="28" t="s">
        <v>1974</v>
      </c>
      <c r="F2536" s="28" t="b">
        <v>0</v>
      </c>
      <c r="G2536" s="28">
        <v>200</v>
      </c>
      <c r="H2536" s="28" t="b">
        <v>1</v>
      </c>
      <c r="I2536" s="34"/>
    </row>
    <row r="2537" spans="1:9" ht="30" x14ac:dyDescent="0.25">
      <c r="A2537" s="54" t="s">
        <v>588</v>
      </c>
      <c r="B2537" s="43" t="s">
        <v>647</v>
      </c>
      <c r="C2537" s="37" t="s">
        <v>1985</v>
      </c>
      <c r="D2537" s="37"/>
      <c r="E2537" s="37" t="s">
        <v>1974</v>
      </c>
      <c r="F2537" s="37" t="b">
        <v>0</v>
      </c>
      <c r="G2537" s="37">
        <v>200</v>
      </c>
      <c r="H2537" s="37" t="b">
        <v>1</v>
      </c>
    </row>
    <row r="2538" spans="1:9" ht="30" x14ac:dyDescent="0.25">
      <c r="A2538" s="54" t="s">
        <v>588</v>
      </c>
      <c r="B2538" s="31" t="s">
        <v>503</v>
      </c>
      <c r="C2538" s="28" t="s">
        <v>1986</v>
      </c>
      <c r="D2538" s="28"/>
      <c r="E2538" s="28" t="s">
        <v>1974</v>
      </c>
      <c r="F2538" s="28" t="b">
        <v>0</v>
      </c>
      <c r="G2538" s="28">
        <v>200</v>
      </c>
      <c r="H2538" s="28" t="b">
        <v>1</v>
      </c>
      <c r="I2538" s="34"/>
    </row>
    <row r="2539" spans="1:9" ht="30" x14ac:dyDescent="0.25">
      <c r="A2539" s="54" t="s">
        <v>588</v>
      </c>
      <c r="B2539" s="43" t="s">
        <v>608</v>
      </c>
      <c r="C2539" s="37" t="s">
        <v>1987</v>
      </c>
      <c r="D2539" s="37"/>
      <c r="E2539" s="37" t="s">
        <v>1974</v>
      </c>
      <c r="F2539" s="37" t="b">
        <v>0</v>
      </c>
      <c r="G2539" s="37">
        <v>200</v>
      </c>
      <c r="H2539" s="37" t="b">
        <v>1</v>
      </c>
    </row>
    <row r="2540" spans="1:9" ht="30" x14ac:dyDescent="0.25">
      <c r="A2540" s="54" t="s">
        <v>588</v>
      </c>
      <c r="B2540" s="31" t="s">
        <v>647</v>
      </c>
      <c r="C2540" s="28" t="s">
        <v>2010</v>
      </c>
      <c r="D2540" s="28"/>
      <c r="E2540" s="28" t="s">
        <v>1974</v>
      </c>
      <c r="F2540" s="28" t="b">
        <v>0</v>
      </c>
      <c r="G2540" s="28">
        <v>200</v>
      </c>
      <c r="H2540" s="28" t="b">
        <v>1</v>
      </c>
      <c r="I2540" s="34"/>
    </row>
    <row r="2541" spans="1:9" ht="30" x14ac:dyDescent="0.25">
      <c r="A2541" s="54" t="s">
        <v>588</v>
      </c>
      <c r="B2541" s="43" t="s">
        <v>2011</v>
      </c>
      <c r="C2541" s="37"/>
      <c r="D2541" s="37"/>
      <c r="E2541" s="37" t="s">
        <v>2012</v>
      </c>
      <c r="F2541" s="37" t="b">
        <v>0</v>
      </c>
      <c r="G2541" s="37"/>
      <c r="H2541" s="37" t="b">
        <v>1</v>
      </c>
    </row>
    <row r="2542" spans="1:9" ht="30" x14ac:dyDescent="0.25">
      <c r="A2542" s="54" t="s">
        <v>588</v>
      </c>
      <c r="B2542" s="31" t="s">
        <v>2013</v>
      </c>
      <c r="C2542" s="28"/>
      <c r="D2542" s="28"/>
      <c r="E2542" s="28" t="s">
        <v>2012</v>
      </c>
      <c r="F2542" s="28" t="b">
        <v>0</v>
      </c>
      <c r="G2542" s="28"/>
      <c r="H2542" s="28" t="b">
        <v>1</v>
      </c>
      <c r="I2542" s="34"/>
    </row>
    <row r="2543" spans="1:9" ht="30" x14ac:dyDescent="0.25">
      <c r="A2543" s="54" t="s">
        <v>588</v>
      </c>
      <c r="B2543" s="43" t="s">
        <v>641</v>
      </c>
      <c r="C2543" s="37" t="s">
        <v>2014</v>
      </c>
      <c r="D2543" s="37"/>
      <c r="E2543" s="37" t="s">
        <v>1974</v>
      </c>
      <c r="F2543" s="37" t="b">
        <v>0</v>
      </c>
      <c r="G2543" s="37">
        <v>200</v>
      </c>
      <c r="H2543" s="37" t="b">
        <v>1</v>
      </c>
    </row>
    <row r="2544" spans="1:9" ht="30" x14ac:dyDescent="0.25">
      <c r="A2544" s="54" t="s">
        <v>588</v>
      </c>
      <c r="B2544" s="31" t="s">
        <v>2015</v>
      </c>
      <c r="C2544" s="28" t="s">
        <v>2016</v>
      </c>
      <c r="D2544" s="28"/>
      <c r="E2544" s="28" t="s">
        <v>1974</v>
      </c>
      <c r="F2544" s="28" t="b">
        <v>0</v>
      </c>
      <c r="G2544" s="28">
        <v>404</v>
      </c>
      <c r="H2544" s="28" t="b">
        <v>0</v>
      </c>
      <c r="I2544" s="34"/>
    </row>
    <row r="2545" spans="1:9" ht="30" x14ac:dyDescent="0.25">
      <c r="A2545" s="54" t="s">
        <v>588</v>
      </c>
      <c r="B2545" s="43" t="s">
        <v>2015</v>
      </c>
      <c r="C2545" s="37" t="s">
        <v>2017</v>
      </c>
      <c r="D2545" s="37"/>
      <c r="E2545" s="37" t="s">
        <v>1974</v>
      </c>
      <c r="F2545" s="37" t="b">
        <v>0</v>
      </c>
      <c r="G2545" s="37">
        <v>404</v>
      </c>
      <c r="H2545" s="37" t="b">
        <v>0</v>
      </c>
    </row>
    <row r="2546" spans="1:9" ht="30" x14ac:dyDescent="0.25">
      <c r="A2546" s="54" t="s">
        <v>591</v>
      </c>
      <c r="B2546" s="31" t="s">
        <v>127</v>
      </c>
      <c r="C2546" s="28"/>
      <c r="D2546" s="28"/>
      <c r="E2546" s="28" t="s">
        <v>1974</v>
      </c>
      <c r="F2546" s="28" t="b">
        <v>0</v>
      </c>
      <c r="G2546" s="28">
        <v>200</v>
      </c>
      <c r="H2546" s="28" t="b">
        <v>1</v>
      </c>
      <c r="I2546" s="34"/>
    </row>
    <row r="2547" spans="1:9" ht="30" x14ac:dyDescent="0.25">
      <c r="A2547" s="54" t="s">
        <v>591</v>
      </c>
      <c r="B2547" s="43" t="s">
        <v>127</v>
      </c>
      <c r="C2547" s="37" t="s">
        <v>1975</v>
      </c>
      <c r="D2547" s="37"/>
      <c r="E2547" s="37" t="s">
        <v>1974</v>
      </c>
      <c r="F2547" s="37" t="b">
        <v>0</v>
      </c>
      <c r="G2547" s="37">
        <v>200</v>
      </c>
      <c r="H2547" s="37" t="b">
        <v>1</v>
      </c>
    </row>
    <row r="2548" spans="1:9" ht="30" x14ac:dyDescent="0.25">
      <c r="A2548" s="54" t="s">
        <v>591</v>
      </c>
      <c r="B2548" s="31" t="s">
        <v>135</v>
      </c>
      <c r="C2548" s="28" t="s">
        <v>1976</v>
      </c>
      <c r="D2548" s="28"/>
      <c r="E2548" s="28" t="s">
        <v>1974</v>
      </c>
      <c r="F2548" s="28" t="b">
        <v>0</v>
      </c>
      <c r="G2548" s="28">
        <v>200</v>
      </c>
      <c r="H2548" s="28" t="b">
        <v>1</v>
      </c>
      <c r="I2548" s="34"/>
    </row>
    <row r="2549" spans="1:9" ht="30" x14ac:dyDescent="0.25">
      <c r="A2549" s="54" t="s">
        <v>591</v>
      </c>
      <c r="B2549" s="43" t="s">
        <v>655</v>
      </c>
      <c r="C2549" s="37" t="s">
        <v>1977</v>
      </c>
      <c r="D2549" s="37"/>
      <c r="E2549" s="37" t="s">
        <v>1974</v>
      </c>
      <c r="F2549" s="37" t="b">
        <v>0</v>
      </c>
      <c r="G2549" s="37">
        <v>200</v>
      </c>
      <c r="H2549" s="37" t="b">
        <v>1</v>
      </c>
    </row>
    <row r="2550" spans="1:9" ht="30" x14ac:dyDescent="0.25">
      <c r="A2550" s="54" t="s">
        <v>591</v>
      </c>
      <c r="B2550" s="31" t="s">
        <v>635</v>
      </c>
      <c r="C2550" s="28" t="s">
        <v>1978</v>
      </c>
      <c r="D2550" s="28"/>
      <c r="E2550" s="28" t="s">
        <v>1974</v>
      </c>
      <c r="F2550" s="28" t="b">
        <v>0</v>
      </c>
      <c r="G2550" s="28">
        <v>200</v>
      </c>
      <c r="H2550" s="28" t="b">
        <v>1</v>
      </c>
      <c r="I2550" s="34"/>
    </row>
    <row r="2551" spans="1:9" ht="30" x14ac:dyDescent="0.25">
      <c r="A2551" s="54" t="s">
        <v>591</v>
      </c>
      <c r="B2551" s="43" t="s">
        <v>144</v>
      </c>
      <c r="C2551" s="37" t="s">
        <v>1979</v>
      </c>
      <c r="D2551" s="37"/>
      <c r="E2551" s="37" t="s">
        <v>1974</v>
      </c>
      <c r="F2551" s="37" t="b">
        <v>0</v>
      </c>
      <c r="G2551" s="37">
        <v>200</v>
      </c>
      <c r="H2551" s="37" t="b">
        <v>1</v>
      </c>
    </row>
    <row r="2552" spans="1:9" ht="30" x14ac:dyDescent="0.25">
      <c r="A2552" s="54" t="s">
        <v>591</v>
      </c>
      <c r="B2552" s="31" t="s">
        <v>618</v>
      </c>
      <c r="C2552" s="28" t="s">
        <v>1980</v>
      </c>
      <c r="D2552" s="28"/>
      <c r="E2552" s="28" t="s">
        <v>1974</v>
      </c>
      <c r="F2552" s="28" t="b">
        <v>0</v>
      </c>
      <c r="G2552" s="28">
        <v>200</v>
      </c>
      <c r="H2552" s="28" t="b">
        <v>1</v>
      </c>
      <c r="I2552" s="34"/>
    </row>
    <row r="2553" spans="1:9" ht="30" x14ac:dyDescent="0.25">
      <c r="A2553" s="54" t="s">
        <v>591</v>
      </c>
      <c r="B2553" s="43" t="s">
        <v>585</v>
      </c>
      <c r="C2553" s="37" t="s">
        <v>1981</v>
      </c>
      <c r="D2553" s="37"/>
      <c r="E2553" s="37" t="s">
        <v>1974</v>
      </c>
      <c r="F2553" s="37" t="b">
        <v>0</v>
      </c>
      <c r="G2553" s="37">
        <v>200</v>
      </c>
      <c r="H2553" s="37" t="b">
        <v>1</v>
      </c>
    </row>
    <row r="2554" spans="1:9" ht="30" x14ac:dyDescent="0.25">
      <c r="A2554" s="54" t="s">
        <v>591</v>
      </c>
      <c r="B2554" s="31" t="s">
        <v>582</v>
      </c>
      <c r="C2554" s="28" t="s">
        <v>1982</v>
      </c>
      <c r="D2554" s="28"/>
      <c r="E2554" s="28" t="s">
        <v>1974</v>
      </c>
      <c r="F2554" s="28" t="b">
        <v>0</v>
      </c>
      <c r="G2554" s="28">
        <v>200</v>
      </c>
      <c r="H2554" s="28" t="b">
        <v>1</v>
      </c>
      <c r="I2554" s="34"/>
    </row>
    <row r="2555" spans="1:9" ht="30" x14ac:dyDescent="0.25">
      <c r="A2555" s="54" t="s">
        <v>591</v>
      </c>
      <c r="B2555" s="43" t="s">
        <v>638</v>
      </c>
      <c r="C2555" s="37" t="s">
        <v>1983</v>
      </c>
      <c r="D2555" s="37"/>
      <c r="E2555" s="37" t="s">
        <v>1974</v>
      </c>
      <c r="F2555" s="37" t="b">
        <v>0</v>
      </c>
      <c r="G2555" s="37">
        <v>200</v>
      </c>
      <c r="H2555" s="37" t="b">
        <v>1</v>
      </c>
    </row>
    <row r="2556" spans="1:9" ht="30" x14ac:dyDescent="0.25">
      <c r="A2556" s="54" t="s">
        <v>591</v>
      </c>
      <c r="B2556" s="31" t="s">
        <v>638</v>
      </c>
      <c r="C2556" s="28" t="s">
        <v>1984</v>
      </c>
      <c r="D2556" s="28"/>
      <c r="E2556" s="28" t="s">
        <v>1974</v>
      </c>
      <c r="F2556" s="28" t="b">
        <v>0</v>
      </c>
      <c r="G2556" s="28">
        <v>200</v>
      </c>
      <c r="H2556" s="28" t="b">
        <v>1</v>
      </c>
      <c r="I2556" s="34"/>
    </row>
    <row r="2557" spans="1:9" ht="30" x14ac:dyDescent="0.25">
      <c r="A2557" s="54" t="s">
        <v>591</v>
      </c>
      <c r="B2557" s="43" t="s">
        <v>647</v>
      </c>
      <c r="C2557" s="37" t="s">
        <v>1985</v>
      </c>
      <c r="D2557" s="37"/>
      <c r="E2557" s="37" t="s">
        <v>1974</v>
      </c>
      <c r="F2557" s="37" t="b">
        <v>0</v>
      </c>
      <c r="G2557" s="37">
        <v>200</v>
      </c>
      <c r="H2557" s="37" t="b">
        <v>1</v>
      </c>
    </row>
    <row r="2558" spans="1:9" ht="30" x14ac:dyDescent="0.25">
      <c r="A2558" s="54" t="s">
        <v>591</v>
      </c>
      <c r="B2558" s="31" t="s">
        <v>503</v>
      </c>
      <c r="C2558" s="28" t="s">
        <v>1986</v>
      </c>
      <c r="D2558" s="28"/>
      <c r="E2558" s="28" t="s">
        <v>1974</v>
      </c>
      <c r="F2558" s="28" t="b">
        <v>0</v>
      </c>
      <c r="G2558" s="28">
        <v>200</v>
      </c>
      <c r="H2558" s="28" t="b">
        <v>1</v>
      </c>
      <c r="I2558" s="34"/>
    </row>
    <row r="2559" spans="1:9" ht="30" x14ac:dyDescent="0.25">
      <c r="A2559" s="54" t="s">
        <v>591</v>
      </c>
      <c r="B2559" s="43" t="s">
        <v>608</v>
      </c>
      <c r="C2559" s="37" t="s">
        <v>1987</v>
      </c>
      <c r="D2559" s="37"/>
      <c r="E2559" s="37" t="s">
        <v>1974</v>
      </c>
      <c r="F2559" s="37" t="b">
        <v>0</v>
      </c>
      <c r="G2559" s="37">
        <v>200</v>
      </c>
      <c r="H2559" s="37" t="b">
        <v>1</v>
      </c>
    </row>
    <row r="2560" spans="1:9" ht="30" x14ac:dyDescent="0.25">
      <c r="A2560" s="54" t="s">
        <v>591</v>
      </c>
      <c r="B2560" s="31" t="s">
        <v>127</v>
      </c>
      <c r="C2560" s="28" t="s">
        <v>1975</v>
      </c>
      <c r="D2560" s="28"/>
      <c r="E2560" s="28" t="s">
        <v>1974</v>
      </c>
      <c r="F2560" s="28" t="b">
        <v>0</v>
      </c>
      <c r="G2560" s="28">
        <v>200</v>
      </c>
      <c r="H2560" s="28" t="b">
        <v>1</v>
      </c>
      <c r="I2560" s="34"/>
    </row>
    <row r="2561" spans="1:9" ht="30" x14ac:dyDescent="0.25">
      <c r="A2561" s="54" t="s">
        <v>591</v>
      </c>
      <c r="B2561" s="43" t="s">
        <v>135</v>
      </c>
      <c r="C2561" s="37" t="s">
        <v>1976</v>
      </c>
      <c r="D2561" s="37"/>
      <c r="E2561" s="37" t="s">
        <v>1974</v>
      </c>
      <c r="F2561" s="37" t="b">
        <v>0</v>
      </c>
      <c r="G2561" s="37">
        <v>200</v>
      </c>
      <c r="H2561" s="37" t="b">
        <v>1</v>
      </c>
    </row>
    <row r="2562" spans="1:9" ht="30" x14ac:dyDescent="0.25">
      <c r="A2562" s="54" t="s">
        <v>591</v>
      </c>
      <c r="B2562" s="31" t="s">
        <v>655</v>
      </c>
      <c r="C2562" s="28" t="s">
        <v>1977</v>
      </c>
      <c r="D2562" s="28"/>
      <c r="E2562" s="28" t="s">
        <v>1974</v>
      </c>
      <c r="F2562" s="28" t="b">
        <v>0</v>
      </c>
      <c r="G2562" s="28">
        <v>200</v>
      </c>
      <c r="H2562" s="28" t="b">
        <v>1</v>
      </c>
      <c r="I2562" s="34"/>
    </row>
    <row r="2563" spans="1:9" ht="30" x14ac:dyDescent="0.25">
      <c r="A2563" s="54" t="s">
        <v>591</v>
      </c>
      <c r="B2563" s="43" t="s">
        <v>635</v>
      </c>
      <c r="C2563" s="37" t="s">
        <v>1978</v>
      </c>
      <c r="D2563" s="37"/>
      <c r="E2563" s="37" t="s">
        <v>1974</v>
      </c>
      <c r="F2563" s="37" t="b">
        <v>0</v>
      </c>
      <c r="G2563" s="37">
        <v>200</v>
      </c>
      <c r="H2563" s="37" t="b">
        <v>1</v>
      </c>
    </row>
    <row r="2564" spans="1:9" ht="30" x14ac:dyDescent="0.25">
      <c r="A2564" s="54" t="s">
        <v>591</v>
      </c>
      <c r="B2564" s="31" t="s">
        <v>144</v>
      </c>
      <c r="C2564" s="28" t="s">
        <v>1979</v>
      </c>
      <c r="D2564" s="28"/>
      <c r="E2564" s="28" t="s">
        <v>1974</v>
      </c>
      <c r="F2564" s="28" t="b">
        <v>0</v>
      </c>
      <c r="G2564" s="28">
        <v>200</v>
      </c>
      <c r="H2564" s="28" t="b">
        <v>1</v>
      </c>
      <c r="I2564" s="34"/>
    </row>
    <row r="2565" spans="1:9" ht="30" x14ac:dyDescent="0.25">
      <c r="A2565" s="54" t="s">
        <v>591</v>
      </c>
      <c r="B2565" s="43" t="s">
        <v>618</v>
      </c>
      <c r="C2565" s="37" t="s">
        <v>1980</v>
      </c>
      <c r="D2565" s="37"/>
      <c r="E2565" s="37" t="s">
        <v>1974</v>
      </c>
      <c r="F2565" s="37" t="b">
        <v>0</v>
      </c>
      <c r="G2565" s="37">
        <v>200</v>
      </c>
      <c r="H2565" s="37" t="b">
        <v>1</v>
      </c>
    </row>
    <row r="2566" spans="1:9" ht="30" x14ac:dyDescent="0.25">
      <c r="A2566" s="54" t="s">
        <v>591</v>
      </c>
      <c r="B2566" s="31" t="s">
        <v>585</v>
      </c>
      <c r="C2566" s="28" t="s">
        <v>1981</v>
      </c>
      <c r="D2566" s="28"/>
      <c r="E2566" s="28" t="s">
        <v>1974</v>
      </c>
      <c r="F2566" s="28" t="b">
        <v>0</v>
      </c>
      <c r="G2566" s="28">
        <v>200</v>
      </c>
      <c r="H2566" s="28" t="b">
        <v>1</v>
      </c>
      <c r="I2566" s="34"/>
    </row>
    <row r="2567" spans="1:9" ht="30" x14ac:dyDescent="0.25">
      <c r="A2567" s="54" t="s">
        <v>591</v>
      </c>
      <c r="B2567" s="43" t="s">
        <v>582</v>
      </c>
      <c r="C2567" s="37" t="s">
        <v>1982</v>
      </c>
      <c r="D2567" s="37"/>
      <c r="E2567" s="37" t="s">
        <v>1974</v>
      </c>
      <c r="F2567" s="37" t="b">
        <v>0</v>
      </c>
      <c r="G2567" s="37">
        <v>200</v>
      </c>
      <c r="H2567" s="37" t="b">
        <v>1</v>
      </c>
    </row>
    <row r="2568" spans="1:9" ht="30" x14ac:dyDescent="0.25">
      <c r="A2568" s="54" t="s">
        <v>591</v>
      </c>
      <c r="B2568" s="31" t="s">
        <v>638</v>
      </c>
      <c r="C2568" s="28" t="s">
        <v>1983</v>
      </c>
      <c r="D2568" s="28"/>
      <c r="E2568" s="28" t="s">
        <v>1974</v>
      </c>
      <c r="F2568" s="28" t="b">
        <v>0</v>
      </c>
      <c r="G2568" s="28">
        <v>200</v>
      </c>
      <c r="H2568" s="28" t="b">
        <v>1</v>
      </c>
      <c r="I2568" s="34"/>
    </row>
    <row r="2569" spans="1:9" ht="30" x14ac:dyDescent="0.25">
      <c r="A2569" s="54" t="s">
        <v>591</v>
      </c>
      <c r="B2569" s="43" t="s">
        <v>638</v>
      </c>
      <c r="C2569" s="37" t="s">
        <v>1984</v>
      </c>
      <c r="D2569" s="37"/>
      <c r="E2569" s="37" t="s">
        <v>1974</v>
      </c>
      <c r="F2569" s="37" t="b">
        <v>0</v>
      </c>
      <c r="G2569" s="37">
        <v>200</v>
      </c>
      <c r="H2569" s="37" t="b">
        <v>1</v>
      </c>
    </row>
    <row r="2570" spans="1:9" ht="30" x14ac:dyDescent="0.25">
      <c r="A2570" s="54" t="s">
        <v>591</v>
      </c>
      <c r="B2570" s="31" t="s">
        <v>647</v>
      </c>
      <c r="C2570" s="28" t="s">
        <v>1985</v>
      </c>
      <c r="D2570" s="28"/>
      <c r="E2570" s="28" t="s">
        <v>1974</v>
      </c>
      <c r="F2570" s="28" t="b">
        <v>0</v>
      </c>
      <c r="G2570" s="28">
        <v>200</v>
      </c>
      <c r="H2570" s="28" t="b">
        <v>1</v>
      </c>
      <c r="I2570" s="34"/>
    </row>
    <row r="2571" spans="1:9" ht="30" x14ac:dyDescent="0.25">
      <c r="A2571" s="54" t="s">
        <v>591</v>
      </c>
      <c r="B2571" s="43" t="s">
        <v>503</v>
      </c>
      <c r="C2571" s="37" t="s">
        <v>1986</v>
      </c>
      <c r="D2571" s="37"/>
      <c r="E2571" s="37" t="s">
        <v>1974</v>
      </c>
      <c r="F2571" s="37" t="b">
        <v>0</v>
      </c>
      <c r="G2571" s="37">
        <v>200</v>
      </c>
      <c r="H2571" s="37" t="b">
        <v>1</v>
      </c>
    </row>
    <row r="2572" spans="1:9" ht="30" x14ac:dyDescent="0.25">
      <c r="A2572" s="54" t="s">
        <v>591</v>
      </c>
      <c r="B2572" s="31" t="s">
        <v>608</v>
      </c>
      <c r="C2572" s="28" t="s">
        <v>1987</v>
      </c>
      <c r="D2572" s="28"/>
      <c r="E2572" s="28" t="s">
        <v>1974</v>
      </c>
      <c r="F2572" s="28" t="b">
        <v>0</v>
      </c>
      <c r="G2572" s="28">
        <v>200</v>
      </c>
      <c r="H2572" s="28" t="b">
        <v>1</v>
      </c>
      <c r="I2572" s="34"/>
    </row>
    <row r="2573" spans="1:9" ht="30" x14ac:dyDescent="0.25">
      <c r="A2573" s="54" t="s">
        <v>591</v>
      </c>
      <c r="B2573" s="43" t="s">
        <v>2025</v>
      </c>
      <c r="C2573" s="37"/>
      <c r="D2573" s="37"/>
      <c r="E2573" s="37" t="s">
        <v>2012</v>
      </c>
      <c r="F2573" s="37" t="b">
        <v>0</v>
      </c>
      <c r="G2573" s="37"/>
      <c r="H2573" s="37" t="b">
        <v>1</v>
      </c>
    </row>
    <row r="2574" spans="1:9" ht="30" x14ac:dyDescent="0.25">
      <c r="A2574" s="54" t="s">
        <v>591</v>
      </c>
      <c r="B2574" s="31" t="s">
        <v>127</v>
      </c>
      <c r="C2574" s="28" t="s">
        <v>1975</v>
      </c>
      <c r="D2574" s="28"/>
      <c r="E2574" s="28" t="s">
        <v>1974</v>
      </c>
      <c r="F2574" s="28" t="b">
        <v>0</v>
      </c>
      <c r="G2574" s="28">
        <v>200</v>
      </c>
      <c r="H2574" s="28" t="b">
        <v>1</v>
      </c>
      <c r="I2574" s="34"/>
    </row>
    <row r="2575" spans="1:9" ht="30" x14ac:dyDescent="0.25">
      <c r="A2575" s="54" t="s">
        <v>591</v>
      </c>
      <c r="B2575" s="43" t="s">
        <v>135</v>
      </c>
      <c r="C2575" s="37" t="s">
        <v>1976</v>
      </c>
      <c r="D2575" s="37"/>
      <c r="E2575" s="37" t="s">
        <v>1974</v>
      </c>
      <c r="F2575" s="37" t="b">
        <v>0</v>
      </c>
      <c r="G2575" s="37">
        <v>200</v>
      </c>
      <c r="H2575" s="37" t="b">
        <v>1</v>
      </c>
    </row>
    <row r="2576" spans="1:9" ht="30" x14ac:dyDescent="0.25">
      <c r="A2576" s="54" t="s">
        <v>591</v>
      </c>
      <c r="B2576" s="31" t="s">
        <v>655</v>
      </c>
      <c r="C2576" s="28" t="s">
        <v>1977</v>
      </c>
      <c r="D2576" s="28"/>
      <c r="E2576" s="28" t="s">
        <v>1974</v>
      </c>
      <c r="F2576" s="28" t="b">
        <v>0</v>
      </c>
      <c r="G2576" s="28">
        <v>200</v>
      </c>
      <c r="H2576" s="28" t="b">
        <v>1</v>
      </c>
      <c r="I2576" s="34"/>
    </row>
    <row r="2577" spans="1:9" ht="30" x14ac:dyDescent="0.25">
      <c r="A2577" s="54" t="s">
        <v>591</v>
      </c>
      <c r="B2577" s="43" t="s">
        <v>635</v>
      </c>
      <c r="C2577" s="37" t="s">
        <v>1978</v>
      </c>
      <c r="D2577" s="37"/>
      <c r="E2577" s="37" t="s">
        <v>1974</v>
      </c>
      <c r="F2577" s="37" t="b">
        <v>0</v>
      </c>
      <c r="G2577" s="37">
        <v>200</v>
      </c>
      <c r="H2577" s="37" t="b">
        <v>1</v>
      </c>
    </row>
    <row r="2578" spans="1:9" ht="30" x14ac:dyDescent="0.25">
      <c r="A2578" s="54" t="s">
        <v>591</v>
      </c>
      <c r="B2578" s="31" t="s">
        <v>144</v>
      </c>
      <c r="C2578" s="28" t="s">
        <v>1979</v>
      </c>
      <c r="D2578" s="28"/>
      <c r="E2578" s="28" t="s">
        <v>1974</v>
      </c>
      <c r="F2578" s="28" t="b">
        <v>0</v>
      </c>
      <c r="G2578" s="28">
        <v>200</v>
      </c>
      <c r="H2578" s="28" t="b">
        <v>1</v>
      </c>
      <c r="I2578" s="34"/>
    </row>
    <row r="2579" spans="1:9" ht="30" x14ac:dyDescent="0.25">
      <c r="A2579" s="54" t="s">
        <v>591</v>
      </c>
      <c r="B2579" s="43" t="s">
        <v>618</v>
      </c>
      <c r="C2579" s="37" t="s">
        <v>1980</v>
      </c>
      <c r="D2579" s="37"/>
      <c r="E2579" s="37" t="s">
        <v>1974</v>
      </c>
      <c r="F2579" s="37" t="b">
        <v>0</v>
      </c>
      <c r="G2579" s="37">
        <v>200</v>
      </c>
      <c r="H2579" s="37" t="b">
        <v>1</v>
      </c>
    </row>
    <row r="2580" spans="1:9" ht="30" x14ac:dyDescent="0.25">
      <c r="A2580" s="54" t="s">
        <v>591</v>
      </c>
      <c r="B2580" s="31" t="s">
        <v>585</v>
      </c>
      <c r="C2580" s="28" t="s">
        <v>1981</v>
      </c>
      <c r="D2580" s="28"/>
      <c r="E2580" s="28" t="s">
        <v>1974</v>
      </c>
      <c r="F2580" s="28" t="b">
        <v>0</v>
      </c>
      <c r="G2580" s="28">
        <v>200</v>
      </c>
      <c r="H2580" s="28" t="b">
        <v>1</v>
      </c>
      <c r="I2580" s="34"/>
    </row>
    <row r="2581" spans="1:9" ht="30" x14ac:dyDescent="0.25">
      <c r="A2581" s="54" t="s">
        <v>591</v>
      </c>
      <c r="B2581" s="43" t="s">
        <v>582</v>
      </c>
      <c r="C2581" s="37" t="s">
        <v>1982</v>
      </c>
      <c r="D2581" s="37"/>
      <c r="E2581" s="37" t="s">
        <v>1974</v>
      </c>
      <c r="F2581" s="37" t="b">
        <v>0</v>
      </c>
      <c r="G2581" s="37">
        <v>200</v>
      </c>
      <c r="H2581" s="37" t="b">
        <v>1</v>
      </c>
    </row>
    <row r="2582" spans="1:9" ht="30" x14ac:dyDescent="0.25">
      <c r="A2582" s="54" t="s">
        <v>591</v>
      </c>
      <c r="B2582" s="31" t="s">
        <v>638</v>
      </c>
      <c r="C2582" s="28" t="s">
        <v>1983</v>
      </c>
      <c r="D2582" s="28"/>
      <c r="E2582" s="28" t="s">
        <v>1974</v>
      </c>
      <c r="F2582" s="28" t="b">
        <v>0</v>
      </c>
      <c r="G2582" s="28">
        <v>200</v>
      </c>
      <c r="H2582" s="28" t="b">
        <v>1</v>
      </c>
      <c r="I2582" s="34"/>
    </row>
    <row r="2583" spans="1:9" ht="30" x14ac:dyDescent="0.25">
      <c r="A2583" s="54" t="s">
        <v>591</v>
      </c>
      <c r="B2583" s="43" t="s">
        <v>638</v>
      </c>
      <c r="C2583" s="37" t="s">
        <v>1984</v>
      </c>
      <c r="D2583" s="37"/>
      <c r="E2583" s="37" t="s">
        <v>1974</v>
      </c>
      <c r="F2583" s="37" t="b">
        <v>0</v>
      </c>
      <c r="G2583" s="37">
        <v>200</v>
      </c>
      <c r="H2583" s="37" t="b">
        <v>1</v>
      </c>
    </row>
    <row r="2584" spans="1:9" ht="30" x14ac:dyDescent="0.25">
      <c r="A2584" s="54" t="s">
        <v>591</v>
      </c>
      <c r="B2584" s="31" t="s">
        <v>647</v>
      </c>
      <c r="C2584" s="28" t="s">
        <v>1985</v>
      </c>
      <c r="D2584" s="28"/>
      <c r="E2584" s="28" t="s">
        <v>1974</v>
      </c>
      <c r="F2584" s="28" t="b">
        <v>0</v>
      </c>
      <c r="G2584" s="28">
        <v>200</v>
      </c>
      <c r="H2584" s="28" t="b">
        <v>1</v>
      </c>
      <c r="I2584" s="34"/>
    </row>
    <row r="2585" spans="1:9" ht="30" x14ac:dyDescent="0.25">
      <c r="A2585" s="54" t="s">
        <v>591</v>
      </c>
      <c r="B2585" s="43" t="s">
        <v>503</v>
      </c>
      <c r="C2585" s="37" t="s">
        <v>1986</v>
      </c>
      <c r="D2585" s="37"/>
      <c r="E2585" s="37" t="s">
        <v>1974</v>
      </c>
      <c r="F2585" s="37" t="b">
        <v>0</v>
      </c>
      <c r="G2585" s="37">
        <v>200</v>
      </c>
      <c r="H2585" s="37" t="b">
        <v>1</v>
      </c>
    </row>
    <row r="2586" spans="1:9" ht="30" x14ac:dyDescent="0.25">
      <c r="A2586" s="54" t="s">
        <v>591</v>
      </c>
      <c r="B2586" s="31" t="s">
        <v>608</v>
      </c>
      <c r="C2586" s="28" t="s">
        <v>1987</v>
      </c>
      <c r="D2586" s="28"/>
      <c r="E2586" s="28" t="s">
        <v>1974</v>
      </c>
      <c r="F2586" s="28" t="b">
        <v>0</v>
      </c>
      <c r="G2586" s="28">
        <v>200</v>
      </c>
      <c r="H2586" s="28" t="b">
        <v>1</v>
      </c>
      <c r="I2586" s="34"/>
    </row>
    <row r="2587" spans="1:9" ht="30" x14ac:dyDescent="0.25">
      <c r="A2587" s="54" t="s">
        <v>591</v>
      </c>
      <c r="B2587" s="43" t="s">
        <v>127</v>
      </c>
      <c r="C2587" s="37" t="s">
        <v>1975</v>
      </c>
      <c r="D2587" s="37"/>
      <c r="E2587" s="37" t="s">
        <v>1974</v>
      </c>
      <c r="F2587" s="37" t="b">
        <v>0</v>
      </c>
      <c r="G2587" s="37">
        <v>200</v>
      </c>
      <c r="H2587" s="37" t="b">
        <v>1</v>
      </c>
    </row>
    <row r="2588" spans="1:9" ht="30" x14ac:dyDescent="0.25">
      <c r="A2588" s="54" t="s">
        <v>591</v>
      </c>
      <c r="B2588" s="31" t="s">
        <v>135</v>
      </c>
      <c r="C2588" s="28" t="s">
        <v>1976</v>
      </c>
      <c r="D2588" s="28"/>
      <c r="E2588" s="28" t="s">
        <v>1974</v>
      </c>
      <c r="F2588" s="28" t="b">
        <v>0</v>
      </c>
      <c r="G2588" s="28">
        <v>200</v>
      </c>
      <c r="H2588" s="28" t="b">
        <v>1</v>
      </c>
      <c r="I2588" s="34"/>
    </row>
    <row r="2589" spans="1:9" ht="30" x14ac:dyDescent="0.25">
      <c r="A2589" s="54" t="s">
        <v>591</v>
      </c>
      <c r="B2589" s="43" t="s">
        <v>655</v>
      </c>
      <c r="C2589" s="37" t="s">
        <v>1977</v>
      </c>
      <c r="D2589" s="37"/>
      <c r="E2589" s="37" t="s">
        <v>1974</v>
      </c>
      <c r="F2589" s="37" t="b">
        <v>0</v>
      </c>
      <c r="G2589" s="37">
        <v>200</v>
      </c>
      <c r="H2589" s="37" t="b">
        <v>1</v>
      </c>
    </row>
    <row r="2590" spans="1:9" ht="30" x14ac:dyDescent="0.25">
      <c r="A2590" s="54" t="s">
        <v>591</v>
      </c>
      <c r="B2590" s="31" t="s">
        <v>635</v>
      </c>
      <c r="C2590" s="28" t="s">
        <v>1978</v>
      </c>
      <c r="D2590" s="28"/>
      <c r="E2590" s="28" t="s">
        <v>1974</v>
      </c>
      <c r="F2590" s="28" t="b">
        <v>0</v>
      </c>
      <c r="G2590" s="28">
        <v>200</v>
      </c>
      <c r="H2590" s="28" t="b">
        <v>1</v>
      </c>
      <c r="I2590" s="34"/>
    </row>
    <row r="2591" spans="1:9" ht="30" x14ac:dyDescent="0.25">
      <c r="A2591" s="54" t="s">
        <v>591</v>
      </c>
      <c r="B2591" s="43" t="s">
        <v>144</v>
      </c>
      <c r="C2591" s="37" t="s">
        <v>1979</v>
      </c>
      <c r="D2591" s="37"/>
      <c r="E2591" s="37" t="s">
        <v>1974</v>
      </c>
      <c r="F2591" s="37" t="b">
        <v>0</v>
      </c>
      <c r="G2591" s="37">
        <v>200</v>
      </c>
      <c r="H2591" s="37" t="b">
        <v>1</v>
      </c>
    </row>
    <row r="2592" spans="1:9" ht="30" x14ac:dyDescent="0.25">
      <c r="A2592" s="54" t="s">
        <v>591</v>
      </c>
      <c r="B2592" s="31" t="s">
        <v>618</v>
      </c>
      <c r="C2592" s="28" t="s">
        <v>1980</v>
      </c>
      <c r="D2592" s="28"/>
      <c r="E2592" s="28" t="s">
        <v>1974</v>
      </c>
      <c r="F2592" s="28" t="b">
        <v>0</v>
      </c>
      <c r="G2592" s="28">
        <v>200</v>
      </c>
      <c r="H2592" s="28" t="b">
        <v>1</v>
      </c>
      <c r="I2592" s="34"/>
    </row>
    <row r="2593" spans="1:9" ht="30" x14ac:dyDescent="0.25">
      <c r="A2593" s="54" t="s">
        <v>591</v>
      </c>
      <c r="B2593" s="43" t="s">
        <v>585</v>
      </c>
      <c r="C2593" s="37" t="s">
        <v>1981</v>
      </c>
      <c r="D2593" s="37"/>
      <c r="E2593" s="37" t="s">
        <v>1974</v>
      </c>
      <c r="F2593" s="37" t="b">
        <v>0</v>
      </c>
      <c r="G2593" s="37">
        <v>200</v>
      </c>
      <c r="H2593" s="37" t="b">
        <v>1</v>
      </c>
    </row>
    <row r="2594" spans="1:9" ht="30" x14ac:dyDescent="0.25">
      <c r="A2594" s="54" t="s">
        <v>591</v>
      </c>
      <c r="B2594" s="31" t="s">
        <v>582</v>
      </c>
      <c r="C2594" s="28" t="s">
        <v>1982</v>
      </c>
      <c r="D2594" s="28"/>
      <c r="E2594" s="28" t="s">
        <v>1974</v>
      </c>
      <c r="F2594" s="28" t="b">
        <v>0</v>
      </c>
      <c r="G2594" s="28">
        <v>200</v>
      </c>
      <c r="H2594" s="28" t="b">
        <v>1</v>
      </c>
      <c r="I2594" s="34"/>
    </row>
    <row r="2595" spans="1:9" ht="30" x14ac:dyDescent="0.25">
      <c r="A2595" s="54" t="s">
        <v>591</v>
      </c>
      <c r="B2595" s="43" t="s">
        <v>638</v>
      </c>
      <c r="C2595" s="37" t="s">
        <v>1983</v>
      </c>
      <c r="D2595" s="37"/>
      <c r="E2595" s="37" t="s">
        <v>1974</v>
      </c>
      <c r="F2595" s="37" t="b">
        <v>0</v>
      </c>
      <c r="G2595" s="37">
        <v>200</v>
      </c>
      <c r="H2595" s="37" t="b">
        <v>1</v>
      </c>
    </row>
    <row r="2596" spans="1:9" ht="30" x14ac:dyDescent="0.25">
      <c r="A2596" s="54" t="s">
        <v>591</v>
      </c>
      <c r="B2596" s="31" t="s">
        <v>638</v>
      </c>
      <c r="C2596" s="28" t="s">
        <v>1984</v>
      </c>
      <c r="D2596" s="28"/>
      <c r="E2596" s="28" t="s">
        <v>1974</v>
      </c>
      <c r="F2596" s="28" t="b">
        <v>0</v>
      </c>
      <c r="G2596" s="28">
        <v>200</v>
      </c>
      <c r="H2596" s="28" t="b">
        <v>1</v>
      </c>
      <c r="I2596" s="34"/>
    </row>
    <row r="2597" spans="1:9" ht="30" x14ac:dyDescent="0.25">
      <c r="A2597" s="54" t="s">
        <v>591</v>
      </c>
      <c r="B2597" s="43" t="s">
        <v>647</v>
      </c>
      <c r="C2597" s="37" t="s">
        <v>1985</v>
      </c>
      <c r="D2597" s="37"/>
      <c r="E2597" s="37" t="s">
        <v>1974</v>
      </c>
      <c r="F2597" s="37" t="b">
        <v>0</v>
      </c>
      <c r="G2597" s="37">
        <v>200</v>
      </c>
      <c r="H2597" s="37" t="b">
        <v>1</v>
      </c>
    </row>
    <row r="2598" spans="1:9" ht="30" x14ac:dyDescent="0.25">
      <c r="A2598" s="54" t="s">
        <v>591</v>
      </c>
      <c r="B2598" s="31" t="s">
        <v>503</v>
      </c>
      <c r="C2598" s="28" t="s">
        <v>1986</v>
      </c>
      <c r="D2598" s="28"/>
      <c r="E2598" s="28" t="s">
        <v>1974</v>
      </c>
      <c r="F2598" s="28" t="b">
        <v>0</v>
      </c>
      <c r="G2598" s="28">
        <v>200</v>
      </c>
      <c r="H2598" s="28" t="b">
        <v>1</v>
      </c>
      <c r="I2598" s="34"/>
    </row>
    <row r="2599" spans="1:9" ht="30" x14ac:dyDescent="0.25">
      <c r="A2599" s="54" t="s">
        <v>591</v>
      </c>
      <c r="B2599" s="43" t="s">
        <v>608</v>
      </c>
      <c r="C2599" s="37" t="s">
        <v>1987</v>
      </c>
      <c r="D2599" s="37"/>
      <c r="E2599" s="37" t="s">
        <v>1974</v>
      </c>
      <c r="F2599" s="37" t="b">
        <v>0</v>
      </c>
      <c r="G2599" s="37">
        <v>200</v>
      </c>
      <c r="H2599" s="37" t="b">
        <v>1</v>
      </c>
    </row>
    <row r="2600" spans="1:9" ht="30" x14ac:dyDescent="0.25">
      <c r="A2600" s="54" t="s">
        <v>591</v>
      </c>
      <c r="B2600" s="31" t="s">
        <v>647</v>
      </c>
      <c r="C2600" s="28" t="s">
        <v>2010</v>
      </c>
      <c r="D2600" s="28"/>
      <c r="E2600" s="28" t="s">
        <v>1974</v>
      </c>
      <c r="F2600" s="28" t="b">
        <v>0</v>
      </c>
      <c r="G2600" s="28">
        <v>200</v>
      </c>
      <c r="H2600" s="28" t="b">
        <v>1</v>
      </c>
      <c r="I2600" s="34"/>
    </row>
    <row r="2601" spans="1:9" ht="30" x14ac:dyDescent="0.25">
      <c r="A2601" s="54" t="s">
        <v>591</v>
      </c>
      <c r="B2601" s="43" t="s">
        <v>2011</v>
      </c>
      <c r="C2601" s="37"/>
      <c r="D2601" s="37"/>
      <c r="E2601" s="37" t="s">
        <v>2012</v>
      </c>
      <c r="F2601" s="37" t="b">
        <v>0</v>
      </c>
      <c r="G2601" s="37"/>
      <c r="H2601" s="37" t="b">
        <v>1</v>
      </c>
    </row>
    <row r="2602" spans="1:9" ht="30" x14ac:dyDescent="0.25">
      <c r="A2602" s="54" t="s">
        <v>591</v>
      </c>
      <c r="B2602" s="31" t="s">
        <v>2013</v>
      </c>
      <c r="C2602" s="28"/>
      <c r="D2602" s="28"/>
      <c r="E2602" s="28" t="s">
        <v>2012</v>
      </c>
      <c r="F2602" s="28" t="b">
        <v>0</v>
      </c>
      <c r="G2602" s="28"/>
      <c r="H2602" s="28" t="b">
        <v>1</v>
      </c>
      <c r="I2602" s="34"/>
    </row>
    <row r="2603" spans="1:9" ht="30" x14ac:dyDescent="0.25">
      <c r="A2603" s="54" t="s">
        <v>591</v>
      </c>
      <c r="B2603" s="43" t="s">
        <v>641</v>
      </c>
      <c r="C2603" s="37" t="s">
        <v>2014</v>
      </c>
      <c r="D2603" s="37"/>
      <c r="E2603" s="37" t="s">
        <v>1974</v>
      </c>
      <c r="F2603" s="37" t="b">
        <v>0</v>
      </c>
      <c r="G2603" s="37">
        <v>200</v>
      </c>
      <c r="H2603" s="37" t="b">
        <v>1</v>
      </c>
    </row>
    <row r="2604" spans="1:9" ht="30" x14ac:dyDescent="0.25">
      <c r="A2604" s="54" t="s">
        <v>591</v>
      </c>
      <c r="B2604" s="31" t="s">
        <v>2015</v>
      </c>
      <c r="C2604" s="28" t="s">
        <v>2016</v>
      </c>
      <c r="D2604" s="28"/>
      <c r="E2604" s="28" t="s">
        <v>1974</v>
      </c>
      <c r="F2604" s="28" t="b">
        <v>0</v>
      </c>
      <c r="G2604" s="28">
        <v>404</v>
      </c>
      <c r="H2604" s="28" t="b">
        <v>0</v>
      </c>
      <c r="I2604" s="34"/>
    </row>
    <row r="2605" spans="1:9" ht="30" x14ac:dyDescent="0.25">
      <c r="A2605" s="54" t="s">
        <v>591</v>
      </c>
      <c r="B2605" s="43" t="s">
        <v>2015</v>
      </c>
      <c r="C2605" s="37" t="s">
        <v>2017</v>
      </c>
      <c r="D2605" s="37"/>
      <c r="E2605" s="37" t="s">
        <v>1974</v>
      </c>
      <c r="F2605" s="37" t="b">
        <v>0</v>
      </c>
      <c r="G2605" s="37">
        <v>404</v>
      </c>
      <c r="H2605" s="37" t="b">
        <v>0</v>
      </c>
    </row>
    <row r="2606" spans="1:9" ht="30" x14ac:dyDescent="0.25">
      <c r="A2606" s="54" t="s">
        <v>594</v>
      </c>
      <c r="B2606" s="31" t="s">
        <v>127</v>
      </c>
      <c r="C2606" s="28"/>
      <c r="D2606" s="28"/>
      <c r="E2606" s="28" t="s">
        <v>1974</v>
      </c>
      <c r="F2606" s="28" t="b">
        <v>0</v>
      </c>
      <c r="G2606" s="28">
        <v>200</v>
      </c>
      <c r="H2606" s="28" t="b">
        <v>1</v>
      </c>
      <c r="I2606" s="34"/>
    </row>
    <row r="2607" spans="1:9" ht="30" x14ac:dyDescent="0.25">
      <c r="A2607" s="54" t="s">
        <v>594</v>
      </c>
      <c r="B2607" s="43" t="s">
        <v>127</v>
      </c>
      <c r="C2607" s="37" t="s">
        <v>1975</v>
      </c>
      <c r="D2607" s="37"/>
      <c r="E2607" s="37" t="s">
        <v>1974</v>
      </c>
      <c r="F2607" s="37" t="b">
        <v>0</v>
      </c>
      <c r="G2607" s="37">
        <v>200</v>
      </c>
      <c r="H2607" s="37" t="b">
        <v>1</v>
      </c>
    </row>
    <row r="2608" spans="1:9" ht="30" x14ac:dyDescent="0.25">
      <c r="A2608" s="54" t="s">
        <v>594</v>
      </c>
      <c r="B2608" s="31" t="s">
        <v>135</v>
      </c>
      <c r="C2608" s="28" t="s">
        <v>1976</v>
      </c>
      <c r="D2608" s="28"/>
      <c r="E2608" s="28" t="s">
        <v>1974</v>
      </c>
      <c r="F2608" s="28" t="b">
        <v>0</v>
      </c>
      <c r="G2608" s="28">
        <v>200</v>
      </c>
      <c r="H2608" s="28" t="b">
        <v>1</v>
      </c>
      <c r="I2608" s="34"/>
    </row>
    <row r="2609" spans="1:9" ht="30" x14ac:dyDescent="0.25">
      <c r="A2609" s="54" t="s">
        <v>594</v>
      </c>
      <c r="B2609" s="43" t="s">
        <v>655</v>
      </c>
      <c r="C2609" s="37" t="s">
        <v>1977</v>
      </c>
      <c r="D2609" s="37"/>
      <c r="E2609" s="37" t="s">
        <v>1974</v>
      </c>
      <c r="F2609" s="37" t="b">
        <v>0</v>
      </c>
      <c r="G2609" s="37">
        <v>200</v>
      </c>
      <c r="H2609" s="37" t="b">
        <v>1</v>
      </c>
    </row>
    <row r="2610" spans="1:9" ht="30" x14ac:dyDescent="0.25">
      <c r="A2610" s="54" t="s">
        <v>594</v>
      </c>
      <c r="B2610" s="31" t="s">
        <v>635</v>
      </c>
      <c r="C2610" s="28" t="s">
        <v>1978</v>
      </c>
      <c r="D2610" s="28"/>
      <c r="E2610" s="28" t="s">
        <v>1974</v>
      </c>
      <c r="F2610" s="28" t="b">
        <v>0</v>
      </c>
      <c r="G2610" s="28">
        <v>200</v>
      </c>
      <c r="H2610" s="28" t="b">
        <v>1</v>
      </c>
      <c r="I2610" s="34"/>
    </row>
    <row r="2611" spans="1:9" ht="30" x14ac:dyDescent="0.25">
      <c r="A2611" s="54" t="s">
        <v>594</v>
      </c>
      <c r="B2611" s="43" t="s">
        <v>144</v>
      </c>
      <c r="C2611" s="37" t="s">
        <v>1979</v>
      </c>
      <c r="D2611" s="37"/>
      <c r="E2611" s="37" t="s">
        <v>1974</v>
      </c>
      <c r="F2611" s="37" t="b">
        <v>0</v>
      </c>
      <c r="G2611" s="37">
        <v>200</v>
      </c>
      <c r="H2611" s="37" t="b">
        <v>1</v>
      </c>
    </row>
    <row r="2612" spans="1:9" ht="30" x14ac:dyDescent="0.25">
      <c r="A2612" s="54" t="s">
        <v>594</v>
      </c>
      <c r="B2612" s="31" t="s">
        <v>618</v>
      </c>
      <c r="C2612" s="28" t="s">
        <v>1980</v>
      </c>
      <c r="D2612" s="28"/>
      <c r="E2612" s="28" t="s">
        <v>1974</v>
      </c>
      <c r="F2612" s="28" t="b">
        <v>0</v>
      </c>
      <c r="G2612" s="28">
        <v>200</v>
      </c>
      <c r="H2612" s="28" t="b">
        <v>1</v>
      </c>
      <c r="I2612" s="34"/>
    </row>
    <row r="2613" spans="1:9" ht="30" x14ac:dyDescent="0.25">
      <c r="A2613" s="54" t="s">
        <v>594</v>
      </c>
      <c r="B2613" s="43" t="s">
        <v>585</v>
      </c>
      <c r="C2613" s="37" t="s">
        <v>1981</v>
      </c>
      <c r="D2613" s="37"/>
      <c r="E2613" s="37" t="s">
        <v>1974</v>
      </c>
      <c r="F2613" s="37" t="b">
        <v>0</v>
      </c>
      <c r="G2613" s="37">
        <v>200</v>
      </c>
      <c r="H2613" s="37" t="b">
        <v>1</v>
      </c>
    </row>
    <row r="2614" spans="1:9" ht="30" x14ac:dyDescent="0.25">
      <c r="A2614" s="54" t="s">
        <v>594</v>
      </c>
      <c r="B2614" s="31" t="s">
        <v>582</v>
      </c>
      <c r="C2614" s="28" t="s">
        <v>1982</v>
      </c>
      <c r="D2614" s="28"/>
      <c r="E2614" s="28" t="s">
        <v>1974</v>
      </c>
      <c r="F2614" s="28" t="b">
        <v>0</v>
      </c>
      <c r="G2614" s="28">
        <v>200</v>
      </c>
      <c r="H2614" s="28" t="b">
        <v>1</v>
      </c>
      <c r="I2614" s="34"/>
    </row>
    <row r="2615" spans="1:9" ht="30" x14ac:dyDescent="0.25">
      <c r="A2615" s="54" t="s">
        <v>594</v>
      </c>
      <c r="B2615" s="43" t="s">
        <v>638</v>
      </c>
      <c r="C2615" s="37" t="s">
        <v>1983</v>
      </c>
      <c r="D2615" s="37"/>
      <c r="E2615" s="37" t="s">
        <v>1974</v>
      </c>
      <c r="F2615" s="37" t="b">
        <v>0</v>
      </c>
      <c r="G2615" s="37">
        <v>200</v>
      </c>
      <c r="H2615" s="37" t="b">
        <v>1</v>
      </c>
    </row>
    <row r="2616" spans="1:9" ht="30" x14ac:dyDescent="0.25">
      <c r="A2616" s="54" t="s">
        <v>594</v>
      </c>
      <c r="B2616" s="31" t="s">
        <v>638</v>
      </c>
      <c r="C2616" s="28" t="s">
        <v>1984</v>
      </c>
      <c r="D2616" s="28"/>
      <c r="E2616" s="28" t="s">
        <v>1974</v>
      </c>
      <c r="F2616" s="28" t="b">
        <v>0</v>
      </c>
      <c r="G2616" s="28">
        <v>200</v>
      </c>
      <c r="H2616" s="28" t="b">
        <v>1</v>
      </c>
      <c r="I2616" s="34"/>
    </row>
    <row r="2617" spans="1:9" ht="30" x14ac:dyDescent="0.25">
      <c r="A2617" s="54" t="s">
        <v>594</v>
      </c>
      <c r="B2617" s="43" t="s">
        <v>647</v>
      </c>
      <c r="C2617" s="37" t="s">
        <v>1985</v>
      </c>
      <c r="D2617" s="37"/>
      <c r="E2617" s="37" t="s">
        <v>1974</v>
      </c>
      <c r="F2617" s="37" t="b">
        <v>0</v>
      </c>
      <c r="G2617" s="37">
        <v>200</v>
      </c>
      <c r="H2617" s="37" t="b">
        <v>1</v>
      </c>
    </row>
    <row r="2618" spans="1:9" ht="30" x14ac:dyDescent="0.25">
      <c r="A2618" s="54" t="s">
        <v>594</v>
      </c>
      <c r="B2618" s="31" t="s">
        <v>503</v>
      </c>
      <c r="C2618" s="28" t="s">
        <v>1986</v>
      </c>
      <c r="D2618" s="28"/>
      <c r="E2618" s="28" t="s">
        <v>1974</v>
      </c>
      <c r="F2618" s="28" t="b">
        <v>0</v>
      </c>
      <c r="G2618" s="28">
        <v>200</v>
      </c>
      <c r="H2618" s="28" t="b">
        <v>1</v>
      </c>
      <c r="I2618" s="34"/>
    </row>
    <row r="2619" spans="1:9" ht="30" x14ac:dyDescent="0.25">
      <c r="A2619" s="54" t="s">
        <v>594</v>
      </c>
      <c r="B2619" s="43" t="s">
        <v>608</v>
      </c>
      <c r="C2619" s="37" t="s">
        <v>1987</v>
      </c>
      <c r="D2619" s="37"/>
      <c r="E2619" s="37" t="s">
        <v>1974</v>
      </c>
      <c r="F2619" s="37" t="b">
        <v>0</v>
      </c>
      <c r="G2619" s="37">
        <v>200</v>
      </c>
      <c r="H2619" s="37" t="b">
        <v>1</v>
      </c>
    </row>
    <row r="2620" spans="1:9" ht="30" x14ac:dyDescent="0.25">
      <c r="A2620" s="54" t="s">
        <v>594</v>
      </c>
      <c r="B2620" s="31" t="s">
        <v>127</v>
      </c>
      <c r="C2620" s="28" t="s">
        <v>1975</v>
      </c>
      <c r="D2620" s="28"/>
      <c r="E2620" s="28" t="s">
        <v>1974</v>
      </c>
      <c r="F2620" s="28" t="b">
        <v>0</v>
      </c>
      <c r="G2620" s="28">
        <v>200</v>
      </c>
      <c r="H2620" s="28" t="b">
        <v>1</v>
      </c>
      <c r="I2620" s="34"/>
    </row>
    <row r="2621" spans="1:9" ht="30" x14ac:dyDescent="0.25">
      <c r="A2621" s="54" t="s">
        <v>594</v>
      </c>
      <c r="B2621" s="43" t="s">
        <v>135</v>
      </c>
      <c r="C2621" s="37" t="s">
        <v>1976</v>
      </c>
      <c r="D2621" s="37"/>
      <c r="E2621" s="37" t="s">
        <v>1974</v>
      </c>
      <c r="F2621" s="37" t="b">
        <v>0</v>
      </c>
      <c r="G2621" s="37">
        <v>200</v>
      </c>
      <c r="H2621" s="37" t="b">
        <v>1</v>
      </c>
    </row>
    <row r="2622" spans="1:9" ht="30" x14ac:dyDescent="0.25">
      <c r="A2622" s="54" t="s">
        <v>594</v>
      </c>
      <c r="B2622" s="31" t="s">
        <v>655</v>
      </c>
      <c r="C2622" s="28" t="s">
        <v>1977</v>
      </c>
      <c r="D2622" s="28"/>
      <c r="E2622" s="28" t="s">
        <v>1974</v>
      </c>
      <c r="F2622" s="28" t="b">
        <v>0</v>
      </c>
      <c r="G2622" s="28">
        <v>200</v>
      </c>
      <c r="H2622" s="28" t="b">
        <v>1</v>
      </c>
      <c r="I2622" s="34"/>
    </row>
    <row r="2623" spans="1:9" ht="30" x14ac:dyDescent="0.25">
      <c r="A2623" s="54" t="s">
        <v>594</v>
      </c>
      <c r="B2623" s="43" t="s">
        <v>635</v>
      </c>
      <c r="C2623" s="37" t="s">
        <v>1978</v>
      </c>
      <c r="D2623" s="37"/>
      <c r="E2623" s="37" t="s">
        <v>1974</v>
      </c>
      <c r="F2623" s="37" t="b">
        <v>0</v>
      </c>
      <c r="G2623" s="37">
        <v>200</v>
      </c>
      <c r="H2623" s="37" t="b">
        <v>1</v>
      </c>
    </row>
    <row r="2624" spans="1:9" ht="30" x14ac:dyDescent="0.25">
      <c r="A2624" s="54" t="s">
        <v>594</v>
      </c>
      <c r="B2624" s="31" t="s">
        <v>144</v>
      </c>
      <c r="C2624" s="28" t="s">
        <v>1979</v>
      </c>
      <c r="D2624" s="28"/>
      <c r="E2624" s="28" t="s">
        <v>1974</v>
      </c>
      <c r="F2624" s="28" t="b">
        <v>0</v>
      </c>
      <c r="G2624" s="28">
        <v>200</v>
      </c>
      <c r="H2624" s="28" t="b">
        <v>1</v>
      </c>
      <c r="I2624" s="34"/>
    </row>
    <row r="2625" spans="1:9" ht="30" x14ac:dyDescent="0.25">
      <c r="A2625" s="54" t="s">
        <v>594</v>
      </c>
      <c r="B2625" s="43" t="s">
        <v>618</v>
      </c>
      <c r="C2625" s="37" t="s">
        <v>1980</v>
      </c>
      <c r="D2625" s="37"/>
      <c r="E2625" s="37" t="s">
        <v>1974</v>
      </c>
      <c r="F2625" s="37" t="b">
        <v>0</v>
      </c>
      <c r="G2625" s="37">
        <v>200</v>
      </c>
      <c r="H2625" s="37" t="b">
        <v>1</v>
      </c>
    </row>
    <row r="2626" spans="1:9" ht="30" x14ac:dyDescent="0.25">
      <c r="A2626" s="54" t="s">
        <v>594</v>
      </c>
      <c r="B2626" s="31" t="s">
        <v>585</v>
      </c>
      <c r="C2626" s="28" t="s">
        <v>1981</v>
      </c>
      <c r="D2626" s="28"/>
      <c r="E2626" s="28" t="s">
        <v>1974</v>
      </c>
      <c r="F2626" s="28" t="b">
        <v>0</v>
      </c>
      <c r="G2626" s="28">
        <v>200</v>
      </c>
      <c r="H2626" s="28" t="b">
        <v>1</v>
      </c>
      <c r="I2626" s="34"/>
    </row>
    <row r="2627" spans="1:9" ht="30" x14ac:dyDescent="0.25">
      <c r="A2627" s="54" t="s">
        <v>594</v>
      </c>
      <c r="B2627" s="43" t="s">
        <v>582</v>
      </c>
      <c r="C2627" s="37" t="s">
        <v>1982</v>
      </c>
      <c r="D2627" s="37"/>
      <c r="E2627" s="37" t="s">
        <v>1974</v>
      </c>
      <c r="F2627" s="37" t="b">
        <v>0</v>
      </c>
      <c r="G2627" s="37">
        <v>200</v>
      </c>
      <c r="H2627" s="37" t="b">
        <v>1</v>
      </c>
    </row>
    <row r="2628" spans="1:9" ht="30" x14ac:dyDescent="0.25">
      <c r="A2628" s="54" t="s">
        <v>594</v>
      </c>
      <c r="B2628" s="31" t="s">
        <v>638</v>
      </c>
      <c r="C2628" s="28" t="s">
        <v>1983</v>
      </c>
      <c r="D2628" s="28"/>
      <c r="E2628" s="28" t="s">
        <v>1974</v>
      </c>
      <c r="F2628" s="28" t="b">
        <v>0</v>
      </c>
      <c r="G2628" s="28">
        <v>200</v>
      </c>
      <c r="H2628" s="28" t="b">
        <v>1</v>
      </c>
      <c r="I2628" s="34"/>
    </row>
    <row r="2629" spans="1:9" ht="30" x14ac:dyDescent="0.25">
      <c r="A2629" s="54" t="s">
        <v>594</v>
      </c>
      <c r="B2629" s="43" t="s">
        <v>638</v>
      </c>
      <c r="C2629" s="37" t="s">
        <v>1984</v>
      </c>
      <c r="D2629" s="37"/>
      <c r="E2629" s="37" t="s">
        <v>1974</v>
      </c>
      <c r="F2629" s="37" t="b">
        <v>0</v>
      </c>
      <c r="G2629" s="37">
        <v>200</v>
      </c>
      <c r="H2629" s="37" t="b">
        <v>1</v>
      </c>
    </row>
    <row r="2630" spans="1:9" ht="30" x14ac:dyDescent="0.25">
      <c r="A2630" s="54" t="s">
        <v>594</v>
      </c>
      <c r="B2630" s="31" t="s">
        <v>647</v>
      </c>
      <c r="C2630" s="28" t="s">
        <v>1985</v>
      </c>
      <c r="D2630" s="28"/>
      <c r="E2630" s="28" t="s">
        <v>1974</v>
      </c>
      <c r="F2630" s="28" t="b">
        <v>0</v>
      </c>
      <c r="G2630" s="28">
        <v>200</v>
      </c>
      <c r="H2630" s="28" t="b">
        <v>1</v>
      </c>
      <c r="I2630" s="34"/>
    </row>
    <row r="2631" spans="1:9" ht="30" x14ac:dyDescent="0.25">
      <c r="A2631" s="54" t="s">
        <v>594</v>
      </c>
      <c r="B2631" s="43" t="s">
        <v>503</v>
      </c>
      <c r="C2631" s="37" t="s">
        <v>1986</v>
      </c>
      <c r="D2631" s="37"/>
      <c r="E2631" s="37" t="s">
        <v>1974</v>
      </c>
      <c r="F2631" s="37" t="b">
        <v>0</v>
      </c>
      <c r="G2631" s="37">
        <v>200</v>
      </c>
      <c r="H2631" s="37" t="b">
        <v>1</v>
      </c>
    </row>
    <row r="2632" spans="1:9" ht="30" x14ac:dyDescent="0.25">
      <c r="A2632" s="54" t="s">
        <v>594</v>
      </c>
      <c r="B2632" s="31" t="s">
        <v>608</v>
      </c>
      <c r="C2632" s="28" t="s">
        <v>1987</v>
      </c>
      <c r="D2632" s="28"/>
      <c r="E2632" s="28" t="s">
        <v>1974</v>
      </c>
      <c r="F2632" s="28" t="b">
        <v>0</v>
      </c>
      <c r="G2632" s="28">
        <v>200</v>
      </c>
      <c r="H2632" s="28" t="b">
        <v>1</v>
      </c>
      <c r="I2632" s="34"/>
    </row>
    <row r="2633" spans="1:9" ht="45" x14ac:dyDescent="0.25">
      <c r="A2633" s="54" t="s">
        <v>594</v>
      </c>
      <c r="B2633" s="43" t="s">
        <v>2881</v>
      </c>
      <c r="C2633" s="37" t="s">
        <v>2882</v>
      </c>
      <c r="D2633" s="37"/>
      <c r="E2633" s="37" t="s">
        <v>1974</v>
      </c>
      <c r="F2633" s="37" t="b">
        <v>0</v>
      </c>
      <c r="G2633" s="37">
        <v>200</v>
      </c>
      <c r="H2633" s="37" t="b">
        <v>1</v>
      </c>
    </row>
    <row r="2634" spans="1:9" ht="30" x14ac:dyDescent="0.25">
      <c r="A2634" s="54" t="s">
        <v>594</v>
      </c>
      <c r="B2634" s="31" t="s">
        <v>647</v>
      </c>
      <c r="C2634" s="28" t="s">
        <v>2010</v>
      </c>
      <c r="D2634" s="28"/>
      <c r="E2634" s="28" t="s">
        <v>1974</v>
      </c>
      <c r="F2634" s="28" t="b">
        <v>0</v>
      </c>
      <c r="G2634" s="28">
        <v>200</v>
      </c>
      <c r="H2634" s="28" t="b">
        <v>1</v>
      </c>
      <c r="I2634" s="34"/>
    </row>
    <row r="2635" spans="1:9" ht="30" x14ac:dyDescent="0.25">
      <c r="A2635" s="54" t="s">
        <v>594</v>
      </c>
      <c r="B2635" s="43" t="s">
        <v>2011</v>
      </c>
      <c r="C2635" s="37"/>
      <c r="D2635" s="37"/>
      <c r="E2635" s="37" t="s">
        <v>2012</v>
      </c>
      <c r="F2635" s="37" t="b">
        <v>0</v>
      </c>
      <c r="G2635" s="37"/>
      <c r="H2635" s="37" t="b">
        <v>1</v>
      </c>
    </row>
    <row r="2636" spans="1:9" ht="30" x14ac:dyDescent="0.25">
      <c r="A2636" s="54" t="s">
        <v>594</v>
      </c>
      <c r="B2636" s="31" t="s">
        <v>2013</v>
      </c>
      <c r="C2636" s="28"/>
      <c r="D2636" s="28"/>
      <c r="E2636" s="28" t="s">
        <v>2012</v>
      </c>
      <c r="F2636" s="28" t="b">
        <v>0</v>
      </c>
      <c r="G2636" s="28"/>
      <c r="H2636" s="28" t="b">
        <v>1</v>
      </c>
      <c r="I2636" s="34"/>
    </row>
    <row r="2637" spans="1:9" ht="30" x14ac:dyDescent="0.25">
      <c r="A2637" s="54" t="s">
        <v>594</v>
      </c>
      <c r="B2637" s="43" t="s">
        <v>641</v>
      </c>
      <c r="C2637" s="37" t="s">
        <v>2014</v>
      </c>
      <c r="D2637" s="37"/>
      <c r="E2637" s="37" t="s">
        <v>1974</v>
      </c>
      <c r="F2637" s="37" t="b">
        <v>0</v>
      </c>
      <c r="G2637" s="37">
        <v>200</v>
      </c>
      <c r="H2637" s="37" t="b">
        <v>1</v>
      </c>
    </row>
    <row r="2638" spans="1:9" ht="30" x14ac:dyDescent="0.25">
      <c r="A2638" s="54" t="s">
        <v>594</v>
      </c>
      <c r="B2638" s="31" t="s">
        <v>2015</v>
      </c>
      <c r="C2638" s="28" t="s">
        <v>2016</v>
      </c>
      <c r="D2638" s="28"/>
      <c r="E2638" s="28" t="s">
        <v>1974</v>
      </c>
      <c r="F2638" s="28" t="b">
        <v>0</v>
      </c>
      <c r="G2638" s="28">
        <v>404</v>
      </c>
      <c r="H2638" s="28" t="b">
        <v>0</v>
      </c>
      <c r="I2638" s="34"/>
    </row>
    <row r="2639" spans="1:9" ht="30" x14ac:dyDescent="0.25">
      <c r="A2639" s="54" t="s">
        <v>594</v>
      </c>
      <c r="B2639" s="43" t="s">
        <v>2015</v>
      </c>
      <c r="C2639" s="37" t="s">
        <v>2017</v>
      </c>
      <c r="D2639" s="37"/>
      <c r="E2639" s="37" t="s">
        <v>1974</v>
      </c>
      <c r="F2639" s="37" t="b">
        <v>0</v>
      </c>
      <c r="G2639" s="37">
        <v>404</v>
      </c>
      <c r="H2639" s="37" t="b">
        <v>0</v>
      </c>
    </row>
    <row r="2640" spans="1:9" ht="30" x14ac:dyDescent="0.25">
      <c r="A2640" s="54" t="s">
        <v>585</v>
      </c>
      <c r="B2640" s="31" t="s">
        <v>127</v>
      </c>
      <c r="C2640" s="28"/>
      <c r="D2640" s="28"/>
      <c r="E2640" s="28" t="s">
        <v>1974</v>
      </c>
      <c r="F2640" s="28" t="b">
        <v>0</v>
      </c>
      <c r="G2640" s="28">
        <v>200</v>
      </c>
      <c r="H2640" s="28" t="b">
        <v>1</v>
      </c>
      <c r="I2640" s="34"/>
    </row>
    <row r="2641" spans="1:9" ht="30" x14ac:dyDescent="0.25">
      <c r="A2641" s="54" t="s">
        <v>585</v>
      </c>
      <c r="B2641" s="43" t="s">
        <v>127</v>
      </c>
      <c r="C2641" s="37" t="s">
        <v>1975</v>
      </c>
      <c r="D2641" s="37"/>
      <c r="E2641" s="37" t="s">
        <v>1974</v>
      </c>
      <c r="F2641" s="37" t="b">
        <v>0</v>
      </c>
      <c r="G2641" s="37">
        <v>200</v>
      </c>
      <c r="H2641" s="37" t="b">
        <v>1</v>
      </c>
    </row>
    <row r="2642" spans="1:9" ht="30" x14ac:dyDescent="0.25">
      <c r="A2642" s="54" t="s">
        <v>585</v>
      </c>
      <c r="B2642" s="31" t="s">
        <v>135</v>
      </c>
      <c r="C2642" s="28" t="s">
        <v>1976</v>
      </c>
      <c r="D2642" s="28"/>
      <c r="E2642" s="28" t="s">
        <v>1974</v>
      </c>
      <c r="F2642" s="28" t="b">
        <v>0</v>
      </c>
      <c r="G2642" s="28">
        <v>200</v>
      </c>
      <c r="H2642" s="28" t="b">
        <v>1</v>
      </c>
      <c r="I2642" s="34"/>
    </row>
    <row r="2643" spans="1:9" ht="30" x14ac:dyDescent="0.25">
      <c r="A2643" s="54" t="s">
        <v>585</v>
      </c>
      <c r="B2643" s="43" t="s">
        <v>655</v>
      </c>
      <c r="C2643" s="37" t="s">
        <v>1977</v>
      </c>
      <c r="D2643" s="37"/>
      <c r="E2643" s="37" t="s">
        <v>1974</v>
      </c>
      <c r="F2643" s="37" t="b">
        <v>0</v>
      </c>
      <c r="G2643" s="37">
        <v>200</v>
      </c>
      <c r="H2643" s="37" t="b">
        <v>1</v>
      </c>
    </row>
    <row r="2644" spans="1:9" ht="30" x14ac:dyDescent="0.25">
      <c r="A2644" s="54" t="s">
        <v>585</v>
      </c>
      <c r="B2644" s="31" t="s">
        <v>635</v>
      </c>
      <c r="C2644" s="28" t="s">
        <v>1978</v>
      </c>
      <c r="D2644" s="28"/>
      <c r="E2644" s="28" t="s">
        <v>1974</v>
      </c>
      <c r="F2644" s="28" t="b">
        <v>0</v>
      </c>
      <c r="G2644" s="28">
        <v>200</v>
      </c>
      <c r="H2644" s="28" t="b">
        <v>1</v>
      </c>
      <c r="I2644" s="34"/>
    </row>
    <row r="2645" spans="1:9" ht="30" x14ac:dyDescent="0.25">
      <c r="A2645" s="54" t="s">
        <v>585</v>
      </c>
      <c r="B2645" s="43" t="s">
        <v>144</v>
      </c>
      <c r="C2645" s="37" t="s">
        <v>1979</v>
      </c>
      <c r="D2645" s="37"/>
      <c r="E2645" s="37" t="s">
        <v>1974</v>
      </c>
      <c r="F2645" s="37" t="b">
        <v>0</v>
      </c>
      <c r="G2645" s="37">
        <v>200</v>
      </c>
      <c r="H2645" s="37" t="b">
        <v>1</v>
      </c>
    </row>
    <row r="2646" spans="1:9" ht="30" x14ac:dyDescent="0.25">
      <c r="A2646" s="54" t="s">
        <v>585</v>
      </c>
      <c r="B2646" s="31" t="s">
        <v>618</v>
      </c>
      <c r="C2646" s="28" t="s">
        <v>1980</v>
      </c>
      <c r="D2646" s="28"/>
      <c r="E2646" s="28" t="s">
        <v>1974</v>
      </c>
      <c r="F2646" s="28" t="b">
        <v>0</v>
      </c>
      <c r="G2646" s="28">
        <v>200</v>
      </c>
      <c r="H2646" s="28" t="b">
        <v>1</v>
      </c>
      <c r="I2646" s="34"/>
    </row>
    <row r="2647" spans="1:9" ht="30" x14ac:dyDescent="0.25">
      <c r="A2647" s="54" t="s">
        <v>585</v>
      </c>
      <c r="B2647" s="43" t="s">
        <v>585</v>
      </c>
      <c r="C2647" s="37" t="s">
        <v>1981</v>
      </c>
      <c r="D2647" s="37"/>
      <c r="E2647" s="37" t="s">
        <v>1974</v>
      </c>
      <c r="F2647" s="37" t="b">
        <v>0</v>
      </c>
      <c r="G2647" s="37">
        <v>200</v>
      </c>
      <c r="H2647" s="37" t="b">
        <v>1</v>
      </c>
    </row>
    <row r="2648" spans="1:9" ht="30" x14ac:dyDescent="0.25">
      <c r="A2648" s="54" t="s">
        <v>585</v>
      </c>
      <c r="B2648" s="31" t="s">
        <v>582</v>
      </c>
      <c r="C2648" s="28" t="s">
        <v>1982</v>
      </c>
      <c r="D2648" s="28"/>
      <c r="E2648" s="28" t="s">
        <v>1974</v>
      </c>
      <c r="F2648" s="28" t="b">
        <v>0</v>
      </c>
      <c r="G2648" s="28">
        <v>200</v>
      </c>
      <c r="H2648" s="28" t="b">
        <v>1</v>
      </c>
      <c r="I2648" s="34"/>
    </row>
    <row r="2649" spans="1:9" ht="30" x14ac:dyDescent="0.25">
      <c r="A2649" s="54" t="s">
        <v>585</v>
      </c>
      <c r="B2649" s="43" t="s">
        <v>638</v>
      </c>
      <c r="C2649" s="37" t="s">
        <v>1983</v>
      </c>
      <c r="D2649" s="37"/>
      <c r="E2649" s="37" t="s">
        <v>1974</v>
      </c>
      <c r="F2649" s="37" t="b">
        <v>0</v>
      </c>
      <c r="G2649" s="37">
        <v>200</v>
      </c>
      <c r="H2649" s="37" t="b">
        <v>1</v>
      </c>
    </row>
    <row r="2650" spans="1:9" ht="30" x14ac:dyDescent="0.25">
      <c r="A2650" s="54" t="s">
        <v>585</v>
      </c>
      <c r="B2650" s="31" t="s">
        <v>638</v>
      </c>
      <c r="C2650" s="28" t="s">
        <v>1984</v>
      </c>
      <c r="D2650" s="28"/>
      <c r="E2650" s="28" t="s">
        <v>1974</v>
      </c>
      <c r="F2650" s="28" t="b">
        <v>0</v>
      </c>
      <c r="G2650" s="28">
        <v>200</v>
      </c>
      <c r="H2650" s="28" t="b">
        <v>1</v>
      </c>
      <c r="I2650" s="34"/>
    </row>
    <row r="2651" spans="1:9" ht="30" x14ac:dyDescent="0.25">
      <c r="A2651" s="54" t="s">
        <v>585</v>
      </c>
      <c r="B2651" s="43" t="s">
        <v>647</v>
      </c>
      <c r="C2651" s="37" t="s">
        <v>1985</v>
      </c>
      <c r="D2651" s="37"/>
      <c r="E2651" s="37" t="s">
        <v>1974</v>
      </c>
      <c r="F2651" s="37" t="b">
        <v>0</v>
      </c>
      <c r="G2651" s="37">
        <v>200</v>
      </c>
      <c r="H2651" s="37" t="b">
        <v>1</v>
      </c>
    </row>
    <row r="2652" spans="1:9" ht="30" x14ac:dyDescent="0.25">
      <c r="A2652" s="54" t="s">
        <v>585</v>
      </c>
      <c r="B2652" s="31" t="s">
        <v>503</v>
      </c>
      <c r="C2652" s="28" t="s">
        <v>1986</v>
      </c>
      <c r="D2652" s="28"/>
      <c r="E2652" s="28" t="s">
        <v>1974</v>
      </c>
      <c r="F2652" s="28" t="b">
        <v>0</v>
      </c>
      <c r="G2652" s="28">
        <v>200</v>
      </c>
      <c r="H2652" s="28" t="b">
        <v>1</v>
      </c>
      <c r="I2652" s="34"/>
    </row>
    <row r="2653" spans="1:9" ht="30" x14ac:dyDescent="0.25">
      <c r="A2653" s="54" t="s">
        <v>585</v>
      </c>
      <c r="B2653" s="43" t="s">
        <v>608</v>
      </c>
      <c r="C2653" s="37" t="s">
        <v>1987</v>
      </c>
      <c r="D2653" s="37"/>
      <c r="E2653" s="37" t="s">
        <v>1974</v>
      </c>
      <c r="F2653" s="37" t="b">
        <v>0</v>
      </c>
      <c r="G2653" s="37">
        <v>200</v>
      </c>
      <c r="H2653" s="37" t="b">
        <v>1</v>
      </c>
    </row>
    <row r="2654" spans="1:9" ht="30" x14ac:dyDescent="0.25">
      <c r="A2654" s="54" t="s">
        <v>585</v>
      </c>
      <c r="B2654" s="31" t="s">
        <v>127</v>
      </c>
      <c r="C2654" s="28" t="s">
        <v>1975</v>
      </c>
      <c r="D2654" s="28"/>
      <c r="E2654" s="28" t="s">
        <v>1974</v>
      </c>
      <c r="F2654" s="28" t="b">
        <v>0</v>
      </c>
      <c r="G2654" s="28">
        <v>200</v>
      </c>
      <c r="H2654" s="28" t="b">
        <v>1</v>
      </c>
      <c r="I2654" s="34"/>
    </row>
    <row r="2655" spans="1:9" ht="30" x14ac:dyDescent="0.25">
      <c r="A2655" s="54" t="s">
        <v>585</v>
      </c>
      <c r="B2655" s="43" t="s">
        <v>135</v>
      </c>
      <c r="C2655" s="37" t="s">
        <v>1976</v>
      </c>
      <c r="D2655" s="37"/>
      <c r="E2655" s="37" t="s">
        <v>1974</v>
      </c>
      <c r="F2655" s="37" t="b">
        <v>0</v>
      </c>
      <c r="G2655" s="37">
        <v>200</v>
      </c>
      <c r="H2655" s="37" t="b">
        <v>1</v>
      </c>
    </row>
    <row r="2656" spans="1:9" ht="30" x14ac:dyDescent="0.25">
      <c r="A2656" s="54" t="s">
        <v>585</v>
      </c>
      <c r="B2656" s="31" t="s">
        <v>655</v>
      </c>
      <c r="C2656" s="28" t="s">
        <v>1977</v>
      </c>
      <c r="D2656" s="28"/>
      <c r="E2656" s="28" t="s">
        <v>1974</v>
      </c>
      <c r="F2656" s="28" t="b">
        <v>0</v>
      </c>
      <c r="G2656" s="28">
        <v>200</v>
      </c>
      <c r="H2656" s="28" t="b">
        <v>1</v>
      </c>
      <c r="I2656" s="34"/>
    </row>
    <row r="2657" spans="1:9" ht="30" x14ac:dyDescent="0.25">
      <c r="A2657" s="54" t="s">
        <v>585</v>
      </c>
      <c r="B2657" s="43" t="s">
        <v>635</v>
      </c>
      <c r="C2657" s="37" t="s">
        <v>1978</v>
      </c>
      <c r="D2657" s="37"/>
      <c r="E2657" s="37" t="s">
        <v>1974</v>
      </c>
      <c r="F2657" s="37" t="b">
        <v>0</v>
      </c>
      <c r="G2657" s="37">
        <v>200</v>
      </c>
      <c r="H2657" s="37" t="b">
        <v>1</v>
      </c>
    </row>
    <row r="2658" spans="1:9" ht="30" x14ac:dyDescent="0.25">
      <c r="A2658" s="54" t="s">
        <v>585</v>
      </c>
      <c r="B2658" s="31" t="s">
        <v>144</v>
      </c>
      <c r="C2658" s="28" t="s">
        <v>1979</v>
      </c>
      <c r="D2658" s="28"/>
      <c r="E2658" s="28" t="s">
        <v>1974</v>
      </c>
      <c r="F2658" s="28" t="b">
        <v>0</v>
      </c>
      <c r="G2658" s="28">
        <v>200</v>
      </c>
      <c r="H2658" s="28" t="b">
        <v>1</v>
      </c>
      <c r="I2658" s="34"/>
    </row>
    <row r="2659" spans="1:9" ht="30" x14ac:dyDescent="0.25">
      <c r="A2659" s="54" t="s">
        <v>585</v>
      </c>
      <c r="B2659" s="43" t="s">
        <v>618</v>
      </c>
      <c r="C2659" s="37" t="s">
        <v>1980</v>
      </c>
      <c r="D2659" s="37"/>
      <c r="E2659" s="37" t="s">
        <v>1974</v>
      </c>
      <c r="F2659" s="37" t="b">
        <v>0</v>
      </c>
      <c r="G2659" s="37">
        <v>200</v>
      </c>
      <c r="H2659" s="37" t="b">
        <v>1</v>
      </c>
    </row>
    <row r="2660" spans="1:9" ht="30" x14ac:dyDescent="0.25">
      <c r="A2660" s="54" t="s">
        <v>585</v>
      </c>
      <c r="B2660" s="31" t="s">
        <v>585</v>
      </c>
      <c r="C2660" s="28" t="s">
        <v>1981</v>
      </c>
      <c r="D2660" s="28"/>
      <c r="E2660" s="28" t="s">
        <v>1974</v>
      </c>
      <c r="F2660" s="28" t="b">
        <v>0</v>
      </c>
      <c r="G2660" s="28">
        <v>200</v>
      </c>
      <c r="H2660" s="28" t="b">
        <v>1</v>
      </c>
      <c r="I2660" s="34"/>
    </row>
    <row r="2661" spans="1:9" ht="30" x14ac:dyDescent="0.25">
      <c r="A2661" s="54" t="s">
        <v>585</v>
      </c>
      <c r="B2661" s="43" t="s">
        <v>582</v>
      </c>
      <c r="C2661" s="37" t="s">
        <v>1982</v>
      </c>
      <c r="D2661" s="37"/>
      <c r="E2661" s="37" t="s">
        <v>1974</v>
      </c>
      <c r="F2661" s="37" t="b">
        <v>0</v>
      </c>
      <c r="G2661" s="37">
        <v>200</v>
      </c>
      <c r="H2661" s="37" t="b">
        <v>1</v>
      </c>
    </row>
    <row r="2662" spans="1:9" ht="30" x14ac:dyDescent="0.25">
      <c r="A2662" s="54" t="s">
        <v>585</v>
      </c>
      <c r="B2662" s="31" t="s">
        <v>638</v>
      </c>
      <c r="C2662" s="28" t="s">
        <v>1983</v>
      </c>
      <c r="D2662" s="28"/>
      <c r="E2662" s="28" t="s">
        <v>1974</v>
      </c>
      <c r="F2662" s="28" t="b">
        <v>0</v>
      </c>
      <c r="G2662" s="28">
        <v>200</v>
      </c>
      <c r="H2662" s="28" t="b">
        <v>1</v>
      </c>
      <c r="I2662" s="34"/>
    </row>
    <row r="2663" spans="1:9" ht="30" x14ac:dyDescent="0.25">
      <c r="A2663" s="54" t="s">
        <v>585</v>
      </c>
      <c r="B2663" s="43" t="s">
        <v>638</v>
      </c>
      <c r="C2663" s="37" t="s">
        <v>1984</v>
      </c>
      <c r="D2663" s="37"/>
      <c r="E2663" s="37" t="s">
        <v>1974</v>
      </c>
      <c r="F2663" s="37" t="b">
        <v>0</v>
      </c>
      <c r="G2663" s="37">
        <v>200</v>
      </c>
      <c r="H2663" s="37" t="b">
        <v>1</v>
      </c>
    </row>
    <row r="2664" spans="1:9" ht="30" x14ac:dyDescent="0.25">
      <c r="A2664" s="54" t="s">
        <v>585</v>
      </c>
      <c r="B2664" s="31" t="s">
        <v>647</v>
      </c>
      <c r="C2664" s="28" t="s">
        <v>1985</v>
      </c>
      <c r="D2664" s="28"/>
      <c r="E2664" s="28" t="s">
        <v>1974</v>
      </c>
      <c r="F2664" s="28" t="b">
        <v>0</v>
      </c>
      <c r="G2664" s="28">
        <v>200</v>
      </c>
      <c r="H2664" s="28" t="b">
        <v>1</v>
      </c>
      <c r="I2664" s="34"/>
    </row>
    <row r="2665" spans="1:9" ht="30" x14ac:dyDescent="0.25">
      <c r="A2665" s="54" t="s">
        <v>585</v>
      </c>
      <c r="B2665" s="43" t="s">
        <v>503</v>
      </c>
      <c r="C2665" s="37" t="s">
        <v>1986</v>
      </c>
      <c r="D2665" s="37"/>
      <c r="E2665" s="37" t="s">
        <v>1974</v>
      </c>
      <c r="F2665" s="37" t="b">
        <v>0</v>
      </c>
      <c r="G2665" s="37">
        <v>200</v>
      </c>
      <c r="H2665" s="37" t="b">
        <v>1</v>
      </c>
    </row>
    <row r="2666" spans="1:9" ht="30" x14ac:dyDescent="0.25">
      <c r="A2666" s="54" t="s">
        <v>585</v>
      </c>
      <c r="B2666" s="31" t="s">
        <v>608</v>
      </c>
      <c r="C2666" s="28" t="s">
        <v>1987</v>
      </c>
      <c r="D2666" s="28"/>
      <c r="E2666" s="28" t="s">
        <v>1974</v>
      </c>
      <c r="F2666" s="28" t="b">
        <v>0</v>
      </c>
      <c r="G2666" s="28">
        <v>200</v>
      </c>
      <c r="H2666" s="28" t="b">
        <v>1</v>
      </c>
      <c r="I2666" s="34"/>
    </row>
    <row r="2667" spans="1:9" ht="45" x14ac:dyDescent="0.25">
      <c r="A2667" s="54" t="s">
        <v>585</v>
      </c>
      <c r="B2667" s="43" t="s">
        <v>2883</v>
      </c>
      <c r="C2667" s="37" t="s">
        <v>2882</v>
      </c>
      <c r="D2667" s="37"/>
      <c r="E2667" s="37" t="s">
        <v>1974</v>
      </c>
      <c r="F2667" s="37" t="b">
        <v>0</v>
      </c>
      <c r="G2667" s="37">
        <v>200</v>
      </c>
      <c r="H2667" s="37" t="b">
        <v>1</v>
      </c>
    </row>
    <row r="2668" spans="1:9" ht="30" x14ac:dyDescent="0.25">
      <c r="A2668" s="54" t="s">
        <v>585</v>
      </c>
      <c r="B2668" s="31" t="s">
        <v>2884</v>
      </c>
      <c r="C2668" s="28" t="s">
        <v>2885</v>
      </c>
      <c r="D2668" s="28"/>
      <c r="E2668" s="28" t="s">
        <v>1974</v>
      </c>
      <c r="F2668" s="28" t="b">
        <v>0</v>
      </c>
      <c r="G2668" s="28">
        <v>404</v>
      </c>
      <c r="H2668" s="28" t="b">
        <v>0</v>
      </c>
      <c r="I2668" s="34"/>
    </row>
    <row r="2669" spans="1:9" ht="30" x14ac:dyDescent="0.25">
      <c r="A2669" s="54" t="s">
        <v>585</v>
      </c>
      <c r="B2669" s="43" t="s">
        <v>647</v>
      </c>
      <c r="C2669" s="37" t="s">
        <v>2010</v>
      </c>
      <c r="D2669" s="37"/>
      <c r="E2669" s="37" t="s">
        <v>1974</v>
      </c>
      <c r="F2669" s="37" t="b">
        <v>0</v>
      </c>
      <c r="G2669" s="37">
        <v>200</v>
      </c>
      <c r="H2669" s="37" t="b">
        <v>1</v>
      </c>
    </row>
    <row r="2670" spans="1:9" ht="30" x14ac:dyDescent="0.25">
      <c r="A2670" s="54" t="s">
        <v>585</v>
      </c>
      <c r="B2670" s="31" t="s">
        <v>2011</v>
      </c>
      <c r="C2670" s="28"/>
      <c r="D2670" s="28"/>
      <c r="E2670" s="28" t="s">
        <v>2012</v>
      </c>
      <c r="F2670" s="28" t="b">
        <v>0</v>
      </c>
      <c r="G2670" s="28"/>
      <c r="H2670" s="28" t="b">
        <v>1</v>
      </c>
      <c r="I2670" s="34"/>
    </row>
    <row r="2671" spans="1:9" ht="30" x14ac:dyDescent="0.25">
      <c r="A2671" s="54" t="s">
        <v>585</v>
      </c>
      <c r="B2671" s="43" t="s">
        <v>2013</v>
      </c>
      <c r="C2671" s="37"/>
      <c r="D2671" s="37"/>
      <c r="E2671" s="37" t="s">
        <v>2012</v>
      </c>
      <c r="F2671" s="37" t="b">
        <v>0</v>
      </c>
      <c r="G2671" s="37"/>
      <c r="H2671" s="37" t="b">
        <v>1</v>
      </c>
    </row>
    <row r="2672" spans="1:9" ht="30" x14ac:dyDescent="0.25">
      <c r="A2672" s="54" t="s">
        <v>585</v>
      </c>
      <c r="B2672" s="31" t="s">
        <v>641</v>
      </c>
      <c r="C2672" s="28" t="s">
        <v>2014</v>
      </c>
      <c r="D2672" s="28"/>
      <c r="E2672" s="28" t="s">
        <v>1974</v>
      </c>
      <c r="F2672" s="28" t="b">
        <v>0</v>
      </c>
      <c r="G2672" s="28">
        <v>200</v>
      </c>
      <c r="H2672" s="28" t="b">
        <v>1</v>
      </c>
      <c r="I2672" s="34"/>
    </row>
    <row r="2673" spans="1:9" ht="30" x14ac:dyDescent="0.25">
      <c r="A2673" s="54" t="s">
        <v>585</v>
      </c>
      <c r="B2673" s="43" t="s">
        <v>2015</v>
      </c>
      <c r="C2673" s="37" t="s">
        <v>2016</v>
      </c>
      <c r="D2673" s="37"/>
      <c r="E2673" s="37" t="s">
        <v>1974</v>
      </c>
      <c r="F2673" s="37" t="b">
        <v>0</v>
      </c>
      <c r="G2673" s="37">
        <v>404</v>
      </c>
      <c r="H2673" s="37" t="b">
        <v>0</v>
      </c>
    </row>
    <row r="2674" spans="1:9" ht="30" x14ac:dyDescent="0.25">
      <c r="A2674" s="54" t="s">
        <v>585</v>
      </c>
      <c r="B2674" s="31" t="s">
        <v>2015</v>
      </c>
      <c r="C2674" s="28" t="s">
        <v>2017</v>
      </c>
      <c r="D2674" s="28"/>
      <c r="E2674" s="28" t="s">
        <v>1974</v>
      </c>
      <c r="F2674" s="28" t="b">
        <v>0</v>
      </c>
      <c r="G2674" s="28">
        <v>404</v>
      </c>
      <c r="H2674" s="28" t="b">
        <v>0</v>
      </c>
      <c r="I2674" s="34"/>
    </row>
    <row r="2675" spans="1:9" x14ac:dyDescent="0.25">
      <c r="A2675" s="54" t="s">
        <v>836</v>
      </c>
      <c r="B2675" s="43" t="s">
        <v>127</v>
      </c>
      <c r="C2675" s="37"/>
      <c r="D2675" s="37"/>
      <c r="E2675" s="37" t="s">
        <v>1974</v>
      </c>
      <c r="F2675" s="37" t="b">
        <v>0</v>
      </c>
      <c r="G2675" s="37">
        <v>200</v>
      </c>
      <c r="H2675" s="37" t="b">
        <v>1</v>
      </c>
    </row>
    <row r="2676" spans="1:9" x14ac:dyDescent="0.25">
      <c r="A2676" s="54" t="s">
        <v>836</v>
      </c>
      <c r="B2676" s="31" t="s">
        <v>127</v>
      </c>
      <c r="C2676" s="28" t="s">
        <v>1975</v>
      </c>
      <c r="D2676" s="28"/>
      <c r="E2676" s="28" t="s">
        <v>1974</v>
      </c>
      <c r="F2676" s="28" t="b">
        <v>0</v>
      </c>
      <c r="G2676" s="28">
        <v>200</v>
      </c>
      <c r="H2676" s="28" t="b">
        <v>1</v>
      </c>
      <c r="I2676" s="34"/>
    </row>
    <row r="2677" spans="1:9" x14ac:dyDescent="0.25">
      <c r="A2677" s="54" t="s">
        <v>836</v>
      </c>
      <c r="B2677" s="43" t="s">
        <v>135</v>
      </c>
      <c r="C2677" s="37" t="s">
        <v>1976</v>
      </c>
      <c r="D2677" s="37"/>
      <c r="E2677" s="37" t="s">
        <v>1974</v>
      </c>
      <c r="F2677" s="37" t="b">
        <v>0</v>
      </c>
      <c r="G2677" s="37">
        <v>200</v>
      </c>
      <c r="H2677" s="37" t="b">
        <v>1</v>
      </c>
    </row>
    <row r="2678" spans="1:9" x14ac:dyDescent="0.25">
      <c r="A2678" s="54" t="s">
        <v>836</v>
      </c>
      <c r="B2678" s="31" t="s">
        <v>655</v>
      </c>
      <c r="C2678" s="28" t="s">
        <v>1977</v>
      </c>
      <c r="D2678" s="28"/>
      <c r="E2678" s="28" t="s">
        <v>1974</v>
      </c>
      <c r="F2678" s="28" t="b">
        <v>0</v>
      </c>
      <c r="G2678" s="28">
        <v>200</v>
      </c>
      <c r="H2678" s="28" t="b">
        <v>1</v>
      </c>
      <c r="I2678" s="34"/>
    </row>
    <row r="2679" spans="1:9" x14ac:dyDescent="0.25">
      <c r="A2679" s="54" t="s">
        <v>836</v>
      </c>
      <c r="B2679" s="43" t="s">
        <v>635</v>
      </c>
      <c r="C2679" s="37" t="s">
        <v>1978</v>
      </c>
      <c r="D2679" s="37"/>
      <c r="E2679" s="37" t="s">
        <v>1974</v>
      </c>
      <c r="F2679" s="37" t="b">
        <v>0</v>
      </c>
      <c r="G2679" s="37">
        <v>200</v>
      </c>
      <c r="H2679" s="37" t="b">
        <v>1</v>
      </c>
    </row>
    <row r="2680" spans="1:9" ht="30" x14ac:dyDescent="0.25">
      <c r="A2680" s="54" t="s">
        <v>836</v>
      </c>
      <c r="B2680" s="31" t="s">
        <v>144</v>
      </c>
      <c r="C2680" s="28" t="s">
        <v>1979</v>
      </c>
      <c r="D2680" s="28"/>
      <c r="E2680" s="28" t="s">
        <v>1974</v>
      </c>
      <c r="F2680" s="28" t="b">
        <v>0</v>
      </c>
      <c r="G2680" s="28">
        <v>200</v>
      </c>
      <c r="H2680" s="28" t="b">
        <v>1</v>
      </c>
      <c r="I2680" s="34"/>
    </row>
    <row r="2681" spans="1:9" x14ac:dyDescent="0.25">
      <c r="A2681" s="54" t="s">
        <v>836</v>
      </c>
      <c r="B2681" s="43" t="s">
        <v>618</v>
      </c>
      <c r="C2681" s="37" t="s">
        <v>1980</v>
      </c>
      <c r="D2681" s="37"/>
      <c r="E2681" s="37" t="s">
        <v>1974</v>
      </c>
      <c r="F2681" s="37" t="b">
        <v>0</v>
      </c>
      <c r="G2681" s="37">
        <v>200</v>
      </c>
      <c r="H2681" s="37" t="b">
        <v>1</v>
      </c>
    </row>
    <row r="2682" spans="1:9" ht="30" x14ac:dyDescent="0.25">
      <c r="A2682" s="54" t="s">
        <v>836</v>
      </c>
      <c r="B2682" s="31" t="s">
        <v>585</v>
      </c>
      <c r="C2682" s="28" t="s">
        <v>1981</v>
      </c>
      <c r="D2682" s="28"/>
      <c r="E2682" s="28" t="s">
        <v>1974</v>
      </c>
      <c r="F2682" s="28" t="b">
        <v>0</v>
      </c>
      <c r="G2682" s="28">
        <v>200</v>
      </c>
      <c r="H2682" s="28" t="b">
        <v>1</v>
      </c>
      <c r="I2682" s="34"/>
    </row>
    <row r="2683" spans="1:9" ht="30" x14ac:dyDescent="0.25">
      <c r="A2683" s="54" t="s">
        <v>836</v>
      </c>
      <c r="B2683" s="43" t="s">
        <v>582</v>
      </c>
      <c r="C2683" s="37" t="s">
        <v>1982</v>
      </c>
      <c r="D2683" s="37"/>
      <c r="E2683" s="37" t="s">
        <v>1974</v>
      </c>
      <c r="F2683" s="37" t="b">
        <v>0</v>
      </c>
      <c r="G2683" s="37">
        <v>200</v>
      </c>
      <c r="H2683" s="37" t="b">
        <v>1</v>
      </c>
    </row>
    <row r="2684" spans="1:9" x14ac:dyDescent="0.25">
      <c r="A2684" s="54" t="s">
        <v>836</v>
      </c>
      <c r="B2684" s="31" t="s">
        <v>638</v>
      </c>
      <c r="C2684" s="28" t="s">
        <v>1983</v>
      </c>
      <c r="D2684" s="28"/>
      <c r="E2684" s="28" t="s">
        <v>1974</v>
      </c>
      <c r="F2684" s="28" t="b">
        <v>0</v>
      </c>
      <c r="G2684" s="28">
        <v>200</v>
      </c>
      <c r="H2684" s="28" t="b">
        <v>1</v>
      </c>
      <c r="I2684" s="34"/>
    </row>
    <row r="2685" spans="1:9" x14ac:dyDescent="0.25">
      <c r="A2685" s="54" t="s">
        <v>836</v>
      </c>
      <c r="B2685" s="43" t="s">
        <v>638</v>
      </c>
      <c r="C2685" s="37" t="s">
        <v>1984</v>
      </c>
      <c r="D2685" s="37"/>
      <c r="E2685" s="37" t="s">
        <v>1974</v>
      </c>
      <c r="F2685" s="37" t="b">
        <v>0</v>
      </c>
      <c r="G2685" s="37">
        <v>200</v>
      </c>
      <c r="H2685" s="37" t="b">
        <v>1</v>
      </c>
    </row>
    <row r="2686" spans="1:9" x14ac:dyDescent="0.25">
      <c r="A2686" s="54" t="s">
        <v>836</v>
      </c>
      <c r="B2686" s="31" t="s">
        <v>647</v>
      </c>
      <c r="C2686" s="28" t="s">
        <v>1985</v>
      </c>
      <c r="D2686" s="28"/>
      <c r="E2686" s="28" t="s">
        <v>1974</v>
      </c>
      <c r="F2686" s="28" t="b">
        <v>0</v>
      </c>
      <c r="G2686" s="28">
        <v>200</v>
      </c>
      <c r="H2686" s="28" t="b">
        <v>1</v>
      </c>
      <c r="I2686" s="34"/>
    </row>
    <row r="2687" spans="1:9" ht="30" x14ac:dyDescent="0.25">
      <c r="A2687" s="54" t="s">
        <v>836</v>
      </c>
      <c r="B2687" s="43" t="s">
        <v>503</v>
      </c>
      <c r="C2687" s="37" t="s">
        <v>1986</v>
      </c>
      <c r="D2687" s="37"/>
      <c r="E2687" s="37" t="s">
        <v>1974</v>
      </c>
      <c r="F2687" s="37" t="b">
        <v>0</v>
      </c>
      <c r="G2687" s="37">
        <v>200</v>
      </c>
      <c r="H2687" s="37" t="b">
        <v>1</v>
      </c>
    </row>
    <row r="2688" spans="1:9" x14ac:dyDescent="0.25">
      <c r="A2688" s="54" t="s">
        <v>836</v>
      </c>
      <c r="B2688" s="31" t="s">
        <v>608</v>
      </c>
      <c r="C2688" s="28" t="s">
        <v>1987</v>
      </c>
      <c r="D2688" s="28"/>
      <c r="E2688" s="28" t="s">
        <v>1974</v>
      </c>
      <c r="F2688" s="28" t="b">
        <v>0</v>
      </c>
      <c r="G2688" s="28">
        <v>200</v>
      </c>
      <c r="H2688" s="28" t="b">
        <v>1</v>
      </c>
      <c r="I2688" s="34"/>
    </row>
    <row r="2689" spans="1:9" x14ac:dyDescent="0.25">
      <c r="A2689" s="54" t="s">
        <v>836</v>
      </c>
      <c r="B2689" s="43" t="s">
        <v>127</v>
      </c>
      <c r="C2689" s="37" t="s">
        <v>1975</v>
      </c>
      <c r="D2689" s="37"/>
      <c r="E2689" s="37" t="s">
        <v>1974</v>
      </c>
      <c r="F2689" s="37" t="b">
        <v>0</v>
      </c>
      <c r="G2689" s="37">
        <v>200</v>
      </c>
      <c r="H2689" s="37" t="b">
        <v>1</v>
      </c>
    </row>
    <row r="2690" spans="1:9" x14ac:dyDescent="0.25">
      <c r="A2690" s="54" t="s">
        <v>836</v>
      </c>
      <c r="B2690" s="31" t="s">
        <v>135</v>
      </c>
      <c r="C2690" s="28" t="s">
        <v>1976</v>
      </c>
      <c r="D2690" s="28"/>
      <c r="E2690" s="28" t="s">
        <v>1974</v>
      </c>
      <c r="F2690" s="28" t="b">
        <v>0</v>
      </c>
      <c r="G2690" s="28">
        <v>200</v>
      </c>
      <c r="H2690" s="28" t="b">
        <v>1</v>
      </c>
      <c r="I2690" s="34"/>
    </row>
    <row r="2691" spans="1:9" x14ac:dyDescent="0.25">
      <c r="A2691" s="54" t="s">
        <v>836</v>
      </c>
      <c r="B2691" s="43" t="s">
        <v>655</v>
      </c>
      <c r="C2691" s="37" t="s">
        <v>1977</v>
      </c>
      <c r="D2691" s="37"/>
      <c r="E2691" s="37" t="s">
        <v>1974</v>
      </c>
      <c r="F2691" s="37" t="b">
        <v>0</v>
      </c>
      <c r="G2691" s="37">
        <v>200</v>
      </c>
      <c r="H2691" s="37" t="b">
        <v>1</v>
      </c>
    </row>
    <row r="2692" spans="1:9" x14ac:dyDescent="0.25">
      <c r="A2692" s="54" t="s">
        <v>836</v>
      </c>
      <c r="B2692" s="31" t="s">
        <v>635</v>
      </c>
      <c r="C2692" s="28" t="s">
        <v>1978</v>
      </c>
      <c r="D2692" s="28"/>
      <c r="E2692" s="28" t="s">
        <v>1974</v>
      </c>
      <c r="F2692" s="28" t="b">
        <v>0</v>
      </c>
      <c r="G2692" s="28">
        <v>200</v>
      </c>
      <c r="H2692" s="28" t="b">
        <v>1</v>
      </c>
      <c r="I2692" s="34"/>
    </row>
    <row r="2693" spans="1:9" ht="30" x14ac:dyDescent="0.25">
      <c r="A2693" s="54" t="s">
        <v>836</v>
      </c>
      <c r="B2693" s="43" t="s">
        <v>144</v>
      </c>
      <c r="C2693" s="37" t="s">
        <v>1979</v>
      </c>
      <c r="D2693" s="37"/>
      <c r="E2693" s="37" t="s">
        <v>1974</v>
      </c>
      <c r="F2693" s="37" t="b">
        <v>0</v>
      </c>
      <c r="G2693" s="37">
        <v>200</v>
      </c>
      <c r="H2693" s="37" t="b">
        <v>1</v>
      </c>
    </row>
    <row r="2694" spans="1:9" x14ac:dyDescent="0.25">
      <c r="A2694" s="54" t="s">
        <v>836</v>
      </c>
      <c r="B2694" s="31" t="s">
        <v>618</v>
      </c>
      <c r="C2694" s="28" t="s">
        <v>1980</v>
      </c>
      <c r="D2694" s="28"/>
      <c r="E2694" s="28" t="s">
        <v>1974</v>
      </c>
      <c r="F2694" s="28" t="b">
        <v>0</v>
      </c>
      <c r="G2694" s="28">
        <v>200</v>
      </c>
      <c r="H2694" s="28" t="b">
        <v>1</v>
      </c>
      <c r="I2694" s="34"/>
    </row>
    <row r="2695" spans="1:9" ht="30" x14ac:dyDescent="0.25">
      <c r="A2695" s="54" t="s">
        <v>836</v>
      </c>
      <c r="B2695" s="43" t="s">
        <v>585</v>
      </c>
      <c r="C2695" s="37" t="s">
        <v>1981</v>
      </c>
      <c r="D2695" s="37"/>
      <c r="E2695" s="37" t="s">
        <v>1974</v>
      </c>
      <c r="F2695" s="37" t="b">
        <v>0</v>
      </c>
      <c r="G2695" s="37">
        <v>200</v>
      </c>
      <c r="H2695" s="37" t="b">
        <v>1</v>
      </c>
    </row>
    <row r="2696" spans="1:9" ht="30" x14ac:dyDescent="0.25">
      <c r="A2696" s="54" t="s">
        <v>836</v>
      </c>
      <c r="B2696" s="31" t="s">
        <v>582</v>
      </c>
      <c r="C2696" s="28" t="s">
        <v>1982</v>
      </c>
      <c r="D2696" s="28"/>
      <c r="E2696" s="28" t="s">
        <v>1974</v>
      </c>
      <c r="F2696" s="28" t="b">
        <v>0</v>
      </c>
      <c r="G2696" s="28">
        <v>200</v>
      </c>
      <c r="H2696" s="28" t="b">
        <v>1</v>
      </c>
      <c r="I2696" s="34"/>
    </row>
    <row r="2697" spans="1:9" x14ac:dyDescent="0.25">
      <c r="A2697" s="54" t="s">
        <v>836</v>
      </c>
      <c r="B2697" s="43" t="s">
        <v>638</v>
      </c>
      <c r="C2697" s="37" t="s">
        <v>1983</v>
      </c>
      <c r="D2697" s="37"/>
      <c r="E2697" s="37" t="s">
        <v>1974</v>
      </c>
      <c r="F2697" s="37" t="b">
        <v>0</v>
      </c>
      <c r="G2697" s="37">
        <v>200</v>
      </c>
      <c r="H2697" s="37" t="b">
        <v>1</v>
      </c>
    </row>
    <row r="2698" spans="1:9" x14ac:dyDescent="0.25">
      <c r="A2698" s="54" t="s">
        <v>836</v>
      </c>
      <c r="B2698" s="31" t="s">
        <v>638</v>
      </c>
      <c r="C2698" s="28" t="s">
        <v>1984</v>
      </c>
      <c r="D2698" s="28"/>
      <c r="E2698" s="28" t="s">
        <v>1974</v>
      </c>
      <c r="F2698" s="28" t="b">
        <v>0</v>
      </c>
      <c r="G2698" s="28">
        <v>200</v>
      </c>
      <c r="H2698" s="28" t="b">
        <v>1</v>
      </c>
      <c r="I2698" s="34"/>
    </row>
    <row r="2699" spans="1:9" x14ac:dyDescent="0.25">
      <c r="A2699" s="54" t="s">
        <v>836</v>
      </c>
      <c r="B2699" s="43" t="s">
        <v>647</v>
      </c>
      <c r="C2699" s="37" t="s">
        <v>1985</v>
      </c>
      <c r="D2699" s="37"/>
      <c r="E2699" s="37" t="s">
        <v>1974</v>
      </c>
      <c r="F2699" s="37" t="b">
        <v>0</v>
      </c>
      <c r="G2699" s="37">
        <v>200</v>
      </c>
      <c r="H2699" s="37" t="b">
        <v>1</v>
      </c>
    </row>
    <row r="2700" spans="1:9" ht="30" x14ac:dyDescent="0.25">
      <c r="A2700" s="54" t="s">
        <v>836</v>
      </c>
      <c r="B2700" s="31" t="s">
        <v>503</v>
      </c>
      <c r="C2700" s="28" t="s">
        <v>1986</v>
      </c>
      <c r="D2700" s="28"/>
      <c r="E2700" s="28" t="s">
        <v>1974</v>
      </c>
      <c r="F2700" s="28" t="b">
        <v>0</v>
      </c>
      <c r="G2700" s="28">
        <v>200</v>
      </c>
      <c r="H2700" s="28" t="b">
        <v>1</v>
      </c>
      <c r="I2700" s="34"/>
    </row>
    <row r="2701" spans="1:9" x14ac:dyDescent="0.25">
      <c r="A2701" s="54" t="s">
        <v>836</v>
      </c>
      <c r="B2701" s="43" t="s">
        <v>608</v>
      </c>
      <c r="C2701" s="37" t="s">
        <v>1987</v>
      </c>
      <c r="D2701" s="37"/>
      <c r="E2701" s="37" t="s">
        <v>1974</v>
      </c>
      <c r="F2701" s="37" t="b">
        <v>0</v>
      </c>
      <c r="G2701" s="37">
        <v>200</v>
      </c>
      <c r="H2701" s="37" t="b">
        <v>1</v>
      </c>
    </row>
    <row r="2702" spans="1:9" x14ac:dyDescent="0.25">
      <c r="A2702" s="54" t="s">
        <v>836</v>
      </c>
      <c r="B2702" s="31" t="s">
        <v>2025</v>
      </c>
      <c r="C2702" s="28"/>
      <c r="D2702" s="28"/>
      <c r="E2702" s="28" t="s">
        <v>2012</v>
      </c>
      <c r="F2702" s="28" t="b">
        <v>0</v>
      </c>
      <c r="G2702" s="28"/>
      <c r="H2702" s="28" t="b">
        <v>1</v>
      </c>
      <c r="I2702" s="34"/>
    </row>
    <row r="2703" spans="1:9" x14ac:dyDescent="0.25">
      <c r="A2703" s="54" t="s">
        <v>836</v>
      </c>
      <c r="B2703" s="43" t="s">
        <v>127</v>
      </c>
      <c r="C2703" s="37" t="s">
        <v>1975</v>
      </c>
      <c r="D2703" s="37"/>
      <c r="E2703" s="37" t="s">
        <v>1974</v>
      </c>
      <c r="F2703" s="37" t="b">
        <v>0</v>
      </c>
      <c r="G2703" s="37">
        <v>200</v>
      </c>
      <c r="H2703" s="37" t="b">
        <v>1</v>
      </c>
    </row>
    <row r="2704" spans="1:9" x14ac:dyDescent="0.25">
      <c r="A2704" s="54" t="s">
        <v>836</v>
      </c>
      <c r="B2704" s="31" t="s">
        <v>135</v>
      </c>
      <c r="C2704" s="28" t="s">
        <v>1976</v>
      </c>
      <c r="D2704" s="28"/>
      <c r="E2704" s="28" t="s">
        <v>1974</v>
      </c>
      <c r="F2704" s="28" t="b">
        <v>0</v>
      </c>
      <c r="G2704" s="28">
        <v>200</v>
      </c>
      <c r="H2704" s="28" t="b">
        <v>1</v>
      </c>
      <c r="I2704" s="34"/>
    </row>
    <row r="2705" spans="1:9" x14ac:dyDescent="0.25">
      <c r="A2705" s="54" t="s">
        <v>836</v>
      </c>
      <c r="B2705" s="43" t="s">
        <v>655</v>
      </c>
      <c r="C2705" s="37" t="s">
        <v>1977</v>
      </c>
      <c r="D2705" s="37"/>
      <c r="E2705" s="37" t="s">
        <v>1974</v>
      </c>
      <c r="F2705" s="37" t="b">
        <v>0</v>
      </c>
      <c r="G2705" s="37">
        <v>200</v>
      </c>
      <c r="H2705" s="37" t="b">
        <v>1</v>
      </c>
    </row>
    <row r="2706" spans="1:9" x14ac:dyDescent="0.25">
      <c r="A2706" s="54" t="s">
        <v>836</v>
      </c>
      <c r="B2706" s="31" t="s">
        <v>635</v>
      </c>
      <c r="C2706" s="28" t="s">
        <v>1978</v>
      </c>
      <c r="D2706" s="28"/>
      <c r="E2706" s="28" t="s">
        <v>1974</v>
      </c>
      <c r="F2706" s="28" t="b">
        <v>0</v>
      </c>
      <c r="G2706" s="28">
        <v>200</v>
      </c>
      <c r="H2706" s="28" t="b">
        <v>1</v>
      </c>
      <c r="I2706" s="34"/>
    </row>
    <row r="2707" spans="1:9" ht="30" x14ac:dyDescent="0.25">
      <c r="A2707" s="54" t="s">
        <v>836</v>
      </c>
      <c r="B2707" s="43" t="s">
        <v>144</v>
      </c>
      <c r="C2707" s="37" t="s">
        <v>1979</v>
      </c>
      <c r="D2707" s="37"/>
      <c r="E2707" s="37" t="s">
        <v>1974</v>
      </c>
      <c r="F2707" s="37" t="b">
        <v>0</v>
      </c>
      <c r="G2707" s="37">
        <v>200</v>
      </c>
      <c r="H2707" s="37" t="b">
        <v>1</v>
      </c>
    </row>
    <row r="2708" spans="1:9" x14ac:dyDescent="0.25">
      <c r="A2708" s="54" t="s">
        <v>836</v>
      </c>
      <c r="B2708" s="31" t="s">
        <v>618</v>
      </c>
      <c r="C2708" s="28" t="s">
        <v>1980</v>
      </c>
      <c r="D2708" s="28"/>
      <c r="E2708" s="28" t="s">
        <v>1974</v>
      </c>
      <c r="F2708" s="28" t="b">
        <v>0</v>
      </c>
      <c r="G2708" s="28">
        <v>200</v>
      </c>
      <c r="H2708" s="28" t="b">
        <v>1</v>
      </c>
      <c r="I2708" s="34"/>
    </row>
    <row r="2709" spans="1:9" ht="30" x14ac:dyDescent="0.25">
      <c r="A2709" s="54" t="s">
        <v>836</v>
      </c>
      <c r="B2709" s="43" t="s">
        <v>585</v>
      </c>
      <c r="C2709" s="37" t="s">
        <v>1981</v>
      </c>
      <c r="D2709" s="37"/>
      <c r="E2709" s="37" t="s">
        <v>1974</v>
      </c>
      <c r="F2709" s="37" t="b">
        <v>0</v>
      </c>
      <c r="G2709" s="37">
        <v>200</v>
      </c>
      <c r="H2709" s="37" t="b">
        <v>1</v>
      </c>
    </row>
    <row r="2710" spans="1:9" ht="30" x14ac:dyDescent="0.25">
      <c r="A2710" s="54" t="s">
        <v>836</v>
      </c>
      <c r="B2710" s="31" t="s">
        <v>582</v>
      </c>
      <c r="C2710" s="28" t="s">
        <v>1982</v>
      </c>
      <c r="D2710" s="28"/>
      <c r="E2710" s="28" t="s">
        <v>1974</v>
      </c>
      <c r="F2710" s="28" t="b">
        <v>0</v>
      </c>
      <c r="G2710" s="28">
        <v>200</v>
      </c>
      <c r="H2710" s="28" t="b">
        <v>1</v>
      </c>
      <c r="I2710" s="34"/>
    </row>
    <row r="2711" spans="1:9" x14ac:dyDescent="0.25">
      <c r="A2711" s="54" t="s">
        <v>836</v>
      </c>
      <c r="B2711" s="43" t="s">
        <v>638</v>
      </c>
      <c r="C2711" s="37" t="s">
        <v>1983</v>
      </c>
      <c r="D2711" s="37"/>
      <c r="E2711" s="37" t="s">
        <v>1974</v>
      </c>
      <c r="F2711" s="37" t="b">
        <v>0</v>
      </c>
      <c r="G2711" s="37">
        <v>200</v>
      </c>
      <c r="H2711" s="37" t="b">
        <v>1</v>
      </c>
    </row>
    <row r="2712" spans="1:9" x14ac:dyDescent="0.25">
      <c r="A2712" s="54" t="s">
        <v>836</v>
      </c>
      <c r="B2712" s="31" t="s">
        <v>638</v>
      </c>
      <c r="C2712" s="28" t="s">
        <v>1984</v>
      </c>
      <c r="D2712" s="28"/>
      <c r="E2712" s="28" t="s">
        <v>1974</v>
      </c>
      <c r="F2712" s="28" t="b">
        <v>0</v>
      </c>
      <c r="G2712" s="28">
        <v>200</v>
      </c>
      <c r="H2712" s="28" t="b">
        <v>1</v>
      </c>
      <c r="I2712" s="34"/>
    </row>
    <row r="2713" spans="1:9" x14ac:dyDescent="0.25">
      <c r="A2713" s="54" t="s">
        <v>836</v>
      </c>
      <c r="B2713" s="43" t="s">
        <v>647</v>
      </c>
      <c r="C2713" s="37" t="s">
        <v>1985</v>
      </c>
      <c r="D2713" s="37"/>
      <c r="E2713" s="37" t="s">
        <v>1974</v>
      </c>
      <c r="F2713" s="37" t="b">
        <v>0</v>
      </c>
      <c r="G2713" s="37">
        <v>200</v>
      </c>
      <c r="H2713" s="37" t="b">
        <v>1</v>
      </c>
    </row>
    <row r="2714" spans="1:9" ht="30" x14ac:dyDescent="0.25">
      <c r="A2714" s="54" t="s">
        <v>836</v>
      </c>
      <c r="B2714" s="31" t="s">
        <v>503</v>
      </c>
      <c r="C2714" s="28" t="s">
        <v>1986</v>
      </c>
      <c r="D2714" s="28"/>
      <c r="E2714" s="28" t="s">
        <v>1974</v>
      </c>
      <c r="F2714" s="28" t="b">
        <v>0</v>
      </c>
      <c r="G2714" s="28">
        <v>200</v>
      </c>
      <c r="H2714" s="28" t="b">
        <v>1</v>
      </c>
      <c r="I2714" s="34"/>
    </row>
    <row r="2715" spans="1:9" x14ac:dyDescent="0.25">
      <c r="A2715" s="54" t="s">
        <v>836</v>
      </c>
      <c r="B2715" s="43" t="s">
        <v>608</v>
      </c>
      <c r="C2715" s="37" t="s">
        <v>1987</v>
      </c>
      <c r="D2715" s="37"/>
      <c r="E2715" s="37" t="s">
        <v>1974</v>
      </c>
      <c r="F2715" s="37" t="b">
        <v>0</v>
      </c>
      <c r="G2715" s="37">
        <v>200</v>
      </c>
      <c r="H2715" s="37" t="b">
        <v>1</v>
      </c>
    </row>
    <row r="2716" spans="1:9" x14ac:dyDescent="0.25">
      <c r="A2716" s="54" t="s">
        <v>836</v>
      </c>
      <c r="B2716" s="31" t="s">
        <v>127</v>
      </c>
      <c r="C2716" s="28" t="s">
        <v>1975</v>
      </c>
      <c r="D2716" s="28"/>
      <c r="E2716" s="28" t="s">
        <v>1974</v>
      </c>
      <c r="F2716" s="28" t="b">
        <v>0</v>
      </c>
      <c r="G2716" s="28">
        <v>200</v>
      </c>
      <c r="H2716" s="28" t="b">
        <v>1</v>
      </c>
      <c r="I2716" s="34"/>
    </row>
    <row r="2717" spans="1:9" x14ac:dyDescent="0.25">
      <c r="A2717" s="54" t="s">
        <v>836</v>
      </c>
      <c r="B2717" s="43" t="s">
        <v>135</v>
      </c>
      <c r="C2717" s="37" t="s">
        <v>1976</v>
      </c>
      <c r="D2717" s="37"/>
      <c r="E2717" s="37" t="s">
        <v>1974</v>
      </c>
      <c r="F2717" s="37" t="b">
        <v>0</v>
      </c>
      <c r="G2717" s="37">
        <v>200</v>
      </c>
      <c r="H2717" s="37" t="b">
        <v>1</v>
      </c>
    </row>
    <row r="2718" spans="1:9" x14ac:dyDescent="0.25">
      <c r="A2718" s="54" t="s">
        <v>836</v>
      </c>
      <c r="B2718" s="31" t="s">
        <v>655</v>
      </c>
      <c r="C2718" s="28" t="s">
        <v>1977</v>
      </c>
      <c r="D2718" s="28"/>
      <c r="E2718" s="28" t="s">
        <v>1974</v>
      </c>
      <c r="F2718" s="28" t="b">
        <v>0</v>
      </c>
      <c r="G2718" s="28">
        <v>200</v>
      </c>
      <c r="H2718" s="28" t="b">
        <v>1</v>
      </c>
      <c r="I2718" s="34"/>
    </row>
    <row r="2719" spans="1:9" x14ac:dyDescent="0.25">
      <c r="A2719" s="54" t="s">
        <v>836</v>
      </c>
      <c r="B2719" s="43" t="s">
        <v>635</v>
      </c>
      <c r="C2719" s="37" t="s">
        <v>1978</v>
      </c>
      <c r="D2719" s="37"/>
      <c r="E2719" s="37" t="s">
        <v>1974</v>
      </c>
      <c r="F2719" s="37" t="b">
        <v>0</v>
      </c>
      <c r="G2719" s="37">
        <v>200</v>
      </c>
      <c r="H2719" s="37" t="b">
        <v>1</v>
      </c>
    </row>
    <row r="2720" spans="1:9" ht="30" x14ac:dyDescent="0.25">
      <c r="A2720" s="54" t="s">
        <v>836</v>
      </c>
      <c r="B2720" s="31" t="s">
        <v>144</v>
      </c>
      <c r="C2720" s="28" t="s">
        <v>1979</v>
      </c>
      <c r="D2720" s="28"/>
      <c r="E2720" s="28" t="s">
        <v>1974</v>
      </c>
      <c r="F2720" s="28" t="b">
        <v>0</v>
      </c>
      <c r="G2720" s="28">
        <v>200</v>
      </c>
      <c r="H2720" s="28" t="b">
        <v>1</v>
      </c>
      <c r="I2720" s="34"/>
    </row>
    <row r="2721" spans="1:9" x14ac:dyDescent="0.25">
      <c r="A2721" s="54" t="s">
        <v>836</v>
      </c>
      <c r="B2721" s="43" t="s">
        <v>618</v>
      </c>
      <c r="C2721" s="37" t="s">
        <v>1980</v>
      </c>
      <c r="D2721" s="37"/>
      <c r="E2721" s="37" t="s">
        <v>1974</v>
      </c>
      <c r="F2721" s="37" t="b">
        <v>0</v>
      </c>
      <c r="G2721" s="37">
        <v>200</v>
      </c>
      <c r="H2721" s="37" t="b">
        <v>1</v>
      </c>
    </row>
    <row r="2722" spans="1:9" ht="30" x14ac:dyDescent="0.25">
      <c r="A2722" s="54" t="s">
        <v>836</v>
      </c>
      <c r="B2722" s="31" t="s">
        <v>585</v>
      </c>
      <c r="C2722" s="28" t="s">
        <v>1981</v>
      </c>
      <c r="D2722" s="28"/>
      <c r="E2722" s="28" t="s">
        <v>1974</v>
      </c>
      <c r="F2722" s="28" t="b">
        <v>0</v>
      </c>
      <c r="G2722" s="28">
        <v>200</v>
      </c>
      <c r="H2722" s="28" t="b">
        <v>1</v>
      </c>
      <c r="I2722" s="34"/>
    </row>
    <row r="2723" spans="1:9" ht="30" x14ac:dyDescent="0.25">
      <c r="A2723" s="54" t="s">
        <v>836</v>
      </c>
      <c r="B2723" s="43" t="s">
        <v>582</v>
      </c>
      <c r="C2723" s="37" t="s">
        <v>1982</v>
      </c>
      <c r="D2723" s="37"/>
      <c r="E2723" s="37" t="s">
        <v>1974</v>
      </c>
      <c r="F2723" s="37" t="b">
        <v>0</v>
      </c>
      <c r="G2723" s="37">
        <v>200</v>
      </c>
      <c r="H2723" s="37" t="b">
        <v>1</v>
      </c>
    </row>
    <row r="2724" spans="1:9" x14ac:dyDescent="0.25">
      <c r="A2724" s="54" t="s">
        <v>836</v>
      </c>
      <c r="B2724" s="31" t="s">
        <v>638</v>
      </c>
      <c r="C2724" s="28" t="s">
        <v>1983</v>
      </c>
      <c r="D2724" s="28"/>
      <c r="E2724" s="28" t="s">
        <v>1974</v>
      </c>
      <c r="F2724" s="28" t="b">
        <v>0</v>
      </c>
      <c r="G2724" s="28">
        <v>200</v>
      </c>
      <c r="H2724" s="28" t="b">
        <v>1</v>
      </c>
      <c r="I2724" s="34"/>
    </row>
    <row r="2725" spans="1:9" x14ac:dyDescent="0.25">
      <c r="A2725" s="54" t="s">
        <v>836</v>
      </c>
      <c r="B2725" s="43" t="s">
        <v>638</v>
      </c>
      <c r="C2725" s="37" t="s">
        <v>1984</v>
      </c>
      <c r="D2725" s="37"/>
      <c r="E2725" s="37" t="s">
        <v>1974</v>
      </c>
      <c r="F2725" s="37" t="b">
        <v>0</v>
      </c>
      <c r="G2725" s="37">
        <v>200</v>
      </c>
      <c r="H2725" s="37" t="b">
        <v>1</v>
      </c>
    </row>
    <row r="2726" spans="1:9" x14ac:dyDescent="0.25">
      <c r="A2726" s="54" t="s">
        <v>836</v>
      </c>
      <c r="B2726" s="31" t="s">
        <v>647</v>
      </c>
      <c r="C2726" s="28" t="s">
        <v>1985</v>
      </c>
      <c r="D2726" s="28"/>
      <c r="E2726" s="28" t="s">
        <v>1974</v>
      </c>
      <c r="F2726" s="28" t="b">
        <v>0</v>
      </c>
      <c r="G2726" s="28">
        <v>200</v>
      </c>
      <c r="H2726" s="28" t="b">
        <v>1</v>
      </c>
      <c r="I2726" s="34"/>
    </row>
    <row r="2727" spans="1:9" ht="30" x14ac:dyDescent="0.25">
      <c r="A2727" s="54" t="s">
        <v>836</v>
      </c>
      <c r="B2727" s="43" t="s">
        <v>503</v>
      </c>
      <c r="C2727" s="37" t="s">
        <v>1986</v>
      </c>
      <c r="D2727" s="37"/>
      <c r="E2727" s="37" t="s">
        <v>1974</v>
      </c>
      <c r="F2727" s="37" t="b">
        <v>0</v>
      </c>
      <c r="G2727" s="37">
        <v>200</v>
      </c>
      <c r="H2727" s="37" t="b">
        <v>1</v>
      </c>
    </row>
    <row r="2728" spans="1:9" x14ac:dyDescent="0.25">
      <c r="A2728" s="54" t="s">
        <v>836</v>
      </c>
      <c r="B2728" s="31" t="s">
        <v>608</v>
      </c>
      <c r="C2728" s="28" t="s">
        <v>1987</v>
      </c>
      <c r="D2728" s="28"/>
      <c r="E2728" s="28" t="s">
        <v>1974</v>
      </c>
      <c r="F2728" s="28" t="b">
        <v>0</v>
      </c>
      <c r="G2728" s="28">
        <v>200</v>
      </c>
      <c r="H2728" s="28" t="b">
        <v>1</v>
      </c>
      <c r="I2728" s="34"/>
    </row>
    <row r="2729" spans="1:9" x14ac:dyDescent="0.25">
      <c r="A2729" s="54" t="s">
        <v>836</v>
      </c>
      <c r="B2729" s="43" t="s">
        <v>2886</v>
      </c>
      <c r="C2729" s="37" t="s">
        <v>2887</v>
      </c>
      <c r="D2729" s="37"/>
      <c r="E2729" s="37" t="s">
        <v>1974</v>
      </c>
      <c r="F2729" s="37" t="b">
        <v>0</v>
      </c>
      <c r="G2729" s="37">
        <v>200</v>
      </c>
      <c r="H2729" s="37" t="b">
        <v>1</v>
      </c>
    </row>
    <row r="2730" spans="1:9" x14ac:dyDescent="0.25">
      <c r="A2730" s="54" t="s">
        <v>836</v>
      </c>
      <c r="B2730" s="31" t="s">
        <v>647</v>
      </c>
      <c r="C2730" s="28" t="s">
        <v>2010</v>
      </c>
      <c r="D2730" s="28"/>
      <c r="E2730" s="28" t="s">
        <v>1974</v>
      </c>
      <c r="F2730" s="28" t="b">
        <v>0</v>
      </c>
      <c r="G2730" s="28">
        <v>200</v>
      </c>
      <c r="H2730" s="28" t="b">
        <v>1</v>
      </c>
      <c r="I2730" s="34"/>
    </row>
    <row r="2731" spans="1:9" ht="30" x14ac:dyDescent="0.25">
      <c r="A2731" s="54" t="s">
        <v>836</v>
      </c>
      <c r="B2731" s="43" t="s">
        <v>2011</v>
      </c>
      <c r="C2731" s="37"/>
      <c r="D2731" s="37"/>
      <c r="E2731" s="37" t="s">
        <v>2012</v>
      </c>
      <c r="F2731" s="37" t="b">
        <v>0</v>
      </c>
      <c r="G2731" s="37"/>
      <c r="H2731" s="37" t="b">
        <v>1</v>
      </c>
    </row>
    <row r="2732" spans="1:9" ht="30" x14ac:dyDescent="0.25">
      <c r="A2732" s="54" t="s">
        <v>836</v>
      </c>
      <c r="B2732" s="31" t="s">
        <v>2013</v>
      </c>
      <c r="C2732" s="28"/>
      <c r="D2732" s="28"/>
      <c r="E2732" s="28" t="s">
        <v>2012</v>
      </c>
      <c r="F2732" s="28" t="b">
        <v>0</v>
      </c>
      <c r="G2732" s="28"/>
      <c r="H2732" s="28" t="b">
        <v>1</v>
      </c>
      <c r="I2732" s="34"/>
    </row>
    <row r="2733" spans="1:9" x14ac:dyDescent="0.25">
      <c r="A2733" s="54" t="s">
        <v>836</v>
      </c>
      <c r="B2733" s="43" t="s">
        <v>641</v>
      </c>
      <c r="C2733" s="37" t="s">
        <v>2014</v>
      </c>
      <c r="D2733" s="37"/>
      <c r="E2733" s="37" t="s">
        <v>1974</v>
      </c>
      <c r="F2733" s="37" t="b">
        <v>0</v>
      </c>
      <c r="G2733" s="37">
        <v>200</v>
      </c>
      <c r="H2733" s="37" t="b">
        <v>1</v>
      </c>
    </row>
    <row r="2734" spans="1:9" ht="30" x14ac:dyDescent="0.25">
      <c r="A2734" s="54" t="s">
        <v>836</v>
      </c>
      <c r="B2734" s="31" t="s">
        <v>2015</v>
      </c>
      <c r="C2734" s="28" t="s">
        <v>2016</v>
      </c>
      <c r="D2734" s="28"/>
      <c r="E2734" s="28" t="s">
        <v>1974</v>
      </c>
      <c r="F2734" s="28" t="b">
        <v>0</v>
      </c>
      <c r="G2734" s="28">
        <v>404</v>
      </c>
      <c r="H2734" s="28" t="b">
        <v>0</v>
      </c>
      <c r="I2734" s="34"/>
    </row>
    <row r="2735" spans="1:9" ht="30" x14ac:dyDescent="0.25">
      <c r="A2735" s="54" t="s">
        <v>836</v>
      </c>
      <c r="B2735" s="43" t="s">
        <v>2015</v>
      </c>
      <c r="C2735" s="37" t="s">
        <v>2017</v>
      </c>
      <c r="D2735" s="37"/>
      <c r="E2735" s="37" t="s">
        <v>1974</v>
      </c>
      <c r="F2735" s="37" t="b">
        <v>0</v>
      </c>
      <c r="G2735" s="37">
        <v>404</v>
      </c>
      <c r="H2735" s="37" t="b">
        <v>0</v>
      </c>
    </row>
    <row r="2736" spans="1:9" x14ac:dyDescent="0.25">
      <c r="A2736" s="54" t="s">
        <v>601</v>
      </c>
      <c r="B2736" s="31" t="s">
        <v>2025</v>
      </c>
      <c r="C2736" s="28"/>
      <c r="D2736" s="28"/>
      <c r="E2736" s="28" t="s">
        <v>2012</v>
      </c>
      <c r="F2736" s="28" t="b">
        <v>0</v>
      </c>
      <c r="G2736" s="28"/>
      <c r="H2736" s="28" t="b">
        <v>1</v>
      </c>
      <c r="I2736" s="34"/>
    </row>
    <row r="2737" spans="1:9" x14ac:dyDescent="0.25">
      <c r="A2737" s="54" t="s">
        <v>601</v>
      </c>
      <c r="B2737" s="43" t="s">
        <v>127</v>
      </c>
      <c r="C2737" s="37" t="s">
        <v>1975</v>
      </c>
      <c r="D2737" s="37"/>
      <c r="E2737" s="37" t="s">
        <v>1974</v>
      </c>
      <c r="F2737" s="37" t="b">
        <v>0</v>
      </c>
      <c r="G2737" s="37">
        <v>200</v>
      </c>
      <c r="H2737" s="37" t="b">
        <v>1</v>
      </c>
    </row>
    <row r="2738" spans="1:9" x14ac:dyDescent="0.25">
      <c r="A2738" s="54" t="s">
        <v>601</v>
      </c>
      <c r="B2738" s="31" t="s">
        <v>135</v>
      </c>
      <c r="C2738" s="28" t="s">
        <v>1976</v>
      </c>
      <c r="D2738" s="28"/>
      <c r="E2738" s="28" t="s">
        <v>1974</v>
      </c>
      <c r="F2738" s="28" t="b">
        <v>0</v>
      </c>
      <c r="G2738" s="28">
        <v>200</v>
      </c>
      <c r="H2738" s="28" t="b">
        <v>1</v>
      </c>
      <c r="I2738" s="34"/>
    </row>
    <row r="2739" spans="1:9" x14ac:dyDescent="0.25">
      <c r="A2739" s="54" t="s">
        <v>601</v>
      </c>
      <c r="B2739" s="43" t="s">
        <v>655</v>
      </c>
      <c r="C2739" s="37" t="s">
        <v>1977</v>
      </c>
      <c r="D2739" s="37"/>
      <c r="E2739" s="37" t="s">
        <v>1974</v>
      </c>
      <c r="F2739" s="37" t="b">
        <v>0</v>
      </c>
      <c r="G2739" s="37">
        <v>200</v>
      </c>
      <c r="H2739" s="37" t="b">
        <v>1</v>
      </c>
    </row>
    <row r="2740" spans="1:9" x14ac:dyDescent="0.25">
      <c r="A2740" s="54" t="s">
        <v>601</v>
      </c>
      <c r="B2740" s="31" t="s">
        <v>635</v>
      </c>
      <c r="C2740" s="28" t="s">
        <v>1978</v>
      </c>
      <c r="D2740" s="28"/>
      <c r="E2740" s="28" t="s">
        <v>1974</v>
      </c>
      <c r="F2740" s="28" t="b">
        <v>0</v>
      </c>
      <c r="G2740" s="28">
        <v>200</v>
      </c>
      <c r="H2740" s="28" t="b">
        <v>1</v>
      </c>
      <c r="I2740" s="34"/>
    </row>
    <row r="2741" spans="1:9" ht="30" x14ac:dyDescent="0.25">
      <c r="A2741" s="54" t="s">
        <v>601</v>
      </c>
      <c r="B2741" s="43" t="s">
        <v>144</v>
      </c>
      <c r="C2741" s="37" t="s">
        <v>1979</v>
      </c>
      <c r="D2741" s="37"/>
      <c r="E2741" s="37" t="s">
        <v>1974</v>
      </c>
      <c r="F2741" s="37" t="b">
        <v>0</v>
      </c>
      <c r="G2741" s="37">
        <v>200</v>
      </c>
      <c r="H2741" s="37" t="b">
        <v>1</v>
      </c>
    </row>
    <row r="2742" spans="1:9" x14ac:dyDescent="0.25">
      <c r="A2742" s="54" t="s">
        <v>601</v>
      </c>
      <c r="B2742" s="31" t="s">
        <v>618</v>
      </c>
      <c r="C2742" s="28" t="s">
        <v>1980</v>
      </c>
      <c r="D2742" s="28"/>
      <c r="E2742" s="28" t="s">
        <v>1974</v>
      </c>
      <c r="F2742" s="28" t="b">
        <v>0</v>
      </c>
      <c r="G2742" s="28">
        <v>200</v>
      </c>
      <c r="H2742" s="28" t="b">
        <v>1</v>
      </c>
      <c r="I2742" s="34"/>
    </row>
    <row r="2743" spans="1:9" ht="30" x14ac:dyDescent="0.25">
      <c r="A2743" s="54" t="s">
        <v>601</v>
      </c>
      <c r="B2743" s="43" t="s">
        <v>585</v>
      </c>
      <c r="C2743" s="37" t="s">
        <v>1981</v>
      </c>
      <c r="D2743" s="37"/>
      <c r="E2743" s="37" t="s">
        <v>1974</v>
      </c>
      <c r="F2743" s="37" t="b">
        <v>0</v>
      </c>
      <c r="G2743" s="37">
        <v>200</v>
      </c>
      <c r="H2743" s="37" t="b">
        <v>1</v>
      </c>
    </row>
    <row r="2744" spans="1:9" ht="30" x14ac:dyDescent="0.25">
      <c r="A2744" s="54" t="s">
        <v>601</v>
      </c>
      <c r="B2744" s="31" t="s">
        <v>582</v>
      </c>
      <c r="C2744" s="28" t="s">
        <v>1982</v>
      </c>
      <c r="D2744" s="28"/>
      <c r="E2744" s="28" t="s">
        <v>1974</v>
      </c>
      <c r="F2744" s="28" t="b">
        <v>0</v>
      </c>
      <c r="G2744" s="28">
        <v>200</v>
      </c>
      <c r="H2744" s="28" t="b">
        <v>1</v>
      </c>
      <c r="I2744" s="34"/>
    </row>
    <row r="2745" spans="1:9" x14ac:dyDescent="0.25">
      <c r="A2745" s="54" t="s">
        <v>601</v>
      </c>
      <c r="B2745" s="43" t="s">
        <v>638</v>
      </c>
      <c r="C2745" s="37" t="s">
        <v>1983</v>
      </c>
      <c r="D2745" s="37"/>
      <c r="E2745" s="37" t="s">
        <v>1974</v>
      </c>
      <c r="F2745" s="37" t="b">
        <v>0</v>
      </c>
      <c r="G2745" s="37">
        <v>200</v>
      </c>
      <c r="H2745" s="37" t="b">
        <v>1</v>
      </c>
    </row>
    <row r="2746" spans="1:9" x14ac:dyDescent="0.25">
      <c r="A2746" s="54" t="s">
        <v>601</v>
      </c>
      <c r="B2746" s="31" t="s">
        <v>638</v>
      </c>
      <c r="C2746" s="28" t="s">
        <v>1984</v>
      </c>
      <c r="D2746" s="28"/>
      <c r="E2746" s="28" t="s">
        <v>1974</v>
      </c>
      <c r="F2746" s="28" t="b">
        <v>0</v>
      </c>
      <c r="G2746" s="28">
        <v>200</v>
      </c>
      <c r="H2746" s="28" t="b">
        <v>1</v>
      </c>
      <c r="I2746" s="34"/>
    </row>
    <row r="2747" spans="1:9" x14ac:dyDescent="0.25">
      <c r="A2747" s="54" t="s">
        <v>601</v>
      </c>
      <c r="B2747" s="43" t="s">
        <v>647</v>
      </c>
      <c r="C2747" s="37" t="s">
        <v>1985</v>
      </c>
      <c r="D2747" s="37"/>
      <c r="E2747" s="37" t="s">
        <v>1974</v>
      </c>
      <c r="F2747" s="37" t="b">
        <v>0</v>
      </c>
      <c r="G2747" s="37">
        <v>200</v>
      </c>
      <c r="H2747" s="37" t="b">
        <v>1</v>
      </c>
    </row>
    <row r="2748" spans="1:9" ht="30" x14ac:dyDescent="0.25">
      <c r="A2748" s="54" t="s">
        <v>601</v>
      </c>
      <c r="B2748" s="31" t="s">
        <v>503</v>
      </c>
      <c r="C2748" s="28" t="s">
        <v>1986</v>
      </c>
      <c r="D2748" s="28"/>
      <c r="E2748" s="28" t="s">
        <v>1974</v>
      </c>
      <c r="F2748" s="28" t="b">
        <v>0</v>
      </c>
      <c r="G2748" s="28">
        <v>200</v>
      </c>
      <c r="H2748" s="28" t="b">
        <v>1</v>
      </c>
      <c r="I2748" s="34"/>
    </row>
    <row r="2749" spans="1:9" x14ac:dyDescent="0.25">
      <c r="A2749" s="54" t="s">
        <v>601</v>
      </c>
      <c r="B2749" s="43" t="s">
        <v>608</v>
      </c>
      <c r="C2749" s="37" t="s">
        <v>1987</v>
      </c>
      <c r="D2749" s="37"/>
      <c r="E2749" s="37" t="s">
        <v>1974</v>
      </c>
      <c r="F2749" s="37" t="b">
        <v>0</v>
      </c>
      <c r="G2749" s="37">
        <v>200</v>
      </c>
      <c r="H2749" s="37" t="b">
        <v>1</v>
      </c>
    </row>
    <row r="2750" spans="1:9" x14ac:dyDescent="0.25">
      <c r="A2750" s="54" t="s">
        <v>601</v>
      </c>
      <c r="B2750" s="31" t="s">
        <v>127</v>
      </c>
      <c r="C2750" s="28" t="s">
        <v>1975</v>
      </c>
      <c r="D2750" s="28"/>
      <c r="E2750" s="28" t="s">
        <v>1974</v>
      </c>
      <c r="F2750" s="28" t="b">
        <v>0</v>
      </c>
      <c r="G2750" s="28">
        <v>200</v>
      </c>
      <c r="H2750" s="28" t="b">
        <v>1</v>
      </c>
      <c r="I2750" s="34"/>
    </row>
    <row r="2751" spans="1:9" x14ac:dyDescent="0.25">
      <c r="A2751" s="54" t="s">
        <v>601</v>
      </c>
      <c r="B2751" s="43" t="s">
        <v>135</v>
      </c>
      <c r="C2751" s="37" t="s">
        <v>1976</v>
      </c>
      <c r="D2751" s="37"/>
      <c r="E2751" s="37" t="s">
        <v>1974</v>
      </c>
      <c r="F2751" s="37" t="b">
        <v>0</v>
      </c>
      <c r="G2751" s="37">
        <v>200</v>
      </c>
      <c r="H2751" s="37" t="b">
        <v>1</v>
      </c>
    </row>
    <row r="2752" spans="1:9" x14ac:dyDescent="0.25">
      <c r="A2752" s="54" t="s">
        <v>601</v>
      </c>
      <c r="B2752" s="31" t="s">
        <v>655</v>
      </c>
      <c r="C2752" s="28" t="s">
        <v>1977</v>
      </c>
      <c r="D2752" s="28"/>
      <c r="E2752" s="28" t="s">
        <v>1974</v>
      </c>
      <c r="F2752" s="28" t="b">
        <v>0</v>
      </c>
      <c r="G2752" s="28">
        <v>200</v>
      </c>
      <c r="H2752" s="28" t="b">
        <v>1</v>
      </c>
      <c r="I2752" s="34"/>
    </row>
    <row r="2753" spans="1:9" x14ac:dyDescent="0.25">
      <c r="A2753" s="54" t="s">
        <v>601</v>
      </c>
      <c r="B2753" s="43" t="s">
        <v>635</v>
      </c>
      <c r="C2753" s="37" t="s">
        <v>1978</v>
      </c>
      <c r="D2753" s="37"/>
      <c r="E2753" s="37" t="s">
        <v>1974</v>
      </c>
      <c r="F2753" s="37" t="b">
        <v>0</v>
      </c>
      <c r="G2753" s="37">
        <v>200</v>
      </c>
      <c r="H2753" s="37" t="b">
        <v>1</v>
      </c>
    </row>
    <row r="2754" spans="1:9" ht="30" x14ac:dyDescent="0.25">
      <c r="A2754" s="54" t="s">
        <v>601</v>
      </c>
      <c r="B2754" s="31" t="s">
        <v>144</v>
      </c>
      <c r="C2754" s="28" t="s">
        <v>1979</v>
      </c>
      <c r="D2754" s="28"/>
      <c r="E2754" s="28" t="s">
        <v>1974</v>
      </c>
      <c r="F2754" s="28" t="b">
        <v>0</v>
      </c>
      <c r="G2754" s="28">
        <v>200</v>
      </c>
      <c r="H2754" s="28" t="b">
        <v>1</v>
      </c>
      <c r="I2754" s="34"/>
    </row>
    <row r="2755" spans="1:9" x14ac:dyDescent="0.25">
      <c r="A2755" s="54" t="s">
        <v>601</v>
      </c>
      <c r="B2755" s="43" t="s">
        <v>618</v>
      </c>
      <c r="C2755" s="37" t="s">
        <v>1980</v>
      </c>
      <c r="D2755" s="37"/>
      <c r="E2755" s="37" t="s">
        <v>1974</v>
      </c>
      <c r="F2755" s="37" t="b">
        <v>0</v>
      </c>
      <c r="G2755" s="37">
        <v>200</v>
      </c>
      <c r="H2755" s="37" t="b">
        <v>1</v>
      </c>
    </row>
    <row r="2756" spans="1:9" ht="30" x14ac:dyDescent="0.25">
      <c r="A2756" s="54" t="s">
        <v>601</v>
      </c>
      <c r="B2756" s="31" t="s">
        <v>585</v>
      </c>
      <c r="C2756" s="28" t="s">
        <v>1981</v>
      </c>
      <c r="D2756" s="28"/>
      <c r="E2756" s="28" t="s">
        <v>1974</v>
      </c>
      <c r="F2756" s="28" t="b">
        <v>0</v>
      </c>
      <c r="G2756" s="28">
        <v>200</v>
      </c>
      <c r="H2756" s="28" t="b">
        <v>1</v>
      </c>
      <c r="I2756" s="34"/>
    </row>
    <row r="2757" spans="1:9" ht="30" x14ac:dyDescent="0.25">
      <c r="A2757" s="54" t="s">
        <v>601</v>
      </c>
      <c r="B2757" s="43" t="s">
        <v>582</v>
      </c>
      <c r="C2757" s="37" t="s">
        <v>1982</v>
      </c>
      <c r="D2757" s="37"/>
      <c r="E2757" s="37" t="s">
        <v>1974</v>
      </c>
      <c r="F2757" s="37" t="b">
        <v>0</v>
      </c>
      <c r="G2757" s="37">
        <v>200</v>
      </c>
      <c r="H2757" s="37" t="b">
        <v>1</v>
      </c>
    </row>
    <row r="2758" spans="1:9" x14ac:dyDescent="0.25">
      <c r="A2758" s="54" t="s">
        <v>601</v>
      </c>
      <c r="B2758" s="31" t="s">
        <v>638</v>
      </c>
      <c r="C2758" s="28" t="s">
        <v>1983</v>
      </c>
      <c r="D2758" s="28"/>
      <c r="E2758" s="28" t="s">
        <v>1974</v>
      </c>
      <c r="F2758" s="28" t="b">
        <v>0</v>
      </c>
      <c r="G2758" s="28">
        <v>200</v>
      </c>
      <c r="H2758" s="28" t="b">
        <v>1</v>
      </c>
      <c r="I2758" s="34"/>
    </row>
    <row r="2759" spans="1:9" x14ac:dyDescent="0.25">
      <c r="A2759" s="54" t="s">
        <v>601</v>
      </c>
      <c r="B2759" s="43" t="s">
        <v>638</v>
      </c>
      <c r="C2759" s="37" t="s">
        <v>1984</v>
      </c>
      <c r="D2759" s="37"/>
      <c r="E2759" s="37" t="s">
        <v>1974</v>
      </c>
      <c r="F2759" s="37" t="b">
        <v>0</v>
      </c>
      <c r="G2759" s="37">
        <v>200</v>
      </c>
      <c r="H2759" s="37" t="b">
        <v>1</v>
      </c>
    </row>
    <row r="2760" spans="1:9" x14ac:dyDescent="0.25">
      <c r="A2760" s="54" t="s">
        <v>601</v>
      </c>
      <c r="B2760" s="31" t="s">
        <v>647</v>
      </c>
      <c r="C2760" s="28" t="s">
        <v>1985</v>
      </c>
      <c r="D2760" s="28"/>
      <c r="E2760" s="28" t="s">
        <v>1974</v>
      </c>
      <c r="F2760" s="28" t="b">
        <v>0</v>
      </c>
      <c r="G2760" s="28">
        <v>200</v>
      </c>
      <c r="H2760" s="28" t="b">
        <v>1</v>
      </c>
      <c r="I2760" s="34"/>
    </row>
    <row r="2761" spans="1:9" ht="30" x14ac:dyDescent="0.25">
      <c r="A2761" s="54" t="s">
        <v>601</v>
      </c>
      <c r="B2761" s="43" t="s">
        <v>503</v>
      </c>
      <c r="C2761" s="37" t="s">
        <v>1986</v>
      </c>
      <c r="D2761" s="37"/>
      <c r="E2761" s="37" t="s">
        <v>1974</v>
      </c>
      <c r="F2761" s="37" t="b">
        <v>0</v>
      </c>
      <c r="G2761" s="37">
        <v>200</v>
      </c>
      <c r="H2761" s="37" t="b">
        <v>1</v>
      </c>
    </row>
    <row r="2762" spans="1:9" x14ac:dyDescent="0.25">
      <c r="A2762" s="54" t="s">
        <v>601</v>
      </c>
      <c r="B2762" s="31" t="s">
        <v>608</v>
      </c>
      <c r="C2762" s="28" t="s">
        <v>1987</v>
      </c>
      <c r="D2762" s="28"/>
      <c r="E2762" s="28" t="s">
        <v>1974</v>
      </c>
      <c r="F2762" s="28" t="b">
        <v>0</v>
      </c>
      <c r="G2762" s="28">
        <v>200</v>
      </c>
      <c r="H2762" s="28" t="b">
        <v>1</v>
      </c>
      <c r="I2762" s="34"/>
    </row>
    <row r="2763" spans="1:9" ht="30" x14ac:dyDescent="0.25">
      <c r="A2763" s="54" t="s">
        <v>601</v>
      </c>
      <c r="B2763" s="43" t="s">
        <v>497</v>
      </c>
      <c r="C2763" s="37" t="s">
        <v>2027</v>
      </c>
      <c r="D2763" s="37"/>
      <c r="E2763" s="37" t="s">
        <v>1974</v>
      </c>
      <c r="F2763" s="37" t="b">
        <v>0</v>
      </c>
      <c r="G2763" s="37">
        <v>200</v>
      </c>
      <c r="H2763" s="37" t="b">
        <v>1</v>
      </c>
    </row>
    <row r="2764" spans="1:9" x14ac:dyDescent="0.25">
      <c r="A2764" s="54" t="s">
        <v>601</v>
      </c>
      <c r="B2764" s="31" t="s">
        <v>652</v>
      </c>
      <c r="C2764" s="28" t="s">
        <v>2028</v>
      </c>
      <c r="D2764" s="28"/>
      <c r="E2764" s="28" t="s">
        <v>1974</v>
      </c>
      <c r="F2764" s="28" t="b">
        <v>0</v>
      </c>
      <c r="G2764" s="28">
        <v>200</v>
      </c>
      <c r="H2764" s="28" t="b">
        <v>1</v>
      </c>
      <c r="I2764" s="34"/>
    </row>
    <row r="2765" spans="1:9" ht="30" x14ac:dyDescent="0.25">
      <c r="A2765" s="54" t="s">
        <v>601</v>
      </c>
      <c r="B2765" s="43" t="s">
        <v>537</v>
      </c>
      <c r="C2765" s="37" t="s">
        <v>2029</v>
      </c>
      <c r="D2765" s="37"/>
      <c r="E2765" s="37" t="s">
        <v>1974</v>
      </c>
      <c r="F2765" s="37" t="b">
        <v>0</v>
      </c>
      <c r="G2765" s="37">
        <v>200</v>
      </c>
      <c r="H2765" s="37" t="b">
        <v>1</v>
      </c>
    </row>
    <row r="2766" spans="1:9" ht="30" x14ac:dyDescent="0.25">
      <c r="A2766" s="54" t="s">
        <v>601</v>
      </c>
      <c r="B2766" s="31" t="s">
        <v>543</v>
      </c>
      <c r="C2766" s="28" t="s">
        <v>2030</v>
      </c>
      <c r="D2766" s="28"/>
      <c r="E2766" s="28" t="s">
        <v>1974</v>
      </c>
      <c r="F2766" s="28" t="b">
        <v>0</v>
      </c>
      <c r="G2766" s="28">
        <v>200</v>
      </c>
      <c r="H2766" s="28" t="b">
        <v>1</v>
      </c>
      <c r="I2766" s="34"/>
    </row>
    <row r="2767" spans="1:9" x14ac:dyDescent="0.25">
      <c r="A2767" s="54" t="s">
        <v>601</v>
      </c>
      <c r="B2767" s="43" t="s">
        <v>566</v>
      </c>
      <c r="C2767" s="37" t="s">
        <v>2031</v>
      </c>
      <c r="D2767" s="37"/>
      <c r="E2767" s="37" t="s">
        <v>1974</v>
      </c>
      <c r="F2767" s="37" t="b">
        <v>0</v>
      </c>
      <c r="G2767" s="37">
        <v>200</v>
      </c>
      <c r="H2767" s="37" t="b">
        <v>1</v>
      </c>
    </row>
    <row r="2768" spans="1:9" x14ac:dyDescent="0.25">
      <c r="A2768" s="54" t="s">
        <v>601</v>
      </c>
      <c r="B2768" s="31" t="s">
        <v>601</v>
      </c>
      <c r="C2768" s="28" t="s">
        <v>2032</v>
      </c>
      <c r="D2768" s="28"/>
      <c r="E2768" s="28" t="s">
        <v>1974</v>
      </c>
      <c r="F2768" s="28" t="b">
        <v>0</v>
      </c>
      <c r="G2768" s="28">
        <v>200</v>
      </c>
      <c r="H2768" s="28" t="b">
        <v>1</v>
      </c>
      <c r="I2768" s="34"/>
    </row>
    <row r="2769" spans="1:9" ht="30" x14ac:dyDescent="0.25">
      <c r="A2769" s="54" t="s">
        <v>601</v>
      </c>
      <c r="B2769" s="43" t="s">
        <v>497</v>
      </c>
      <c r="C2769" s="37" t="s">
        <v>2027</v>
      </c>
      <c r="D2769" s="37"/>
      <c r="E2769" s="37" t="s">
        <v>1974</v>
      </c>
      <c r="F2769" s="37" t="b">
        <v>0</v>
      </c>
      <c r="G2769" s="37">
        <v>200</v>
      </c>
      <c r="H2769" s="37" t="b">
        <v>1</v>
      </c>
    </row>
    <row r="2770" spans="1:9" x14ac:dyDescent="0.25">
      <c r="A2770" s="54" t="s">
        <v>601</v>
      </c>
      <c r="B2770" s="31" t="s">
        <v>652</v>
      </c>
      <c r="C2770" s="28" t="s">
        <v>2028</v>
      </c>
      <c r="D2770" s="28"/>
      <c r="E2770" s="28" t="s">
        <v>1974</v>
      </c>
      <c r="F2770" s="28" t="b">
        <v>0</v>
      </c>
      <c r="G2770" s="28">
        <v>200</v>
      </c>
      <c r="H2770" s="28" t="b">
        <v>1</v>
      </c>
      <c r="I2770" s="34"/>
    </row>
    <row r="2771" spans="1:9" ht="30" x14ac:dyDescent="0.25">
      <c r="A2771" s="54" t="s">
        <v>601</v>
      </c>
      <c r="B2771" s="43" t="s">
        <v>537</v>
      </c>
      <c r="C2771" s="37" t="s">
        <v>2029</v>
      </c>
      <c r="D2771" s="37"/>
      <c r="E2771" s="37" t="s">
        <v>1974</v>
      </c>
      <c r="F2771" s="37" t="b">
        <v>0</v>
      </c>
      <c r="G2771" s="37">
        <v>200</v>
      </c>
      <c r="H2771" s="37" t="b">
        <v>1</v>
      </c>
    </row>
    <row r="2772" spans="1:9" ht="30" x14ac:dyDescent="0.25">
      <c r="A2772" s="54" t="s">
        <v>601</v>
      </c>
      <c r="B2772" s="31" t="s">
        <v>543</v>
      </c>
      <c r="C2772" s="28" t="s">
        <v>2030</v>
      </c>
      <c r="D2772" s="28"/>
      <c r="E2772" s="28" t="s">
        <v>1974</v>
      </c>
      <c r="F2772" s="28" t="b">
        <v>0</v>
      </c>
      <c r="G2772" s="28">
        <v>200</v>
      </c>
      <c r="H2772" s="28" t="b">
        <v>1</v>
      </c>
      <c r="I2772" s="34"/>
    </row>
    <row r="2773" spans="1:9" x14ac:dyDescent="0.25">
      <c r="A2773" s="54" t="s">
        <v>601</v>
      </c>
      <c r="B2773" s="43" t="s">
        <v>566</v>
      </c>
      <c r="C2773" s="37" t="s">
        <v>2031</v>
      </c>
      <c r="D2773" s="37"/>
      <c r="E2773" s="37" t="s">
        <v>1974</v>
      </c>
      <c r="F2773" s="37" t="b">
        <v>0</v>
      </c>
      <c r="G2773" s="37">
        <v>200</v>
      </c>
      <c r="H2773" s="37" t="b">
        <v>1</v>
      </c>
    </row>
    <row r="2774" spans="1:9" x14ac:dyDescent="0.25">
      <c r="A2774" s="54" t="s">
        <v>601</v>
      </c>
      <c r="B2774" s="31" t="s">
        <v>601</v>
      </c>
      <c r="C2774" s="28" t="s">
        <v>2032</v>
      </c>
      <c r="D2774" s="28"/>
      <c r="E2774" s="28" t="s">
        <v>1974</v>
      </c>
      <c r="F2774" s="28" t="b">
        <v>0</v>
      </c>
      <c r="G2774" s="28">
        <v>200</v>
      </c>
      <c r="H2774" s="28" t="b">
        <v>1</v>
      </c>
      <c r="I2774" s="34"/>
    </row>
    <row r="2775" spans="1:9" x14ac:dyDescent="0.25">
      <c r="A2775" s="54" t="s">
        <v>601</v>
      </c>
      <c r="B2775" s="43" t="s">
        <v>2829</v>
      </c>
      <c r="C2775" s="37" t="s">
        <v>2888</v>
      </c>
      <c r="D2775" s="37"/>
      <c r="E2775" s="37" t="s">
        <v>2012</v>
      </c>
      <c r="F2775" s="37" t="b">
        <v>0</v>
      </c>
      <c r="G2775" s="37"/>
      <c r="H2775" s="37" t="b">
        <v>1</v>
      </c>
    </row>
    <row r="2776" spans="1:9" x14ac:dyDescent="0.25">
      <c r="A2776" s="54" t="s">
        <v>601</v>
      </c>
      <c r="B2776" s="31" t="s">
        <v>2829</v>
      </c>
      <c r="C2776" s="28" t="s">
        <v>2888</v>
      </c>
      <c r="D2776" s="28"/>
      <c r="E2776" s="28" t="s">
        <v>2012</v>
      </c>
      <c r="F2776" s="28" t="b">
        <v>0</v>
      </c>
      <c r="G2776" s="28"/>
      <c r="H2776" s="28" t="b">
        <v>1</v>
      </c>
      <c r="I2776" s="34"/>
    </row>
    <row r="2777" spans="1:9" x14ac:dyDescent="0.25">
      <c r="A2777" s="54" t="s">
        <v>601</v>
      </c>
      <c r="B2777" s="43" t="s">
        <v>647</v>
      </c>
      <c r="C2777" s="37" t="s">
        <v>2010</v>
      </c>
      <c r="D2777" s="37"/>
      <c r="E2777" s="37" t="s">
        <v>1974</v>
      </c>
      <c r="F2777" s="37" t="b">
        <v>0</v>
      </c>
      <c r="G2777" s="37">
        <v>200</v>
      </c>
      <c r="H2777" s="37" t="b">
        <v>1</v>
      </c>
    </row>
    <row r="2778" spans="1:9" ht="30" x14ac:dyDescent="0.25">
      <c r="A2778" s="54" t="s">
        <v>601</v>
      </c>
      <c r="B2778" s="31" t="s">
        <v>2011</v>
      </c>
      <c r="C2778" s="28"/>
      <c r="D2778" s="28"/>
      <c r="E2778" s="28" t="s">
        <v>2012</v>
      </c>
      <c r="F2778" s="28" t="b">
        <v>0</v>
      </c>
      <c r="G2778" s="28"/>
      <c r="H2778" s="28" t="b">
        <v>1</v>
      </c>
      <c r="I2778" s="34"/>
    </row>
    <row r="2779" spans="1:9" ht="30" x14ac:dyDescent="0.25">
      <c r="A2779" s="54" t="s">
        <v>601</v>
      </c>
      <c r="B2779" s="43" t="s">
        <v>2013</v>
      </c>
      <c r="C2779" s="37"/>
      <c r="D2779" s="37"/>
      <c r="E2779" s="37" t="s">
        <v>2012</v>
      </c>
      <c r="F2779" s="37" t="b">
        <v>0</v>
      </c>
      <c r="G2779" s="37"/>
      <c r="H2779" s="37" t="b">
        <v>1</v>
      </c>
    </row>
    <row r="2780" spans="1:9" x14ac:dyDescent="0.25">
      <c r="A2780" s="54" t="s">
        <v>601</v>
      </c>
      <c r="B2780" s="31" t="s">
        <v>2033</v>
      </c>
      <c r="C2780" s="28"/>
      <c r="D2780" s="28"/>
      <c r="E2780" s="28" t="s">
        <v>2012</v>
      </c>
      <c r="F2780" s="28" t="b">
        <v>0</v>
      </c>
      <c r="G2780" s="28"/>
      <c r="H2780" s="28" t="b">
        <v>1</v>
      </c>
      <c r="I2780" s="34"/>
    </row>
    <row r="2781" spans="1:9" x14ac:dyDescent="0.25">
      <c r="A2781" s="54" t="s">
        <v>601</v>
      </c>
      <c r="B2781" s="43" t="s">
        <v>641</v>
      </c>
      <c r="C2781" s="37" t="s">
        <v>2034</v>
      </c>
      <c r="D2781" s="37"/>
      <c r="E2781" s="37" t="s">
        <v>1974</v>
      </c>
      <c r="F2781" s="37" t="b">
        <v>0</v>
      </c>
      <c r="G2781" s="37">
        <v>200</v>
      </c>
      <c r="H2781" s="37" t="b">
        <v>1</v>
      </c>
    </row>
    <row r="2782" spans="1:9" ht="30" x14ac:dyDescent="0.25">
      <c r="A2782" s="54" t="s">
        <v>601</v>
      </c>
      <c r="B2782" s="31" t="s">
        <v>2015</v>
      </c>
      <c r="C2782" s="28" t="s">
        <v>2016</v>
      </c>
      <c r="D2782" s="28"/>
      <c r="E2782" s="28" t="s">
        <v>1974</v>
      </c>
      <c r="F2782" s="28" t="b">
        <v>0</v>
      </c>
      <c r="G2782" s="28">
        <v>404</v>
      </c>
      <c r="H2782" s="28" t="b">
        <v>0</v>
      </c>
      <c r="I2782" s="34"/>
    </row>
    <row r="2783" spans="1:9" ht="30" x14ac:dyDescent="0.25">
      <c r="A2783" s="54" t="s">
        <v>601</v>
      </c>
      <c r="B2783" s="43" t="s">
        <v>2015</v>
      </c>
      <c r="C2783" s="37" t="s">
        <v>2017</v>
      </c>
      <c r="D2783" s="37"/>
      <c r="E2783" s="37" t="s">
        <v>1974</v>
      </c>
      <c r="F2783" s="37" t="b">
        <v>0</v>
      </c>
      <c r="G2783" s="37">
        <v>404</v>
      </c>
      <c r="H2783" s="37" t="b">
        <v>0</v>
      </c>
    </row>
    <row r="2784" spans="1:9" ht="30" x14ac:dyDescent="0.25">
      <c r="A2784" s="54" t="s">
        <v>604</v>
      </c>
      <c r="B2784" s="31" t="s">
        <v>127</v>
      </c>
      <c r="C2784" s="28"/>
      <c r="D2784" s="28"/>
      <c r="E2784" s="28" t="s">
        <v>1974</v>
      </c>
      <c r="F2784" s="28" t="b">
        <v>0</v>
      </c>
      <c r="G2784" s="28">
        <v>200</v>
      </c>
      <c r="H2784" s="28" t="b">
        <v>1</v>
      </c>
      <c r="I2784" s="34"/>
    </row>
    <row r="2785" spans="1:9" ht="30" x14ac:dyDescent="0.25">
      <c r="A2785" s="54" t="s">
        <v>604</v>
      </c>
      <c r="B2785" s="43" t="s">
        <v>127</v>
      </c>
      <c r="C2785" s="37" t="s">
        <v>1975</v>
      </c>
      <c r="D2785" s="37"/>
      <c r="E2785" s="37" t="s">
        <v>1974</v>
      </c>
      <c r="F2785" s="37" t="b">
        <v>0</v>
      </c>
      <c r="G2785" s="37">
        <v>200</v>
      </c>
      <c r="H2785" s="37" t="b">
        <v>1</v>
      </c>
    </row>
    <row r="2786" spans="1:9" ht="30" x14ac:dyDescent="0.25">
      <c r="A2786" s="54" t="s">
        <v>604</v>
      </c>
      <c r="B2786" s="31" t="s">
        <v>135</v>
      </c>
      <c r="C2786" s="28" t="s">
        <v>1976</v>
      </c>
      <c r="D2786" s="28"/>
      <c r="E2786" s="28" t="s">
        <v>1974</v>
      </c>
      <c r="F2786" s="28" t="b">
        <v>0</v>
      </c>
      <c r="G2786" s="28">
        <v>200</v>
      </c>
      <c r="H2786" s="28" t="b">
        <v>1</v>
      </c>
      <c r="I2786" s="34"/>
    </row>
    <row r="2787" spans="1:9" ht="30" x14ac:dyDescent="0.25">
      <c r="A2787" s="54" t="s">
        <v>604</v>
      </c>
      <c r="B2787" s="43" t="s">
        <v>655</v>
      </c>
      <c r="C2787" s="37" t="s">
        <v>1977</v>
      </c>
      <c r="D2787" s="37"/>
      <c r="E2787" s="37" t="s">
        <v>1974</v>
      </c>
      <c r="F2787" s="37" t="b">
        <v>0</v>
      </c>
      <c r="G2787" s="37">
        <v>200</v>
      </c>
      <c r="H2787" s="37" t="b">
        <v>1</v>
      </c>
    </row>
    <row r="2788" spans="1:9" ht="30" x14ac:dyDescent="0.25">
      <c r="A2788" s="54" t="s">
        <v>604</v>
      </c>
      <c r="B2788" s="31" t="s">
        <v>635</v>
      </c>
      <c r="C2788" s="28" t="s">
        <v>1978</v>
      </c>
      <c r="D2788" s="28"/>
      <c r="E2788" s="28" t="s">
        <v>1974</v>
      </c>
      <c r="F2788" s="28" t="b">
        <v>0</v>
      </c>
      <c r="G2788" s="28">
        <v>200</v>
      </c>
      <c r="H2788" s="28" t="b">
        <v>1</v>
      </c>
      <c r="I2788" s="34"/>
    </row>
    <row r="2789" spans="1:9" ht="30" x14ac:dyDescent="0.25">
      <c r="A2789" s="54" t="s">
        <v>604</v>
      </c>
      <c r="B2789" s="43" t="s">
        <v>144</v>
      </c>
      <c r="C2789" s="37" t="s">
        <v>1979</v>
      </c>
      <c r="D2789" s="37"/>
      <c r="E2789" s="37" t="s">
        <v>1974</v>
      </c>
      <c r="F2789" s="37" t="b">
        <v>0</v>
      </c>
      <c r="G2789" s="37">
        <v>200</v>
      </c>
      <c r="H2789" s="37" t="b">
        <v>1</v>
      </c>
    </row>
    <row r="2790" spans="1:9" ht="30" x14ac:dyDescent="0.25">
      <c r="A2790" s="54" t="s">
        <v>604</v>
      </c>
      <c r="B2790" s="31" t="s">
        <v>618</v>
      </c>
      <c r="C2790" s="28" t="s">
        <v>1980</v>
      </c>
      <c r="D2790" s="28"/>
      <c r="E2790" s="28" t="s">
        <v>1974</v>
      </c>
      <c r="F2790" s="28" t="b">
        <v>0</v>
      </c>
      <c r="G2790" s="28">
        <v>200</v>
      </c>
      <c r="H2790" s="28" t="b">
        <v>1</v>
      </c>
      <c r="I2790" s="34"/>
    </row>
    <row r="2791" spans="1:9" ht="30" x14ac:dyDescent="0.25">
      <c r="A2791" s="54" t="s">
        <v>604</v>
      </c>
      <c r="B2791" s="43" t="s">
        <v>585</v>
      </c>
      <c r="C2791" s="37" t="s">
        <v>1981</v>
      </c>
      <c r="D2791" s="37"/>
      <c r="E2791" s="37" t="s">
        <v>1974</v>
      </c>
      <c r="F2791" s="37" t="b">
        <v>0</v>
      </c>
      <c r="G2791" s="37">
        <v>200</v>
      </c>
      <c r="H2791" s="37" t="b">
        <v>1</v>
      </c>
    </row>
    <row r="2792" spans="1:9" ht="30" x14ac:dyDescent="0.25">
      <c r="A2792" s="54" t="s">
        <v>604</v>
      </c>
      <c r="B2792" s="31" t="s">
        <v>582</v>
      </c>
      <c r="C2792" s="28" t="s">
        <v>1982</v>
      </c>
      <c r="D2792" s="28"/>
      <c r="E2792" s="28" t="s">
        <v>1974</v>
      </c>
      <c r="F2792" s="28" t="b">
        <v>0</v>
      </c>
      <c r="G2792" s="28">
        <v>200</v>
      </c>
      <c r="H2792" s="28" t="b">
        <v>1</v>
      </c>
      <c r="I2792" s="34"/>
    </row>
    <row r="2793" spans="1:9" ht="30" x14ac:dyDescent="0.25">
      <c r="A2793" s="54" t="s">
        <v>604</v>
      </c>
      <c r="B2793" s="43" t="s">
        <v>638</v>
      </c>
      <c r="C2793" s="37" t="s">
        <v>1983</v>
      </c>
      <c r="D2793" s="37"/>
      <c r="E2793" s="37" t="s">
        <v>1974</v>
      </c>
      <c r="F2793" s="37" t="b">
        <v>0</v>
      </c>
      <c r="G2793" s="37">
        <v>200</v>
      </c>
      <c r="H2793" s="37" t="b">
        <v>1</v>
      </c>
    </row>
    <row r="2794" spans="1:9" ht="30" x14ac:dyDescent="0.25">
      <c r="A2794" s="54" t="s">
        <v>604</v>
      </c>
      <c r="B2794" s="31" t="s">
        <v>638</v>
      </c>
      <c r="C2794" s="28" t="s">
        <v>1984</v>
      </c>
      <c r="D2794" s="28"/>
      <c r="E2794" s="28" t="s">
        <v>1974</v>
      </c>
      <c r="F2794" s="28" t="b">
        <v>0</v>
      </c>
      <c r="G2794" s="28">
        <v>200</v>
      </c>
      <c r="H2794" s="28" t="b">
        <v>1</v>
      </c>
      <c r="I2794" s="34"/>
    </row>
    <row r="2795" spans="1:9" ht="30" x14ac:dyDescent="0.25">
      <c r="A2795" s="54" t="s">
        <v>604</v>
      </c>
      <c r="B2795" s="43" t="s">
        <v>647</v>
      </c>
      <c r="C2795" s="37" t="s">
        <v>1985</v>
      </c>
      <c r="D2795" s="37"/>
      <c r="E2795" s="37" t="s">
        <v>1974</v>
      </c>
      <c r="F2795" s="37" t="b">
        <v>0</v>
      </c>
      <c r="G2795" s="37">
        <v>200</v>
      </c>
      <c r="H2795" s="37" t="b">
        <v>1</v>
      </c>
    </row>
    <row r="2796" spans="1:9" ht="30" x14ac:dyDescent="0.25">
      <c r="A2796" s="54" t="s">
        <v>604</v>
      </c>
      <c r="B2796" s="31" t="s">
        <v>503</v>
      </c>
      <c r="C2796" s="28" t="s">
        <v>1986</v>
      </c>
      <c r="D2796" s="28"/>
      <c r="E2796" s="28" t="s">
        <v>1974</v>
      </c>
      <c r="F2796" s="28" t="b">
        <v>0</v>
      </c>
      <c r="G2796" s="28">
        <v>200</v>
      </c>
      <c r="H2796" s="28" t="b">
        <v>1</v>
      </c>
      <c r="I2796" s="34"/>
    </row>
    <row r="2797" spans="1:9" ht="30" x14ac:dyDescent="0.25">
      <c r="A2797" s="54" t="s">
        <v>604</v>
      </c>
      <c r="B2797" s="43" t="s">
        <v>608</v>
      </c>
      <c r="C2797" s="37" t="s">
        <v>1987</v>
      </c>
      <c r="D2797" s="37"/>
      <c r="E2797" s="37" t="s">
        <v>1974</v>
      </c>
      <c r="F2797" s="37" t="b">
        <v>0</v>
      </c>
      <c r="G2797" s="37">
        <v>200</v>
      </c>
      <c r="H2797" s="37" t="b">
        <v>1</v>
      </c>
    </row>
    <row r="2798" spans="1:9" ht="30" x14ac:dyDescent="0.25">
      <c r="A2798" s="54" t="s">
        <v>604</v>
      </c>
      <c r="B2798" s="31" t="s">
        <v>127</v>
      </c>
      <c r="C2798" s="28" t="s">
        <v>1975</v>
      </c>
      <c r="D2798" s="28"/>
      <c r="E2798" s="28" t="s">
        <v>1974</v>
      </c>
      <c r="F2798" s="28" t="b">
        <v>0</v>
      </c>
      <c r="G2798" s="28">
        <v>200</v>
      </c>
      <c r="H2798" s="28" t="b">
        <v>1</v>
      </c>
      <c r="I2798" s="34"/>
    </row>
    <row r="2799" spans="1:9" ht="30" x14ac:dyDescent="0.25">
      <c r="A2799" s="54" t="s">
        <v>604</v>
      </c>
      <c r="B2799" s="43" t="s">
        <v>135</v>
      </c>
      <c r="C2799" s="37" t="s">
        <v>1976</v>
      </c>
      <c r="D2799" s="37"/>
      <c r="E2799" s="37" t="s">
        <v>1974</v>
      </c>
      <c r="F2799" s="37" t="b">
        <v>0</v>
      </c>
      <c r="G2799" s="37">
        <v>200</v>
      </c>
      <c r="H2799" s="37" t="b">
        <v>1</v>
      </c>
    </row>
    <row r="2800" spans="1:9" ht="30" x14ac:dyDescent="0.25">
      <c r="A2800" s="54" t="s">
        <v>604</v>
      </c>
      <c r="B2800" s="31" t="s">
        <v>655</v>
      </c>
      <c r="C2800" s="28" t="s">
        <v>1977</v>
      </c>
      <c r="D2800" s="28"/>
      <c r="E2800" s="28" t="s">
        <v>1974</v>
      </c>
      <c r="F2800" s="28" t="b">
        <v>0</v>
      </c>
      <c r="G2800" s="28">
        <v>200</v>
      </c>
      <c r="H2800" s="28" t="b">
        <v>1</v>
      </c>
      <c r="I2800" s="34"/>
    </row>
    <row r="2801" spans="1:9" ht="30" x14ac:dyDescent="0.25">
      <c r="A2801" s="54" t="s">
        <v>604</v>
      </c>
      <c r="B2801" s="43" t="s">
        <v>635</v>
      </c>
      <c r="C2801" s="37" t="s">
        <v>1978</v>
      </c>
      <c r="D2801" s="37"/>
      <c r="E2801" s="37" t="s">
        <v>1974</v>
      </c>
      <c r="F2801" s="37" t="b">
        <v>0</v>
      </c>
      <c r="G2801" s="37">
        <v>200</v>
      </c>
      <c r="H2801" s="37" t="b">
        <v>1</v>
      </c>
    </row>
    <row r="2802" spans="1:9" ht="30" x14ac:dyDescent="0.25">
      <c r="A2802" s="54" t="s">
        <v>604</v>
      </c>
      <c r="B2802" s="31" t="s">
        <v>144</v>
      </c>
      <c r="C2802" s="28" t="s">
        <v>1979</v>
      </c>
      <c r="D2802" s="28"/>
      <c r="E2802" s="28" t="s">
        <v>1974</v>
      </c>
      <c r="F2802" s="28" t="b">
        <v>0</v>
      </c>
      <c r="G2802" s="28">
        <v>200</v>
      </c>
      <c r="H2802" s="28" t="b">
        <v>1</v>
      </c>
      <c r="I2802" s="34"/>
    </row>
    <row r="2803" spans="1:9" ht="30" x14ac:dyDescent="0.25">
      <c r="A2803" s="54" t="s">
        <v>604</v>
      </c>
      <c r="B2803" s="43" t="s">
        <v>618</v>
      </c>
      <c r="C2803" s="37" t="s">
        <v>1980</v>
      </c>
      <c r="D2803" s="37"/>
      <c r="E2803" s="37" t="s">
        <v>1974</v>
      </c>
      <c r="F2803" s="37" t="b">
        <v>0</v>
      </c>
      <c r="G2803" s="37">
        <v>200</v>
      </c>
      <c r="H2803" s="37" t="b">
        <v>1</v>
      </c>
    </row>
    <row r="2804" spans="1:9" ht="30" x14ac:dyDescent="0.25">
      <c r="A2804" s="54" t="s">
        <v>604</v>
      </c>
      <c r="B2804" s="31" t="s">
        <v>585</v>
      </c>
      <c r="C2804" s="28" t="s">
        <v>1981</v>
      </c>
      <c r="D2804" s="28"/>
      <c r="E2804" s="28" t="s">
        <v>1974</v>
      </c>
      <c r="F2804" s="28" t="b">
        <v>0</v>
      </c>
      <c r="G2804" s="28">
        <v>200</v>
      </c>
      <c r="H2804" s="28" t="b">
        <v>1</v>
      </c>
      <c r="I2804" s="34"/>
    </row>
    <row r="2805" spans="1:9" ht="30" x14ac:dyDescent="0.25">
      <c r="A2805" s="54" t="s">
        <v>604</v>
      </c>
      <c r="B2805" s="43" t="s">
        <v>582</v>
      </c>
      <c r="C2805" s="37" t="s">
        <v>1982</v>
      </c>
      <c r="D2805" s="37"/>
      <c r="E2805" s="37" t="s">
        <v>1974</v>
      </c>
      <c r="F2805" s="37" t="b">
        <v>0</v>
      </c>
      <c r="G2805" s="37">
        <v>200</v>
      </c>
      <c r="H2805" s="37" t="b">
        <v>1</v>
      </c>
    </row>
    <row r="2806" spans="1:9" ht="30" x14ac:dyDescent="0.25">
      <c r="A2806" s="54" t="s">
        <v>604</v>
      </c>
      <c r="B2806" s="31" t="s">
        <v>638</v>
      </c>
      <c r="C2806" s="28" t="s">
        <v>1983</v>
      </c>
      <c r="D2806" s="28"/>
      <c r="E2806" s="28" t="s">
        <v>1974</v>
      </c>
      <c r="F2806" s="28" t="b">
        <v>0</v>
      </c>
      <c r="G2806" s="28">
        <v>200</v>
      </c>
      <c r="H2806" s="28" t="b">
        <v>1</v>
      </c>
      <c r="I2806" s="34"/>
    </row>
    <row r="2807" spans="1:9" ht="30" x14ac:dyDescent="0.25">
      <c r="A2807" s="54" t="s">
        <v>604</v>
      </c>
      <c r="B2807" s="43" t="s">
        <v>638</v>
      </c>
      <c r="C2807" s="37" t="s">
        <v>1984</v>
      </c>
      <c r="D2807" s="37"/>
      <c r="E2807" s="37" t="s">
        <v>1974</v>
      </c>
      <c r="F2807" s="37" t="b">
        <v>0</v>
      </c>
      <c r="G2807" s="37">
        <v>200</v>
      </c>
      <c r="H2807" s="37" t="b">
        <v>1</v>
      </c>
    </row>
    <row r="2808" spans="1:9" ht="30" x14ac:dyDescent="0.25">
      <c r="A2808" s="54" t="s">
        <v>604</v>
      </c>
      <c r="B2808" s="31" t="s">
        <v>647</v>
      </c>
      <c r="C2808" s="28" t="s">
        <v>1985</v>
      </c>
      <c r="D2808" s="28"/>
      <c r="E2808" s="28" t="s">
        <v>1974</v>
      </c>
      <c r="F2808" s="28" t="b">
        <v>0</v>
      </c>
      <c r="G2808" s="28">
        <v>200</v>
      </c>
      <c r="H2808" s="28" t="b">
        <v>1</v>
      </c>
      <c r="I2808" s="34"/>
    </row>
    <row r="2809" spans="1:9" ht="30" x14ac:dyDescent="0.25">
      <c r="A2809" s="54" t="s">
        <v>604</v>
      </c>
      <c r="B2809" s="43" t="s">
        <v>503</v>
      </c>
      <c r="C2809" s="37" t="s">
        <v>1986</v>
      </c>
      <c r="D2809" s="37"/>
      <c r="E2809" s="37" t="s">
        <v>1974</v>
      </c>
      <c r="F2809" s="37" t="b">
        <v>0</v>
      </c>
      <c r="G2809" s="37">
        <v>200</v>
      </c>
      <c r="H2809" s="37" t="b">
        <v>1</v>
      </c>
    </row>
    <row r="2810" spans="1:9" ht="30" x14ac:dyDescent="0.25">
      <c r="A2810" s="54" t="s">
        <v>604</v>
      </c>
      <c r="B2810" s="31" t="s">
        <v>608</v>
      </c>
      <c r="C2810" s="28" t="s">
        <v>1987</v>
      </c>
      <c r="D2810" s="28"/>
      <c r="E2810" s="28" t="s">
        <v>1974</v>
      </c>
      <c r="F2810" s="28" t="b">
        <v>0</v>
      </c>
      <c r="G2810" s="28">
        <v>200</v>
      </c>
      <c r="H2810" s="28" t="b">
        <v>1</v>
      </c>
      <c r="I2810" s="34"/>
    </row>
    <row r="2811" spans="1:9" ht="30" x14ac:dyDescent="0.25">
      <c r="A2811" s="54" t="s">
        <v>604</v>
      </c>
      <c r="B2811" s="43" t="s">
        <v>485</v>
      </c>
      <c r="C2811" s="37" t="s">
        <v>2090</v>
      </c>
      <c r="D2811" s="37"/>
      <c r="E2811" s="37" t="s">
        <v>1974</v>
      </c>
      <c r="F2811" s="37" t="b">
        <v>0</v>
      </c>
      <c r="G2811" s="37">
        <v>200</v>
      </c>
      <c r="H2811" s="37" t="b">
        <v>1</v>
      </c>
    </row>
    <row r="2812" spans="1:9" ht="30" x14ac:dyDescent="0.25">
      <c r="A2812" s="54" t="s">
        <v>604</v>
      </c>
      <c r="B2812" s="31" t="s">
        <v>647</v>
      </c>
      <c r="C2812" s="28" t="s">
        <v>2010</v>
      </c>
      <c r="D2812" s="28"/>
      <c r="E2812" s="28" t="s">
        <v>1974</v>
      </c>
      <c r="F2812" s="28" t="b">
        <v>0</v>
      </c>
      <c r="G2812" s="28">
        <v>200</v>
      </c>
      <c r="H2812" s="28" t="b">
        <v>1</v>
      </c>
      <c r="I2812" s="34"/>
    </row>
    <row r="2813" spans="1:9" ht="30" x14ac:dyDescent="0.25">
      <c r="A2813" s="54" t="s">
        <v>604</v>
      </c>
      <c r="B2813" s="43" t="s">
        <v>2011</v>
      </c>
      <c r="C2813" s="37"/>
      <c r="D2813" s="37"/>
      <c r="E2813" s="37" t="s">
        <v>2012</v>
      </c>
      <c r="F2813" s="37" t="b">
        <v>0</v>
      </c>
      <c r="G2813" s="37"/>
      <c r="H2813" s="37" t="b">
        <v>1</v>
      </c>
    </row>
    <row r="2814" spans="1:9" ht="30" x14ac:dyDescent="0.25">
      <c r="A2814" s="54" t="s">
        <v>604</v>
      </c>
      <c r="B2814" s="31" t="s">
        <v>2013</v>
      </c>
      <c r="C2814" s="28"/>
      <c r="D2814" s="28"/>
      <c r="E2814" s="28" t="s">
        <v>2012</v>
      </c>
      <c r="F2814" s="28" t="b">
        <v>0</v>
      </c>
      <c r="G2814" s="28"/>
      <c r="H2814" s="28" t="b">
        <v>1</v>
      </c>
      <c r="I2814" s="34"/>
    </row>
    <row r="2815" spans="1:9" ht="30" x14ac:dyDescent="0.25">
      <c r="A2815" s="54" t="s">
        <v>604</v>
      </c>
      <c r="B2815" s="43" t="s">
        <v>641</v>
      </c>
      <c r="C2815" s="37" t="s">
        <v>2014</v>
      </c>
      <c r="D2815" s="37"/>
      <c r="E2815" s="37" t="s">
        <v>1974</v>
      </c>
      <c r="F2815" s="37" t="b">
        <v>0</v>
      </c>
      <c r="G2815" s="37">
        <v>200</v>
      </c>
      <c r="H2815" s="37" t="b">
        <v>1</v>
      </c>
    </row>
    <row r="2816" spans="1:9" ht="30" x14ac:dyDescent="0.25">
      <c r="A2816" s="54" t="s">
        <v>604</v>
      </c>
      <c r="B2816" s="31" t="s">
        <v>2015</v>
      </c>
      <c r="C2816" s="28" t="s">
        <v>2016</v>
      </c>
      <c r="D2816" s="28"/>
      <c r="E2816" s="28" t="s">
        <v>1974</v>
      </c>
      <c r="F2816" s="28" t="b">
        <v>0</v>
      </c>
      <c r="G2816" s="28">
        <v>404</v>
      </c>
      <c r="H2816" s="28" t="b">
        <v>0</v>
      </c>
      <c r="I2816" s="34"/>
    </row>
    <row r="2817" spans="1:9" ht="30" x14ac:dyDescent="0.25">
      <c r="A2817" s="54" t="s">
        <v>604</v>
      </c>
      <c r="B2817" s="43" t="s">
        <v>2015</v>
      </c>
      <c r="C2817" s="37" t="s">
        <v>2017</v>
      </c>
      <c r="D2817" s="37"/>
      <c r="E2817" s="37" t="s">
        <v>1974</v>
      </c>
      <c r="F2817" s="37" t="b">
        <v>0</v>
      </c>
      <c r="G2817" s="37">
        <v>404</v>
      </c>
      <c r="H2817" s="37" t="b">
        <v>0</v>
      </c>
    </row>
    <row r="2818" spans="1:9" x14ac:dyDescent="0.25">
      <c r="A2818" s="54" t="s">
        <v>608</v>
      </c>
      <c r="B2818" s="31" t="s">
        <v>127</v>
      </c>
      <c r="C2818" s="28"/>
      <c r="D2818" s="28"/>
      <c r="E2818" s="28" t="s">
        <v>1974</v>
      </c>
      <c r="F2818" s="28" t="b">
        <v>0</v>
      </c>
      <c r="G2818" s="28">
        <v>200</v>
      </c>
      <c r="H2818" s="28" t="b">
        <v>1</v>
      </c>
      <c r="I2818" s="34"/>
    </row>
    <row r="2819" spans="1:9" x14ac:dyDescent="0.25">
      <c r="A2819" s="54" t="s">
        <v>608</v>
      </c>
      <c r="B2819" s="43" t="s">
        <v>127</v>
      </c>
      <c r="C2819" s="37" t="s">
        <v>1975</v>
      </c>
      <c r="D2819" s="37"/>
      <c r="E2819" s="37" t="s">
        <v>1974</v>
      </c>
      <c r="F2819" s="37" t="b">
        <v>0</v>
      </c>
      <c r="G2819" s="37">
        <v>200</v>
      </c>
      <c r="H2819" s="37" t="b">
        <v>1</v>
      </c>
    </row>
    <row r="2820" spans="1:9" x14ac:dyDescent="0.25">
      <c r="A2820" s="54" t="s">
        <v>608</v>
      </c>
      <c r="B2820" s="31" t="s">
        <v>135</v>
      </c>
      <c r="C2820" s="28" t="s">
        <v>1976</v>
      </c>
      <c r="D2820" s="28"/>
      <c r="E2820" s="28" t="s">
        <v>1974</v>
      </c>
      <c r="F2820" s="28" t="b">
        <v>0</v>
      </c>
      <c r="G2820" s="28">
        <v>200</v>
      </c>
      <c r="H2820" s="28" t="b">
        <v>1</v>
      </c>
      <c r="I2820" s="34"/>
    </row>
    <row r="2821" spans="1:9" x14ac:dyDescent="0.25">
      <c r="A2821" s="54" t="s">
        <v>608</v>
      </c>
      <c r="B2821" s="43" t="s">
        <v>655</v>
      </c>
      <c r="C2821" s="37" t="s">
        <v>1977</v>
      </c>
      <c r="D2821" s="37"/>
      <c r="E2821" s="37" t="s">
        <v>1974</v>
      </c>
      <c r="F2821" s="37" t="b">
        <v>0</v>
      </c>
      <c r="G2821" s="37">
        <v>200</v>
      </c>
      <c r="H2821" s="37" t="b">
        <v>1</v>
      </c>
    </row>
    <row r="2822" spans="1:9" x14ac:dyDescent="0.25">
      <c r="A2822" s="54" t="s">
        <v>608</v>
      </c>
      <c r="B2822" s="31" t="s">
        <v>635</v>
      </c>
      <c r="C2822" s="28" t="s">
        <v>1978</v>
      </c>
      <c r="D2822" s="28"/>
      <c r="E2822" s="28" t="s">
        <v>1974</v>
      </c>
      <c r="F2822" s="28" t="b">
        <v>0</v>
      </c>
      <c r="G2822" s="28">
        <v>200</v>
      </c>
      <c r="H2822" s="28" t="b">
        <v>1</v>
      </c>
      <c r="I2822" s="34"/>
    </row>
    <row r="2823" spans="1:9" ht="30" x14ac:dyDescent="0.25">
      <c r="A2823" s="54" t="s">
        <v>608</v>
      </c>
      <c r="B2823" s="43" t="s">
        <v>144</v>
      </c>
      <c r="C2823" s="37" t="s">
        <v>1979</v>
      </c>
      <c r="D2823" s="37"/>
      <c r="E2823" s="37" t="s">
        <v>1974</v>
      </c>
      <c r="F2823" s="37" t="b">
        <v>0</v>
      </c>
      <c r="G2823" s="37">
        <v>200</v>
      </c>
      <c r="H2823" s="37" t="b">
        <v>1</v>
      </c>
    </row>
    <row r="2824" spans="1:9" x14ac:dyDescent="0.25">
      <c r="A2824" s="54" t="s">
        <v>608</v>
      </c>
      <c r="B2824" s="31" t="s">
        <v>618</v>
      </c>
      <c r="C2824" s="28" t="s">
        <v>1980</v>
      </c>
      <c r="D2824" s="28"/>
      <c r="E2824" s="28" t="s">
        <v>1974</v>
      </c>
      <c r="F2824" s="28" t="b">
        <v>0</v>
      </c>
      <c r="G2824" s="28">
        <v>200</v>
      </c>
      <c r="H2824" s="28" t="b">
        <v>1</v>
      </c>
      <c r="I2824" s="34"/>
    </row>
    <row r="2825" spans="1:9" ht="30" x14ac:dyDescent="0.25">
      <c r="A2825" s="54" t="s">
        <v>608</v>
      </c>
      <c r="B2825" s="43" t="s">
        <v>585</v>
      </c>
      <c r="C2825" s="37" t="s">
        <v>1981</v>
      </c>
      <c r="D2825" s="37"/>
      <c r="E2825" s="37" t="s">
        <v>1974</v>
      </c>
      <c r="F2825" s="37" t="b">
        <v>0</v>
      </c>
      <c r="G2825" s="37">
        <v>200</v>
      </c>
      <c r="H2825" s="37" t="b">
        <v>1</v>
      </c>
    </row>
    <row r="2826" spans="1:9" ht="30" x14ac:dyDescent="0.25">
      <c r="A2826" s="54" t="s">
        <v>608</v>
      </c>
      <c r="B2826" s="31" t="s">
        <v>582</v>
      </c>
      <c r="C2826" s="28" t="s">
        <v>1982</v>
      </c>
      <c r="D2826" s="28"/>
      <c r="E2826" s="28" t="s">
        <v>1974</v>
      </c>
      <c r="F2826" s="28" t="b">
        <v>0</v>
      </c>
      <c r="G2826" s="28">
        <v>200</v>
      </c>
      <c r="H2826" s="28" t="b">
        <v>1</v>
      </c>
      <c r="I2826" s="34"/>
    </row>
    <row r="2827" spans="1:9" x14ac:dyDescent="0.25">
      <c r="A2827" s="54" t="s">
        <v>608</v>
      </c>
      <c r="B2827" s="43" t="s">
        <v>638</v>
      </c>
      <c r="C2827" s="37" t="s">
        <v>1983</v>
      </c>
      <c r="D2827" s="37"/>
      <c r="E2827" s="37" t="s">
        <v>1974</v>
      </c>
      <c r="F2827" s="37" t="b">
        <v>0</v>
      </c>
      <c r="G2827" s="37">
        <v>200</v>
      </c>
      <c r="H2827" s="37" t="b">
        <v>1</v>
      </c>
    </row>
    <row r="2828" spans="1:9" x14ac:dyDescent="0.25">
      <c r="A2828" s="54" t="s">
        <v>608</v>
      </c>
      <c r="B2828" s="31" t="s">
        <v>638</v>
      </c>
      <c r="C2828" s="28" t="s">
        <v>1984</v>
      </c>
      <c r="D2828" s="28"/>
      <c r="E2828" s="28" t="s">
        <v>1974</v>
      </c>
      <c r="F2828" s="28" t="b">
        <v>0</v>
      </c>
      <c r="G2828" s="28">
        <v>200</v>
      </c>
      <c r="H2828" s="28" t="b">
        <v>1</v>
      </c>
      <c r="I2828" s="34"/>
    </row>
    <row r="2829" spans="1:9" x14ac:dyDescent="0.25">
      <c r="A2829" s="54" t="s">
        <v>608</v>
      </c>
      <c r="B2829" s="43" t="s">
        <v>647</v>
      </c>
      <c r="C2829" s="37" t="s">
        <v>1985</v>
      </c>
      <c r="D2829" s="37"/>
      <c r="E2829" s="37" t="s">
        <v>1974</v>
      </c>
      <c r="F2829" s="37" t="b">
        <v>0</v>
      </c>
      <c r="G2829" s="37">
        <v>200</v>
      </c>
      <c r="H2829" s="37" t="b">
        <v>1</v>
      </c>
    </row>
    <row r="2830" spans="1:9" ht="30" x14ac:dyDescent="0.25">
      <c r="A2830" s="54" t="s">
        <v>608</v>
      </c>
      <c r="B2830" s="31" t="s">
        <v>503</v>
      </c>
      <c r="C2830" s="28" t="s">
        <v>1986</v>
      </c>
      <c r="D2830" s="28"/>
      <c r="E2830" s="28" t="s">
        <v>1974</v>
      </c>
      <c r="F2830" s="28" t="b">
        <v>0</v>
      </c>
      <c r="G2830" s="28">
        <v>200</v>
      </c>
      <c r="H2830" s="28" t="b">
        <v>1</v>
      </c>
      <c r="I2830" s="34"/>
    </row>
    <row r="2831" spans="1:9" x14ac:dyDescent="0.25">
      <c r="A2831" s="54" t="s">
        <v>608</v>
      </c>
      <c r="B2831" s="43" t="s">
        <v>608</v>
      </c>
      <c r="C2831" s="37" t="s">
        <v>1987</v>
      </c>
      <c r="D2831" s="37"/>
      <c r="E2831" s="37" t="s">
        <v>1974</v>
      </c>
      <c r="F2831" s="37" t="b">
        <v>0</v>
      </c>
      <c r="G2831" s="37">
        <v>200</v>
      </c>
      <c r="H2831" s="37" t="b">
        <v>1</v>
      </c>
    </row>
    <row r="2832" spans="1:9" x14ac:dyDescent="0.25">
      <c r="A2832" s="54" t="s">
        <v>608</v>
      </c>
      <c r="B2832" s="31" t="s">
        <v>127</v>
      </c>
      <c r="C2832" s="28" t="s">
        <v>1975</v>
      </c>
      <c r="D2832" s="28"/>
      <c r="E2832" s="28" t="s">
        <v>1974</v>
      </c>
      <c r="F2832" s="28" t="b">
        <v>0</v>
      </c>
      <c r="G2832" s="28">
        <v>200</v>
      </c>
      <c r="H2832" s="28" t="b">
        <v>1</v>
      </c>
      <c r="I2832" s="34"/>
    </row>
    <row r="2833" spans="1:9" x14ac:dyDescent="0.25">
      <c r="A2833" s="54" t="s">
        <v>608</v>
      </c>
      <c r="B2833" s="43" t="s">
        <v>135</v>
      </c>
      <c r="C2833" s="37" t="s">
        <v>1976</v>
      </c>
      <c r="D2833" s="37"/>
      <c r="E2833" s="37" t="s">
        <v>1974</v>
      </c>
      <c r="F2833" s="37" t="b">
        <v>0</v>
      </c>
      <c r="G2833" s="37">
        <v>200</v>
      </c>
      <c r="H2833" s="37" t="b">
        <v>1</v>
      </c>
    </row>
    <row r="2834" spans="1:9" x14ac:dyDescent="0.25">
      <c r="A2834" s="54" t="s">
        <v>608</v>
      </c>
      <c r="B2834" s="31" t="s">
        <v>655</v>
      </c>
      <c r="C2834" s="28" t="s">
        <v>1977</v>
      </c>
      <c r="D2834" s="28"/>
      <c r="E2834" s="28" t="s">
        <v>1974</v>
      </c>
      <c r="F2834" s="28" t="b">
        <v>0</v>
      </c>
      <c r="G2834" s="28">
        <v>200</v>
      </c>
      <c r="H2834" s="28" t="b">
        <v>1</v>
      </c>
      <c r="I2834" s="34"/>
    </row>
    <row r="2835" spans="1:9" x14ac:dyDescent="0.25">
      <c r="A2835" s="54" t="s">
        <v>608</v>
      </c>
      <c r="B2835" s="43" t="s">
        <v>635</v>
      </c>
      <c r="C2835" s="37" t="s">
        <v>1978</v>
      </c>
      <c r="D2835" s="37"/>
      <c r="E2835" s="37" t="s">
        <v>1974</v>
      </c>
      <c r="F2835" s="37" t="b">
        <v>0</v>
      </c>
      <c r="G2835" s="37">
        <v>200</v>
      </c>
      <c r="H2835" s="37" t="b">
        <v>1</v>
      </c>
    </row>
    <row r="2836" spans="1:9" ht="30" x14ac:dyDescent="0.25">
      <c r="A2836" s="54" t="s">
        <v>608</v>
      </c>
      <c r="B2836" s="31" t="s">
        <v>144</v>
      </c>
      <c r="C2836" s="28" t="s">
        <v>1979</v>
      </c>
      <c r="D2836" s="28"/>
      <c r="E2836" s="28" t="s">
        <v>1974</v>
      </c>
      <c r="F2836" s="28" t="b">
        <v>0</v>
      </c>
      <c r="G2836" s="28">
        <v>200</v>
      </c>
      <c r="H2836" s="28" t="b">
        <v>1</v>
      </c>
      <c r="I2836" s="34"/>
    </row>
    <row r="2837" spans="1:9" x14ac:dyDescent="0.25">
      <c r="A2837" s="54" t="s">
        <v>608</v>
      </c>
      <c r="B2837" s="43" t="s">
        <v>618</v>
      </c>
      <c r="C2837" s="37" t="s">
        <v>1980</v>
      </c>
      <c r="D2837" s="37"/>
      <c r="E2837" s="37" t="s">
        <v>1974</v>
      </c>
      <c r="F2837" s="37" t="b">
        <v>0</v>
      </c>
      <c r="G2837" s="37">
        <v>200</v>
      </c>
      <c r="H2837" s="37" t="b">
        <v>1</v>
      </c>
    </row>
    <row r="2838" spans="1:9" ht="30" x14ac:dyDescent="0.25">
      <c r="A2838" s="54" t="s">
        <v>608</v>
      </c>
      <c r="B2838" s="31" t="s">
        <v>585</v>
      </c>
      <c r="C2838" s="28" t="s">
        <v>1981</v>
      </c>
      <c r="D2838" s="28"/>
      <c r="E2838" s="28" t="s">
        <v>1974</v>
      </c>
      <c r="F2838" s="28" t="b">
        <v>0</v>
      </c>
      <c r="G2838" s="28">
        <v>200</v>
      </c>
      <c r="H2838" s="28" t="b">
        <v>1</v>
      </c>
      <c r="I2838" s="34"/>
    </row>
    <row r="2839" spans="1:9" ht="30" x14ac:dyDescent="0.25">
      <c r="A2839" s="54" t="s">
        <v>608</v>
      </c>
      <c r="B2839" s="43" t="s">
        <v>582</v>
      </c>
      <c r="C2839" s="37" t="s">
        <v>1982</v>
      </c>
      <c r="D2839" s="37"/>
      <c r="E2839" s="37" t="s">
        <v>1974</v>
      </c>
      <c r="F2839" s="37" t="b">
        <v>0</v>
      </c>
      <c r="G2839" s="37">
        <v>200</v>
      </c>
      <c r="H2839" s="37" t="b">
        <v>1</v>
      </c>
    </row>
    <row r="2840" spans="1:9" x14ac:dyDescent="0.25">
      <c r="A2840" s="54" t="s">
        <v>608</v>
      </c>
      <c r="B2840" s="31" t="s">
        <v>638</v>
      </c>
      <c r="C2840" s="28" t="s">
        <v>1983</v>
      </c>
      <c r="D2840" s="28"/>
      <c r="E2840" s="28" t="s">
        <v>1974</v>
      </c>
      <c r="F2840" s="28" t="b">
        <v>0</v>
      </c>
      <c r="G2840" s="28">
        <v>200</v>
      </c>
      <c r="H2840" s="28" t="b">
        <v>1</v>
      </c>
      <c r="I2840" s="34"/>
    </row>
    <row r="2841" spans="1:9" x14ac:dyDescent="0.25">
      <c r="A2841" s="54" t="s">
        <v>608</v>
      </c>
      <c r="B2841" s="43" t="s">
        <v>638</v>
      </c>
      <c r="C2841" s="37" t="s">
        <v>1984</v>
      </c>
      <c r="D2841" s="37"/>
      <c r="E2841" s="37" t="s">
        <v>1974</v>
      </c>
      <c r="F2841" s="37" t="b">
        <v>0</v>
      </c>
      <c r="G2841" s="37">
        <v>200</v>
      </c>
      <c r="H2841" s="37" t="b">
        <v>1</v>
      </c>
    </row>
    <row r="2842" spans="1:9" x14ac:dyDescent="0.25">
      <c r="A2842" s="54" t="s">
        <v>608</v>
      </c>
      <c r="B2842" s="31" t="s">
        <v>647</v>
      </c>
      <c r="C2842" s="28" t="s">
        <v>1985</v>
      </c>
      <c r="D2842" s="28"/>
      <c r="E2842" s="28" t="s">
        <v>1974</v>
      </c>
      <c r="F2842" s="28" t="b">
        <v>0</v>
      </c>
      <c r="G2842" s="28">
        <v>200</v>
      </c>
      <c r="H2842" s="28" t="b">
        <v>1</v>
      </c>
      <c r="I2842" s="34"/>
    </row>
    <row r="2843" spans="1:9" ht="30" x14ac:dyDescent="0.25">
      <c r="A2843" s="54" t="s">
        <v>608</v>
      </c>
      <c r="B2843" s="43" t="s">
        <v>503</v>
      </c>
      <c r="C2843" s="37" t="s">
        <v>1986</v>
      </c>
      <c r="D2843" s="37"/>
      <c r="E2843" s="37" t="s">
        <v>1974</v>
      </c>
      <c r="F2843" s="37" t="b">
        <v>0</v>
      </c>
      <c r="G2843" s="37">
        <v>200</v>
      </c>
      <c r="H2843" s="37" t="b">
        <v>1</v>
      </c>
    </row>
    <row r="2844" spans="1:9" x14ac:dyDescent="0.25">
      <c r="A2844" s="54" t="s">
        <v>608</v>
      </c>
      <c r="B2844" s="31" t="s">
        <v>608</v>
      </c>
      <c r="C2844" s="28" t="s">
        <v>1987</v>
      </c>
      <c r="D2844" s="28"/>
      <c r="E2844" s="28" t="s">
        <v>1974</v>
      </c>
      <c r="F2844" s="28" t="b">
        <v>0</v>
      </c>
      <c r="G2844" s="28">
        <v>200</v>
      </c>
      <c r="H2844" s="28" t="b">
        <v>1</v>
      </c>
      <c r="I2844" s="34"/>
    </row>
    <row r="2845" spans="1:9" x14ac:dyDescent="0.25">
      <c r="A2845" s="54" t="s">
        <v>608</v>
      </c>
      <c r="B2845" s="43" t="s">
        <v>647</v>
      </c>
      <c r="C2845" s="37" t="s">
        <v>2010</v>
      </c>
      <c r="D2845" s="37"/>
      <c r="E2845" s="37" t="s">
        <v>1974</v>
      </c>
      <c r="F2845" s="37" t="b">
        <v>0</v>
      </c>
      <c r="G2845" s="37">
        <v>200</v>
      </c>
      <c r="H2845" s="37" t="b">
        <v>1</v>
      </c>
    </row>
    <row r="2846" spans="1:9" ht="30" x14ac:dyDescent="0.25">
      <c r="A2846" s="54" t="s">
        <v>608</v>
      </c>
      <c r="B2846" s="31" t="s">
        <v>2011</v>
      </c>
      <c r="C2846" s="28"/>
      <c r="D2846" s="28"/>
      <c r="E2846" s="28" t="s">
        <v>2012</v>
      </c>
      <c r="F2846" s="28" t="b">
        <v>0</v>
      </c>
      <c r="G2846" s="28"/>
      <c r="H2846" s="28" t="b">
        <v>1</v>
      </c>
      <c r="I2846" s="34"/>
    </row>
    <row r="2847" spans="1:9" ht="30" x14ac:dyDescent="0.25">
      <c r="A2847" s="54" t="s">
        <v>608</v>
      </c>
      <c r="B2847" s="43" t="s">
        <v>2013</v>
      </c>
      <c r="C2847" s="37"/>
      <c r="D2847" s="37"/>
      <c r="E2847" s="37" t="s">
        <v>2012</v>
      </c>
      <c r="F2847" s="37" t="b">
        <v>0</v>
      </c>
      <c r="G2847" s="37"/>
      <c r="H2847" s="37" t="b">
        <v>1</v>
      </c>
    </row>
    <row r="2848" spans="1:9" x14ac:dyDescent="0.25">
      <c r="A2848" s="54" t="s">
        <v>608</v>
      </c>
      <c r="B2848" s="31" t="s">
        <v>641</v>
      </c>
      <c r="C2848" s="28" t="s">
        <v>2014</v>
      </c>
      <c r="D2848" s="28"/>
      <c r="E2848" s="28" t="s">
        <v>1974</v>
      </c>
      <c r="F2848" s="28" t="b">
        <v>0</v>
      </c>
      <c r="G2848" s="28">
        <v>200</v>
      </c>
      <c r="H2848" s="28" t="b">
        <v>1</v>
      </c>
      <c r="I2848" s="34"/>
    </row>
    <row r="2849" spans="1:9" ht="30" x14ac:dyDescent="0.25">
      <c r="A2849" s="54" t="s">
        <v>608</v>
      </c>
      <c r="B2849" s="43" t="s">
        <v>2015</v>
      </c>
      <c r="C2849" s="37" t="s">
        <v>2016</v>
      </c>
      <c r="D2849" s="37"/>
      <c r="E2849" s="37" t="s">
        <v>1974</v>
      </c>
      <c r="F2849" s="37" t="b">
        <v>0</v>
      </c>
      <c r="G2849" s="37">
        <v>404</v>
      </c>
      <c r="H2849" s="37" t="b">
        <v>0</v>
      </c>
    </row>
    <row r="2850" spans="1:9" ht="30" x14ac:dyDescent="0.25">
      <c r="A2850" s="54" t="s">
        <v>608</v>
      </c>
      <c r="B2850" s="31" t="s">
        <v>2015</v>
      </c>
      <c r="C2850" s="28" t="s">
        <v>2017</v>
      </c>
      <c r="D2850" s="28"/>
      <c r="E2850" s="28" t="s">
        <v>1974</v>
      </c>
      <c r="F2850" s="28" t="b">
        <v>0</v>
      </c>
      <c r="G2850" s="28">
        <v>404</v>
      </c>
      <c r="H2850" s="28" t="b">
        <v>0</v>
      </c>
      <c r="I2850" s="34"/>
    </row>
    <row r="2851" spans="1:9" x14ac:dyDescent="0.25">
      <c r="A2851" s="54" t="s">
        <v>611</v>
      </c>
      <c r="B2851" s="43" t="s">
        <v>127</v>
      </c>
      <c r="C2851" s="37"/>
      <c r="D2851" s="37"/>
      <c r="E2851" s="37" t="s">
        <v>1974</v>
      </c>
      <c r="F2851" s="37" t="b">
        <v>0</v>
      </c>
      <c r="G2851" s="37">
        <v>200</v>
      </c>
      <c r="H2851" s="37" t="b">
        <v>1</v>
      </c>
    </row>
    <row r="2852" spans="1:9" x14ac:dyDescent="0.25">
      <c r="A2852" s="54" t="s">
        <v>611</v>
      </c>
      <c r="B2852" s="31" t="s">
        <v>127</v>
      </c>
      <c r="C2852" s="28" t="s">
        <v>1975</v>
      </c>
      <c r="D2852" s="28"/>
      <c r="E2852" s="28" t="s">
        <v>1974</v>
      </c>
      <c r="F2852" s="28" t="b">
        <v>0</v>
      </c>
      <c r="G2852" s="28">
        <v>200</v>
      </c>
      <c r="H2852" s="28" t="b">
        <v>1</v>
      </c>
      <c r="I2852" s="34"/>
    </row>
    <row r="2853" spans="1:9" x14ac:dyDescent="0.25">
      <c r="A2853" s="54" t="s">
        <v>611</v>
      </c>
      <c r="B2853" s="43" t="s">
        <v>135</v>
      </c>
      <c r="C2853" s="37" t="s">
        <v>1976</v>
      </c>
      <c r="D2853" s="37"/>
      <c r="E2853" s="37" t="s">
        <v>1974</v>
      </c>
      <c r="F2853" s="37" t="b">
        <v>0</v>
      </c>
      <c r="G2853" s="37">
        <v>200</v>
      </c>
      <c r="H2853" s="37" t="b">
        <v>1</v>
      </c>
    </row>
    <row r="2854" spans="1:9" x14ac:dyDescent="0.25">
      <c r="A2854" s="54" t="s">
        <v>611</v>
      </c>
      <c r="B2854" s="31" t="s">
        <v>655</v>
      </c>
      <c r="C2854" s="28" t="s">
        <v>1977</v>
      </c>
      <c r="D2854" s="28"/>
      <c r="E2854" s="28" t="s">
        <v>1974</v>
      </c>
      <c r="F2854" s="28" t="b">
        <v>0</v>
      </c>
      <c r="G2854" s="28">
        <v>200</v>
      </c>
      <c r="H2854" s="28" t="b">
        <v>1</v>
      </c>
      <c r="I2854" s="34"/>
    </row>
    <row r="2855" spans="1:9" x14ac:dyDescent="0.25">
      <c r="A2855" s="54" t="s">
        <v>611</v>
      </c>
      <c r="B2855" s="43" t="s">
        <v>635</v>
      </c>
      <c r="C2855" s="37" t="s">
        <v>1978</v>
      </c>
      <c r="D2855" s="37"/>
      <c r="E2855" s="37" t="s">
        <v>1974</v>
      </c>
      <c r="F2855" s="37" t="b">
        <v>0</v>
      </c>
      <c r="G2855" s="37">
        <v>200</v>
      </c>
      <c r="H2855" s="37" t="b">
        <v>1</v>
      </c>
    </row>
    <row r="2856" spans="1:9" ht="30" x14ac:dyDescent="0.25">
      <c r="A2856" s="54" t="s">
        <v>611</v>
      </c>
      <c r="B2856" s="31" t="s">
        <v>144</v>
      </c>
      <c r="C2856" s="28" t="s">
        <v>1979</v>
      </c>
      <c r="D2856" s="28"/>
      <c r="E2856" s="28" t="s">
        <v>1974</v>
      </c>
      <c r="F2856" s="28" t="b">
        <v>0</v>
      </c>
      <c r="G2856" s="28">
        <v>200</v>
      </c>
      <c r="H2856" s="28" t="b">
        <v>1</v>
      </c>
      <c r="I2856" s="34"/>
    </row>
    <row r="2857" spans="1:9" x14ac:dyDescent="0.25">
      <c r="A2857" s="54" t="s">
        <v>611</v>
      </c>
      <c r="B2857" s="43" t="s">
        <v>618</v>
      </c>
      <c r="C2857" s="37" t="s">
        <v>1980</v>
      </c>
      <c r="D2857" s="37"/>
      <c r="E2857" s="37" t="s">
        <v>1974</v>
      </c>
      <c r="F2857" s="37" t="b">
        <v>0</v>
      </c>
      <c r="G2857" s="37">
        <v>200</v>
      </c>
      <c r="H2857" s="37" t="b">
        <v>1</v>
      </c>
    </row>
    <row r="2858" spans="1:9" ht="30" x14ac:dyDescent="0.25">
      <c r="A2858" s="54" t="s">
        <v>611</v>
      </c>
      <c r="B2858" s="31" t="s">
        <v>585</v>
      </c>
      <c r="C2858" s="28" t="s">
        <v>1981</v>
      </c>
      <c r="D2858" s="28"/>
      <c r="E2858" s="28" t="s">
        <v>1974</v>
      </c>
      <c r="F2858" s="28" t="b">
        <v>0</v>
      </c>
      <c r="G2858" s="28">
        <v>200</v>
      </c>
      <c r="H2858" s="28" t="b">
        <v>1</v>
      </c>
      <c r="I2858" s="34"/>
    </row>
    <row r="2859" spans="1:9" ht="30" x14ac:dyDescent="0.25">
      <c r="A2859" s="54" t="s">
        <v>611</v>
      </c>
      <c r="B2859" s="43" t="s">
        <v>582</v>
      </c>
      <c r="C2859" s="37" t="s">
        <v>1982</v>
      </c>
      <c r="D2859" s="37"/>
      <c r="E2859" s="37" t="s">
        <v>1974</v>
      </c>
      <c r="F2859" s="37" t="b">
        <v>0</v>
      </c>
      <c r="G2859" s="37">
        <v>200</v>
      </c>
      <c r="H2859" s="37" t="b">
        <v>1</v>
      </c>
    </row>
    <row r="2860" spans="1:9" x14ac:dyDescent="0.25">
      <c r="A2860" s="54" t="s">
        <v>611</v>
      </c>
      <c r="B2860" s="31" t="s">
        <v>638</v>
      </c>
      <c r="C2860" s="28" t="s">
        <v>1983</v>
      </c>
      <c r="D2860" s="28"/>
      <c r="E2860" s="28" t="s">
        <v>1974</v>
      </c>
      <c r="F2860" s="28" t="b">
        <v>0</v>
      </c>
      <c r="G2860" s="28">
        <v>200</v>
      </c>
      <c r="H2860" s="28" t="b">
        <v>1</v>
      </c>
      <c r="I2860" s="34"/>
    </row>
    <row r="2861" spans="1:9" x14ac:dyDescent="0.25">
      <c r="A2861" s="54" t="s">
        <v>611</v>
      </c>
      <c r="B2861" s="43" t="s">
        <v>638</v>
      </c>
      <c r="C2861" s="37" t="s">
        <v>1984</v>
      </c>
      <c r="D2861" s="37"/>
      <c r="E2861" s="37" t="s">
        <v>1974</v>
      </c>
      <c r="F2861" s="37" t="b">
        <v>0</v>
      </c>
      <c r="G2861" s="37">
        <v>200</v>
      </c>
      <c r="H2861" s="37" t="b">
        <v>1</v>
      </c>
    </row>
    <row r="2862" spans="1:9" x14ac:dyDescent="0.25">
      <c r="A2862" s="54" t="s">
        <v>611</v>
      </c>
      <c r="B2862" s="31" t="s">
        <v>647</v>
      </c>
      <c r="C2862" s="28" t="s">
        <v>1985</v>
      </c>
      <c r="D2862" s="28"/>
      <c r="E2862" s="28" t="s">
        <v>1974</v>
      </c>
      <c r="F2862" s="28" t="b">
        <v>0</v>
      </c>
      <c r="G2862" s="28">
        <v>200</v>
      </c>
      <c r="H2862" s="28" t="b">
        <v>1</v>
      </c>
      <c r="I2862" s="34"/>
    </row>
    <row r="2863" spans="1:9" ht="30" x14ac:dyDescent="0.25">
      <c r="A2863" s="54" t="s">
        <v>611</v>
      </c>
      <c r="B2863" s="43" t="s">
        <v>503</v>
      </c>
      <c r="C2863" s="37" t="s">
        <v>1986</v>
      </c>
      <c r="D2863" s="37"/>
      <c r="E2863" s="37" t="s">
        <v>1974</v>
      </c>
      <c r="F2863" s="37" t="b">
        <v>0</v>
      </c>
      <c r="G2863" s="37">
        <v>200</v>
      </c>
      <c r="H2863" s="37" t="b">
        <v>1</v>
      </c>
    </row>
    <row r="2864" spans="1:9" x14ac:dyDescent="0.25">
      <c r="A2864" s="54" t="s">
        <v>611</v>
      </c>
      <c r="B2864" s="31" t="s">
        <v>608</v>
      </c>
      <c r="C2864" s="28" t="s">
        <v>1987</v>
      </c>
      <c r="D2864" s="28"/>
      <c r="E2864" s="28" t="s">
        <v>1974</v>
      </c>
      <c r="F2864" s="28" t="b">
        <v>0</v>
      </c>
      <c r="G2864" s="28">
        <v>200</v>
      </c>
      <c r="H2864" s="28" t="b">
        <v>1</v>
      </c>
      <c r="I2864" s="34"/>
    </row>
    <row r="2865" spans="1:9" x14ac:dyDescent="0.25">
      <c r="A2865" s="54" t="s">
        <v>611</v>
      </c>
      <c r="B2865" s="43" t="s">
        <v>127</v>
      </c>
      <c r="C2865" s="37" t="s">
        <v>1975</v>
      </c>
      <c r="D2865" s="37"/>
      <c r="E2865" s="37" t="s">
        <v>1974</v>
      </c>
      <c r="F2865" s="37" t="b">
        <v>0</v>
      </c>
      <c r="G2865" s="37">
        <v>200</v>
      </c>
      <c r="H2865" s="37" t="b">
        <v>1</v>
      </c>
    </row>
    <row r="2866" spans="1:9" x14ac:dyDescent="0.25">
      <c r="A2866" s="54" t="s">
        <v>611</v>
      </c>
      <c r="B2866" s="31" t="s">
        <v>135</v>
      </c>
      <c r="C2866" s="28" t="s">
        <v>1976</v>
      </c>
      <c r="D2866" s="28"/>
      <c r="E2866" s="28" t="s">
        <v>1974</v>
      </c>
      <c r="F2866" s="28" t="b">
        <v>0</v>
      </c>
      <c r="G2866" s="28">
        <v>200</v>
      </c>
      <c r="H2866" s="28" t="b">
        <v>1</v>
      </c>
      <c r="I2866" s="34"/>
    </row>
    <row r="2867" spans="1:9" x14ac:dyDescent="0.25">
      <c r="A2867" s="54" t="s">
        <v>611</v>
      </c>
      <c r="B2867" s="43" t="s">
        <v>655</v>
      </c>
      <c r="C2867" s="37" t="s">
        <v>1977</v>
      </c>
      <c r="D2867" s="37"/>
      <c r="E2867" s="37" t="s">
        <v>1974</v>
      </c>
      <c r="F2867" s="37" t="b">
        <v>0</v>
      </c>
      <c r="G2867" s="37">
        <v>200</v>
      </c>
      <c r="H2867" s="37" t="b">
        <v>1</v>
      </c>
    </row>
    <row r="2868" spans="1:9" x14ac:dyDescent="0.25">
      <c r="A2868" s="54" t="s">
        <v>611</v>
      </c>
      <c r="B2868" s="31" t="s">
        <v>635</v>
      </c>
      <c r="C2868" s="28" t="s">
        <v>1978</v>
      </c>
      <c r="D2868" s="28"/>
      <c r="E2868" s="28" t="s">
        <v>1974</v>
      </c>
      <c r="F2868" s="28" t="b">
        <v>0</v>
      </c>
      <c r="G2868" s="28">
        <v>200</v>
      </c>
      <c r="H2868" s="28" t="b">
        <v>1</v>
      </c>
      <c r="I2868" s="34"/>
    </row>
    <row r="2869" spans="1:9" ht="30" x14ac:dyDescent="0.25">
      <c r="A2869" s="54" t="s">
        <v>611</v>
      </c>
      <c r="B2869" s="43" t="s">
        <v>144</v>
      </c>
      <c r="C2869" s="37" t="s">
        <v>1979</v>
      </c>
      <c r="D2869" s="37"/>
      <c r="E2869" s="37" t="s">
        <v>1974</v>
      </c>
      <c r="F2869" s="37" t="b">
        <v>0</v>
      </c>
      <c r="G2869" s="37">
        <v>200</v>
      </c>
      <c r="H2869" s="37" t="b">
        <v>1</v>
      </c>
    </row>
    <row r="2870" spans="1:9" x14ac:dyDescent="0.25">
      <c r="A2870" s="54" t="s">
        <v>611</v>
      </c>
      <c r="B2870" s="31" t="s">
        <v>618</v>
      </c>
      <c r="C2870" s="28" t="s">
        <v>1980</v>
      </c>
      <c r="D2870" s="28"/>
      <c r="E2870" s="28" t="s">
        <v>1974</v>
      </c>
      <c r="F2870" s="28" t="b">
        <v>0</v>
      </c>
      <c r="G2870" s="28">
        <v>200</v>
      </c>
      <c r="H2870" s="28" t="b">
        <v>1</v>
      </c>
      <c r="I2870" s="34"/>
    </row>
    <row r="2871" spans="1:9" ht="30" x14ac:dyDescent="0.25">
      <c r="A2871" s="54" t="s">
        <v>611</v>
      </c>
      <c r="B2871" s="43" t="s">
        <v>585</v>
      </c>
      <c r="C2871" s="37" t="s">
        <v>1981</v>
      </c>
      <c r="D2871" s="37"/>
      <c r="E2871" s="37" t="s">
        <v>1974</v>
      </c>
      <c r="F2871" s="37" t="b">
        <v>0</v>
      </c>
      <c r="G2871" s="37">
        <v>200</v>
      </c>
      <c r="H2871" s="37" t="b">
        <v>1</v>
      </c>
    </row>
    <row r="2872" spans="1:9" ht="30" x14ac:dyDescent="0.25">
      <c r="A2872" s="54" t="s">
        <v>611</v>
      </c>
      <c r="B2872" s="31" t="s">
        <v>582</v>
      </c>
      <c r="C2872" s="28" t="s">
        <v>1982</v>
      </c>
      <c r="D2872" s="28"/>
      <c r="E2872" s="28" t="s">
        <v>1974</v>
      </c>
      <c r="F2872" s="28" t="b">
        <v>0</v>
      </c>
      <c r="G2872" s="28">
        <v>200</v>
      </c>
      <c r="H2872" s="28" t="b">
        <v>1</v>
      </c>
      <c r="I2872" s="34"/>
    </row>
    <row r="2873" spans="1:9" x14ac:dyDescent="0.25">
      <c r="A2873" s="54" t="s">
        <v>611</v>
      </c>
      <c r="B2873" s="43" t="s">
        <v>638</v>
      </c>
      <c r="C2873" s="37" t="s">
        <v>1983</v>
      </c>
      <c r="D2873" s="37"/>
      <c r="E2873" s="37" t="s">
        <v>1974</v>
      </c>
      <c r="F2873" s="37" t="b">
        <v>0</v>
      </c>
      <c r="G2873" s="37">
        <v>200</v>
      </c>
      <c r="H2873" s="37" t="b">
        <v>1</v>
      </c>
    </row>
    <row r="2874" spans="1:9" x14ac:dyDescent="0.25">
      <c r="A2874" s="54" t="s">
        <v>611</v>
      </c>
      <c r="B2874" s="31" t="s">
        <v>638</v>
      </c>
      <c r="C2874" s="28" t="s">
        <v>1984</v>
      </c>
      <c r="D2874" s="28"/>
      <c r="E2874" s="28" t="s">
        <v>1974</v>
      </c>
      <c r="F2874" s="28" t="b">
        <v>0</v>
      </c>
      <c r="G2874" s="28">
        <v>200</v>
      </c>
      <c r="H2874" s="28" t="b">
        <v>1</v>
      </c>
      <c r="I2874" s="34"/>
    </row>
    <row r="2875" spans="1:9" x14ac:dyDescent="0.25">
      <c r="A2875" s="54" t="s">
        <v>611</v>
      </c>
      <c r="B2875" s="43" t="s">
        <v>647</v>
      </c>
      <c r="C2875" s="37" t="s">
        <v>1985</v>
      </c>
      <c r="D2875" s="37"/>
      <c r="E2875" s="37" t="s">
        <v>1974</v>
      </c>
      <c r="F2875" s="37" t="b">
        <v>0</v>
      </c>
      <c r="G2875" s="37">
        <v>200</v>
      </c>
      <c r="H2875" s="37" t="b">
        <v>1</v>
      </c>
    </row>
    <row r="2876" spans="1:9" ht="30" x14ac:dyDescent="0.25">
      <c r="A2876" s="54" t="s">
        <v>611</v>
      </c>
      <c r="B2876" s="31" t="s">
        <v>503</v>
      </c>
      <c r="C2876" s="28" t="s">
        <v>1986</v>
      </c>
      <c r="D2876" s="28"/>
      <c r="E2876" s="28" t="s">
        <v>1974</v>
      </c>
      <c r="F2876" s="28" t="b">
        <v>0</v>
      </c>
      <c r="G2876" s="28">
        <v>200</v>
      </c>
      <c r="H2876" s="28" t="b">
        <v>1</v>
      </c>
      <c r="I2876" s="34"/>
    </row>
    <row r="2877" spans="1:9" x14ac:dyDescent="0.25">
      <c r="A2877" s="54" t="s">
        <v>611</v>
      </c>
      <c r="B2877" s="43" t="s">
        <v>608</v>
      </c>
      <c r="C2877" s="37" t="s">
        <v>1987</v>
      </c>
      <c r="D2877" s="37"/>
      <c r="E2877" s="37" t="s">
        <v>1974</v>
      </c>
      <c r="F2877" s="37" t="b">
        <v>0</v>
      </c>
      <c r="G2877" s="37">
        <v>200</v>
      </c>
      <c r="H2877" s="37" t="b">
        <v>1</v>
      </c>
    </row>
    <row r="2878" spans="1:9" ht="45" x14ac:dyDescent="0.25">
      <c r="A2878" s="54" t="s">
        <v>611</v>
      </c>
      <c r="B2878" s="31" t="s">
        <v>2889</v>
      </c>
      <c r="C2878" s="28" t="s">
        <v>2882</v>
      </c>
      <c r="D2878" s="28"/>
      <c r="E2878" s="28" t="s">
        <v>1974</v>
      </c>
      <c r="F2878" s="28" t="b">
        <v>0</v>
      </c>
      <c r="G2878" s="28">
        <v>200</v>
      </c>
      <c r="H2878" s="28" t="b">
        <v>1</v>
      </c>
      <c r="I2878" s="34"/>
    </row>
    <row r="2879" spans="1:9" ht="30" x14ac:dyDescent="0.25">
      <c r="A2879" s="54" t="s">
        <v>611</v>
      </c>
      <c r="B2879" s="43" t="s">
        <v>2890</v>
      </c>
      <c r="C2879" s="37" t="s">
        <v>2891</v>
      </c>
      <c r="D2879" s="37"/>
      <c r="E2879" s="37" t="s">
        <v>1974</v>
      </c>
      <c r="F2879" s="37" t="b">
        <v>0</v>
      </c>
      <c r="G2879" s="37">
        <v>200</v>
      </c>
      <c r="H2879" s="37" t="b">
        <v>1</v>
      </c>
    </row>
    <row r="2880" spans="1:9" ht="30" x14ac:dyDescent="0.25">
      <c r="A2880" s="54" t="s">
        <v>611</v>
      </c>
      <c r="B2880" s="31" t="s">
        <v>2892</v>
      </c>
      <c r="C2880" s="28" t="s">
        <v>2893</v>
      </c>
      <c r="D2880" s="28"/>
      <c r="E2880" s="28" t="s">
        <v>1974</v>
      </c>
      <c r="F2880" s="28" t="b">
        <v>0</v>
      </c>
      <c r="G2880" s="28">
        <v>200</v>
      </c>
      <c r="H2880" s="28" t="b">
        <v>1</v>
      </c>
      <c r="I2880" s="34"/>
    </row>
    <row r="2881" spans="1:9" x14ac:dyDescent="0.25">
      <c r="A2881" s="54" t="s">
        <v>611</v>
      </c>
      <c r="B2881" s="43" t="s">
        <v>647</v>
      </c>
      <c r="C2881" s="37" t="s">
        <v>2010</v>
      </c>
      <c r="D2881" s="37"/>
      <c r="E2881" s="37" t="s">
        <v>1974</v>
      </c>
      <c r="F2881" s="37" t="b">
        <v>0</v>
      </c>
      <c r="G2881" s="37">
        <v>200</v>
      </c>
      <c r="H2881" s="37" t="b">
        <v>1</v>
      </c>
    </row>
    <row r="2882" spans="1:9" ht="30" x14ac:dyDescent="0.25">
      <c r="A2882" s="54" t="s">
        <v>611</v>
      </c>
      <c r="B2882" s="31" t="s">
        <v>2011</v>
      </c>
      <c r="C2882" s="28"/>
      <c r="D2882" s="28"/>
      <c r="E2882" s="28" t="s">
        <v>2012</v>
      </c>
      <c r="F2882" s="28" t="b">
        <v>0</v>
      </c>
      <c r="G2882" s="28"/>
      <c r="H2882" s="28" t="b">
        <v>1</v>
      </c>
      <c r="I2882" s="34"/>
    </row>
    <row r="2883" spans="1:9" ht="30" x14ac:dyDescent="0.25">
      <c r="A2883" s="54" t="s">
        <v>611</v>
      </c>
      <c r="B2883" s="43" t="s">
        <v>2013</v>
      </c>
      <c r="C2883" s="37"/>
      <c r="D2883" s="37"/>
      <c r="E2883" s="37" t="s">
        <v>2012</v>
      </c>
      <c r="F2883" s="37" t="b">
        <v>0</v>
      </c>
      <c r="G2883" s="37"/>
      <c r="H2883" s="37" t="b">
        <v>1</v>
      </c>
    </row>
    <row r="2884" spans="1:9" x14ac:dyDescent="0.25">
      <c r="A2884" s="54" t="s">
        <v>611</v>
      </c>
      <c r="B2884" s="31" t="s">
        <v>641</v>
      </c>
      <c r="C2884" s="28" t="s">
        <v>2014</v>
      </c>
      <c r="D2884" s="28"/>
      <c r="E2884" s="28" t="s">
        <v>1974</v>
      </c>
      <c r="F2884" s="28" t="b">
        <v>0</v>
      </c>
      <c r="G2884" s="28">
        <v>200</v>
      </c>
      <c r="H2884" s="28" t="b">
        <v>1</v>
      </c>
      <c r="I2884" s="34"/>
    </row>
    <row r="2885" spans="1:9" ht="30" x14ac:dyDescent="0.25">
      <c r="A2885" s="54" t="s">
        <v>611</v>
      </c>
      <c r="B2885" s="43" t="s">
        <v>2015</v>
      </c>
      <c r="C2885" s="37" t="s">
        <v>2016</v>
      </c>
      <c r="D2885" s="37"/>
      <c r="E2885" s="37" t="s">
        <v>1974</v>
      </c>
      <c r="F2885" s="37" t="b">
        <v>0</v>
      </c>
      <c r="G2885" s="37">
        <v>404</v>
      </c>
      <c r="H2885" s="37" t="b">
        <v>0</v>
      </c>
    </row>
    <row r="2886" spans="1:9" ht="30" x14ac:dyDescent="0.25">
      <c r="A2886" s="54" t="s">
        <v>611</v>
      </c>
      <c r="B2886" s="31" t="s">
        <v>2015</v>
      </c>
      <c r="C2886" s="28" t="s">
        <v>2017</v>
      </c>
      <c r="D2886" s="28"/>
      <c r="E2886" s="28" t="s">
        <v>1974</v>
      </c>
      <c r="F2886" s="28" t="b">
        <v>0</v>
      </c>
      <c r="G2886" s="28">
        <v>404</v>
      </c>
      <c r="H2886" s="28" t="b">
        <v>0</v>
      </c>
      <c r="I2886" s="34"/>
    </row>
    <row r="2887" spans="1:9" ht="30" x14ac:dyDescent="0.25">
      <c r="A2887" s="54" t="s">
        <v>615</v>
      </c>
      <c r="B2887" s="43" t="s">
        <v>127</v>
      </c>
      <c r="C2887" s="37"/>
      <c r="D2887" s="37"/>
      <c r="E2887" s="37" t="s">
        <v>1974</v>
      </c>
      <c r="F2887" s="37" t="b">
        <v>0</v>
      </c>
      <c r="G2887" s="37">
        <v>200</v>
      </c>
      <c r="H2887" s="37" t="b">
        <v>1</v>
      </c>
    </row>
    <row r="2888" spans="1:9" ht="30" x14ac:dyDescent="0.25">
      <c r="A2888" s="54" t="s">
        <v>615</v>
      </c>
      <c r="B2888" s="31" t="s">
        <v>127</v>
      </c>
      <c r="C2888" s="28" t="s">
        <v>1975</v>
      </c>
      <c r="D2888" s="28"/>
      <c r="E2888" s="28" t="s">
        <v>1974</v>
      </c>
      <c r="F2888" s="28" t="b">
        <v>0</v>
      </c>
      <c r="G2888" s="28">
        <v>200</v>
      </c>
      <c r="H2888" s="28" t="b">
        <v>1</v>
      </c>
      <c r="I2888" s="34"/>
    </row>
    <row r="2889" spans="1:9" ht="30" x14ac:dyDescent="0.25">
      <c r="A2889" s="54" t="s">
        <v>615</v>
      </c>
      <c r="B2889" s="43" t="s">
        <v>135</v>
      </c>
      <c r="C2889" s="37" t="s">
        <v>1976</v>
      </c>
      <c r="D2889" s="37"/>
      <c r="E2889" s="37" t="s">
        <v>1974</v>
      </c>
      <c r="F2889" s="37" t="b">
        <v>0</v>
      </c>
      <c r="G2889" s="37">
        <v>200</v>
      </c>
      <c r="H2889" s="37" t="b">
        <v>1</v>
      </c>
    </row>
    <row r="2890" spans="1:9" ht="30" x14ac:dyDescent="0.25">
      <c r="A2890" s="54" t="s">
        <v>615</v>
      </c>
      <c r="B2890" s="31" t="s">
        <v>655</v>
      </c>
      <c r="C2890" s="28" t="s">
        <v>1977</v>
      </c>
      <c r="D2890" s="28"/>
      <c r="E2890" s="28" t="s">
        <v>1974</v>
      </c>
      <c r="F2890" s="28" t="b">
        <v>0</v>
      </c>
      <c r="G2890" s="28">
        <v>200</v>
      </c>
      <c r="H2890" s="28" t="b">
        <v>1</v>
      </c>
      <c r="I2890" s="34"/>
    </row>
    <row r="2891" spans="1:9" ht="30" x14ac:dyDescent="0.25">
      <c r="A2891" s="54" t="s">
        <v>615</v>
      </c>
      <c r="B2891" s="43" t="s">
        <v>635</v>
      </c>
      <c r="C2891" s="37" t="s">
        <v>1978</v>
      </c>
      <c r="D2891" s="37"/>
      <c r="E2891" s="37" t="s">
        <v>1974</v>
      </c>
      <c r="F2891" s="37" t="b">
        <v>0</v>
      </c>
      <c r="G2891" s="37">
        <v>200</v>
      </c>
      <c r="H2891" s="37" t="b">
        <v>1</v>
      </c>
    </row>
    <row r="2892" spans="1:9" ht="30" x14ac:dyDescent="0.25">
      <c r="A2892" s="54" t="s">
        <v>615</v>
      </c>
      <c r="B2892" s="31" t="s">
        <v>144</v>
      </c>
      <c r="C2892" s="28" t="s">
        <v>1979</v>
      </c>
      <c r="D2892" s="28"/>
      <c r="E2892" s="28" t="s">
        <v>1974</v>
      </c>
      <c r="F2892" s="28" t="b">
        <v>0</v>
      </c>
      <c r="G2892" s="28">
        <v>200</v>
      </c>
      <c r="H2892" s="28" t="b">
        <v>1</v>
      </c>
      <c r="I2892" s="34"/>
    </row>
    <row r="2893" spans="1:9" ht="30" x14ac:dyDescent="0.25">
      <c r="A2893" s="54" t="s">
        <v>615</v>
      </c>
      <c r="B2893" s="43" t="s">
        <v>618</v>
      </c>
      <c r="C2893" s="37" t="s">
        <v>1980</v>
      </c>
      <c r="D2893" s="37"/>
      <c r="E2893" s="37" t="s">
        <v>1974</v>
      </c>
      <c r="F2893" s="37" t="b">
        <v>0</v>
      </c>
      <c r="G2893" s="37">
        <v>200</v>
      </c>
      <c r="H2893" s="37" t="b">
        <v>1</v>
      </c>
    </row>
    <row r="2894" spans="1:9" ht="30" x14ac:dyDescent="0.25">
      <c r="A2894" s="54" t="s">
        <v>615</v>
      </c>
      <c r="B2894" s="31" t="s">
        <v>585</v>
      </c>
      <c r="C2894" s="28" t="s">
        <v>1981</v>
      </c>
      <c r="D2894" s="28"/>
      <c r="E2894" s="28" t="s">
        <v>1974</v>
      </c>
      <c r="F2894" s="28" t="b">
        <v>0</v>
      </c>
      <c r="G2894" s="28">
        <v>200</v>
      </c>
      <c r="H2894" s="28" t="b">
        <v>1</v>
      </c>
      <c r="I2894" s="34"/>
    </row>
    <row r="2895" spans="1:9" ht="30" x14ac:dyDescent="0.25">
      <c r="A2895" s="54" t="s">
        <v>615</v>
      </c>
      <c r="B2895" s="43" t="s">
        <v>582</v>
      </c>
      <c r="C2895" s="37" t="s">
        <v>1982</v>
      </c>
      <c r="D2895" s="37"/>
      <c r="E2895" s="37" t="s">
        <v>1974</v>
      </c>
      <c r="F2895" s="37" t="b">
        <v>0</v>
      </c>
      <c r="G2895" s="37">
        <v>200</v>
      </c>
      <c r="H2895" s="37" t="b">
        <v>1</v>
      </c>
    </row>
    <row r="2896" spans="1:9" ht="30" x14ac:dyDescent="0.25">
      <c r="A2896" s="54" t="s">
        <v>615</v>
      </c>
      <c r="B2896" s="31" t="s">
        <v>638</v>
      </c>
      <c r="C2896" s="28" t="s">
        <v>1983</v>
      </c>
      <c r="D2896" s="28"/>
      <c r="E2896" s="28" t="s">
        <v>1974</v>
      </c>
      <c r="F2896" s="28" t="b">
        <v>0</v>
      </c>
      <c r="G2896" s="28">
        <v>200</v>
      </c>
      <c r="H2896" s="28" t="b">
        <v>1</v>
      </c>
      <c r="I2896" s="34"/>
    </row>
    <row r="2897" spans="1:9" ht="30" x14ac:dyDescent="0.25">
      <c r="A2897" s="54" t="s">
        <v>615</v>
      </c>
      <c r="B2897" s="43" t="s">
        <v>638</v>
      </c>
      <c r="C2897" s="37" t="s">
        <v>1984</v>
      </c>
      <c r="D2897" s="37"/>
      <c r="E2897" s="37" t="s">
        <v>1974</v>
      </c>
      <c r="F2897" s="37" t="b">
        <v>0</v>
      </c>
      <c r="G2897" s="37">
        <v>200</v>
      </c>
      <c r="H2897" s="37" t="b">
        <v>1</v>
      </c>
    </row>
    <row r="2898" spans="1:9" ht="30" x14ac:dyDescent="0.25">
      <c r="A2898" s="54" t="s">
        <v>615</v>
      </c>
      <c r="B2898" s="31" t="s">
        <v>647</v>
      </c>
      <c r="C2898" s="28" t="s">
        <v>1985</v>
      </c>
      <c r="D2898" s="28"/>
      <c r="E2898" s="28" t="s">
        <v>1974</v>
      </c>
      <c r="F2898" s="28" t="b">
        <v>0</v>
      </c>
      <c r="G2898" s="28">
        <v>200</v>
      </c>
      <c r="H2898" s="28" t="b">
        <v>1</v>
      </c>
      <c r="I2898" s="34"/>
    </row>
    <row r="2899" spans="1:9" ht="30" x14ac:dyDescent="0.25">
      <c r="A2899" s="54" t="s">
        <v>615</v>
      </c>
      <c r="B2899" s="43" t="s">
        <v>503</v>
      </c>
      <c r="C2899" s="37" t="s">
        <v>1986</v>
      </c>
      <c r="D2899" s="37"/>
      <c r="E2899" s="37" t="s">
        <v>1974</v>
      </c>
      <c r="F2899" s="37" t="b">
        <v>0</v>
      </c>
      <c r="G2899" s="37">
        <v>200</v>
      </c>
      <c r="H2899" s="37" t="b">
        <v>1</v>
      </c>
    </row>
    <row r="2900" spans="1:9" ht="30" x14ac:dyDescent="0.25">
      <c r="A2900" s="54" t="s">
        <v>615</v>
      </c>
      <c r="B2900" s="31" t="s">
        <v>608</v>
      </c>
      <c r="C2900" s="28" t="s">
        <v>1987</v>
      </c>
      <c r="D2900" s="28"/>
      <c r="E2900" s="28" t="s">
        <v>1974</v>
      </c>
      <c r="F2900" s="28" t="b">
        <v>0</v>
      </c>
      <c r="G2900" s="28">
        <v>200</v>
      </c>
      <c r="H2900" s="28" t="b">
        <v>1</v>
      </c>
      <c r="I2900" s="34"/>
    </row>
    <row r="2901" spans="1:9" ht="30" x14ac:dyDescent="0.25">
      <c r="A2901" s="54" t="s">
        <v>615</v>
      </c>
      <c r="B2901" s="43" t="s">
        <v>127</v>
      </c>
      <c r="C2901" s="37" t="s">
        <v>1975</v>
      </c>
      <c r="D2901" s="37"/>
      <c r="E2901" s="37" t="s">
        <v>1974</v>
      </c>
      <c r="F2901" s="37" t="b">
        <v>0</v>
      </c>
      <c r="G2901" s="37">
        <v>200</v>
      </c>
      <c r="H2901" s="37" t="b">
        <v>1</v>
      </c>
    </row>
    <row r="2902" spans="1:9" ht="30" x14ac:dyDescent="0.25">
      <c r="A2902" s="54" t="s">
        <v>615</v>
      </c>
      <c r="B2902" s="31" t="s">
        <v>135</v>
      </c>
      <c r="C2902" s="28" t="s">
        <v>1976</v>
      </c>
      <c r="D2902" s="28"/>
      <c r="E2902" s="28" t="s">
        <v>1974</v>
      </c>
      <c r="F2902" s="28" t="b">
        <v>0</v>
      </c>
      <c r="G2902" s="28">
        <v>200</v>
      </c>
      <c r="H2902" s="28" t="b">
        <v>1</v>
      </c>
      <c r="I2902" s="34"/>
    </row>
    <row r="2903" spans="1:9" ht="30" x14ac:dyDescent="0.25">
      <c r="A2903" s="54" t="s">
        <v>615</v>
      </c>
      <c r="B2903" s="43" t="s">
        <v>655</v>
      </c>
      <c r="C2903" s="37" t="s">
        <v>1977</v>
      </c>
      <c r="D2903" s="37"/>
      <c r="E2903" s="37" t="s">
        <v>1974</v>
      </c>
      <c r="F2903" s="37" t="b">
        <v>0</v>
      </c>
      <c r="G2903" s="37">
        <v>200</v>
      </c>
      <c r="H2903" s="37" t="b">
        <v>1</v>
      </c>
    </row>
    <row r="2904" spans="1:9" ht="30" x14ac:dyDescent="0.25">
      <c r="A2904" s="54" t="s">
        <v>615</v>
      </c>
      <c r="B2904" s="31" t="s">
        <v>635</v>
      </c>
      <c r="C2904" s="28" t="s">
        <v>1978</v>
      </c>
      <c r="D2904" s="28"/>
      <c r="E2904" s="28" t="s">
        <v>1974</v>
      </c>
      <c r="F2904" s="28" t="b">
        <v>0</v>
      </c>
      <c r="G2904" s="28">
        <v>200</v>
      </c>
      <c r="H2904" s="28" t="b">
        <v>1</v>
      </c>
      <c r="I2904" s="34"/>
    </row>
    <row r="2905" spans="1:9" ht="30" x14ac:dyDescent="0.25">
      <c r="A2905" s="54" t="s">
        <v>615</v>
      </c>
      <c r="B2905" s="43" t="s">
        <v>144</v>
      </c>
      <c r="C2905" s="37" t="s">
        <v>1979</v>
      </c>
      <c r="D2905" s="37"/>
      <c r="E2905" s="37" t="s">
        <v>1974</v>
      </c>
      <c r="F2905" s="37" t="b">
        <v>0</v>
      </c>
      <c r="G2905" s="37">
        <v>200</v>
      </c>
      <c r="H2905" s="37" t="b">
        <v>1</v>
      </c>
    </row>
    <row r="2906" spans="1:9" ht="30" x14ac:dyDescent="0.25">
      <c r="A2906" s="54" t="s">
        <v>615</v>
      </c>
      <c r="B2906" s="31" t="s">
        <v>618</v>
      </c>
      <c r="C2906" s="28" t="s">
        <v>1980</v>
      </c>
      <c r="D2906" s="28"/>
      <c r="E2906" s="28" t="s">
        <v>1974</v>
      </c>
      <c r="F2906" s="28" t="b">
        <v>0</v>
      </c>
      <c r="G2906" s="28">
        <v>200</v>
      </c>
      <c r="H2906" s="28" t="b">
        <v>1</v>
      </c>
      <c r="I2906" s="34"/>
    </row>
    <row r="2907" spans="1:9" ht="30" x14ac:dyDescent="0.25">
      <c r="A2907" s="54" t="s">
        <v>615</v>
      </c>
      <c r="B2907" s="43" t="s">
        <v>585</v>
      </c>
      <c r="C2907" s="37" t="s">
        <v>1981</v>
      </c>
      <c r="D2907" s="37"/>
      <c r="E2907" s="37" t="s">
        <v>1974</v>
      </c>
      <c r="F2907" s="37" t="b">
        <v>0</v>
      </c>
      <c r="G2907" s="37">
        <v>200</v>
      </c>
      <c r="H2907" s="37" t="b">
        <v>1</v>
      </c>
    </row>
    <row r="2908" spans="1:9" ht="30" x14ac:dyDescent="0.25">
      <c r="A2908" s="54" t="s">
        <v>615</v>
      </c>
      <c r="B2908" s="31" t="s">
        <v>582</v>
      </c>
      <c r="C2908" s="28" t="s">
        <v>1982</v>
      </c>
      <c r="D2908" s="28"/>
      <c r="E2908" s="28" t="s">
        <v>1974</v>
      </c>
      <c r="F2908" s="28" t="b">
        <v>0</v>
      </c>
      <c r="G2908" s="28">
        <v>200</v>
      </c>
      <c r="H2908" s="28" t="b">
        <v>1</v>
      </c>
      <c r="I2908" s="34"/>
    </row>
    <row r="2909" spans="1:9" ht="30" x14ac:dyDescent="0.25">
      <c r="A2909" s="54" t="s">
        <v>615</v>
      </c>
      <c r="B2909" s="43" t="s">
        <v>638</v>
      </c>
      <c r="C2909" s="37" t="s">
        <v>1983</v>
      </c>
      <c r="D2909" s="37"/>
      <c r="E2909" s="37" t="s">
        <v>1974</v>
      </c>
      <c r="F2909" s="37" t="b">
        <v>0</v>
      </c>
      <c r="G2909" s="37">
        <v>200</v>
      </c>
      <c r="H2909" s="37" t="b">
        <v>1</v>
      </c>
    </row>
    <row r="2910" spans="1:9" ht="30" x14ac:dyDescent="0.25">
      <c r="A2910" s="54" t="s">
        <v>615</v>
      </c>
      <c r="B2910" s="31" t="s">
        <v>638</v>
      </c>
      <c r="C2910" s="28" t="s">
        <v>1984</v>
      </c>
      <c r="D2910" s="28"/>
      <c r="E2910" s="28" t="s">
        <v>1974</v>
      </c>
      <c r="F2910" s="28" t="b">
        <v>0</v>
      </c>
      <c r="G2910" s="28">
        <v>200</v>
      </c>
      <c r="H2910" s="28" t="b">
        <v>1</v>
      </c>
      <c r="I2910" s="34"/>
    </row>
    <row r="2911" spans="1:9" ht="30" x14ac:dyDescent="0.25">
      <c r="A2911" s="54" t="s">
        <v>615</v>
      </c>
      <c r="B2911" s="43" t="s">
        <v>647</v>
      </c>
      <c r="C2911" s="37" t="s">
        <v>1985</v>
      </c>
      <c r="D2911" s="37"/>
      <c r="E2911" s="37" t="s">
        <v>1974</v>
      </c>
      <c r="F2911" s="37" t="b">
        <v>0</v>
      </c>
      <c r="G2911" s="37">
        <v>200</v>
      </c>
      <c r="H2911" s="37" t="b">
        <v>1</v>
      </c>
    </row>
    <row r="2912" spans="1:9" ht="30" x14ac:dyDescent="0.25">
      <c r="A2912" s="54" t="s">
        <v>615</v>
      </c>
      <c r="B2912" s="31" t="s">
        <v>503</v>
      </c>
      <c r="C2912" s="28" t="s">
        <v>1986</v>
      </c>
      <c r="D2912" s="28"/>
      <c r="E2912" s="28" t="s">
        <v>1974</v>
      </c>
      <c r="F2912" s="28" t="b">
        <v>0</v>
      </c>
      <c r="G2912" s="28">
        <v>200</v>
      </c>
      <c r="H2912" s="28" t="b">
        <v>1</v>
      </c>
      <c r="I2912" s="34"/>
    </row>
    <row r="2913" spans="1:9" ht="30" x14ac:dyDescent="0.25">
      <c r="A2913" s="54" t="s">
        <v>615</v>
      </c>
      <c r="B2913" s="43" t="s">
        <v>608</v>
      </c>
      <c r="C2913" s="37" t="s">
        <v>1987</v>
      </c>
      <c r="D2913" s="37"/>
      <c r="E2913" s="37" t="s">
        <v>1974</v>
      </c>
      <c r="F2913" s="37" t="b">
        <v>0</v>
      </c>
      <c r="G2913" s="37">
        <v>200</v>
      </c>
      <c r="H2913" s="37" t="b">
        <v>1</v>
      </c>
    </row>
    <row r="2914" spans="1:9" ht="30" x14ac:dyDescent="0.25">
      <c r="A2914" s="54" t="s">
        <v>615</v>
      </c>
      <c r="B2914" s="31" t="s">
        <v>2894</v>
      </c>
      <c r="C2914" s="28" t="s">
        <v>226</v>
      </c>
      <c r="D2914" s="28"/>
      <c r="E2914" s="28" t="s">
        <v>1974</v>
      </c>
      <c r="F2914" s="28" t="b">
        <v>0</v>
      </c>
      <c r="G2914" s="28">
        <v>200</v>
      </c>
      <c r="H2914" s="28" t="b">
        <v>1</v>
      </c>
      <c r="I2914" s="34"/>
    </row>
    <row r="2915" spans="1:9" ht="30" x14ac:dyDescent="0.25">
      <c r="A2915" s="54" t="s">
        <v>615</v>
      </c>
      <c r="B2915" s="43" t="s">
        <v>647</v>
      </c>
      <c r="C2915" s="37" t="s">
        <v>2010</v>
      </c>
      <c r="D2915" s="37"/>
      <c r="E2915" s="37" t="s">
        <v>1974</v>
      </c>
      <c r="F2915" s="37" t="b">
        <v>0</v>
      </c>
      <c r="G2915" s="37">
        <v>200</v>
      </c>
      <c r="H2915" s="37" t="b">
        <v>1</v>
      </c>
    </row>
    <row r="2916" spans="1:9" ht="30" x14ac:dyDescent="0.25">
      <c r="A2916" s="54" t="s">
        <v>615</v>
      </c>
      <c r="B2916" s="31" t="s">
        <v>2011</v>
      </c>
      <c r="C2916" s="28"/>
      <c r="D2916" s="28"/>
      <c r="E2916" s="28" t="s">
        <v>2012</v>
      </c>
      <c r="F2916" s="28" t="b">
        <v>0</v>
      </c>
      <c r="G2916" s="28"/>
      <c r="H2916" s="28" t="b">
        <v>1</v>
      </c>
      <c r="I2916" s="34"/>
    </row>
    <row r="2917" spans="1:9" ht="30" x14ac:dyDescent="0.25">
      <c r="A2917" s="54" t="s">
        <v>615</v>
      </c>
      <c r="B2917" s="43" t="s">
        <v>2013</v>
      </c>
      <c r="C2917" s="37"/>
      <c r="D2917" s="37"/>
      <c r="E2917" s="37" t="s">
        <v>2012</v>
      </c>
      <c r="F2917" s="37" t="b">
        <v>0</v>
      </c>
      <c r="G2917" s="37"/>
      <c r="H2917" s="37" t="b">
        <v>1</v>
      </c>
    </row>
    <row r="2918" spans="1:9" ht="30" x14ac:dyDescent="0.25">
      <c r="A2918" s="54" t="s">
        <v>615</v>
      </c>
      <c r="B2918" s="31" t="s">
        <v>641</v>
      </c>
      <c r="C2918" s="28" t="s">
        <v>2014</v>
      </c>
      <c r="D2918" s="28"/>
      <c r="E2918" s="28" t="s">
        <v>1974</v>
      </c>
      <c r="F2918" s="28" t="b">
        <v>0</v>
      </c>
      <c r="G2918" s="28">
        <v>200</v>
      </c>
      <c r="H2918" s="28" t="b">
        <v>1</v>
      </c>
      <c r="I2918" s="34"/>
    </row>
    <row r="2919" spans="1:9" ht="30" x14ac:dyDescent="0.25">
      <c r="A2919" s="54" t="s">
        <v>615</v>
      </c>
      <c r="B2919" s="43" t="s">
        <v>2015</v>
      </c>
      <c r="C2919" s="37" t="s">
        <v>2016</v>
      </c>
      <c r="D2919" s="37"/>
      <c r="E2919" s="37" t="s">
        <v>1974</v>
      </c>
      <c r="F2919" s="37" t="b">
        <v>0</v>
      </c>
      <c r="G2919" s="37">
        <v>404</v>
      </c>
      <c r="H2919" s="37" t="b">
        <v>0</v>
      </c>
    </row>
    <row r="2920" spans="1:9" ht="30" x14ac:dyDescent="0.25">
      <c r="A2920" s="54" t="s">
        <v>615</v>
      </c>
      <c r="B2920" s="31" t="s">
        <v>2015</v>
      </c>
      <c r="C2920" s="28" t="s">
        <v>2017</v>
      </c>
      <c r="D2920" s="28"/>
      <c r="E2920" s="28" t="s">
        <v>1974</v>
      </c>
      <c r="F2920" s="28" t="b">
        <v>0</v>
      </c>
      <c r="G2920" s="28">
        <v>404</v>
      </c>
      <c r="H2920" s="28" t="b">
        <v>0</v>
      </c>
      <c r="I2920" s="34"/>
    </row>
    <row r="2921" spans="1:9" x14ac:dyDescent="0.25">
      <c r="A2921" s="54" t="s">
        <v>618</v>
      </c>
      <c r="B2921" s="43" t="s">
        <v>127</v>
      </c>
      <c r="C2921" s="37"/>
      <c r="D2921" s="37"/>
      <c r="E2921" s="37" t="s">
        <v>1974</v>
      </c>
      <c r="F2921" s="37" t="b">
        <v>0</v>
      </c>
      <c r="G2921" s="37">
        <v>200</v>
      </c>
      <c r="H2921" s="37" t="b">
        <v>1</v>
      </c>
    </row>
    <row r="2922" spans="1:9" x14ac:dyDescent="0.25">
      <c r="A2922" s="54" t="s">
        <v>618</v>
      </c>
      <c r="B2922" s="31" t="s">
        <v>127</v>
      </c>
      <c r="C2922" s="28" t="s">
        <v>1975</v>
      </c>
      <c r="D2922" s="28"/>
      <c r="E2922" s="28" t="s">
        <v>1974</v>
      </c>
      <c r="F2922" s="28" t="b">
        <v>0</v>
      </c>
      <c r="G2922" s="28">
        <v>200</v>
      </c>
      <c r="H2922" s="28" t="b">
        <v>1</v>
      </c>
      <c r="I2922" s="34"/>
    </row>
    <row r="2923" spans="1:9" x14ac:dyDescent="0.25">
      <c r="A2923" s="54" t="s">
        <v>618</v>
      </c>
      <c r="B2923" s="43" t="s">
        <v>135</v>
      </c>
      <c r="C2923" s="37" t="s">
        <v>1976</v>
      </c>
      <c r="D2923" s="37"/>
      <c r="E2923" s="37" t="s">
        <v>1974</v>
      </c>
      <c r="F2923" s="37" t="b">
        <v>0</v>
      </c>
      <c r="G2923" s="37">
        <v>200</v>
      </c>
      <c r="H2923" s="37" t="b">
        <v>1</v>
      </c>
    </row>
    <row r="2924" spans="1:9" x14ac:dyDescent="0.25">
      <c r="A2924" s="54" t="s">
        <v>618</v>
      </c>
      <c r="B2924" s="31" t="s">
        <v>655</v>
      </c>
      <c r="C2924" s="28" t="s">
        <v>1977</v>
      </c>
      <c r="D2924" s="28"/>
      <c r="E2924" s="28" t="s">
        <v>1974</v>
      </c>
      <c r="F2924" s="28" t="b">
        <v>0</v>
      </c>
      <c r="G2924" s="28">
        <v>200</v>
      </c>
      <c r="H2924" s="28" t="b">
        <v>1</v>
      </c>
      <c r="I2924" s="34"/>
    </row>
    <row r="2925" spans="1:9" x14ac:dyDescent="0.25">
      <c r="A2925" s="54" t="s">
        <v>618</v>
      </c>
      <c r="B2925" s="43" t="s">
        <v>635</v>
      </c>
      <c r="C2925" s="37" t="s">
        <v>1978</v>
      </c>
      <c r="D2925" s="37"/>
      <c r="E2925" s="37" t="s">
        <v>1974</v>
      </c>
      <c r="F2925" s="37" t="b">
        <v>0</v>
      </c>
      <c r="G2925" s="37">
        <v>200</v>
      </c>
      <c r="H2925" s="37" t="b">
        <v>1</v>
      </c>
    </row>
    <row r="2926" spans="1:9" ht="30" x14ac:dyDescent="0.25">
      <c r="A2926" s="54" t="s">
        <v>618</v>
      </c>
      <c r="B2926" s="31" t="s">
        <v>144</v>
      </c>
      <c r="C2926" s="28" t="s">
        <v>1979</v>
      </c>
      <c r="D2926" s="28"/>
      <c r="E2926" s="28" t="s">
        <v>1974</v>
      </c>
      <c r="F2926" s="28" t="b">
        <v>0</v>
      </c>
      <c r="G2926" s="28">
        <v>200</v>
      </c>
      <c r="H2926" s="28" t="b">
        <v>1</v>
      </c>
      <c r="I2926" s="34"/>
    </row>
    <row r="2927" spans="1:9" x14ac:dyDescent="0.25">
      <c r="A2927" s="54" t="s">
        <v>618</v>
      </c>
      <c r="B2927" s="43" t="s">
        <v>618</v>
      </c>
      <c r="C2927" s="37" t="s">
        <v>1980</v>
      </c>
      <c r="D2927" s="37"/>
      <c r="E2927" s="37" t="s">
        <v>1974</v>
      </c>
      <c r="F2927" s="37" t="b">
        <v>0</v>
      </c>
      <c r="G2927" s="37">
        <v>200</v>
      </c>
      <c r="H2927" s="37" t="b">
        <v>1</v>
      </c>
    </row>
    <row r="2928" spans="1:9" ht="30" x14ac:dyDescent="0.25">
      <c r="A2928" s="54" t="s">
        <v>618</v>
      </c>
      <c r="B2928" s="31" t="s">
        <v>585</v>
      </c>
      <c r="C2928" s="28" t="s">
        <v>1981</v>
      </c>
      <c r="D2928" s="28"/>
      <c r="E2928" s="28" t="s">
        <v>1974</v>
      </c>
      <c r="F2928" s="28" t="b">
        <v>0</v>
      </c>
      <c r="G2928" s="28">
        <v>200</v>
      </c>
      <c r="H2928" s="28" t="b">
        <v>1</v>
      </c>
      <c r="I2928" s="34"/>
    </row>
    <row r="2929" spans="1:9" ht="30" x14ac:dyDescent="0.25">
      <c r="A2929" s="54" t="s">
        <v>618</v>
      </c>
      <c r="B2929" s="43" t="s">
        <v>582</v>
      </c>
      <c r="C2929" s="37" t="s">
        <v>1982</v>
      </c>
      <c r="D2929" s="37"/>
      <c r="E2929" s="37" t="s">
        <v>1974</v>
      </c>
      <c r="F2929" s="37" t="b">
        <v>0</v>
      </c>
      <c r="G2929" s="37">
        <v>200</v>
      </c>
      <c r="H2929" s="37" t="b">
        <v>1</v>
      </c>
    </row>
    <row r="2930" spans="1:9" x14ac:dyDescent="0.25">
      <c r="A2930" s="54" t="s">
        <v>618</v>
      </c>
      <c r="B2930" s="31" t="s">
        <v>638</v>
      </c>
      <c r="C2930" s="28" t="s">
        <v>1983</v>
      </c>
      <c r="D2930" s="28"/>
      <c r="E2930" s="28" t="s">
        <v>1974</v>
      </c>
      <c r="F2930" s="28" t="b">
        <v>0</v>
      </c>
      <c r="G2930" s="28">
        <v>200</v>
      </c>
      <c r="H2930" s="28" t="b">
        <v>1</v>
      </c>
      <c r="I2930" s="34"/>
    </row>
    <row r="2931" spans="1:9" x14ac:dyDescent="0.25">
      <c r="A2931" s="54" t="s">
        <v>618</v>
      </c>
      <c r="B2931" s="43" t="s">
        <v>638</v>
      </c>
      <c r="C2931" s="37" t="s">
        <v>1984</v>
      </c>
      <c r="D2931" s="37"/>
      <c r="E2931" s="37" t="s">
        <v>1974</v>
      </c>
      <c r="F2931" s="37" t="b">
        <v>0</v>
      </c>
      <c r="G2931" s="37">
        <v>200</v>
      </c>
      <c r="H2931" s="37" t="b">
        <v>1</v>
      </c>
    </row>
    <row r="2932" spans="1:9" x14ac:dyDescent="0.25">
      <c r="A2932" s="54" t="s">
        <v>618</v>
      </c>
      <c r="B2932" s="31" t="s">
        <v>647</v>
      </c>
      <c r="C2932" s="28" t="s">
        <v>1985</v>
      </c>
      <c r="D2932" s="28"/>
      <c r="E2932" s="28" t="s">
        <v>1974</v>
      </c>
      <c r="F2932" s="28" t="b">
        <v>0</v>
      </c>
      <c r="G2932" s="28">
        <v>200</v>
      </c>
      <c r="H2932" s="28" t="b">
        <v>1</v>
      </c>
      <c r="I2932" s="34"/>
    </row>
    <row r="2933" spans="1:9" ht="30" x14ac:dyDescent="0.25">
      <c r="A2933" s="54" t="s">
        <v>618</v>
      </c>
      <c r="B2933" s="43" t="s">
        <v>503</v>
      </c>
      <c r="C2933" s="37" t="s">
        <v>1986</v>
      </c>
      <c r="D2933" s="37"/>
      <c r="E2933" s="37" t="s">
        <v>1974</v>
      </c>
      <c r="F2933" s="37" t="b">
        <v>0</v>
      </c>
      <c r="G2933" s="37">
        <v>200</v>
      </c>
      <c r="H2933" s="37" t="b">
        <v>1</v>
      </c>
    </row>
    <row r="2934" spans="1:9" x14ac:dyDescent="0.25">
      <c r="A2934" s="54" t="s">
        <v>618</v>
      </c>
      <c r="B2934" s="31" t="s">
        <v>608</v>
      </c>
      <c r="C2934" s="28" t="s">
        <v>1987</v>
      </c>
      <c r="D2934" s="28"/>
      <c r="E2934" s="28" t="s">
        <v>1974</v>
      </c>
      <c r="F2934" s="28" t="b">
        <v>0</v>
      </c>
      <c r="G2934" s="28">
        <v>200</v>
      </c>
      <c r="H2934" s="28" t="b">
        <v>1</v>
      </c>
      <c r="I2934" s="34"/>
    </row>
    <row r="2935" spans="1:9" x14ac:dyDescent="0.25">
      <c r="A2935" s="54" t="s">
        <v>618</v>
      </c>
      <c r="B2935" s="43" t="s">
        <v>127</v>
      </c>
      <c r="C2935" s="37" t="s">
        <v>1975</v>
      </c>
      <c r="D2935" s="37"/>
      <c r="E2935" s="37" t="s">
        <v>1974</v>
      </c>
      <c r="F2935" s="37" t="b">
        <v>0</v>
      </c>
      <c r="G2935" s="37">
        <v>200</v>
      </c>
      <c r="H2935" s="37" t="b">
        <v>1</v>
      </c>
    </row>
    <row r="2936" spans="1:9" x14ac:dyDescent="0.25">
      <c r="A2936" s="54" t="s">
        <v>618</v>
      </c>
      <c r="B2936" s="31" t="s">
        <v>135</v>
      </c>
      <c r="C2936" s="28" t="s">
        <v>1976</v>
      </c>
      <c r="D2936" s="28"/>
      <c r="E2936" s="28" t="s">
        <v>1974</v>
      </c>
      <c r="F2936" s="28" t="b">
        <v>0</v>
      </c>
      <c r="G2936" s="28">
        <v>200</v>
      </c>
      <c r="H2936" s="28" t="b">
        <v>1</v>
      </c>
      <c r="I2936" s="34"/>
    </row>
    <row r="2937" spans="1:9" x14ac:dyDescent="0.25">
      <c r="A2937" s="54" t="s">
        <v>618</v>
      </c>
      <c r="B2937" s="43" t="s">
        <v>655</v>
      </c>
      <c r="C2937" s="37" t="s">
        <v>1977</v>
      </c>
      <c r="D2937" s="37"/>
      <c r="E2937" s="37" t="s">
        <v>1974</v>
      </c>
      <c r="F2937" s="37" t="b">
        <v>0</v>
      </c>
      <c r="G2937" s="37">
        <v>200</v>
      </c>
      <c r="H2937" s="37" t="b">
        <v>1</v>
      </c>
    </row>
    <row r="2938" spans="1:9" x14ac:dyDescent="0.25">
      <c r="A2938" s="54" t="s">
        <v>618</v>
      </c>
      <c r="B2938" s="31" t="s">
        <v>635</v>
      </c>
      <c r="C2938" s="28" t="s">
        <v>1978</v>
      </c>
      <c r="D2938" s="28"/>
      <c r="E2938" s="28" t="s">
        <v>1974</v>
      </c>
      <c r="F2938" s="28" t="b">
        <v>0</v>
      </c>
      <c r="G2938" s="28">
        <v>200</v>
      </c>
      <c r="H2938" s="28" t="b">
        <v>1</v>
      </c>
      <c r="I2938" s="34"/>
    </row>
    <row r="2939" spans="1:9" ht="30" x14ac:dyDescent="0.25">
      <c r="A2939" s="54" t="s">
        <v>618</v>
      </c>
      <c r="B2939" s="43" t="s">
        <v>144</v>
      </c>
      <c r="C2939" s="37" t="s">
        <v>1979</v>
      </c>
      <c r="D2939" s="37"/>
      <c r="E2939" s="37" t="s">
        <v>1974</v>
      </c>
      <c r="F2939" s="37" t="b">
        <v>0</v>
      </c>
      <c r="G2939" s="37">
        <v>200</v>
      </c>
      <c r="H2939" s="37" t="b">
        <v>1</v>
      </c>
    </row>
    <row r="2940" spans="1:9" x14ac:dyDescent="0.25">
      <c r="A2940" s="54" t="s">
        <v>618</v>
      </c>
      <c r="B2940" s="31" t="s">
        <v>618</v>
      </c>
      <c r="C2940" s="28" t="s">
        <v>1980</v>
      </c>
      <c r="D2940" s="28"/>
      <c r="E2940" s="28" t="s">
        <v>1974</v>
      </c>
      <c r="F2940" s="28" t="b">
        <v>0</v>
      </c>
      <c r="G2940" s="28">
        <v>200</v>
      </c>
      <c r="H2940" s="28" t="b">
        <v>1</v>
      </c>
      <c r="I2940" s="34"/>
    </row>
    <row r="2941" spans="1:9" ht="30" x14ac:dyDescent="0.25">
      <c r="A2941" s="54" t="s">
        <v>618</v>
      </c>
      <c r="B2941" s="43" t="s">
        <v>585</v>
      </c>
      <c r="C2941" s="37" t="s">
        <v>1981</v>
      </c>
      <c r="D2941" s="37"/>
      <c r="E2941" s="37" t="s">
        <v>1974</v>
      </c>
      <c r="F2941" s="37" t="b">
        <v>0</v>
      </c>
      <c r="G2941" s="37">
        <v>200</v>
      </c>
      <c r="H2941" s="37" t="b">
        <v>1</v>
      </c>
    </row>
    <row r="2942" spans="1:9" ht="30" x14ac:dyDescent="0.25">
      <c r="A2942" s="54" t="s">
        <v>618</v>
      </c>
      <c r="B2942" s="31" t="s">
        <v>582</v>
      </c>
      <c r="C2942" s="28" t="s">
        <v>1982</v>
      </c>
      <c r="D2942" s="28"/>
      <c r="E2942" s="28" t="s">
        <v>1974</v>
      </c>
      <c r="F2942" s="28" t="b">
        <v>0</v>
      </c>
      <c r="G2942" s="28">
        <v>200</v>
      </c>
      <c r="H2942" s="28" t="b">
        <v>1</v>
      </c>
      <c r="I2942" s="34"/>
    </row>
    <row r="2943" spans="1:9" x14ac:dyDescent="0.25">
      <c r="A2943" s="54" t="s">
        <v>618</v>
      </c>
      <c r="B2943" s="43" t="s">
        <v>638</v>
      </c>
      <c r="C2943" s="37" t="s">
        <v>1983</v>
      </c>
      <c r="D2943" s="37"/>
      <c r="E2943" s="37" t="s">
        <v>1974</v>
      </c>
      <c r="F2943" s="37" t="b">
        <v>0</v>
      </c>
      <c r="G2943" s="37">
        <v>200</v>
      </c>
      <c r="H2943" s="37" t="b">
        <v>1</v>
      </c>
    </row>
    <row r="2944" spans="1:9" x14ac:dyDescent="0.25">
      <c r="A2944" s="54" t="s">
        <v>618</v>
      </c>
      <c r="B2944" s="31" t="s">
        <v>638</v>
      </c>
      <c r="C2944" s="28" t="s">
        <v>1984</v>
      </c>
      <c r="D2944" s="28"/>
      <c r="E2944" s="28" t="s">
        <v>1974</v>
      </c>
      <c r="F2944" s="28" t="b">
        <v>0</v>
      </c>
      <c r="G2944" s="28">
        <v>200</v>
      </c>
      <c r="H2944" s="28" t="b">
        <v>1</v>
      </c>
      <c r="I2944" s="34"/>
    </row>
    <row r="2945" spans="1:9" x14ac:dyDescent="0.25">
      <c r="A2945" s="54" t="s">
        <v>618</v>
      </c>
      <c r="B2945" s="43" t="s">
        <v>647</v>
      </c>
      <c r="C2945" s="37" t="s">
        <v>1985</v>
      </c>
      <c r="D2945" s="37"/>
      <c r="E2945" s="37" t="s">
        <v>1974</v>
      </c>
      <c r="F2945" s="37" t="b">
        <v>0</v>
      </c>
      <c r="G2945" s="37">
        <v>200</v>
      </c>
      <c r="H2945" s="37" t="b">
        <v>1</v>
      </c>
    </row>
    <row r="2946" spans="1:9" ht="30" x14ac:dyDescent="0.25">
      <c r="A2946" s="54" t="s">
        <v>618</v>
      </c>
      <c r="B2946" s="31" t="s">
        <v>503</v>
      </c>
      <c r="C2946" s="28" t="s">
        <v>1986</v>
      </c>
      <c r="D2946" s="28"/>
      <c r="E2946" s="28" t="s">
        <v>1974</v>
      </c>
      <c r="F2946" s="28" t="b">
        <v>0</v>
      </c>
      <c r="G2946" s="28">
        <v>200</v>
      </c>
      <c r="H2946" s="28" t="b">
        <v>1</v>
      </c>
      <c r="I2946" s="34"/>
    </row>
    <row r="2947" spans="1:9" x14ac:dyDescent="0.25">
      <c r="A2947" s="54" t="s">
        <v>618</v>
      </c>
      <c r="B2947" s="43" t="s">
        <v>608</v>
      </c>
      <c r="C2947" s="37" t="s">
        <v>1987</v>
      </c>
      <c r="D2947" s="37"/>
      <c r="E2947" s="37" t="s">
        <v>1974</v>
      </c>
      <c r="F2947" s="37" t="b">
        <v>0</v>
      </c>
      <c r="G2947" s="37">
        <v>200</v>
      </c>
      <c r="H2947" s="37" t="b">
        <v>1</v>
      </c>
    </row>
    <row r="2948" spans="1:9" x14ac:dyDescent="0.25">
      <c r="A2948" s="54" t="s">
        <v>618</v>
      </c>
      <c r="B2948" s="31" t="s">
        <v>2895</v>
      </c>
      <c r="C2948" s="28" t="s">
        <v>2896</v>
      </c>
      <c r="D2948" s="28"/>
      <c r="E2948" s="28" t="s">
        <v>2012</v>
      </c>
      <c r="F2948" s="28" t="b">
        <v>0</v>
      </c>
      <c r="G2948" s="28"/>
      <c r="H2948" s="28" t="b">
        <v>1</v>
      </c>
      <c r="I2948" s="34"/>
    </row>
    <row r="2949" spans="1:9" ht="30" x14ac:dyDescent="0.25">
      <c r="A2949" s="54" t="s">
        <v>618</v>
      </c>
      <c r="B2949" s="43" t="s">
        <v>585</v>
      </c>
      <c r="C2949" s="37" t="s">
        <v>2896</v>
      </c>
      <c r="D2949" s="37"/>
      <c r="E2949" s="37" t="s">
        <v>1974</v>
      </c>
      <c r="F2949" s="37" t="b">
        <v>0</v>
      </c>
      <c r="G2949" s="37">
        <v>200</v>
      </c>
      <c r="H2949" s="37" t="b">
        <v>1</v>
      </c>
    </row>
    <row r="2950" spans="1:9" x14ac:dyDescent="0.25">
      <c r="A2950" s="54" t="s">
        <v>618</v>
      </c>
      <c r="B2950" s="31" t="s">
        <v>647</v>
      </c>
      <c r="C2950" s="28" t="s">
        <v>2010</v>
      </c>
      <c r="D2950" s="28"/>
      <c r="E2950" s="28" t="s">
        <v>1974</v>
      </c>
      <c r="F2950" s="28" t="b">
        <v>0</v>
      </c>
      <c r="G2950" s="28">
        <v>200</v>
      </c>
      <c r="H2950" s="28" t="b">
        <v>1</v>
      </c>
      <c r="I2950" s="34"/>
    </row>
    <row r="2951" spans="1:9" ht="30" x14ac:dyDescent="0.25">
      <c r="A2951" s="54" t="s">
        <v>618</v>
      </c>
      <c r="B2951" s="43" t="s">
        <v>2011</v>
      </c>
      <c r="C2951" s="37"/>
      <c r="D2951" s="37"/>
      <c r="E2951" s="37" t="s">
        <v>2012</v>
      </c>
      <c r="F2951" s="37" t="b">
        <v>0</v>
      </c>
      <c r="G2951" s="37"/>
      <c r="H2951" s="37" t="b">
        <v>1</v>
      </c>
    </row>
    <row r="2952" spans="1:9" ht="30" x14ac:dyDescent="0.25">
      <c r="A2952" s="54" t="s">
        <v>618</v>
      </c>
      <c r="B2952" s="31" t="s">
        <v>2013</v>
      </c>
      <c r="C2952" s="28"/>
      <c r="D2952" s="28"/>
      <c r="E2952" s="28" t="s">
        <v>2012</v>
      </c>
      <c r="F2952" s="28" t="b">
        <v>0</v>
      </c>
      <c r="G2952" s="28"/>
      <c r="H2952" s="28" t="b">
        <v>1</v>
      </c>
      <c r="I2952" s="34"/>
    </row>
    <row r="2953" spans="1:9" x14ac:dyDescent="0.25">
      <c r="A2953" s="54" t="s">
        <v>618</v>
      </c>
      <c r="B2953" s="43" t="s">
        <v>641</v>
      </c>
      <c r="C2953" s="37" t="s">
        <v>2014</v>
      </c>
      <c r="D2953" s="37"/>
      <c r="E2953" s="37" t="s">
        <v>1974</v>
      </c>
      <c r="F2953" s="37" t="b">
        <v>0</v>
      </c>
      <c r="G2953" s="37">
        <v>200</v>
      </c>
      <c r="H2953" s="37" t="b">
        <v>1</v>
      </c>
    </row>
    <row r="2954" spans="1:9" ht="30" x14ac:dyDescent="0.25">
      <c r="A2954" s="54" t="s">
        <v>618</v>
      </c>
      <c r="B2954" s="31" t="s">
        <v>2015</v>
      </c>
      <c r="C2954" s="28" t="s">
        <v>2016</v>
      </c>
      <c r="D2954" s="28"/>
      <c r="E2954" s="28" t="s">
        <v>1974</v>
      </c>
      <c r="F2954" s="28" t="b">
        <v>0</v>
      </c>
      <c r="G2954" s="28">
        <v>404</v>
      </c>
      <c r="H2954" s="28" t="b">
        <v>0</v>
      </c>
      <c r="I2954" s="34"/>
    </row>
    <row r="2955" spans="1:9" ht="30" x14ac:dyDescent="0.25">
      <c r="A2955" s="54" t="s">
        <v>618</v>
      </c>
      <c r="B2955" s="43" t="s">
        <v>2015</v>
      </c>
      <c r="C2955" s="37" t="s">
        <v>2017</v>
      </c>
      <c r="D2955" s="37"/>
      <c r="E2955" s="37" t="s">
        <v>1974</v>
      </c>
      <c r="F2955" s="37" t="b">
        <v>0</v>
      </c>
      <c r="G2955" s="37">
        <v>404</v>
      </c>
      <c r="H2955" s="37" t="b">
        <v>0</v>
      </c>
    </row>
    <row r="2956" spans="1:9" x14ac:dyDescent="0.25">
      <c r="A2956" s="54" t="s">
        <v>621</v>
      </c>
      <c r="B2956" s="31" t="s">
        <v>127</v>
      </c>
      <c r="C2956" s="28"/>
      <c r="D2956" s="28"/>
      <c r="E2956" s="28" t="s">
        <v>1974</v>
      </c>
      <c r="F2956" s="28" t="b">
        <v>0</v>
      </c>
      <c r="G2956" s="28">
        <v>200</v>
      </c>
      <c r="H2956" s="28" t="b">
        <v>1</v>
      </c>
      <c r="I2956" s="34"/>
    </row>
    <row r="2957" spans="1:9" x14ac:dyDescent="0.25">
      <c r="A2957" s="54" t="s">
        <v>621</v>
      </c>
      <c r="B2957" s="43" t="s">
        <v>127</v>
      </c>
      <c r="C2957" s="37" t="s">
        <v>1975</v>
      </c>
      <c r="D2957" s="37"/>
      <c r="E2957" s="37" t="s">
        <v>1974</v>
      </c>
      <c r="F2957" s="37" t="b">
        <v>0</v>
      </c>
      <c r="G2957" s="37">
        <v>200</v>
      </c>
      <c r="H2957" s="37" t="b">
        <v>1</v>
      </c>
    </row>
    <row r="2958" spans="1:9" x14ac:dyDescent="0.25">
      <c r="A2958" s="54" t="s">
        <v>621</v>
      </c>
      <c r="B2958" s="31" t="s">
        <v>135</v>
      </c>
      <c r="C2958" s="28" t="s">
        <v>1976</v>
      </c>
      <c r="D2958" s="28"/>
      <c r="E2958" s="28" t="s">
        <v>1974</v>
      </c>
      <c r="F2958" s="28" t="b">
        <v>0</v>
      </c>
      <c r="G2958" s="28">
        <v>200</v>
      </c>
      <c r="H2958" s="28" t="b">
        <v>1</v>
      </c>
      <c r="I2958" s="34"/>
    </row>
    <row r="2959" spans="1:9" x14ac:dyDescent="0.25">
      <c r="A2959" s="54" t="s">
        <v>621</v>
      </c>
      <c r="B2959" s="43" t="s">
        <v>655</v>
      </c>
      <c r="C2959" s="37" t="s">
        <v>1977</v>
      </c>
      <c r="D2959" s="37"/>
      <c r="E2959" s="37" t="s">
        <v>1974</v>
      </c>
      <c r="F2959" s="37" t="b">
        <v>0</v>
      </c>
      <c r="G2959" s="37">
        <v>200</v>
      </c>
      <c r="H2959" s="37" t="b">
        <v>1</v>
      </c>
    </row>
    <row r="2960" spans="1:9" x14ac:dyDescent="0.25">
      <c r="A2960" s="54" t="s">
        <v>621</v>
      </c>
      <c r="B2960" s="31" t="s">
        <v>635</v>
      </c>
      <c r="C2960" s="28" t="s">
        <v>1978</v>
      </c>
      <c r="D2960" s="28"/>
      <c r="E2960" s="28" t="s">
        <v>1974</v>
      </c>
      <c r="F2960" s="28" t="b">
        <v>0</v>
      </c>
      <c r="G2960" s="28">
        <v>200</v>
      </c>
      <c r="H2960" s="28" t="b">
        <v>1</v>
      </c>
      <c r="I2960" s="34"/>
    </row>
    <row r="2961" spans="1:9" ht="30" x14ac:dyDescent="0.25">
      <c r="A2961" s="54" t="s">
        <v>621</v>
      </c>
      <c r="B2961" s="43" t="s">
        <v>144</v>
      </c>
      <c r="C2961" s="37" t="s">
        <v>1979</v>
      </c>
      <c r="D2961" s="37"/>
      <c r="E2961" s="37" t="s">
        <v>1974</v>
      </c>
      <c r="F2961" s="37" t="b">
        <v>0</v>
      </c>
      <c r="G2961" s="37">
        <v>200</v>
      </c>
      <c r="H2961" s="37" t="b">
        <v>1</v>
      </c>
    </row>
    <row r="2962" spans="1:9" x14ac:dyDescent="0.25">
      <c r="A2962" s="54" t="s">
        <v>621</v>
      </c>
      <c r="B2962" s="31" t="s">
        <v>618</v>
      </c>
      <c r="C2962" s="28" t="s">
        <v>1980</v>
      </c>
      <c r="D2962" s="28"/>
      <c r="E2962" s="28" t="s">
        <v>1974</v>
      </c>
      <c r="F2962" s="28" t="b">
        <v>0</v>
      </c>
      <c r="G2962" s="28">
        <v>200</v>
      </c>
      <c r="H2962" s="28" t="b">
        <v>1</v>
      </c>
      <c r="I2962" s="34"/>
    </row>
    <row r="2963" spans="1:9" ht="30" x14ac:dyDescent="0.25">
      <c r="A2963" s="54" t="s">
        <v>621</v>
      </c>
      <c r="B2963" s="43" t="s">
        <v>585</v>
      </c>
      <c r="C2963" s="37" t="s">
        <v>1981</v>
      </c>
      <c r="D2963" s="37"/>
      <c r="E2963" s="37" t="s">
        <v>1974</v>
      </c>
      <c r="F2963" s="37" t="b">
        <v>0</v>
      </c>
      <c r="G2963" s="37">
        <v>200</v>
      </c>
      <c r="H2963" s="37" t="b">
        <v>1</v>
      </c>
    </row>
    <row r="2964" spans="1:9" ht="30" x14ac:dyDescent="0.25">
      <c r="A2964" s="54" t="s">
        <v>621</v>
      </c>
      <c r="B2964" s="31" t="s">
        <v>582</v>
      </c>
      <c r="C2964" s="28" t="s">
        <v>1982</v>
      </c>
      <c r="D2964" s="28"/>
      <c r="E2964" s="28" t="s">
        <v>1974</v>
      </c>
      <c r="F2964" s="28" t="b">
        <v>0</v>
      </c>
      <c r="G2964" s="28">
        <v>200</v>
      </c>
      <c r="H2964" s="28" t="b">
        <v>1</v>
      </c>
      <c r="I2964" s="34"/>
    </row>
    <row r="2965" spans="1:9" x14ac:dyDescent="0.25">
      <c r="A2965" s="54" t="s">
        <v>621</v>
      </c>
      <c r="B2965" s="43" t="s">
        <v>638</v>
      </c>
      <c r="C2965" s="37" t="s">
        <v>1983</v>
      </c>
      <c r="D2965" s="37"/>
      <c r="E2965" s="37" t="s">
        <v>1974</v>
      </c>
      <c r="F2965" s="37" t="b">
        <v>0</v>
      </c>
      <c r="G2965" s="37">
        <v>200</v>
      </c>
      <c r="H2965" s="37" t="b">
        <v>1</v>
      </c>
    </row>
    <row r="2966" spans="1:9" x14ac:dyDescent="0.25">
      <c r="A2966" s="54" t="s">
        <v>621</v>
      </c>
      <c r="B2966" s="31" t="s">
        <v>638</v>
      </c>
      <c r="C2966" s="28" t="s">
        <v>1984</v>
      </c>
      <c r="D2966" s="28"/>
      <c r="E2966" s="28" t="s">
        <v>1974</v>
      </c>
      <c r="F2966" s="28" t="b">
        <v>0</v>
      </c>
      <c r="G2966" s="28">
        <v>200</v>
      </c>
      <c r="H2966" s="28" t="b">
        <v>1</v>
      </c>
      <c r="I2966" s="34"/>
    </row>
    <row r="2967" spans="1:9" x14ac:dyDescent="0.25">
      <c r="A2967" s="54" t="s">
        <v>621</v>
      </c>
      <c r="B2967" s="43" t="s">
        <v>647</v>
      </c>
      <c r="C2967" s="37" t="s">
        <v>1985</v>
      </c>
      <c r="D2967" s="37"/>
      <c r="E2967" s="37" t="s">
        <v>1974</v>
      </c>
      <c r="F2967" s="37" t="b">
        <v>0</v>
      </c>
      <c r="G2967" s="37">
        <v>200</v>
      </c>
      <c r="H2967" s="37" t="b">
        <v>1</v>
      </c>
    </row>
    <row r="2968" spans="1:9" ht="30" x14ac:dyDescent="0.25">
      <c r="A2968" s="54" t="s">
        <v>621</v>
      </c>
      <c r="B2968" s="31" t="s">
        <v>503</v>
      </c>
      <c r="C2968" s="28" t="s">
        <v>1986</v>
      </c>
      <c r="D2968" s="28"/>
      <c r="E2968" s="28" t="s">
        <v>1974</v>
      </c>
      <c r="F2968" s="28" t="b">
        <v>0</v>
      </c>
      <c r="G2968" s="28">
        <v>200</v>
      </c>
      <c r="H2968" s="28" t="b">
        <v>1</v>
      </c>
      <c r="I2968" s="34"/>
    </row>
    <row r="2969" spans="1:9" x14ac:dyDescent="0.25">
      <c r="A2969" s="54" t="s">
        <v>621</v>
      </c>
      <c r="B2969" s="43" t="s">
        <v>608</v>
      </c>
      <c r="C2969" s="37" t="s">
        <v>1987</v>
      </c>
      <c r="D2969" s="37"/>
      <c r="E2969" s="37" t="s">
        <v>1974</v>
      </c>
      <c r="F2969" s="37" t="b">
        <v>0</v>
      </c>
      <c r="G2969" s="37">
        <v>200</v>
      </c>
      <c r="H2969" s="37" t="b">
        <v>1</v>
      </c>
    </row>
    <row r="2970" spans="1:9" x14ac:dyDescent="0.25">
      <c r="A2970" s="54" t="s">
        <v>621</v>
      </c>
      <c r="B2970" s="31" t="s">
        <v>127</v>
      </c>
      <c r="C2970" s="28" t="s">
        <v>1975</v>
      </c>
      <c r="D2970" s="28"/>
      <c r="E2970" s="28" t="s">
        <v>1974</v>
      </c>
      <c r="F2970" s="28" t="b">
        <v>0</v>
      </c>
      <c r="G2970" s="28">
        <v>200</v>
      </c>
      <c r="H2970" s="28" t="b">
        <v>1</v>
      </c>
      <c r="I2970" s="34"/>
    </row>
    <row r="2971" spans="1:9" x14ac:dyDescent="0.25">
      <c r="A2971" s="54" t="s">
        <v>621</v>
      </c>
      <c r="B2971" s="43" t="s">
        <v>135</v>
      </c>
      <c r="C2971" s="37" t="s">
        <v>1976</v>
      </c>
      <c r="D2971" s="37"/>
      <c r="E2971" s="37" t="s">
        <v>1974</v>
      </c>
      <c r="F2971" s="37" t="b">
        <v>0</v>
      </c>
      <c r="G2971" s="37">
        <v>200</v>
      </c>
      <c r="H2971" s="37" t="b">
        <v>1</v>
      </c>
    </row>
    <row r="2972" spans="1:9" x14ac:dyDescent="0.25">
      <c r="A2972" s="54" t="s">
        <v>621</v>
      </c>
      <c r="B2972" s="31" t="s">
        <v>655</v>
      </c>
      <c r="C2972" s="28" t="s">
        <v>1977</v>
      </c>
      <c r="D2972" s="28"/>
      <c r="E2972" s="28" t="s">
        <v>1974</v>
      </c>
      <c r="F2972" s="28" t="b">
        <v>0</v>
      </c>
      <c r="G2972" s="28">
        <v>200</v>
      </c>
      <c r="H2972" s="28" t="b">
        <v>1</v>
      </c>
      <c r="I2972" s="34"/>
    </row>
    <row r="2973" spans="1:9" x14ac:dyDescent="0.25">
      <c r="A2973" s="54" t="s">
        <v>621</v>
      </c>
      <c r="B2973" s="43" t="s">
        <v>635</v>
      </c>
      <c r="C2973" s="37" t="s">
        <v>1978</v>
      </c>
      <c r="D2973" s="37"/>
      <c r="E2973" s="37" t="s">
        <v>1974</v>
      </c>
      <c r="F2973" s="37" t="b">
        <v>0</v>
      </c>
      <c r="G2973" s="37">
        <v>200</v>
      </c>
      <c r="H2973" s="37" t="b">
        <v>1</v>
      </c>
    </row>
    <row r="2974" spans="1:9" ht="30" x14ac:dyDescent="0.25">
      <c r="A2974" s="54" t="s">
        <v>621</v>
      </c>
      <c r="B2974" s="31" t="s">
        <v>144</v>
      </c>
      <c r="C2974" s="28" t="s">
        <v>1979</v>
      </c>
      <c r="D2974" s="28"/>
      <c r="E2974" s="28" t="s">
        <v>1974</v>
      </c>
      <c r="F2974" s="28" t="b">
        <v>0</v>
      </c>
      <c r="G2974" s="28">
        <v>200</v>
      </c>
      <c r="H2974" s="28" t="b">
        <v>1</v>
      </c>
      <c r="I2974" s="34"/>
    </row>
    <row r="2975" spans="1:9" x14ac:dyDescent="0.25">
      <c r="A2975" s="54" t="s">
        <v>621</v>
      </c>
      <c r="B2975" s="43" t="s">
        <v>618</v>
      </c>
      <c r="C2975" s="37" t="s">
        <v>1980</v>
      </c>
      <c r="D2975" s="37"/>
      <c r="E2975" s="37" t="s">
        <v>1974</v>
      </c>
      <c r="F2975" s="37" t="b">
        <v>0</v>
      </c>
      <c r="G2975" s="37">
        <v>200</v>
      </c>
      <c r="H2975" s="37" t="b">
        <v>1</v>
      </c>
    </row>
    <row r="2976" spans="1:9" ht="30" x14ac:dyDescent="0.25">
      <c r="A2976" s="54" t="s">
        <v>621</v>
      </c>
      <c r="B2976" s="31" t="s">
        <v>585</v>
      </c>
      <c r="C2976" s="28" t="s">
        <v>1981</v>
      </c>
      <c r="D2976" s="28"/>
      <c r="E2976" s="28" t="s">
        <v>1974</v>
      </c>
      <c r="F2976" s="28" t="b">
        <v>0</v>
      </c>
      <c r="G2976" s="28">
        <v>200</v>
      </c>
      <c r="H2976" s="28" t="b">
        <v>1</v>
      </c>
      <c r="I2976" s="34"/>
    </row>
    <row r="2977" spans="1:9" ht="30" x14ac:dyDescent="0.25">
      <c r="A2977" s="54" t="s">
        <v>621</v>
      </c>
      <c r="B2977" s="43" t="s">
        <v>582</v>
      </c>
      <c r="C2977" s="37" t="s">
        <v>1982</v>
      </c>
      <c r="D2977" s="37"/>
      <c r="E2977" s="37" t="s">
        <v>1974</v>
      </c>
      <c r="F2977" s="37" t="b">
        <v>0</v>
      </c>
      <c r="G2977" s="37">
        <v>200</v>
      </c>
      <c r="H2977" s="37" t="b">
        <v>1</v>
      </c>
    </row>
    <row r="2978" spans="1:9" x14ac:dyDescent="0.25">
      <c r="A2978" s="54" t="s">
        <v>621</v>
      </c>
      <c r="B2978" s="31" t="s">
        <v>638</v>
      </c>
      <c r="C2978" s="28" t="s">
        <v>1983</v>
      </c>
      <c r="D2978" s="28"/>
      <c r="E2978" s="28" t="s">
        <v>1974</v>
      </c>
      <c r="F2978" s="28" t="b">
        <v>0</v>
      </c>
      <c r="G2978" s="28">
        <v>200</v>
      </c>
      <c r="H2978" s="28" t="b">
        <v>1</v>
      </c>
      <c r="I2978" s="34"/>
    </row>
    <row r="2979" spans="1:9" x14ac:dyDescent="0.25">
      <c r="A2979" s="54" t="s">
        <v>621</v>
      </c>
      <c r="B2979" s="43" t="s">
        <v>638</v>
      </c>
      <c r="C2979" s="37" t="s">
        <v>1984</v>
      </c>
      <c r="D2979" s="37"/>
      <c r="E2979" s="37" t="s">
        <v>1974</v>
      </c>
      <c r="F2979" s="37" t="b">
        <v>0</v>
      </c>
      <c r="G2979" s="37">
        <v>200</v>
      </c>
      <c r="H2979" s="37" t="b">
        <v>1</v>
      </c>
    </row>
    <row r="2980" spans="1:9" x14ac:dyDescent="0.25">
      <c r="A2980" s="54" t="s">
        <v>621</v>
      </c>
      <c r="B2980" s="31" t="s">
        <v>647</v>
      </c>
      <c r="C2980" s="28" t="s">
        <v>1985</v>
      </c>
      <c r="D2980" s="28"/>
      <c r="E2980" s="28" t="s">
        <v>1974</v>
      </c>
      <c r="F2980" s="28" t="b">
        <v>0</v>
      </c>
      <c r="G2980" s="28">
        <v>200</v>
      </c>
      <c r="H2980" s="28" t="b">
        <v>1</v>
      </c>
      <c r="I2980" s="34"/>
    </row>
    <row r="2981" spans="1:9" ht="30" x14ac:dyDescent="0.25">
      <c r="A2981" s="54" t="s">
        <v>621</v>
      </c>
      <c r="B2981" s="43" t="s">
        <v>503</v>
      </c>
      <c r="C2981" s="37" t="s">
        <v>1986</v>
      </c>
      <c r="D2981" s="37"/>
      <c r="E2981" s="37" t="s">
        <v>1974</v>
      </c>
      <c r="F2981" s="37" t="b">
        <v>0</v>
      </c>
      <c r="G2981" s="37">
        <v>200</v>
      </c>
      <c r="H2981" s="37" t="b">
        <v>1</v>
      </c>
    </row>
    <row r="2982" spans="1:9" x14ac:dyDescent="0.25">
      <c r="A2982" s="54" t="s">
        <v>621</v>
      </c>
      <c r="B2982" s="31" t="s">
        <v>608</v>
      </c>
      <c r="C2982" s="28" t="s">
        <v>1987</v>
      </c>
      <c r="D2982" s="28"/>
      <c r="E2982" s="28" t="s">
        <v>1974</v>
      </c>
      <c r="F2982" s="28" t="b">
        <v>0</v>
      </c>
      <c r="G2982" s="28">
        <v>200</v>
      </c>
      <c r="H2982" s="28" t="b">
        <v>1</v>
      </c>
      <c r="I2982" s="34"/>
    </row>
    <row r="2983" spans="1:9" ht="30" x14ac:dyDescent="0.25">
      <c r="A2983" s="54" t="s">
        <v>621</v>
      </c>
      <c r="B2983" s="43" t="s">
        <v>2897</v>
      </c>
      <c r="C2983" s="37" t="s">
        <v>2127</v>
      </c>
      <c r="D2983" s="37"/>
      <c r="E2983" s="37" t="s">
        <v>1974</v>
      </c>
      <c r="F2983" s="37" t="b">
        <v>0</v>
      </c>
      <c r="G2983" s="37">
        <v>404</v>
      </c>
      <c r="H2983" s="37" t="b">
        <v>0</v>
      </c>
    </row>
    <row r="2984" spans="1:9" ht="30" x14ac:dyDescent="0.25">
      <c r="A2984" s="54" t="s">
        <v>621</v>
      </c>
      <c r="B2984" s="31" t="s">
        <v>2898</v>
      </c>
      <c r="C2984" s="28" t="s">
        <v>2126</v>
      </c>
      <c r="D2984" s="28"/>
      <c r="E2984" s="28" t="s">
        <v>1974</v>
      </c>
      <c r="F2984" s="28" t="b">
        <v>0</v>
      </c>
      <c r="G2984" s="28">
        <v>200</v>
      </c>
      <c r="H2984" s="28" t="b">
        <v>1</v>
      </c>
      <c r="I2984" s="34"/>
    </row>
    <row r="2985" spans="1:9" ht="30" x14ac:dyDescent="0.25">
      <c r="A2985" s="54" t="s">
        <v>621</v>
      </c>
      <c r="B2985" s="43" t="s">
        <v>2860</v>
      </c>
      <c r="C2985" s="37" t="s">
        <v>2899</v>
      </c>
      <c r="D2985" s="37"/>
      <c r="E2985" s="37" t="s">
        <v>1974</v>
      </c>
      <c r="F2985" s="37" t="b">
        <v>0</v>
      </c>
      <c r="G2985" s="37">
        <v>200</v>
      </c>
      <c r="H2985" s="37" t="b">
        <v>1</v>
      </c>
    </row>
    <row r="2986" spans="1:9" x14ac:dyDescent="0.25">
      <c r="A2986" s="54" t="s">
        <v>621</v>
      </c>
      <c r="B2986" s="31" t="s">
        <v>647</v>
      </c>
      <c r="C2986" s="28" t="s">
        <v>2010</v>
      </c>
      <c r="D2986" s="28"/>
      <c r="E2986" s="28" t="s">
        <v>1974</v>
      </c>
      <c r="F2986" s="28" t="b">
        <v>0</v>
      </c>
      <c r="G2986" s="28">
        <v>200</v>
      </c>
      <c r="H2986" s="28" t="b">
        <v>1</v>
      </c>
      <c r="I2986" s="34"/>
    </row>
    <row r="2987" spans="1:9" ht="30" x14ac:dyDescent="0.25">
      <c r="A2987" s="54" t="s">
        <v>621</v>
      </c>
      <c r="B2987" s="43" t="s">
        <v>2011</v>
      </c>
      <c r="C2987" s="37"/>
      <c r="D2987" s="37"/>
      <c r="E2987" s="37" t="s">
        <v>2012</v>
      </c>
      <c r="F2987" s="37" t="b">
        <v>0</v>
      </c>
      <c r="G2987" s="37"/>
      <c r="H2987" s="37" t="b">
        <v>1</v>
      </c>
    </row>
    <row r="2988" spans="1:9" ht="30" x14ac:dyDescent="0.25">
      <c r="A2988" s="54" t="s">
        <v>621</v>
      </c>
      <c r="B2988" s="31" t="s">
        <v>2013</v>
      </c>
      <c r="C2988" s="28"/>
      <c r="D2988" s="28"/>
      <c r="E2988" s="28" t="s">
        <v>2012</v>
      </c>
      <c r="F2988" s="28" t="b">
        <v>0</v>
      </c>
      <c r="G2988" s="28"/>
      <c r="H2988" s="28" t="b">
        <v>1</v>
      </c>
      <c r="I2988" s="34"/>
    </row>
    <row r="2989" spans="1:9" x14ac:dyDescent="0.25">
      <c r="A2989" s="54" t="s">
        <v>621</v>
      </c>
      <c r="B2989" s="43" t="s">
        <v>641</v>
      </c>
      <c r="C2989" s="37" t="s">
        <v>2014</v>
      </c>
      <c r="D2989" s="37"/>
      <c r="E2989" s="37" t="s">
        <v>1974</v>
      </c>
      <c r="F2989" s="37" t="b">
        <v>0</v>
      </c>
      <c r="G2989" s="37">
        <v>200</v>
      </c>
      <c r="H2989" s="37" t="b">
        <v>1</v>
      </c>
    </row>
    <row r="2990" spans="1:9" ht="30" x14ac:dyDescent="0.25">
      <c r="A2990" s="54" t="s">
        <v>621</v>
      </c>
      <c r="B2990" s="31" t="s">
        <v>2015</v>
      </c>
      <c r="C2990" s="28" t="s">
        <v>2016</v>
      </c>
      <c r="D2990" s="28"/>
      <c r="E2990" s="28" t="s">
        <v>1974</v>
      </c>
      <c r="F2990" s="28" t="b">
        <v>0</v>
      </c>
      <c r="G2990" s="28">
        <v>404</v>
      </c>
      <c r="H2990" s="28" t="b">
        <v>0</v>
      </c>
      <c r="I2990" s="34"/>
    </row>
    <row r="2991" spans="1:9" ht="30" x14ac:dyDescent="0.25">
      <c r="A2991" s="54" t="s">
        <v>621</v>
      </c>
      <c r="B2991" s="43" t="s">
        <v>2015</v>
      </c>
      <c r="C2991" s="37" t="s">
        <v>2017</v>
      </c>
      <c r="D2991" s="37"/>
      <c r="E2991" s="37" t="s">
        <v>1974</v>
      </c>
      <c r="F2991" s="37" t="b">
        <v>0</v>
      </c>
      <c r="G2991" s="37">
        <v>404</v>
      </c>
      <c r="H2991" s="37" t="b">
        <v>0</v>
      </c>
    </row>
    <row r="2992" spans="1:9" x14ac:dyDescent="0.25">
      <c r="A2992" s="54" t="s">
        <v>624</v>
      </c>
      <c r="B2992" s="31" t="s">
        <v>127</v>
      </c>
      <c r="C2992" s="28"/>
      <c r="D2992" s="28"/>
      <c r="E2992" s="28" t="s">
        <v>1974</v>
      </c>
      <c r="F2992" s="28" t="b">
        <v>0</v>
      </c>
      <c r="G2992" s="28">
        <v>200</v>
      </c>
      <c r="H2992" s="28" t="b">
        <v>1</v>
      </c>
      <c r="I2992" s="34"/>
    </row>
    <row r="2993" spans="1:9" x14ac:dyDescent="0.25">
      <c r="A2993" s="54" t="s">
        <v>624</v>
      </c>
      <c r="B2993" s="43" t="s">
        <v>127</v>
      </c>
      <c r="C2993" s="37" t="s">
        <v>1975</v>
      </c>
      <c r="D2993" s="37"/>
      <c r="E2993" s="37" t="s">
        <v>1974</v>
      </c>
      <c r="F2993" s="37" t="b">
        <v>0</v>
      </c>
      <c r="G2993" s="37">
        <v>200</v>
      </c>
      <c r="H2993" s="37" t="b">
        <v>1</v>
      </c>
    </row>
    <row r="2994" spans="1:9" x14ac:dyDescent="0.25">
      <c r="A2994" s="54" t="s">
        <v>624</v>
      </c>
      <c r="B2994" s="31" t="s">
        <v>135</v>
      </c>
      <c r="C2994" s="28" t="s">
        <v>1976</v>
      </c>
      <c r="D2994" s="28"/>
      <c r="E2994" s="28" t="s">
        <v>1974</v>
      </c>
      <c r="F2994" s="28" t="b">
        <v>0</v>
      </c>
      <c r="G2994" s="28">
        <v>200</v>
      </c>
      <c r="H2994" s="28" t="b">
        <v>1</v>
      </c>
      <c r="I2994" s="34"/>
    </row>
    <row r="2995" spans="1:9" x14ac:dyDescent="0.25">
      <c r="A2995" s="54" t="s">
        <v>624</v>
      </c>
      <c r="B2995" s="43" t="s">
        <v>655</v>
      </c>
      <c r="C2995" s="37" t="s">
        <v>1977</v>
      </c>
      <c r="D2995" s="37"/>
      <c r="E2995" s="37" t="s">
        <v>1974</v>
      </c>
      <c r="F2995" s="37" t="b">
        <v>0</v>
      </c>
      <c r="G2995" s="37">
        <v>200</v>
      </c>
      <c r="H2995" s="37" t="b">
        <v>1</v>
      </c>
    </row>
    <row r="2996" spans="1:9" x14ac:dyDescent="0.25">
      <c r="A2996" s="54" t="s">
        <v>624</v>
      </c>
      <c r="B2996" s="31" t="s">
        <v>635</v>
      </c>
      <c r="C2996" s="28" t="s">
        <v>1978</v>
      </c>
      <c r="D2996" s="28"/>
      <c r="E2996" s="28" t="s">
        <v>1974</v>
      </c>
      <c r="F2996" s="28" t="b">
        <v>0</v>
      </c>
      <c r="G2996" s="28">
        <v>200</v>
      </c>
      <c r="H2996" s="28" t="b">
        <v>1</v>
      </c>
      <c r="I2996" s="34"/>
    </row>
    <row r="2997" spans="1:9" ht="30" x14ac:dyDescent="0.25">
      <c r="A2997" s="54" t="s">
        <v>624</v>
      </c>
      <c r="B2997" s="43" t="s">
        <v>144</v>
      </c>
      <c r="C2997" s="37" t="s">
        <v>1979</v>
      </c>
      <c r="D2997" s="37"/>
      <c r="E2997" s="37" t="s">
        <v>1974</v>
      </c>
      <c r="F2997" s="37" t="b">
        <v>0</v>
      </c>
      <c r="G2997" s="37">
        <v>200</v>
      </c>
      <c r="H2997" s="37" t="b">
        <v>1</v>
      </c>
    </row>
    <row r="2998" spans="1:9" x14ac:dyDescent="0.25">
      <c r="A2998" s="54" t="s">
        <v>624</v>
      </c>
      <c r="B2998" s="31" t="s">
        <v>618</v>
      </c>
      <c r="C2998" s="28" t="s">
        <v>1980</v>
      </c>
      <c r="D2998" s="28"/>
      <c r="E2998" s="28" t="s">
        <v>1974</v>
      </c>
      <c r="F2998" s="28" t="b">
        <v>0</v>
      </c>
      <c r="G2998" s="28">
        <v>200</v>
      </c>
      <c r="H2998" s="28" t="b">
        <v>1</v>
      </c>
      <c r="I2998" s="34"/>
    </row>
    <row r="2999" spans="1:9" ht="30" x14ac:dyDescent="0.25">
      <c r="A2999" s="54" t="s">
        <v>624</v>
      </c>
      <c r="B2999" s="43" t="s">
        <v>585</v>
      </c>
      <c r="C2999" s="37" t="s">
        <v>1981</v>
      </c>
      <c r="D2999" s="37"/>
      <c r="E2999" s="37" t="s">
        <v>1974</v>
      </c>
      <c r="F2999" s="37" t="b">
        <v>0</v>
      </c>
      <c r="G2999" s="37">
        <v>200</v>
      </c>
      <c r="H2999" s="37" t="b">
        <v>1</v>
      </c>
    </row>
    <row r="3000" spans="1:9" ht="30" x14ac:dyDescent="0.25">
      <c r="A3000" s="54" t="s">
        <v>624</v>
      </c>
      <c r="B3000" s="31" t="s">
        <v>582</v>
      </c>
      <c r="C3000" s="28" t="s">
        <v>1982</v>
      </c>
      <c r="D3000" s="28"/>
      <c r="E3000" s="28" t="s">
        <v>1974</v>
      </c>
      <c r="F3000" s="28" t="b">
        <v>0</v>
      </c>
      <c r="G3000" s="28">
        <v>200</v>
      </c>
      <c r="H3000" s="28" t="b">
        <v>1</v>
      </c>
      <c r="I3000" s="34"/>
    </row>
    <row r="3001" spans="1:9" x14ac:dyDescent="0.25">
      <c r="A3001" s="54" t="s">
        <v>624</v>
      </c>
      <c r="B3001" s="43" t="s">
        <v>638</v>
      </c>
      <c r="C3001" s="37" t="s">
        <v>1983</v>
      </c>
      <c r="D3001" s="37"/>
      <c r="E3001" s="37" t="s">
        <v>1974</v>
      </c>
      <c r="F3001" s="37" t="b">
        <v>0</v>
      </c>
      <c r="G3001" s="37">
        <v>200</v>
      </c>
      <c r="H3001" s="37" t="b">
        <v>1</v>
      </c>
    </row>
    <row r="3002" spans="1:9" x14ac:dyDescent="0.25">
      <c r="A3002" s="54" t="s">
        <v>624</v>
      </c>
      <c r="B3002" s="31" t="s">
        <v>638</v>
      </c>
      <c r="C3002" s="28" t="s">
        <v>1984</v>
      </c>
      <c r="D3002" s="28"/>
      <c r="E3002" s="28" t="s">
        <v>1974</v>
      </c>
      <c r="F3002" s="28" t="b">
        <v>0</v>
      </c>
      <c r="G3002" s="28">
        <v>200</v>
      </c>
      <c r="H3002" s="28" t="b">
        <v>1</v>
      </c>
      <c r="I3002" s="34"/>
    </row>
    <row r="3003" spans="1:9" x14ac:dyDescent="0.25">
      <c r="A3003" s="54" t="s">
        <v>624</v>
      </c>
      <c r="B3003" s="43" t="s">
        <v>647</v>
      </c>
      <c r="C3003" s="37" t="s">
        <v>1985</v>
      </c>
      <c r="D3003" s="37"/>
      <c r="E3003" s="37" t="s">
        <v>1974</v>
      </c>
      <c r="F3003" s="37" t="b">
        <v>0</v>
      </c>
      <c r="G3003" s="37">
        <v>200</v>
      </c>
      <c r="H3003" s="37" t="b">
        <v>1</v>
      </c>
    </row>
    <row r="3004" spans="1:9" ht="30" x14ac:dyDescent="0.25">
      <c r="A3004" s="54" t="s">
        <v>624</v>
      </c>
      <c r="B3004" s="31" t="s">
        <v>503</v>
      </c>
      <c r="C3004" s="28" t="s">
        <v>1986</v>
      </c>
      <c r="D3004" s="28"/>
      <c r="E3004" s="28" t="s">
        <v>1974</v>
      </c>
      <c r="F3004" s="28" t="b">
        <v>0</v>
      </c>
      <c r="G3004" s="28">
        <v>200</v>
      </c>
      <c r="H3004" s="28" t="b">
        <v>1</v>
      </c>
      <c r="I3004" s="34"/>
    </row>
    <row r="3005" spans="1:9" x14ac:dyDescent="0.25">
      <c r="A3005" s="54" t="s">
        <v>624</v>
      </c>
      <c r="B3005" s="43" t="s">
        <v>608</v>
      </c>
      <c r="C3005" s="37" t="s">
        <v>1987</v>
      </c>
      <c r="D3005" s="37"/>
      <c r="E3005" s="37" t="s">
        <v>1974</v>
      </c>
      <c r="F3005" s="37" t="b">
        <v>0</v>
      </c>
      <c r="G3005" s="37">
        <v>200</v>
      </c>
      <c r="H3005" s="37" t="b">
        <v>1</v>
      </c>
    </row>
    <row r="3006" spans="1:9" x14ac:dyDescent="0.25">
      <c r="A3006" s="54" t="s">
        <v>624</v>
      </c>
      <c r="B3006" s="31" t="s">
        <v>127</v>
      </c>
      <c r="C3006" s="28" t="s">
        <v>1975</v>
      </c>
      <c r="D3006" s="28"/>
      <c r="E3006" s="28" t="s">
        <v>1974</v>
      </c>
      <c r="F3006" s="28" t="b">
        <v>0</v>
      </c>
      <c r="G3006" s="28">
        <v>200</v>
      </c>
      <c r="H3006" s="28" t="b">
        <v>1</v>
      </c>
      <c r="I3006" s="34"/>
    </row>
    <row r="3007" spans="1:9" x14ac:dyDescent="0.25">
      <c r="A3007" s="54" t="s">
        <v>624</v>
      </c>
      <c r="B3007" s="43" t="s">
        <v>135</v>
      </c>
      <c r="C3007" s="37" t="s">
        <v>1976</v>
      </c>
      <c r="D3007" s="37"/>
      <c r="E3007" s="37" t="s">
        <v>1974</v>
      </c>
      <c r="F3007" s="37" t="b">
        <v>0</v>
      </c>
      <c r="G3007" s="37">
        <v>200</v>
      </c>
      <c r="H3007" s="37" t="b">
        <v>1</v>
      </c>
    </row>
    <row r="3008" spans="1:9" x14ac:dyDescent="0.25">
      <c r="A3008" s="54" t="s">
        <v>624</v>
      </c>
      <c r="B3008" s="31" t="s">
        <v>655</v>
      </c>
      <c r="C3008" s="28" t="s">
        <v>1977</v>
      </c>
      <c r="D3008" s="28"/>
      <c r="E3008" s="28" t="s">
        <v>1974</v>
      </c>
      <c r="F3008" s="28" t="b">
        <v>0</v>
      </c>
      <c r="G3008" s="28">
        <v>200</v>
      </c>
      <c r="H3008" s="28" t="b">
        <v>1</v>
      </c>
      <c r="I3008" s="34"/>
    </row>
    <row r="3009" spans="1:9" x14ac:dyDescent="0.25">
      <c r="A3009" s="54" t="s">
        <v>624</v>
      </c>
      <c r="B3009" s="43" t="s">
        <v>635</v>
      </c>
      <c r="C3009" s="37" t="s">
        <v>1978</v>
      </c>
      <c r="D3009" s="37"/>
      <c r="E3009" s="37" t="s">
        <v>1974</v>
      </c>
      <c r="F3009" s="37" t="b">
        <v>0</v>
      </c>
      <c r="G3009" s="37">
        <v>200</v>
      </c>
      <c r="H3009" s="37" t="b">
        <v>1</v>
      </c>
    </row>
    <row r="3010" spans="1:9" ht="30" x14ac:dyDescent="0.25">
      <c r="A3010" s="54" t="s">
        <v>624</v>
      </c>
      <c r="B3010" s="31" t="s">
        <v>144</v>
      </c>
      <c r="C3010" s="28" t="s">
        <v>1979</v>
      </c>
      <c r="D3010" s="28"/>
      <c r="E3010" s="28" t="s">
        <v>1974</v>
      </c>
      <c r="F3010" s="28" t="b">
        <v>0</v>
      </c>
      <c r="G3010" s="28">
        <v>200</v>
      </c>
      <c r="H3010" s="28" t="b">
        <v>1</v>
      </c>
      <c r="I3010" s="34"/>
    </row>
    <row r="3011" spans="1:9" x14ac:dyDescent="0.25">
      <c r="A3011" s="54" t="s">
        <v>624</v>
      </c>
      <c r="B3011" s="43" t="s">
        <v>618</v>
      </c>
      <c r="C3011" s="37" t="s">
        <v>1980</v>
      </c>
      <c r="D3011" s="37"/>
      <c r="E3011" s="37" t="s">
        <v>1974</v>
      </c>
      <c r="F3011" s="37" t="b">
        <v>0</v>
      </c>
      <c r="G3011" s="37">
        <v>200</v>
      </c>
      <c r="H3011" s="37" t="b">
        <v>1</v>
      </c>
    </row>
    <row r="3012" spans="1:9" ht="30" x14ac:dyDescent="0.25">
      <c r="A3012" s="54" t="s">
        <v>624</v>
      </c>
      <c r="B3012" s="31" t="s">
        <v>585</v>
      </c>
      <c r="C3012" s="28" t="s">
        <v>1981</v>
      </c>
      <c r="D3012" s="28"/>
      <c r="E3012" s="28" t="s">
        <v>1974</v>
      </c>
      <c r="F3012" s="28" t="b">
        <v>0</v>
      </c>
      <c r="G3012" s="28">
        <v>200</v>
      </c>
      <c r="H3012" s="28" t="b">
        <v>1</v>
      </c>
      <c r="I3012" s="34"/>
    </row>
    <row r="3013" spans="1:9" ht="30" x14ac:dyDescent="0.25">
      <c r="A3013" s="54" t="s">
        <v>624</v>
      </c>
      <c r="B3013" s="43" t="s">
        <v>582</v>
      </c>
      <c r="C3013" s="37" t="s">
        <v>1982</v>
      </c>
      <c r="D3013" s="37"/>
      <c r="E3013" s="37" t="s">
        <v>1974</v>
      </c>
      <c r="F3013" s="37" t="b">
        <v>0</v>
      </c>
      <c r="G3013" s="37">
        <v>200</v>
      </c>
      <c r="H3013" s="37" t="b">
        <v>1</v>
      </c>
    </row>
    <row r="3014" spans="1:9" x14ac:dyDescent="0.25">
      <c r="A3014" s="54" t="s">
        <v>624</v>
      </c>
      <c r="B3014" s="31" t="s">
        <v>638</v>
      </c>
      <c r="C3014" s="28" t="s">
        <v>1983</v>
      </c>
      <c r="D3014" s="28"/>
      <c r="E3014" s="28" t="s">
        <v>1974</v>
      </c>
      <c r="F3014" s="28" t="b">
        <v>0</v>
      </c>
      <c r="G3014" s="28">
        <v>200</v>
      </c>
      <c r="H3014" s="28" t="b">
        <v>1</v>
      </c>
      <c r="I3014" s="34"/>
    </row>
    <row r="3015" spans="1:9" x14ac:dyDescent="0.25">
      <c r="A3015" s="54" t="s">
        <v>624</v>
      </c>
      <c r="B3015" s="43" t="s">
        <v>638</v>
      </c>
      <c r="C3015" s="37" t="s">
        <v>1984</v>
      </c>
      <c r="D3015" s="37"/>
      <c r="E3015" s="37" t="s">
        <v>1974</v>
      </c>
      <c r="F3015" s="37" t="b">
        <v>0</v>
      </c>
      <c r="G3015" s="37">
        <v>200</v>
      </c>
      <c r="H3015" s="37" t="b">
        <v>1</v>
      </c>
    </row>
    <row r="3016" spans="1:9" x14ac:dyDescent="0.25">
      <c r="A3016" s="54" t="s">
        <v>624</v>
      </c>
      <c r="B3016" s="31" t="s">
        <v>647</v>
      </c>
      <c r="C3016" s="28" t="s">
        <v>1985</v>
      </c>
      <c r="D3016" s="28"/>
      <c r="E3016" s="28" t="s">
        <v>1974</v>
      </c>
      <c r="F3016" s="28" t="b">
        <v>0</v>
      </c>
      <c r="G3016" s="28">
        <v>200</v>
      </c>
      <c r="H3016" s="28" t="b">
        <v>1</v>
      </c>
      <c r="I3016" s="34"/>
    </row>
    <row r="3017" spans="1:9" ht="30" x14ac:dyDescent="0.25">
      <c r="A3017" s="54" t="s">
        <v>624</v>
      </c>
      <c r="B3017" s="43" t="s">
        <v>503</v>
      </c>
      <c r="C3017" s="37" t="s">
        <v>1986</v>
      </c>
      <c r="D3017" s="37"/>
      <c r="E3017" s="37" t="s">
        <v>1974</v>
      </c>
      <c r="F3017" s="37" t="b">
        <v>0</v>
      </c>
      <c r="G3017" s="37">
        <v>200</v>
      </c>
      <c r="H3017" s="37" t="b">
        <v>1</v>
      </c>
    </row>
    <row r="3018" spans="1:9" x14ac:dyDescent="0.25">
      <c r="A3018" s="54" t="s">
        <v>624</v>
      </c>
      <c r="B3018" s="31" t="s">
        <v>608</v>
      </c>
      <c r="C3018" s="28" t="s">
        <v>1987</v>
      </c>
      <c r="D3018" s="28"/>
      <c r="E3018" s="28" t="s">
        <v>1974</v>
      </c>
      <c r="F3018" s="28" t="b">
        <v>0</v>
      </c>
      <c r="G3018" s="28">
        <v>200</v>
      </c>
      <c r="H3018" s="28" t="b">
        <v>1</v>
      </c>
      <c r="I3018" s="34"/>
    </row>
    <row r="3019" spans="1:9" x14ac:dyDescent="0.25">
      <c r="A3019" s="54" t="s">
        <v>624</v>
      </c>
      <c r="B3019" s="43" t="s">
        <v>647</v>
      </c>
      <c r="C3019" s="37" t="s">
        <v>2010</v>
      </c>
      <c r="D3019" s="37"/>
      <c r="E3019" s="37" t="s">
        <v>1974</v>
      </c>
      <c r="F3019" s="37" t="b">
        <v>0</v>
      </c>
      <c r="G3019" s="37">
        <v>200</v>
      </c>
      <c r="H3019" s="37" t="b">
        <v>1</v>
      </c>
    </row>
    <row r="3020" spans="1:9" ht="30" x14ac:dyDescent="0.25">
      <c r="A3020" s="54" t="s">
        <v>624</v>
      </c>
      <c r="B3020" s="31" t="s">
        <v>2011</v>
      </c>
      <c r="C3020" s="28"/>
      <c r="D3020" s="28"/>
      <c r="E3020" s="28" t="s">
        <v>2012</v>
      </c>
      <c r="F3020" s="28" t="b">
        <v>0</v>
      </c>
      <c r="G3020" s="28"/>
      <c r="H3020" s="28" t="b">
        <v>1</v>
      </c>
      <c r="I3020" s="34"/>
    </row>
    <row r="3021" spans="1:9" ht="30" x14ac:dyDescent="0.25">
      <c r="A3021" s="54" t="s">
        <v>624</v>
      </c>
      <c r="B3021" s="43" t="s">
        <v>2013</v>
      </c>
      <c r="C3021" s="37"/>
      <c r="D3021" s="37"/>
      <c r="E3021" s="37" t="s">
        <v>2012</v>
      </c>
      <c r="F3021" s="37" t="b">
        <v>0</v>
      </c>
      <c r="G3021" s="37"/>
      <c r="H3021" s="37" t="b">
        <v>1</v>
      </c>
    </row>
    <row r="3022" spans="1:9" x14ac:dyDescent="0.25">
      <c r="A3022" s="54" t="s">
        <v>624</v>
      </c>
      <c r="B3022" s="31" t="s">
        <v>641</v>
      </c>
      <c r="C3022" s="28" t="s">
        <v>2014</v>
      </c>
      <c r="D3022" s="28"/>
      <c r="E3022" s="28" t="s">
        <v>1974</v>
      </c>
      <c r="F3022" s="28" t="b">
        <v>0</v>
      </c>
      <c r="G3022" s="28">
        <v>200</v>
      </c>
      <c r="H3022" s="28" t="b">
        <v>1</v>
      </c>
      <c r="I3022" s="34"/>
    </row>
    <row r="3023" spans="1:9" ht="30" x14ac:dyDescent="0.25">
      <c r="A3023" s="54" t="s">
        <v>624</v>
      </c>
      <c r="B3023" s="43" t="s">
        <v>2015</v>
      </c>
      <c r="C3023" s="37" t="s">
        <v>2016</v>
      </c>
      <c r="D3023" s="37"/>
      <c r="E3023" s="37" t="s">
        <v>1974</v>
      </c>
      <c r="F3023" s="37" t="b">
        <v>0</v>
      </c>
      <c r="G3023" s="37">
        <v>404</v>
      </c>
      <c r="H3023" s="37" t="b">
        <v>0</v>
      </c>
    </row>
    <row r="3024" spans="1:9" ht="30" x14ac:dyDescent="0.25">
      <c r="A3024" s="54" t="s">
        <v>624</v>
      </c>
      <c r="B3024" s="31" t="s">
        <v>2015</v>
      </c>
      <c r="C3024" s="28" t="s">
        <v>2017</v>
      </c>
      <c r="D3024" s="28"/>
      <c r="E3024" s="28" t="s">
        <v>1974</v>
      </c>
      <c r="F3024" s="28" t="b">
        <v>0</v>
      </c>
      <c r="G3024" s="28">
        <v>404</v>
      </c>
      <c r="H3024" s="28" t="b">
        <v>0</v>
      </c>
      <c r="I3024" s="34"/>
    </row>
    <row r="3025" spans="1:9" x14ac:dyDescent="0.25">
      <c r="A3025" s="54" t="s">
        <v>626</v>
      </c>
      <c r="B3025" s="43" t="s">
        <v>127</v>
      </c>
      <c r="C3025" s="37"/>
      <c r="D3025" s="37"/>
      <c r="E3025" s="37" t="s">
        <v>1974</v>
      </c>
      <c r="F3025" s="37" t="b">
        <v>0</v>
      </c>
      <c r="G3025" s="37">
        <v>200</v>
      </c>
      <c r="H3025" s="37" t="b">
        <v>1</v>
      </c>
    </row>
    <row r="3026" spans="1:9" x14ac:dyDescent="0.25">
      <c r="A3026" s="54" t="s">
        <v>626</v>
      </c>
      <c r="B3026" s="31" t="s">
        <v>127</v>
      </c>
      <c r="C3026" s="28" t="s">
        <v>1975</v>
      </c>
      <c r="D3026" s="28"/>
      <c r="E3026" s="28" t="s">
        <v>1974</v>
      </c>
      <c r="F3026" s="28" t="b">
        <v>0</v>
      </c>
      <c r="G3026" s="28">
        <v>200</v>
      </c>
      <c r="H3026" s="28" t="b">
        <v>1</v>
      </c>
      <c r="I3026" s="34"/>
    </row>
    <row r="3027" spans="1:9" x14ac:dyDescent="0.25">
      <c r="A3027" s="54" t="s">
        <v>626</v>
      </c>
      <c r="B3027" s="43" t="s">
        <v>135</v>
      </c>
      <c r="C3027" s="37" t="s">
        <v>1976</v>
      </c>
      <c r="D3027" s="37"/>
      <c r="E3027" s="37" t="s">
        <v>1974</v>
      </c>
      <c r="F3027" s="37" t="b">
        <v>0</v>
      </c>
      <c r="G3027" s="37">
        <v>200</v>
      </c>
      <c r="H3027" s="37" t="b">
        <v>1</v>
      </c>
    </row>
    <row r="3028" spans="1:9" x14ac:dyDescent="0.25">
      <c r="A3028" s="54" t="s">
        <v>626</v>
      </c>
      <c r="B3028" s="31" t="s">
        <v>655</v>
      </c>
      <c r="C3028" s="28" t="s">
        <v>1977</v>
      </c>
      <c r="D3028" s="28"/>
      <c r="E3028" s="28" t="s">
        <v>1974</v>
      </c>
      <c r="F3028" s="28" t="b">
        <v>0</v>
      </c>
      <c r="G3028" s="28">
        <v>200</v>
      </c>
      <c r="H3028" s="28" t="b">
        <v>1</v>
      </c>
      <c r="I3028" s="34"/>
    </row>
    <row r="3029" spans="1:9" x14ac:dyDescent="0.25">
      <c r="A3029" s="54" t="s">
        <v>626</v>
      </c>
      <c r="B3029" s="43" t="s">
        <v>635</v>
      </c>
      <c r="C3029" s="37" t="s">
        <v>1978</v>
      </c>
      <c r="D3029" s="37"/>
      <c r="E3029" s="37" t="s">
        <v>1974</v>
      </c>
      <c r="F3029" s="37" t="b">
        <v>0</v>
      </c>
      <c r="G3029" s="37">
        <v>200</v>
      </c>
      <c r="H3029" s="37" t="b">
        <v>1</v>
      </c>
    </row>
    <row r="3030" spans="1:9" ht="30" x14ac:dyDescent="0.25">
      <c r="A3030" s="54" t="s">
        <v>626</v>
      </c>
      <c r="B3030" s="31" t="s">
        <v>144</v>
      </c>
      <c r="C3030" s="28" t="s">
        <v>1979</v>
      </c>
      <c r="D3030" s="28"/>
      <c r="E3030" s="28" t="s">
        <v>1974</v>
      </c>
      <c r="F3030" s="28" t="b">
        <v>0</v>
      </c>
      <c r="G3030" s="28">
        <v>200</v>
      </c>
      <c r="H3030" s="28" t="b">
        <v>1</v>
      </c>
      <c r="I3030" s="34"/>
    </row>
    <row r="3031" spans="1:9" x14ac:dyDescent="0.25">
      <c r="A3031" s="54" t="s">
        <v>626</v>
      </c>
      <c r="B3031" s="43" t="s">
        <v>618</v>
      </c>
      <c r="C3031" s="37" t="s">
        <v>1980</v>
      </c>
      <c r="D3031" s="37"/>
      <c r="E3031" s="37" t="s">
        <v>1974</v>
      </c>
      <c r="F3031" s="37" t="b">
        <v>0</v>
      </c>
      <c r="G3031" s="37">
        <v>200</v>
      </c>
      <c r="H3031" s="37" t="b">
        <v>1</v>
      </c>
    </row>
    <row r="3032" spans="1:9" ht="30" x14ac:dyDescent="0.25">
      <c r="A3032" s="54" t="s">
        <v>626</v>
      </c>
      <c r="B3032" s="31" t="s">
        <v>585</v>
      </c>
      <c r="C3032" s="28" t="s">
        <v>1981</v>
      </c>
      <c r="D3032" s="28"/>
      <c r="E3032" s="28" t="s">
        <v>1974</v>
      </c>
      <c r="F3032" s="28" t="b">
        <v>0</v>
      </c>
      <c r="G3032" s="28">
        <v>200</v>
      </c>
      <c r="H3032" s="28" t="b">
        <v>1</v>
      </c>
      <c r="I3032" s="34"/>
    </row>
    <row r="3033" spans="1:9" ht="30" x14ac:dyDescent="0.25">
      <c r="A3033" s="54" t="s">
        <v>626</v>
      </c>
      <c r="B3033" s="43" t="s">
        <v>582</v>
      </c>
      <c r="C3033" s="37" t="s">
        <v>1982</v>
      </c>
      <c r="D3033" s="37"/>
      <c r="E3033" s="37" t="s">
        <v>1974</v>
      </c>
      <c r="F3033" s="37" t="b">
        <v>0</v>
      </c>
      <c r="G3033" s="37">
        <v>200</v>
      </c>
      <c r="H3033" s="37" t="b">
        <v>1</v>
      </c>
    </row>
    <row r="3034" spans="1:9" x14ac:dyDescent="0.25">
      <c r="A3034" s="54" t="s">
        <v>626</v>
      </c>
      <c r="B3034" s="31" t="s">
        <v>638</v>
      </c>
      <c r="C3034" s="28" t="s">
        <v>1983</v>
      </c>
      <c r="D3034" s="28"/>
      <c r="E3034" s="28" t="s">
        <v>1974</v>
      </c>
      <c r="F3034" s="28" t="b">
        <v>0</v>
      </c>
      <c r="G3034" s="28">
        <v>200</v>
      </c>
      <c r="H3034" s="28" t="b">
        <v>1</v>
      </c>
      <c r="I3034" s="34"/>
    </row>
    <row r="3035" spans="1:9" x14ac:dyDescent="0.25">
      <c r="A3035" s="54" t="s">
        <v>626</v>
      </c>
      <c r="B3035" s="43" t="s">
        <v>638</v>
      </c>
      <c r="C3035" s="37" t="s">
        <v>1984</v>
      </c>
      <c r="D3035" s="37"/>
      <c r="E3035" s="37" t="s">
        <v>1974</v>
      </c>
      <c r="F3035" s="37" t="b">
        <v>0</v>
      </c>
      <c r="G3035" s="37">
        <v>200</v>
      </c>
      <c r="H3035" s="37" t="b">
        <v>1</v>
      </c>
    </row>
    <row r="3036" spans="1:9" x14ac:dyDescent="0.25">
      <c r="A3036" s="54" t="s">
        <v>626</v>
      </c>
      <c r="B3036" s="31" t="s">
        <v>647</v>
      </c>
      <c r="C3036" s="28" t="s">
        <v>1985</v>
      </c>
      <c r="D3036" s="28"/>
      <c r="E3036" s="28" t="s">
        <v>1974</v>
      </c>
      <c r="F3036" s="28" t="b">
        <v>0</v>
      </c>
      <c r="G3036" s="28">
        <v>200</v>
      </c>
      <c r="H3036" s="28" t="b">
        <v>1</v>
      </c>
      <c r="I3036" s="34"/>
    </row>
    <row r="3037" spans="1:9" ht="30" x14ac:dyDescent="0.25">
      <c r="A3037" s="54" t="s">
        <v>626</v>
      </c>
      <c r="B3037" s="43" t="s">
        <v>503</v>
      </c>
      <c r="C3037" s="37" t="s">
        <v>1986</v>
      </c>
      <c r="D3037" s="37"/>
      <c r="E3037" s="37" t="s">
        <v>1974</v>
      </c>
      <c r="F3037" s="37" t="b">
        <v>0</v>
      </c>
      <c r="G3037" s="37">
        <v>200</v>
      </c>
      <c r="H3037" s="37" t="b">
        <v>1</v>
      </c>
    </row>
    <row r="3038" spans="1:9" x14ac:dyDescent="0.25">
      <c r="A3038" s="54" t="s">
        <v>626</v>
      </c>
      <c r="B3038" s="31" t="s">
        <v>608</v>
      </c>
      <c r="C3038" s="28" t="s">
        <v>1987</v>
      </c>
      <c r="D3038" s="28"/>
      <c r="E3038" s="28" t="s">
        <v>1974</v>
      </c>
      <c r="F3038" s="28" t="b">
        <v>0</v>
      </c>
      <c r="G3038" s="28">
        <v>200</v>
      </c>
      <c r="H3038" s="28" t="b">
        <v>1</v>
      </c>
      <c r="I3038" s="34"/>
    </row>
    <row r="3039" spans="1:9" x14ac:dyDescent="0.25">
      <c r="A3039" s="54" t="s">
        <v>626</v>
      </c>
      <c r="B3039" s="43" t="s">
        <v>127</v>
      </c>
      <c r="C3039" s="37" t="s">
        <v>1975</v>
      </c>
      <c r="D3039" s="37"/>
      <c r="E3039" s="37" t="s">
        <v>1974</v>
      </c>
      <c r="F3039" s="37" t="b">
        <v>0</v>
      </c>
      <c r="G3039" s="37">
        <v>200</v>
      </c>
      <c r="H3039" s="37" t="b">
        <v>1</v>
      </c>
    </row>
    <row r="3040" spans="1:9" x14ac:dyDescent="0.25">
      <c r="A3040" s="54" t="s">
        <v>626</v>
      </c>
      <c r="B3040" s="31" t="s">
        <v>135</v>
      </c>
      <c r="C3040" s="28" t="s">
        <v>1976</v>
      </c>
      <c r="D3040" s="28"/>
      <c r="E3040" s="28" t="s">
        <v>1974</v>
      </c>
      <c r="F3040" s="28" t="b">
        <v>0</v>
      </c>
      <c r="G3040" s="28">
        <v>200</v>
      </c>
      <c r="H3040" s="28" t="b">
        <v>1</v>
      </c>
      <c r="I3040" s="34"/>
    </row>
    <row r="3041" spans="1:9" x14ac:dyDescent="0.25">
      <c r="A3041" s="54" t="s">
        <v>626</v>
      </c>
      <c r="B3041" s="43" t="s">
        <v>655</v>
      </c>
      <c r="C3041" s="37" t="s">
        <v>1977</v>
      </c>
      <c r="D3041" s="37"/>
      <c r="E3041" s="37" t="s">
        <v>1974</v>
      </c>
      <c r="F3041" s="37" t="b">
        <v>0</v>
      </c>
      <c r="G3041" s="37">
        <v>200</v>
      </c>
      <c r="H3041" s="37" t="b">
        <v>1</v>
      </c>
    </row>
    <row r="3042" spans="1:9" x14ac:dyDescent="0.25">
      <c r="A3042" s="54" t="s">
        <v>626</v>
      </c>
      <c r="B3042" s="31" t="s">
        <v>635</v>
      </c>
      <c r="C3042" s="28" t="s">
        <v>1978</v>
      </c>
      <c r="D3042" s="28"/>
      <c r="E3042" s="28" t="s">
        <v>1974</v>
      </c>
      <c r="F3042" s="28" t="b">
        <v>0</v>
      </c>
      <c r="G3042" s="28">
        <v>200</v>
      </c>
      <c r="H3042" s="28" t="b">
        <v>1</v>
      </c>
      <c r="I3042" s="34"/>
    </row>
    <row r="3043" spans="1:9" ht="30" x14ac:dyDescent="0.25">
      <c r="A3043" s="54" t="s">
        <v>626</v>
      </c>
      <c r="B3043" s="43" t="s">
        <v>144</v>
      </c>
      <c r="C3043" s="37" t="s">
        <v>1979</v>
      </c>
      <c r="D3043" s="37"/>
      <c r="E3043" s="37" t="s">
        <v>1974</v>
      </c>
      <c r="F3043" s="37" t="b">
        <v>0</v>
      </c>
      <c r="G3043" s="37">
        <v>200</v>
      </c>
      <c r="H3043" s="37" t="b">
        <v>1</v>
      </c>
    </row>
    <row r="3044" spans="1:9" x14ac:dyDescent="0.25">
      <c r="A3044" s="54" t="s">
        <v>626</v>
      </c>
      <c r="B3044" s="31" t="s">
        <v>618</v>
      </c>
      <c r="C3044" s="28" t="s">
        <v>1980</v>
      </c>
      <c r="D3044" s="28"/>
      <c r="E3044" s="28" t="s">
        <v>1974</v>
      </c>
      <c r="F3044" s="28" t="b">
        <v>0</v>
      </c>
      <c r="G3044" s="28">
        <v>200</v>
      </c>
      <c r="H3044" s="28" t="b">
        <v>1</v>
      </c>
      <c r="I3044" s="34"/>
    </row>
    <row r="3045" spans="1:9" ht="30" x14ac:dyDescent="0.25">
      <c r="A3045" s="54" t="s">
        <v>626</v>
      </c>
      <c r="B3045" s="43" t="s">
        <v>585</v>
      </c>
      <c r="C3045" s="37" t="s">
        <v>1981</v>
      </c>
      <c r="D3045" s="37"/>
      <c r="E3045" s="37" t="s">
        <v>1974</v>
      </c>
      <c r="F3045" s="37" t="b">
        <v>0</v>
      </c>
      <c r="G3045" s="37">
        <v>200</v>
      </c>
      <c r="H3045" s="37" t="b">
        <v>1</v>
      </c>
    </row>
    <row r="3046" spans="1:9" ht="30" x14ac:dyDescent="0.25">
      <c r="A3046" s="54" t="s">
        <v>626</v>
      </c>
      <c r="B3046" s="31" t="s">
        <v>582</v>
      </c>
      <c r="C3046" s="28" t="s">
        <v>1982</v>
      </c>
      <c r="D3046" s="28"/>
      <c r="E3046" s="28" t="s">
        <v>1974</v>
      </c>
      <c r="F3046" s="28" t="b">
        <v>0</v>
      </c>
      <c r="G3046" s="28">
        <v>200</v>
      </c>
      <c r="H3046" s="28" t="b">
        <v>1</v>
      </c>
      <c r="I3046" s="34"/>
    </row>
    <row r="3047" spans="1:9" x14ac:dyDescent="0.25">
      <c r="A3047" s="54" t="s">
        <v>626</v>
      </c>
      <c r="B3047" s="43" t="s">
        <v>638</v>
      </c>
      <c r="C3047" s="37" t="s">
        <v>1983</v>
      </c>
      <c r="D3047" s="37"/>
      <c r="E3047" s="37" t="s">
        <v>1974</v>
      </c>
      <c r="F3047" s="37" t="b">
        <v>0</v>
      </c>
      <c r="G3047" s="37">
        <v>200</v>
      </c>
      <c r="H3047" s="37" t="b">
        <v>1</v>
      </c>
    </row>
    <row r="3048" spans="1:9" x14ac:dyDescent="0.25">
      <c r="A3048" s="54" t="s">
        <v>626</v>
      </c>
      <c r="B3048" s="31" t="s">
        <v>638</v>
      </c>
      <c r="C3048" s="28" t="s">
        <v>1984</v>
      </c>
      <c r="D3048" s="28"/>
      <c r="E3048" s="28" t="s">
        <v>1974</v>
      </c>
      <c r="F3048" s="28" t="b">
        <v>0</v>
      </c>
      <c r="G3048" s="28">
        <v>200</v>
      </c>
      <c r="H3048" s="28" t="b">
        <v>1</v>
      </c>
      <c r="I3048" s="34"/>
    </row>
    <row r="3049" spans="1:9" x14ac:dyDescent="0.25">
      <c r="A3049" s="54" t="s">
        <v>626</v>
      </c>
      <c r="B3049" s="43" t="s">
        <v>647</v>
      </c>
      <c r="C3049" s="37" t="s">
        <v>1985</v>
      </c>
      <c r="D3049" s="37"/>
      <c r="E3049" s="37" t="s">
        <v>1974</v>
      </c>
      <c r="F3049" s="37" t="b">
        <v>0</v>
      </c>
      <c r="G3049" s="37">
        <v>200</v>
      </c>
      <c r="H3049" s="37" t="b">
        <v>1</v>
      </c>
    </row>
    <row r="3050" spans="1:9" ht="30" x14ac:dyDescent="0.25">
      <c r="A3050" s="54" t="s">
        <v>626</v>
      </c>
      <c r="B3050" s="31" t="s">
        <v>503</v>
      </c>
      <c r="C3050" s="28" t="s">
        <v>1986</v>
      </c>
      <c r="D3050" s="28"/>
      <c r="E3050" s="28" t="s">
        <v>1974</v>
      </c>
      <c r="F3050" s="28" t="b">
        <v>0</v>
      </c>
      <c r="G3050" s="28">
        <v>200</v>
      </c>
      <c r="H3050" s="28" t="b">
        <v>1</v>
      </c>
      <c r="I3050" s="34"/>
    </row>
    <row r="3051" spans="1:9" x14ac:dyDescent="0.25">
      <c r="A3051" s="54" t="s">
        <v>626</v>
      </c>
      <c r="B3051" s="43" t="s">
        <v>608</v>
      </c>
      <c r="C3051" s="37" t="s">
        <v>1987</v>
      </c>
      <c r="D3051" s="37"/>
      <c r="E3051" s="37" t="s">
        <v>1974</v>
      </c>
      <c r="F3051" s="37" t="b">
        <v>0</v>
      </c>
      <c r="G3051" s="37">
        <v>200</v>
      </c>
      <c r="H3051" s="37" t="b">
        <v>1</v>
      </c>
    </row>
    <row r="3052" spans="1:9" x14ac:dyDescent="0.25">
      <c r="A3052" s="54" t="s">
        <v>626</v>
      </c>
      <c r="B3052" s="31" t="s">
        <v>2900</v>
      </c>
      <c r="C3052" s="28" t="s">
        <v>2901</v>
      </c>
      <c r="D3052" s="28" t="s">
        <v>2880</v>
      </c>
      <c r="E3052" s="28" t="s">
        <v>2012</v>
      </c>
      <c r="F3052" s="28" t="b">
        <v>0</v>
      </c>
      <c r="G3052" s="28"/>
      <c r="H3052" s="28" t="b">
        <v>1</v>
      </c>
      <c r="I3052" s="34"/>
    </row>
    <row r="3053" spans="1:9" x14ac:dyDescent="0.25">
      <c r="A3053" s="54" t="s">
        <v>626</v>
      </c>
      <c r="B3053" s="43" t="s">
        <v>2853</v>
      </c>
      <c r="C3053" s="37" t="s">
        <v>2854</v>
      </c>
      <c r="D3053" s="37"/>
      <c r="E3053" s="37" t="s">
        <v>2012</v>
      </c>
      <c r="F3053" s="37" t="b">
        <v>0</v>
      </c>
      <c r="G3053" s="37"/>
      <c r="H3053" s="37" t="b">
        <v>1</v>
      </c>
    </row>
    <row r="3054" spans="1:9" ht="45" x14ac:dyDescent="0.25">
      <c r="A3054" s="54" t="s">
        <v>626</v>
      </c>
      <c r="B3054" s="31" t="s">
        <v>2902</v>
      </c>
      <c r="C3054" s="28" t="s">
        <v>2903</v>
      </c>
      <c r="D3054" s="28"/>
      <c r="E3054" s="28" t="s">
        <v>1974</v>
      </c>
      <c r="F3054" s="28" t="b">
        <v>0</v>
      </c>
      <c r="G3054" s="28">
        <v>200</v>
      </c>
      <c r="H3054" s="28" t="b">
        <v>1</v>
      </c>
      <c r="I3054" s="34"/>
    </row>
    <row r="3055" spans="1:9" x14ac:dyDescent="0.25">
      <c r="A3055" s="54" t="s">
        <v>626</v>
      </c>
      <c r="B3055" s="43" t="s">
        <v>647</v>
      </c>
      <c r="C3055" s="37" t="s">
        <v>2010</v>
      </c>
      <c r="D3055" s="37"/>
      <c r="E3055" s="37" t="s">
        <v>1974</v>
      </c>
      <c r="F3055" s="37" t="b">
        <v>0</v>
      </c>
      <c r="G3055" s="37">
        <v>200</v>
      </c>
      <c r="H3055" s="37" t="b">
        <v>1</v>
      </c>
    </row>
    <row r="3056" spans="1:9" ht="30" x14ac:dyDescent="0.25">
      <c r="A3056" s="54" t="s">
        <v>626</v>
      </c>
      <c r="B3056" s="31" t="s">
        <v>2011</v>
      </c>
      <c r="C3056" s="28"/>
      <c r="D3056" s="28"/>
      <c r="E3056" s="28" t="s">
        <v>2012</v>
      </c>
      <c r="F3056" s="28" t="b">
        <v>0</v>
      </c>
      <c r="G3056" s="28"/>
      <c r="H3056" s="28" t="b">
        <v>1</v>
      </c>
      <c r="I3056" s="34"/>
    </row>
    <row r="3057" spans="1:9" ht="30" x14ac:dyDescent="0.25">
      <c r="A3057" s="54" t="s">
        <v>626</v>
      </c>
      <c r="B3057" s="43" t="s">
        <v>2013</v>
      </c>
      <c r="C3057" s="37"/>
      <c r="D3057" s="37"/>
      <c r="E3057" s="37" t="s">
        <v>2012</v>
      </c>
      <c r="F3057" s="37" t="b">
        <v>0</v>
      </c>
      <c r="G3057" s="37"/>
      <c r="H3057" s="37" t="b">
        <v>1</v>
      </c>
    </row>
    <row r="3058" spans="1:9" x14ac:dyDescent="0.25">
      <c r="A3058" s="54" t="s">
        <v>626</v>
      </c>
      <c r="B3058" s="31" t="s">
        <v>641</v>
      </c>
      <c r="C3058" s="28" t="s">
        <v>2014</v>
      </c>
      <c r="D3058" s="28"/>
      <c r="E3058" s="28" t="s">
        <v>1974</v>
      </c>
      <c r="F3058" s="28" t="b">
        <v>0</v>
      </c>
      <c r="G3058" s="28">
        <v>200</v>
      </c>
      <c r="H3058" s="28" t="b">
        <v>1</v>
      </c>
      <c r="I3058" s="34"/>
    </row>
    <row r="3059" spans="1:9" ht="30" x14ac:dyDescent="0.25">
      <c r="A3059" s="54" t="s">
        <v>626</v>
      </c>
      <c r="B3059" s="43" t="s">
        <v>2015</v>
      </c>
      <c r="C3059" s="37" t="s">
        <v>2016</v>
      </c>
      <c r="D3059" s="37"/>
      <c r="E3059" s="37" t="s">
        <v>1974</v>
      </c>
      <c r="F3059" s="37" t="b">
        <v>0</v>
      </c>
      <c r="G3059" s="37">
        <v>404</v>
      </c>
      <c r="H3059" s="37" t="b">
        <v>0</v>
      </c>
    </row>
    <row r="3060" spans="1:9" ht="30" x14ac:dyDescent="0.25">
      <c r="A3060" s="54" t="s">
        <v>626</v>
      </c>
      <c r="B3060" s="31" t="s">
        <v>2015</v>
      </c>
      <c r="C3060" s="28" t="s">
        <v>2017</v>
      </c>
      <c r="D3060" s="28"/>
      <c r="E3060" s="28" t="s">
        <v>1974</v>
      </c>
      <c r="F3060" s="28" t="b">
        <v>0</v>
      </c>
      <c r="G3060" s="28">
        <v>404</v>
      </c>
      <c r="H3060" s="28" t="b">
        <v>0</v>
      </c>
      <c r="I3060" s="34"/>
    </row>
    <row r="3061" spans="1:9" ht="30" x14ac:dyDescent="0.25">
      <c r="A3061" s="54" t="s">
        <v>629</v>
      </c>
      <c r="B3061" s="43" t="s">
        <v>127</v>
      </c>
      <c r="C3061" s="37"/>
      <c r="D3061" s="37"/>
      <c r="E3061" s="37" t="s">
        <v>1974</v>
      </c>
      <c r="F3061" s="37" t="b">
        <v>0</v>
      </c>
      <c r="G3061" s="37">
        <v>200</v>
      </c>
      <c r="H3061" s="37" t="b">
        <v>1</v>
      </c>
    </row>
    <row r="3062" spans="1:9" ht="30" x14ac:dyDescent="0.25">
      <c r="A3062" s="54" t="s">
        <v>629</v>
      </c>
      <c r="B3062" s="31" t="s">
        <v>127</v>
      </c>
      <c r="C3062" s="28" t="s">
        <v>1975</v>
      </c>
      <c r="D3062" s="28"/>
      <c r="E3062" s="28" t="s">
        <v>1974</v>
      </c>
      <c r="F3062" s="28" t="b">
        <v>0</v>
      </c>
      <c r="G3062" s="28">
        <v>200</v>
      </c>
      <c r="H3062" s="28" t="b">
        <v>1</v>
      </c>
      <c r="I3062" s="34"/>
    </row>
    <row r="3063" spans="1:9" ht="30" x14ac:dyDescent="0.25">
      <c r="A3063" s="54" t="s">
        <v>629</v>
      </c>
      <c r="B3063" s="43" t="s">
        <v>135</v>
      </c>
      <c r="C3063" s="37" t="s">
        <v>1976</v>
      </c>
      <c r="D3063" s="37"/>
      <c r="E3063" s="37" t="s">
        <v>1974</v>
      </c>
      <c r="F3063" s="37" t="b">
        <v>0</v>
      </c>
      <c r="G3063" s="37">
        <v>200</v>
      </c>
      <c r="H3063" s="37" t="b">
        <v>1</v>
      </c>
    </row>
    <row r="3064" spans="1:9" ht="30" x14ac:dyDescent="0.25">
      <c r="A3064" s="54" t="s">
        <v>629</v>
      </c>
      <c r="B3064" s="31" t="s">
        <v>655</v>
      </c>
      <c r="C3064" s="28" t="s">
        <v>1977</v>
      </c>
      <c r="D3064" s="28"/>
      <c r="E3064" s="28" t="s">
        <v>1974</v>
      </c>
      <c r="F3064" s="28" t="b">
        <v>0</v>
      </c>
      <c r="G3064" s="28">
        <v>200</v>
      </c>
      <c r="H3064" s="28" t="b">
        <v>1</v>
      </c>
      <c r="I3064" s="34"/>
    </row>
    <row r="3065" spans="1:9" ht="30" x14ac:dyDescent="0.25">
      <c r="A3065" s="54" t="s">
        <v>629</v>
      </c>
      <c r="B3065" s="43" t="s">
        <v>635</v>
      </c>
      <c r="C3065" s="37" t="s">
        <v>1978</v>
      </c>
      <c r="D3065" s="37"/>
      <c r="E3065" s="37" t="s">
        <v>1974</v>
      </c>
      <c r="F3065" s="37" t="b">
        <v>0</v>
      </c>
      <c r="G3065" s="37">
        <v>200</v>
      </c>
      <c r="H3065" s="37" t="b">
        <v>1</v>
      </c>
    </row>
    <row r="3066" spans="1:9" ht="30" x14ac:dyDescent="0.25">
      <c r="A3066" s="54" t="s">
        <v>629</v>
      </c>
      <c r="B3066" s="31" t="s">
        <v>144</v>
      </c>
      <c r="C3066" s="28" t="s">
        <v>1979</v>
      </c>
      <c r="D3066" s="28"/>
      <c r="E3066" s="28" t="s">
        <v>1974</v>
      </c>
      <c r="F3066" s="28" t="b">
        <v>0</v>
      </c>
      <c r="G3066" s="28">
        <v>200</v>
      </c>
      <c r="H3066" s="28" t="b">
        <v>1</v>
      </c>
      <c r="I3066" s="34"/>
    </row>
    <row r="3067" spans="1:9" ht="30" x14ac:dyDescent="0.25">
      <c r="A3067" s="54" t="s">
        <v>629</v>
      </c>
      <c r="B3067" s="43" t="s">
        <v>618</v>
      </c>
      <c r="C3067" s="37" t="s">
        <v>1980</v>
      </c>
      <c r="D3067" s="37"/>
      <c r="E3067" s="37" t="s">
        <v>1974</v>
      </c>
      <c r="F3067" s="37" t="b">
        <v>0</v>
      </c>
      <c r="G3067" s="37">
        <v>200</v>
      </c>
      <c r="H3067" s="37" t="b">
        <v>1</v>
      </c>
    </row>
    <row r="3068" spans="1:9" ht="30" x14ac:dyDescent="0.25">
      <c r="A3068" s="54" t="s">
        <v>629</v>
      </c>
      <c r="B3068" s="31" t="s">
        <v>585</v>
      </c>
      <c r="C3068" s="28" t="s">
        <v>1981</v>
      </c>
      <c r="D3068" s="28"/>
      <c r="E3068" s="28" t="s">
        <v>1974</v>
      </c>
      <c r="F3068" s="28" t="b">
        <v>0</v>
      </c>
      <c r="G3068" s="28">
        <v>200</v>
      </c>
      <c r="H3068" s="28" t="b">
        <v>1</v>
      </c>
      <c r="I3068" s="34"/>
    </row>
    <row r="3069" spans="1:9" ht="30" x14ac:dyDescent="0.25">
      <c r="A3069" s="54" t="s">
        <v>629</v>
      </c>
      <c r="B3069" s="43" t="s">
        <v>582</v>
      </c>
      <c r="C3069" s="37" t="s">
        <v>1982</v>
      </c>
      <c r="D3069" s="37"/>
      <c r="E3069" s="37" t="s">
        <v>1974</v>
      </c>
      <c r="F3069" s="37" t="b">
        <v>0</v>
      </c>
      <c r="G3069" s="37">
        <v>200</v>
      </c>
      <c r="H3069" s="37" t="b">
        <v>1</v>
      </c>
    </row>
    <row r="3070" spans="1:9" ht="30" x14ac:dyDescent="0.25">
      <c r="A3070" s="54" t="s">
        <v>629</v>
      </c>
      <c r="B3070" s="31" t="s">
        <v>638</v>
      </c>
      <c r="C3070" s="28" t="s">
        <v>1983</v>
      </c>
      <c r="D3070" s="28"/>
      <c r="E3070" s="28" t="s">
        <v>1974</v>
      </c>
      <c r="F3070" s="28" t="b">
        <v>0</v>
      </c>
      <c r="G3070" s="28">
        <v>200</v>
      </c>
      <c r="H3070" s="28" t="b">
        <v>1</v>
      </c>
      <c r="I3070" s="34"/>
    </row>
    <row r="3071" spans="1:9" ht="30" x14ac:dyDescent="0.25">
      <c r="A3071" s="54" t="s">
        <v>629</v>
      </c>
      <c r="B3071" s="43" t="s">
        <v>638</v>
      </c>
      <c r="C3071" s="37" t="s">
        <v>1984</v>
      </c>
      <c r="D3071" s="37"/>
      <c r="E3071" s="37" t="s">
        <v>1974</v>
      </c>
      <c r="F3071" s="37" t="b">
        <v>0</v>
      </c>
      <c r="G3071" s="37">
        <v>200</v>
      </c>
      <c r="H3071" s="37" t="b">
        <v>1</v>
      </c>
    </row>
    <row r="3072" spans="1:9" ht="30" x14ac:dyDescent="0.25">
      <c r="A3072" s="54" t="s">
        <v>629</v>
      </c>
      <c r="B3072" s="31" t="s">
        <v>647</v>
      </c>
      <c r="C3072" s="28" t="s">
        <v>1985</v>
      </c>
      <c r="D3072" s="28"/>
      <c r="E3072" s="28" t="s">
        <v>1974</v>
      </c>
      <c r="F3072" s="28" t="b">
        <v>0</v>
      </c>
      <c r="G3072" s="28">
        <v>200</v>
      </c>
      <c r="H3072" s="28" t="b">
        <v>1</v>
      </c>
      <c r="I3072" s="34"/>
    </row>
    <row r="3073" spans="1:9" ht="30" x14ac:dyDescent="0.25">
      <c r="A3073" s="54" t="s">
        <v>629</v>
      </c>
      <c r="B3073" s="43" t="s">
        <v>503</v>
      </c>
      <c r="C3073" s="37" t="s">
        <v>1986</v>
      </c>
      <c r="D3073" s="37"/>
      <c r="E3073" s="37" t="s">
        <v>1974</v>
      </c>
      <c r="F3073" s="37" t="b">
        <v>0</v>
      </c>
      <c r="G3073" s="37">
        <v>200</v>
      </c>
      <c r="H3073" s="37" t="b">
        <v>1</v>
      </c>
    </row>
    <row r="3074" spans="1:9" ht="30" x14ac:dyDescent="0.25">
      <c r="A3074" s="54" t="s">
        <v>629</v>
      </c>
      <c r="B3074" s="31" t="s">
        <v>608</v>
      </c>
      <c r="C3074" s="28" t="s">
        <v>1987</v>
      </c>
      <c r="D3074" s="28"/>
      <c r="E3074" s="28" t="s">
        <v>1974</v>
      </c>
      <c r="F3074" s="28" t="b">
        <v>0</v>
      </c>
      <c r="G3074" s="28">
        <v>200</v>
      </c>
      <c r="H3074" s="28" t="b">
        <v>1</v>
      </c>
      <c r="I3074" s="34"/>
    </row>
    <row r="3075" spans="1:9" ht="30" x14ac:dyDescent="0.25">
      <c r="A3075" s="54" t="s">
        <v>629</v>
      </c>
      <c r="B3075" s="43" t="s">
        <v>127</v>
      </c>
      <c r="C3075" s="37" t="s">
        <v>1975</v>
      </c>
      <c r="D3075" s="37"/>
      <c r="E3075" s="37" t="s">
        <v>1974</v>
      </c>
      <c r="F3075" s="37" t="b">
        <v>0</v>
      </c>
      <c r="G3075" s="37">
        <v>200</v>
      </c>
      <c r="H3075" s="37" t="b">
        <v>1</v>
      </c>
    </row>
    <row r="3076" spans="1:9" ht="30" x14ac:dyDescent="0.25">
      <c r="A3076" s="54" t="s">
        <v>629</v>
      </c>
      <c r="B3076" s="31" t="s">
        <v>135</v>
      </c>
      <c r="C3076" s="28" t="s">
        <v>1976</v>
      </c>
      <c r="D3076" s="28"/>
      <c r="E3076" s="28" t="s">
        <v>1974</v>
      </c>
      <c r="F3076" s="28" t="b">
        <v>0</v>
      </c>
      <c r="G3076" s="28">
        <v>200</v>
      </c>
      <c r="H3076" s="28" t="b">
        <v>1</v>
      </c>
      <c r="I3076" s="34"/>
    </row>
    <row r="3077" spans="1:9" ht="30" x14ac:dyDescent="0.25">
      <c r="A3077" s="54" t="s">
        <v>629</v>
      </c>
      <c r="B3077" s="43" t="s">
        <v>655</v>
      </c>
      <c r="C3077" s="37" t="s">
        <v>1977</v>
      </c>
      <c r="D3077" s="37"/>
      <c r="E3077" s="37" t="s">
        <v>1974</v>
      </c>
      <c r="F3077" s="37" t="b">
        <v>0</v>
      </c>
      <c r="G3077" s="37">
        <v>200</v>
      </c>
      <c r="H3077" s="37" t="b">
        <v>1</v>
      </c>
    </row>
    <row r="3078" spans="1:9" ht="30" x14ac:dyDescent="0.25">
      <c r="A3078" s="54" t="s">
        <v>629</v>
      </c>
      <c r="B3078" s="31" t="s">
        <v>635</v>
      </c>
      <c r="C3078" s="28" t="s">
        <v>1978</v>
      </c>
      <c r="D3078" s="28"/>
      <c r="E3078" s="28" t="s">
        <v>1974</v>
      </c>
      <c r="F3078" s="28" t="b">
        <v>0</v>
      </c>
      <c r="G3078" s="28">
        <v>200</v>
      </c>
      <c r="H3078" s="28" t="b">
        <v>1</v>
      </c>
      <c r="I3078" s="34"/>
    </row>
    <row r="3079" spans="1:9" ht="30" x14ac:dyDescent="0.25">
      <c r="A3079" s="54" t="s">
        <v>629</v>
      </c>
      <c r="B3079" s="43" t="s">
        <v>144</v>
      </c>
      <c r="C3079" s="37" t="s">
        <v>1979</v>
      </c>
      <c r="D3079" s="37"/>
      <c r="E3079" s="37" t="s">
        <v>1974</v>
      </c>
      <c r="F3079" s="37" t="b">
        <v>0</v>
      </c>
      <c r="G3079" s="37">
        <v>200</v>
      </c>
      <c r="H3079" s="37" t="b">
        <v>1</v>
      </c>
    </row>
    <row r="3080" spans="1:9" ht="30" x14ac:dyDescent="0.25">
      <c r="A3080" s="54" t="s">
        <v>629</v>
      </c>
      <c r="B3080" s="31" t="s">
        <v>618</v>
      </c>
      <c r="C3080" s="28" t="s">
        <v>1980</v>
      </c>
      <c r="D3080" s="28"/>
      <c r="E3080" s="28" t="s">
        <v>1974</v>
      </c>
      <c r="F3080" s="28" t="b">
        <v>0</v>
      </c>
      <c r="G3080" s="28">
        <v>200</v>
      </c>
      <c r="H3080" s="28" t="b">
        <v>1</v>
      </c>
      <c r="I3080" s="34"/>
    </row>
    <row r="3081" spans="1:9" ht="30" x14ac:dyDescent="0.25">
      <c r="A3081" s="54" t="s">
        <v>629</v>
      </c>
      <c r="B3081" s="43" t="s">
        <v>585</v>
      </c>
      <c r="C3081" s="37" t="s">
        <v>1981</v>
      </c>
      <c r="D3081" s="37"/>
      <c r="E3081" s="37" t="s">
        <v>1974</v>
      </c>
      <c r="F3081" s="37" t="b">
        <v>0</v>
      </c>
      <c r="G3081" s="37">
        <v>200</v>
      </c>
      <c r="H3081" s="37" t="b">
        <v>1</v>
      </c>
    </row>
    <row r="3082" spans="1:9" ht="30" x14ac:dyDescent="0.25">
      <c r="A3082" s="54" t="s">
        <v>629</v>
      </c>
      <c r="B3082" s="31" t="s">
        <v>582</v>
      </c>
      <c r="C3082" s="28" t="s">
        <v>1982</v>
      </c>
      <c r="D3082" s="28"/>
      <c r="E3082" s="28" t="s">
        <v>1974</v>
      </c>
      <c r="F3082" s="28" t="b">
        <v>0</v>
      </c>
      <c r="G3082" s="28">
        <v>200</v>
      </c>
      <c r="H3082" s="28" t="b">
        <v>1</v>
      </c>
      <c r="I3082" s="34"/>
    </row>
    <row r="3083" spans="1:9" ht="30" x14ac:dyDescent="0.25">
      <c r="A3083" s="54" t="s">
        <v>629</v>
      </c>
      <c r="B3083" s="43" t="s">
        <v>638</v>
      </c>
      <c r="C3083" s="37" t="s">
        <v>1983</v>
      </c>
      <c r="D3083" s="37"/>
      <c r="E3083" s="37" t="s">
        <v>1974</v>
      </c>
      <c r="F3083" s="37" t="b">
        <v>0</v>
      </c>
      <c r="G3083" s="37">
        <v>200</v>
      </c>
      <c r="H3083" s="37" t="b">
        <v>1</v>
      </c>
    </row>
    <row r="3084" spans="1:9" ht="30" x14ac:dyDescent="0.25">
      <c r="A3084" s="54" t="s">
        <v>629</v>
      </c>
      <c r="B3084" s="31" t="s">
        <v>638</v>
      </c>
      <c r="C3084" s="28" t="s">
        <v>1984</v>
      </c>
      <c r="D3084" s="28"/>
      <c r="E3084" s="28" t="s">
        <v>1974</v>
      </c>
      <c r="F3084" s="28" t="b">
        <v>0</v>
      </c>
      <c r="G3084" s="28">
        <v>200</v>
      </c>
      <c r="H3084" s="28" t="b">
        <v>1</v>
      </c>
      <c r="I3084" s="34"/>
    </row>
    <row r="3085" spans="1:9" ht="30" x14ac:dyDescent="0.25">
      <c r="A3085" s="54" t="s">
        <v>629</v>
      </c>
      <c r="B3085" s="43" t="s">
        <v>647</v>
      </c>
      <c r="C3085" s="37" t="s">
        <v>1985</v>
      </c>
      <c r="D3085" s="37"/>
      <c r="E3085" s="37" t="s">
        <v>1974</v>
      </c>
      <c r="F3085" s="37" t="b">
        <v>0</v>
      </c>
      <c r="G3085" s="37">
        <v>200</v>
      </c>
      <c r="H3085" s="37" t="b">
        <v>1</v>
      </c>
    </row>
    <row r="3086" spans="1:9" ht="30" x14ac:dyDescent="0.25">
      <c r="A3086" s="54" t="s">
        <v>629</v>
      </c>
      <c r="B3086" s="31" t="s">
        <v>503</v>
      </c>
      <c r="C3086" s="28" t="s">
        <v>1986</v>
      </c>
      <c r="D3086" s="28"/>
      <c r="E3086" s="28" t="s">
        <v>1974</v>
      </c>
      <c r="F3086" s="28" t="b">
        <v>0</v>
      </c>
      <c r="G3086" s="28">
        <v>200</v>
      </c>
      <c r="H3086" s="28" t="b">
        <v>1</v>
      </c>
      <c r="I3086" s="34"/>
    </row>
    <row r="3087" spans="1:9" ht="30" x14ac:dyDescent="0.25">
      <c r="A3087" s="54" t="s">
        <v>629</v>
      </c>
      <c r="B3087" s="43" t="s">
        <v>608</v>
      </c>
      <c r="C3087" s="37" t="s">
        <v>1987</v>
      </c>
      <c r="D3087" s="37"/>
      <c r="E3087" s="37" t="s">
        <v>1974</v>
      </c>
      <c r="F3087" s="37" t="b">
        <v>0</v>
      </c>
      <c r="G3087" s="37">
        <v>200</v>
      </c>
      <c r="H3087" s="37" t="b">
        <v>1</v>
      </c>
    </row>
    <row r="3088" spans="1:9" ht="30" x14ac:dyDescent="0.25">
      <c r="A3088" s="54" t="s">
        <v>629</v>
      </c>
      <c r="B3088" s="31" t="s">
        <v>647</v>
      </c>
      <c r="C3088" s="28" t="s">
        <v>2010</v>
      </c>
      <c r="D3088" s="28"/>
      <c r="E3088" s="28" t="s">
        <v>1974</v>
      </c>
      <c r="F3088" s="28" t="b">
        <v>0</v>
      </c>
      <c r="G3088" s="28">
        <v>200</v>
      </c>
      <c r="H3088" s="28" t="b">
        <v>1</v>
      </c>
      <c r="I3088" s="34"/>
    </row>
    <row r="3089" spans="1:9" ht="30" x14ac:dyDescent="0.25">
      <c r="A3089" s="54" t="s">
        <v>629</v>
      </c>
      <c r="B3089" s="43" t="s">
        <v>2011</v>
      </c>
      <c r="C3089" s="37"/>
      <c r="D3089" s="37"/>
      <c r="E3089" s="37" t="s">
        <v>2012</v>
      </c>
      <c r="F3089" s="37" t="b">
        <v>0</v>
      </c>
      <c r="G3089" s="37"/>
      <c r="H3089" s="37" t="b">
        <v>1</v>
      </c>
    </row>
    <row r="3090" spans="1:9" ht="30" x14ac:dyDescent="0.25">
      <c r="A3090" s="54" t="s">
        <v>629</v>
      </c>
      <c r="B3090" s="31" t="s">
        <v>2013</v>
      </c>
      <c r="C3090" s="28"/>
      <c r="D3090" s="28"/>
      <c r="E3090" s="28" t="s">
        <v>2012</v>
      </c>
      <c r="F3090" s="28" t="b">
        <v>0</v>
      </c>
      <c r="G3090" s="28"/>
      <c r="H3090" s="28" t="b">
        <v>1</v>
      </c>
      <c r="I3090" s="34"/>
    </row>
    <row r="3091" spans="1:9" ht="30" x14ac:dyDescent="0.25">
      <c r="A3091" s="54" t="s">
        <v>629</v>
      </c>
      <c r="B3091" s="43" t="s">
        <v>641</v>
      </c>
      <c r="C3091" s="37" t="s">
        <v>2014</v>
      </c>
      <c r="D3091" s="37"/>
      <c r="E3091" s="37" t="s">
        <v>1974</v>
      </c>
      <c r="F3091" s="37" t="b">
        <v>0</v>
      </c>
      <c r="G3091" s="37">
        <v>200</v>
      </c>
      <c r="H3091" s="37" t="b">
        <v>1</v>
      </c>
    </row>
    <row r="3092" spans="1:9" ht="30" x14ac:dyDescent="0.25">
      <c r="A3092" s="54" t="s">
        <v>629</v>
      </c>
      <c r="B3092" s="31" t="s">
        <v>2015</v>
      </c>
      <c r="C3092" s="28" t="s">
        <v>2016</v>
      </c>
      <c r="D3092" s="28"/>
      <c r="E3092" s="28" t="s">
        <v>1974</v>
      </c>
      <c r="F3092" s="28" t="b">
        <v>0</v>
      </c>
      <c r="G3092" s="28">
        <v>404</v>
      </c>
      <c r="H3092" s="28" t="b">
        <v>0</v>
      </c>
      <c r="I3092" s="34"/>
    </row>
    <row r="3093" spans="1:9" ht="30" x14ac:dyDescent="0.25">
      <c r="A3093" s="54" t="s">
        <v>629</v>
      </c>
      <c r="B3093" s="43" t="s">
        <v>2015</v>
      </c>
      <c r="C3093" s="37" t="s">
        <v>2017</v>
      </c>
      <c r="D3093" s="37"/>
      <c r="E3093" s="37" t="s">
        <v>1974</v>
      </c>
      <c r="F3093" s="37" t="b">
        <v>0</v>
      </c>
      <c r="G3093" s="37">
        <v>404</v>
      </c>
      <c r="H3093" s="37" t="b">
        <v>0</v>
      </c>
    </row>
    <row r="3094" spans="1:9" ht="30" x14ac:dyDescent="0.25">
      <c r="A3094" s="54" t="s">
        <v>632</v>
      </c>
      <c r="B3094" s="31" t="s">
        <v>127</v>
      </c>
      <c r="C3094" s="28" t="s">
        <v>1975</v>
      </c>
      <c r="D3094" s="28"/>
      <c r="E3094" s="28" t="s">
        <v>1974</v>
      </c>
      <c r="F3094" s="28" t="b">
        <v>0</v>
      </c>
      <c r="G3094" s="28">
        <v>200</v>
      </c>
      <c r="H3094" s="28" t="b">
        <v>1</v>
      </c>
      <c r="I3094" s="34"/>
    </row>
    <row r="3095" spans="1:9" ht="30" x14ac:dyDescent="0.25">
      <c r="A3095" s="54" t="s">
        <v>632</v>
      </c>
      <c r="B3095" s="43" t="s">
        <v>135</v>
      </c>
      <c r="C3095" s="37" t="s">
        <v>1976</v>
      </c>
      <c r="D3095" s="37"/>
      <c r="E3095" s="37" t="s">
        <v>1974</v>
      </c>
      <c r="F3095" s="37" t="b">
        <v>0</v>
      </c>
      <c r="G3095" s="37">
        <v>200</v>
      </c>
      <c r="H3095" s="37" t="b">
        <v>1</v>
      </c>
    </row>
    <row r="3096" spans="1:9" ht="30" x14ac:dyDescent="0.25">
      <c r="A3096" s="54" t="s">
        <v>632</v>
      </c>
      <c r="B3096" s="31" t="s">
        <v>655</v>
      </c>
      <c r="C3096" s="28" t="s">
        <v>1977</v>
      </c>
      <c r="D3096" s="28"/>
      <c r="E3096" s="28" t="s">
        <v>1974</v>
      </c>
      <c r="F3096" s="28" t="b">
        <v>0</v>
      </c>
      <c r="G3096" s="28">
        <v>200</v>
      </c>
      <c r="H3096" s="28" t="b">
        <v>1</v>
      </c>
      <c r="I3096" s="34"/>
    </row>
    <row r="3097" spans="1:9" ht="30" x14ac:dyDescent="0.25">
      <c r="A3097" s="54" t="s">
        <v>632</v>
      </c>
      <c r="B3097" s="43" t="s">
        <v>635</v>
      </c>
      <c r="C3097" s="37" t="s">
        <v>1978</v>
      </c>
      <c r="D3097" s="37"/>
      <c r="E3097" s="37" t="s">
        <v>1974</v>
      </c>
      <c r="F3097" s="37" t="b">
        <v>0</v>
      </c>
      <c r="G3097" s="37">
        <v>200</v>
      </c>
      <c r="H3097" s="37" t="b">
        <v>1</v>
      </c>
    </row>
    <row r="3098" spans="1:9" ht="30" x14ac:dyDescent="0.25">
      <c r="A3098" s="54" t="s">
        <v>632</v>
      </c>
      <c r="B3098" s="31" t="s">
        <v>144</v>
      </c>
      <c r="C3098" s="28" t="s">
        <v>1979</v>
      </c>
      <c r="D3098" s="28"/>
      <c r="E3098" s="28" t="s">
        <v>1974</v>
      </c>
      <c r="F3098" s="28" t="b">
        <v>0</v>
      </c>
      <c r="G3098" s="28">
        <v>200</v>
      </c>
      <c r="H3098" s="28" t="b">
        <v>1</v>
      </c>
      <c r="I3098" s="34"/>
    </row>
    <row r="3099" spans="1:9" ht="30" x14ac:dyDescent="0.25">
      <c r="A3099" s="54" t="s">
        <v>632</v>
      </c>
      <c r="B3099" s="43" t="s">
        <v>618</v>
      </c>
      <c r="C3099" s="37" t="s">
        <v>1980</v>
      </c>
      <c r="D3099" s="37"/>
      <c r="E3099" s="37" t="s">
        <v>1974</v>
      </c>
      <c r="F3099" s="37" t="b">
        <v>0</v>
      </c>
      <c r="G3099" s="37">
        <v>200</v>
      </c>
      <c r="H3099" s="37" t="b">
        <v>1</v>
      </c>
    </row>
    <row r="3100" spans="1:9" ht="30" x14ac:dyDescent="0.25">
      <c r="A3100" s="54" t="s">
        <v>632</v>
      </c>
      <c r="B3100" s="31" t="s">
        <v>585</v>
      </c>
      <c r="C3100" s="28" t="s">
        <v>1981</v>
      </c>
      <c r="D3100" s="28"/>
      <c r="E3100" s="28" t="s">
        <v>1974</v>
      </c>
      <c r="F3100" s="28" t="b">
        <v>0</v>
      </c>
      <c r="G3100" s="28">
        <v>200</v>
      </c>
      <c r="H3100" s="28" t="b">
        <v>1</v>
      </c>
      <c r="I3100" s="34"/>
    </row>
    <row r="3101" spans="1:9" ht="30" x14ac:dyDescent="0.25">
      <c r="A3101" s="54" t="s">
        <v>632</v>
      </c>
      <c r="B3101" s="43" t="s">
        <v>582</v>
      </c>
      <c r="C3101" s="37" t="s">
        <v>1982</v>
      </c>
      <c r="D3101" s="37"/>
      <c r="E3101" s="37" t="s">
        <v>1974</v>
      </c>
      <c r="F3101" s="37" t="b">
        <v>0</v>
      </c>
      <c r="G3101" s="37">
        <v>200</v>
      </c>
      <c r="H3101" s="37" t="b">
        <v>1</v>
      </c>
    </row>
    <row r="3102" spans="1:9" ht="30" x14ac:dyDescent="0.25">
      <c r="A3102" s="54" t="s">
        <v>632</v>
      </c>
      <c r="B3102" s="31" t="s">
        <v>638</v>
      </c>
      <c r="C3102" s="28" t="s">
        <v>1983</v>
      </c>
      <c r="D3102" s="28"/>
      <c r="E3102" s="28" t="s">
        <v>1974</v>
      </c>
      <c r="F3102" s="28" t="b">
        <v>0</v>
      </c>
      <c r="G3102" s="28">
        <v>200</v>
      </c>
      <c r="H3102" s="28" t="b">
        <v>1</v>
      </c>
      <c r="I3102" s="34"/>
    </row>
    <row r="3103" spans="1:9" ht="30" x14ac:dyDescent="0.25">
      <c r="A3103" s="54" t="s">
        <v>632</v>
      </c>
      <c r="B3103" s="43" t="s">
        <v>638</v>
      </c>
      <c r="C3103" s="37" t="s">
        <v>1984</v>
      </c>
      <c r="D3103" s="37"/>
      <c r="E3103" s="37" t="s">
        <v>1974</v>
      </c>
      <c r="F3103" s="37" t="b">
        <v>0</v>
      </c>
      <c r="G3103" s="37">
        <v>200</v>
      </c>
      <c r="H3103" s="37" t="b">
        <v>1</v>
      </c>
    </row>
    <row r="3104" spans="1:9" ht="30" x14ac:dyDescent="0.25">
      <c r="A3104" s="54" t="s">
        <v>632</v>
      </c>
      <c r="B3104" s="31" t="s">
        <v>647</v>
      </c>
      <c r="C3104" s="28" t="s">
        <v>1985</v>
      </c>
      <c r="D3104" s="28"/>
      <c r="E3104" s="28" t="s">
        <v>1974</v>
      </c>
      <c r="F3104" s="28" t="b">
        <v>0</v>
      </c>
      <c r="G3104" s="28">
        <v>200</v>
      </c>
      <c r="H3104" s="28" t="b">
        <v>1</v>
      </c>
      <c r="I3104" s="34"/>
    </row>
    <row r="3105" spans="1:9" ht="30" x14ac:dyDescent="0.25">
      <c r="A3105" s="54" t="s">
        <v>632</v>
      </c>
      <c r="B3105" s="43" t="s">
        <v>503</v>
      </c>
      <c r="C3105" s="37" t="s">
        <v>1986</v>
      </c>
      <c r="D3105" s="37"/>
      <c r="E3105" s="37" t="s">
        <v>1974</v>
      </c>
      <c r="F3105" s="37" t="b">
        <v>0</v>
      </c>
      <c r="G3105" s="37">
        <v>200</v>
      </c>
      <c r="H3105" s="37" t="b">
        <v>1</v>
      </c>
    </row>
    <row r="3106" spans="1:9" ht="30" x14ac:dyDescent="0.25">
      <c r="A3106" s="54" t="s">
        <v>632</v>
      </c>
      <c r="B3106" s="31" t="s">
        <v>608</v>
      </c>
      <c r="C3106" s="28" t="s">
        <v>1987</v>
      </c>
      <c r="D3106" s="28"/>
      <c r="E3106" s="28" t="s">
        <v>1974</v>
      </c>
      <c r="F3106" s="28" t="b">
        <v>0</v>
      </c>
      <c r="G3106" s="28">
        <v>200</v>
      </c>
      <c r="H3106" s="28" t="b">
        <v>1</v>
      </c>
      <c r="I3106" s="34"/>
    </row>
    <row r="3107" spans="1:9" ht="30" x14ac:dyDescent="0.25">
      <c r="A3107" s="54" t="s">
        <v>632</v>
      </c>
      <c r="B3107" s="43" t="s">
        <v>127</v>
      </c>
      <c r="C3107" s="37" t="s">
        <v>1975</v>
      </c>
      <c r="D3107" s="37"/>
      <c r="E3107" s="37" t="s">
        <v>1974</v>
      </c>
      <c r="F3107" s="37" t="b">
        <v>0</v>
      </c>
      <c r="G3107" s="37">
        <v>200</v>
      </c>
      <c r="H3107" s="37" t="b">
        <v>1</v>
      </c>
    </row>
    <row r="3108" spans="1:9" ht="30" x14ac:dyDescent="0.25">
      <c r="A3108" s="54" t="s">
        <v>632</v>
      </c>
      <c r="B3108" s="31" t="s">
        <v>135</v>
      </c>
      <c r="C3108" s="28" t="s">
        <v>1976</v>
      </c>
      <c r="D3108" s="28"/>
      <c r="E3108" s="28" t="s">
        <v>1974</v>
      </c>
      <c r="F3108" s="28" t="b">
        <v>0</v>
      </c>
      <c r="G3108" s="28">
        <v>200</v>
      </c>
      <c r="H3108" s="28" t="b">
        <v>1</v>
      </c>
      <c r="I3108" s="34"/>
    </row>
    <row r="3109" spans="1:9" ht="30" x14ac:dyDescent="0.25">
      <c r="A3109" s="54" t="s">
        <v>632</v>
      </c>
      <c r="B3109" s="43" t="s">
        <v>655</v>
      </c>
      <c r="C3109" s="37" t="s">
        <v>1977</v>
      </c>
      <c r="D3109" s="37"/>
      <c r="E3109" s="37" t="s">
        <v>1974</v>
      </c>
      <c r="F3109" s="37" t="b">
        <v>0</v>
      </c>
      <c r="G3109" s="37">
        <v>200</v>
      </c>
      <c r="H3109" s="37" t="b">
        <v>1</v>
      </c>
    </row>
    <row r="3110" spans="1:9" ht="30" x14ac:dyDescent="0.25">
      <c r="A3110" s="54" t="s">
        <v>632</v>
      </c>
      <c r="B3110" s="31" t="s">
        <v>635</v>
      </c>
      <c r="C3110" s="28" t="s">
        <v>1978</v>
      </c>
      <c r="D3110" s="28"/>
      <c r="E3110" s="28" t="s">
        <v>1974</v>
      </c>
      <c r="F3110" s="28" t="b">
        <v>0</v>
      </c>
      <c r="G3110" s="28">
        <v>200</v>
      </c>
      <c r="H3110" s="28" t="b">
        <v>1</v>
      </c>
      <c r="I3110" s="34"/>
    </row>
    <row r="3111" spans="1:9" ht="30" x14ac:dyDescent="0.25">
      <c r="A3111" s="54" t="s">
        <v>632</v>
      </c>
      <c r="B3111" s="43" t="s">
        <v>144</v>
      </c>
      <c r="C3111" s="37" t="s">
        <v>1979</v>
      </c>
      <c r="D3111" s="37"/>
      <c r="E3111" s="37" t="s">
        <v>1974</v>
      </c>
      <c r="F3111" s="37" t="b">
        <v>0</v>
      </c>
      <c r="G3111" s="37">
        <v>200</v>
      </c>
      <c r="H3111" s="37" t="b">
        <v>1</v>
      </c>
    </row>
    <row r="3112" spans="1:9" ht="30" x14ac:dyDescent="0.25">
      <c r="A3112" s="54" t="s">
        <v>632</v>
      </c>
      <c r="B3112" s="31" t="s">
        <v>618</v>
      </c>
      <c r="C3112" s="28" t="s">
        <v>1980</v>
      </c>
      <c r="D3112" s="28"/>
      <c r="E3112" s="28" t="s">
        <v>1974</v>
      </c>
      <c r="F3112" s="28" t="b">
        <v>0</v>
      </c>
      <c r="G3112" s="28">
        <v>200</v>
      </c>
      <c r="H3112" s="28" t="b">
        <v>1</v>
      </c>
      <c r="I3112" s="34"/>
    </row>
    <row r="3113" spans="1:9" ht="30" x14ac:dyDescent="0.25">
      <c r="A3113" s="54" t="s">
        <v>632</v>
      </c>
      <c r="B3113" s="43" t="s">
        <v>585</v>
      </c>
      <c r="C3113" s="37" t="s">
        <v>1981</v>
      </c>
      <c r="D3113" s="37"/>
      <c r="E3113" s="37" t="s">
        <v>1974</v>
      </c>
      <c r="F3113" s="37" t="b">
        <v>0</v>
      </c>
      <c r="G3113" s="37">
        <v>200</v>
      </c>
      <c r="H3113" s="37" t="b">
        <v>1</v>
      </c>
    </row>
    <row r="3114" spans="1:9" ht="30" x14ac:dyDescent="0.25">
      <c r="A3114" s="54" t="s">
        <v>632</v>
      </c>
      <c r="B3114" s="31" t="s">
        <v>582</v>
      </c>
      <c r="C3114" s="28" t="s">
        <v>1982</v>
      </c>
      <c r="D3114" s="28"/>
      <c r="E3114" s="28" t="s">
        <v>1974</v>
      </c>
      <c r="F3114" s="28" t="b">
        <v>0</v>
      </c>
      <c r="G3114" s="28">
        <v>200</v>
      </c>
      <c r="H3114" s="28" t="b">
        <v>1</v>
      </c>
      <c r="I3114" s="34"/>
    </row>
    <row r="3115" spans="1:9" ht="30" x14ac:dyDescent="0.25">
      <c r="A3115" s="54" t="s">
        <v>632</v>
      </c>
      <c r="B3115" s="43" t="s">
        <v>638</v>
      </c>
      <c r="C3115" s="37" t="s">
        <v>1983</v>
      </c>
      <c r="D3115" s="37"/>
      <c r="E3115" s="37" t="s">
        <v>1974</v>
      </c>
      <c r="F3115" s="37" t="b">
        <v>0</v>
      </c>
      <c r="G3115" s="37">
        <v>200</v>
      </c>
      <c r="H3115" s="37" t="b">
        <v>1</v>
      </c>
    </row>
    <row r="3116" spans="1:9" ht="30" x14ac:dyDescent="0.25">
      <c r="A3116" s="54" t="s">
        <v>632</v>
      </c>
      <c r="B3116" s="31" t="s">
        <v>638</v>
      </c>
      <c r="C3116" s="28" t="s">
        <v>1984</v>
      </c>
      <c r="D3116" s="28"/>
      <c r="E3116" s="28" t="s">
        <v>1974</v>
      </c>
      <c r="F3116" s="28" t="b">
        <v>0</v>
      </c>
      <c r="G3116" s="28">
        <v>200</v>
      </c>
      <c r="H3116" s="28" t="b">
        <v>1</v>
      </c>
      <c r="I3116" s="34"/>
    </row>
    <row r="3117" spans="1:9" ht="30" x14ac:dyDescent="0.25">
      <c r="A3117" s="54" t="s">
        <v>632</v>
      </c>
      <c r="B3117" s="43" t="s">
        <v>647</v>
      </c>
      <c r="C3117" s="37" t="s">
        <v>1985</v>
      </c>
      <c r="D3117" s="37"/>
      <c r="E3117" s="37" t="s">
        <v>1974</v>
      </c>
      <c r="F3117" s="37" t="b">
        <v>0</v>
      </c>
      <c r="G3117" s="37">
        <v>200</v>
      </c>
      <c r="H3117" s="37" t="b">
        <v>1</v>
      </c>
    </row>
    <row r="3118" spans="1:9" ht="30" x14ac:dyDescent="0.25">
      <c r="A3118" s="54" t="s">
        <v>632</v>
      </c>
      <c r="B3118" s="31" t="s">
        <v>503</v>
      </c>
      <c r="C3118" s="28" t="s">
        <v>1986</v>
      </c>
      <c r="D3118" s="28"/>
      <c r="E3118" s="28" t="s">
        <v>1974</v>
      </c>
      <c r="F3118" s="28" t="b">
        <v>0</v>
      </c>
      <c r="G3118" s="28">
        <v>200</v>
      </c>
      <c r="H3118" s="28" t="b">
        <v>1</v>
      </c>
      <c r="I3118" s="34"/>
    </row>
    <row r="3119" spans="1:9" ht="30" x14ac:dyDescent="0.25">
      <c r="A3119" s="54" t="s">
        <v>632</v>
      </c>
      <c r="B3119" s="43" t="s">
        <v>608</v>
      </c>
      <c r="C3119" s="37" t="s">
        <v>1987</v>
      </c>
      <c r="D3119" s="37"/>
      <c r="E3119" s="37" t="s">
        <v>1974</v>
      </c>
      <c r="F3119" s="37" t="b">
        <v>0</v>
      </c>
      <c r="G3119" s="37">
        <v>200</v>
      </c>
      <c r="H3119" s="37" t="b">
        <v>1</v>
      </c>
    </row>
    <row r="3120" spans="1:9" ht="30" x14ac:dyDescent="0.25">
      <c r="A3120" s="54" t="s">
        <v>632</v>
      </c>
      <c r="B3120" s="31" t="s">
        <v>503</v>
      </c>
      <c r="C3120" s="28" t="s">
        <v>2849</v>
      </c>
      <c r="D3120" s="28"/>
      <c r="E3120" s="28" t="s">
        <v>1974</v>
      </c>
      <c r="F3120" s="28" t="b">
        <v>0</v>
      </c>
      <c r="G3120" s="28">
        <v>200</v>
      </c>
      <c r="H3120" s="28" t="b">
        <v>1</v>
      </c>
      <c r="I3120" s="34"/>
    </row>
    <row r="3121" spans="1:9" ht="30" x14ac:dyDescent="0.25">
      <c r="A3121" s="54" t="s">
        <v>632</v>
      </c>
      <c r="B3121" s="43" t="s">
        <v>632</v>
      </c>
      <c r="C3121" s="37" t="s">
        <v>2850</v>
      </c>
      <c r="D3121" s="37"/>
      <c r="E3121" s="37" t="s">
        <v>1974</v>
      </c>
      <c r="F3121" s="37" t="b">
        <v>0</v>
      </c>
      <c r="G3121" s="37">
        <v>200</v>
      </c>
      <c r="H3121" s="37" t="b">
        <v>1</v>
      </c>
    </row>
    <row r="3122" spans="1:9" ht="30" x14ac:dyDescent="0.25">
      <c r="A3122" s="54" t="s">
        <v>632</v>
      </c>
      <c r="B3122" s="31" t="s">
        <v>573</v>
      </c>
      <c r="C3122" s="28" t="s">
        <v>2851</v>
      </c>
      <c r="D3122" s="28"/>
      <c r="E3122" s="28" t="s">
        <v>1974</v>
      </c>
      <c r="F3122" s="28" t="b">
        <v>0</v>
      </c>
      <c r="G3122" s="28">
        <v>200</v>
      </c>
      <c r="H3122" s="28" t="b">
        <v>1</v>
      </c>
      <c r="I3122" s="34"/>
    </row>
    <row r="3123" spans="1:9" ht="30" x14ac:dyDescent="0.25">
      <c r="A3123" s="54" t="s">
        <v>632</v>
      </c>
      <c r="B3123" s="43" t="s">
        <v>503</v>
      </c>
      <c r="C3123" s="37" t="s">
        <v>2849</v>
      </c>
      <c r="D3123" s="37"/>
      <c r="E3123" s="37" t="s">
        <v>1974</v>
      </c>
      <c r="F3123" s="37" t="b">
        <v>0</v>
      </c>
      <c r="G3123" s="37">
        <v>200</v>
      </c>
      <c r="H3123" s="37" t="b">
        <v>1</v>
      </c>
    </row>
    <row r="3124" spans="1:9" ht="30" x14ac:dyDescent="0.25">
      <c r="A3124" s="54" t="s">
        <v>632</v>
      </c>
      <c r="B3124" s="31" t="s">
        <v>632</v>
      </c>
      <c r="C3124" s="28" t="s">
        <v>2850</v>
      </c>
      <c r="D3124" s="28"/>
      <c r="E3124" s="28" t="s">
        <v>1974</v>
      </c>
      <c r="F3124" s="28" t="b">
        <v>0</v>
      </c>
      <c r="G3124" s="28">
        <v>200</v>
      </c>
      <c r="H3124" s="28" t="b">
        <v>1</v>
      </c>
      <c r="I3124" s="34"/>
    </row>
    <row r="3125" spans="1:9" ht="30" x14ac:dyDescent="0.25">
      <c r="A3125" s="54" t="s">
        <v>632</v>
      </c>
      <c r="B3125" s="43" t="s">
        <v>573</v>
      </c>
      <c r="C3125" s="37" t="s">
        <v>2851</v>
      </c>
      <c r="D3125" s="37"/>
      <c r="E3125" s="37" t="s">
        <v>1974</v>
      </c>
      <c r="F3125" s="37" t="b">
        <v>0</v>
      </c>
      <c r="G3125" s="37">
        <v>200</v>
      </c>
      <c r="H3125" s="37" t="b">
        <v>1</v>
      </c>
    </row>
    <row r="3126" spans="1:9" ht="30" x14ac:dyDescent="0.25">
      <c r="A3126" s="54" t="s">
        <v>632</v>
      </c>
      <c r="B3126" s="31" t="s">
        <v>2904</v>
      </c>
      <c r="C3126" s="28" t="s">
        <v>2905</v>
      </c>
      <c r="D3126" s="28"/>
      <c r="E3126" s="28" t="s">
        <v>2012</v>
      </c>
      <c r="F3126" s="28" t="b">
        <v>0</v>
      </c>
      <c r="G3126" s="28"/>
      <c r="H3126" s="28" t="b">
        <v>1</v>
      </c>
      <c r="I3126" s="34"/>
    </row>
    <row r="3127" spans="1:9" ht="30" x14ac:dyDescent="0.25">
      <c r="A3127" s="54" t="s">
        <v>632</v>
      </c>
      <c r="B3127" s="43" t="s">
        <v>2906</v>
      </c>
      <c r="C3127" s="37" t="s">
        <v>1989</v>
      </c>
      <c r="D3127" s="37"/>
      <c r="E3127" s="37" t="s">
        <v>2012</v>
      </c>
      <c r="F3127" s="37" t="b">
        <v>0</v>
      </c>
      <c r="G3127" s="37"/>
      <c r="H3127" s="37" t="b">
        <v>1</v>
      </c>
    </row>
    <row r="3128" spans="1:9" ht="30" x14ac:dyDescent="0.25">
      <c r="A3128" s="54" t="s">
        <v>632</v>
      </c>
      <c r="B3128" s="31" t="s">
        <v>503</v>
      </c>
      <c r="C3128" s="28" t="s">
        <v>1989</v>
      </c>
      <c r="D3128" s="28"/>
      <c r="E3128" s="28" t="s">
        <v>1974</v>
      </c>
      <c r="F3128" s="28" t="b">
        <v>0</v>
      </c>
      <c r="G3128" s="28">
        <v>200</v>
      </c>
      <c r="H3128" s="28" t="b">
        <v>1</v>
      </c>
      <c r="I3128" s="34"/>
    </row>
    <row r="3129" spans="1:9" ht="30" x14ac:dyDescent="0.25">
      <c r="A3129" s="54" t="s">
        <v>632</v>
      </c>
      <c r="B3129" s="43" t="s">
        <v>2852</v>
      </c>
      <c r="C3129" s="37" t="s">
        <v>1989</v>
      </c>
      <c r="D3129" s="37"/>
      <c r="E3129" s="37" t="s">
        <v>2012</v>
      </c>
      <c r="F3129" s="37" t="b">
        <v>0</v>
      </c>
      <c r="G3129" s="37"/>
      <c r="H3129" s="37" t="b">
        <v>1</v>
      </c>
    </row>
    <row r="3130" spans="1:9" ht="30" x14ac:dyDescent="0.25">
      <c r="A3130" s="54" t="s">
        <v>632</v>
      </c>
      <c r="B3130" s="31" t="s">
        <v>503</v>
      </c>
      <c r="C3130" s="28" t="s">
        <v>2907</v>
      </c>
      <c r="D3130" s="28"/>
      <c r="E3130" s="28" t="s">
        <v>1974</v>
      </c>
      <c r="F3130" s="28" t="b">
        <v>0</v>
      </c>
      <c r="G3130" s="28">
        <v>200</v>
      </c>
      <c r="H3130" s="28" t="b">
        <v>1</v>
      </c>
      <c r="I3130" s="34"/>
    </row>
    <row r="3131" spans="1:9" ht="30" x14ac:dyDescent="0.25">
      <c r="A3131" s="54" t="s">
        <v>632</v>
      </c>
      <c r="B3131" s="43" t="s">
        <v>647</v>
      </c>
      <c r="C3131" s="37" t="s">
        <v>2010</v>
      </c>
      <c r="D3131" s="37"/>
      <c r="E3131" s="37" t="s">
        <v>1974</v>
      </c>
      <c r="F3131" s="37" t="b">
        <v>0</v>
      </c>
      <c r="G3131" s="37">
        <v>200</v>
      </c>
      <c r="H3131" s="37" t="b">
        <v>1</v>
      </c>
    </row>
    <row r="3132" spans="1:9" ht="30" x14ac:dyDescent="0.25">
      <c r="A3132" s="54" t="s">
        <v>632</v>
      </c>
      <c r="B3132" s="31" t="s">
        <v>2011</v>
      </c>
      <c r="C3132" s="28"/>
      <c r="D3132" s="28"/>
      <c r="E3132" s="28" t="s">
        <v>2012</v>
      </c>
      <c r="F3132" s="28" t="b">
        <v>0</v>
      </c>
      <c r="G3132" s="28"/>
      <c r="H3132" s="28" t="b">
        <v>1</v>
      </c>
      <c r="I3132" s="34"/>
    </row>
    <row r="3133" spans="1:9" ht="30" x14ac:dyDescent="0.25">
      <c r="A3133" s="54" t="s">
        <v>632</v>
      </c>
      <c r="B3133" s="43" t="s">
        <v>2013</v>
      </c>
      <c r="C3133" s="37"/>
      <c r="D3133" s="37"/>
      <c r="E3133" s="37" t="s">
        <v>2012</v>
      </c>
      <c r="F3133" s="37" t="b">
        <v>0</v>
      </c>
      <c r="G3133" s="37"/>
      <c r="H3133" s="37" t="b">
        <v>1</v>
      </c>
    </row>
    <row r="3134" spans="1:9" ht="30" x14ac:dyDescent="0.25">
      <c r="A3134" s="54" t="s">
        <v>632</v>
      </c>
      <c r="B3134" s="31" t="s">
        <v>2033</v>
      </c>
      <c r="C3134" s="28"/>
      <c r="D3134" s="28"/>
      <c r="E3134" s="28" t="s">
        <v>2012</v>
      </c>
      <c r="F3134" s="28" t="b">
        <v>0</v>
      </c>
      <c r="G3134" s="28"/>
      <c r="H3134" s="28" t="b">
        <v>1</v>
      </c>
      <c r="I3134" s="34"/>
    </row>
    <row r="3135" spans="1:9" ht="30" x14ac:dyDescent="0.25">
      <c r="A3135" s="54" t="s">
        <v>632</v>
      </c>
      <c r="B3135" s="43" t="s">
        <v>641</v>
      </c>
      <c r="C3135" s="37" t="s">
        <v>2034</v>
      </c>
      <c r="D3135" s="37"/>
      <c r="E3135" s="37" t="s">
        <v>1974</v>
      </c>
      <c r="F3135" s="37" t="b">
        <v>0</v>
      </c>
      <c r="G3135" s="37">
        <v>200</v>
      </c>
      <c r="H3135" s="37" t="b">
        <v>1</v>
      </c>
    </row>
    <row r="3136" spans="1:9" ht="30" x14ac:dyDescent="0.25">
      <c r="A3136" s="54" t="s">
        <v>632</v>
      </c>
      <c r="B3136" s="31" t="s">
        <v>2015</v>
      </c>
      <c r="C3136" s="28" t="s">
        <v>2016</v>
      </c>
      <c r="D3136" s="28"/>
      <c r="E3136" s="28" t="s">
        <v>1974</v>
      </c>
      <c r="F3136" s="28" t="b">
        <v>0</v>
      </c>
      <c r="G3136" s="28">
        <v>404</v>
      </c>
      <c r="H3136" s="28" t="b">
        <v>0</v>
      </c>
      <c r="I3136" s="34"/>
    </row>
    <row r="3137" spans="1:9" ht="30" x14ac:dyDescent="0.25">
      <c r="A3137" s="54" t="s">
        <v>632</v>
      </c>
      <c r="B3137" s="43" t="s">
        <v>2015</v>
      </c>
      <c r="C3137" s="37" t="s">
        <v>2017</v>
      </c>
      <c r="D3137" s="37"/>
      <c r="E3137" s="37" t="s">
        <v>1974</v>
      </c>
      <c r="F3137" s="37" t="b">
        <v>0</v>
      </c>
      <c r="G3137" s="37">
        <v>404</v>
      </c>
      <c r="H3137" s="37" t="b">
        <v>0</v>
      </c>
    </row>
    <row r="3138" spans="1:9" x14ac:dyDescent="0.25">
      <c r="A3138" s="54" t="s">
        <v>635</v>
      </c>
      <c r="B3138" s="31" t="s">
        <v>127</v>
      </c>
      <c r="C3138" s="28"/>
      <c r="D3138" s="28"/>
      <c r="E3138" s="28" t="s">
        <v>1974</v>
      </c>
      <c r="F3138" s="28" t="b">
        <v>0</v>
      </c>
      <c r="G3138" s="28">
        <v>200</v>
      </c>
      <c r="H3138" s="28" t="b">
        <v>1</v>
      </c>
      <c r="I3138" s="34"/>
    </row>
    <row r="3139" spans="1:9" x14ac:dyDescent="0.25">
      <c r="A3139" s="54" t="s">
        <v>635</v>
      </c>
      <c r="B3139" s="43" t="s">
        <v>127</v>
      </c>
      <c r="C3139" s="37" t="s">
        <v>1975</v>
      </c>
      <c r="D3139" s="37"/>
      <c r="E3139" s="37" t="s">
        <v>1974</v>
      </c>
      <c r="F3139" s="37" t="b">
        <v>0</v>
      </c>
      <c r="G3139" s="37">
        <v>200</v>
      </c>
      <c r="H3139" s="37" t="b">
        <v>1</v>
      </c>
    </row>
    <row r="3140" spans="1:9" x14ac:dyDescent="0.25">
      <c r="A3140" s="54" t="s">
        <v>635</v>
      </c>
      <c r="B3140" s="31" t="s">
        <v>135</v>
      </c>
      <c r="C3140" s="28" t="s">
        <v>1976</v>
      </c>
      <c r="D3140" s="28"/>
      <c r="E3140" s="28" t="s">
        <v>1974</v>
      </c>
      <c r="F3140" s="28" t="b">
        <v>0</v>
      </c>
      <c r="G3140" s="28">
        <v>200</v>
      </c>
      <c r="H3140" s="28" t="b">
        <v>1</v>
      </c>
      <c r="I3140" s="34"/>
    </row>
    <row r="3141" spans="1:9" x14ac:dyDescent="0.25">
      <c r="A3141" s="54" t="s">
        <v>635</v>
      </c>
      <c r="B3141" s="43" t="s">
        <v>655</v>
      </c>
      <c r="C3141" s="37" t="s">
        <v>1977</v>
      </c>
      <c r="D3141" s="37"/>
      <c r="E3141" s="37" t="s">
        <v>1974</v>
      </c>
      <c r="F3141" s="37" t="b">
        <v>0</v>
      </c>
      <c r="G3141" s="37">
        <v>200</v>
      </c>
      <c r="H3141" s="37" t="b">
        <v>1</v>
      </c>
    </row>
    <row r="3142" spans="1:9" x14ac:dyDescent="0.25">
      <c r="A3142" s="54" t="s">
        <v>635</v>
      </c>
      <c r="B3142" s="31" t="s">
        <v>635</v>
      </c>
      <c r="C3142" s="28" t="s">
        <v>1978</v>
      </c>
      <c r="D3142" s="28"/>
      <c r="E3142" s="28" t="s">
        <v>1974</v>
      </c>
      <c r="F3142" s="28" t="b">
        <v>0</v>
      </c>
      <c r="G3142" s="28">
        <v>200</v>
      </c>
      <c r="H3142" s="28" t="b">
        <v>1</v>
      </c>
      <c r="I3142" s="34"/>
    </row>
    <row r="3143" spans="1:9" ht="30" x14ac:dyDescent="0.25">
      <c r="A3143" s="54" t="s">
        <v>635</v>
      </c>
      <c r="B3143" s="43" t="s">
        <v>144</v>
      </c>
      <c r="C3143" s="37" t="s">
        <v>1979</v>
      </c>
      <c r="D3143" s="37"/>
      <c r="E3143" s="37" t="s">
        <v>1974</v>
      </c>
      <c r="F3143" s="37" t="b">
        <v>0</v>
      </c>
      <c r="G3143" s="37">
        <v>200</v>
      </c>
      <c r="H3143" s="37" t="b">
        <v>1</v>
      </c>
    </row>
    <row r="3144" spans="1:9" x14ac:dyDescent="0.25">
      <c r="A3144" s="54" t="s">
        <v>635</v>
      </c>
      <c r="B3144" s="31" t="s">
        <v>618</v>
      </c>
      <c r="C3144" s="28" t="s">
        <v>1980</v>
      </c>
      <c r="D3144" s="28"/>
      <c r="E3144" s="28" t="s">
        <v>1974</v>
      </c>
      <c r="F3144" s="28" t="b">
        <v>0</v>
      </c>
      <c r="G3144" s="28">
        <v>200</v>
      </c>
      <c r="H3144" s="28" t="b">
        <v>1</v>
      </c>
      <c r="I3144" s="34"/>
    </row>
    <row r="3145" spans="1:9" ht="30" x14ac:dyDescent="0.25">
      <c r="A3145" s="54" t="s">
        <v>635</v>
      </c>
      <c r="B3145" s="43" t="s">
        <v>585</v>
      </c>
      <c r="C3145" s="37" t="s">
        <v>1981</v>
      </c>
      <c r="D3145" s="37"/>
      <c r="E3145" s="37" t="s">
        <v>1974</v>
      </c>
      <c r="F3145" s="37" t="b">
        <v>0</v>
      </c>
      <c r="G3145" s="37">
        <v>200</v>
      </c>
      <c r="H3145" s="37" t="b">
        <v>1</v>
      </c>
    </row>
    <row r="3146" spans="1:9" ht="30" x14ac:dyDescent="0.25">
      <c r="A3146" s="54" t="s">
        <v>635</v>
      </c>
      <c r="B3146" s="31" t="s">
        <v>582</v>
      </c>
      <c r="C3146" s="28" t="s">
        <v>1982</v>
      </c>
      <c r="D3146" s="28"/>
      <c r="E3146" s="28" t="s">
        <v>1974</v>
      </c>
      <c r="F3146" s="28" t="b">
        <v>0</v>
      </c>
      <c r="G3146" s="28">
        <v>200</v>
      </c>
      <c r="H3146" s="28" t="b">
        <v>1</v>
      </c>
      <c r="I3146" s="34"/>
    </row>
    <row r="3147" spans="1:9" x14ac:dyDescent="0.25">
      <c r="A3147" s="54" t="s">
        <v>635</v>
      </c>
      <c r="B3147" s="43" t="s">
        <v>638</v>
      </c>
      <c r="C3147" s="37" t="s">
        <v>1983</v>
      </c>
      <c r="D3147" s="37"/>
      <c r="E3147" s="37" t="s">
        <v>1974</v>
      </c>
      <c r="F3147" s="37" t="b">
        <v>0</v>
      </c>
      <c r="G3147" s="37">
        <v>200</v>
      </c>
      <c r="H3147" s="37" t="b">
        <v>1</v>
      </c>
    </row>
    <row r="3148" spans="1:9" x14ac:dyDescent="0.25">
      <c r="A3148" s="54" t="s">
        <v>635</v>
      </c>
      <c r="B3148" s="31" t="s">
        <v>638</v>
      </c>
      <c r="C3148" s="28" t="s">
        <v>1984</v>
      </c>
      <c r="D3148" s="28"/>
      <c r="E3148" s="28" t="s">
        <v>1974</v>
      </c>
      <c r="F3148" s="28" t="b">
        <v>0</v>
      </c>
      <c r="G3148" s="28">
        <v>200</v>
      </c>
      <c r="H3148" s="28" t="b">
        <v>1</v>
      </c>
      <c r="I3148" s="34"/>
    </row>
    <row r="3149" spans="1:9" x14ac:dyDescent="0.25">
      <c r="A3149" s="54" t="s">
        <v>635</v>
      </c>
      <c r="B3149" s="43" t="s">
        <v>647</v>
      </c>
      <c r="C3149" s="37" t="s">
        <v>1985</v>
      </c>
      <c r="D3149" s="37"/>
      <c r="E3149" s="37" t="s">
        <v>1974</v>
      </c>
      <c r="F3149" s="37" t="b">
        <v>0</v>
      </c>
      <c r="G3149" s="37">
        <v>200</v>
      </c>
      <c r="H3149" s="37" t="b">
        <v>1</v>
      </c>
    </row>
    <row r="3150" spans="1:9" ht="30" x14ac:dyDescent="0.25">
      <c r="A3150" s="54" t="s">
        <v>635</v>
      </c>
      <c r="B3150" s="31" t="s">
        <v>503</v>
      </c>
      <c r="C3150" s="28" t="s">
        <v>1986</v>
      </c>
      <c r="D3150" s="28"/>
      <c r="E3150" s="28" t="s">
        <v>1974</v>
      </c>
      <c r="F3150" s="28" t="b">
        <v>0</v>
      </c>
      <c r="G3150" s="28">
        <v>200</v>
      </c>
      <c r="H3150" s="28" t="b">
        <v>1</v>
      </c>
      <c r="I3150" s="34"/>
    </row>
    <row r="3151" spans="1:9" x14ac:dyDescent="0.25">
      <c r="A3151" s="54" t="s">
        <v>635</v>
      </c>
      <c r="B3151" s="43" t="s">
        <v>608</v>
      </c>
      <c r="C3151" s="37" t="s">
        <v>1987</v>
      </c>
      <c r="D3151" s="37"/>
      <c r="E3151" s="37" t="s">
        <v>1974</v>
      </c>
      <c r="F3151" s="37" t="b">
        <v>0</v>
      </c>
      <c r="G3151" s="37">
        <v>200</v>
      </c>
      <c r="H3151" s="37" t="b">
        <v>1</v>
      </c>
    </row>
    <row r="3152" spans="1:9" x14ac:dyDescent="0.25">
      <c r="A3152" s="54" t="s">
        <v>635</v>
      </c>
      <c r="B3152" s="31" t="s">
        <v>127</v>
      </c>
      <c r="C3152" s="28" t="s">
        <v>1975</v>
      </c>
      <c r="D3152" s="28"/>
      <c r="E3152" s="28" t="s">
        <v>1974</v>
      </c>
      <c r="F3152" s="28" t="b">
        <v>0</v>
      </c>
      <c r="G3152" s="28">
        <v>200</v>
      </c>
      <c r="H3152" s="28" t="b">
        <v>1</v>
      </c>
      <c r="I3152" s="34"/>
    </row>
    <row r="3153" spans="1:9" x14ac:dyDescent="0.25">
      <c r="A3153" s="54" t="s">
        <v>635</v>
      </c>
      <c r="B3153" s="43" t="s">
        <v>135</v>
      </c>
      <c r="C3153" s="37" t="s">
        <v>1976</v>
      </c>
      <c r="D3153" s="37"/>
      <c r="E3153" s="37" t="s">
        <v>1974</v>
      </c>
      <c r="F3153" s="37" t="b">
        <v>0</v>
      </c>
      <c r="G3153" s="37">
        <v>200</v>
      </c>
      <c r="H3153" s="37" t="b">
        <v>1</v>
      </c>
    </row>
    <row r="3154" spans="1:9" x14ac:dyDescent="0.25">
      <c r="A3154" s="54" t="s">
        <v>635</v>
      </c>
      <c r="B3154" s="31" t="s">
        <v>655</v>
      </c>
      <c r="C3154" s="28" t="s">
        <v>1977</v>
      </c>
      <c r="D3154" s="28"/>
      <c r="E3154" s="28" t="s">
        <v>1974</v>
      </c>
      <c r="F3154" s="28" t="b">
        <v>0</v>
      </c>
      <c r="G3154" s="28">
        <v>200</v>
      </c>
      <c r="H3154" s="28" t="b">
        <v>1</v>
      </c>
      <c r="I3154" s="34"/>
    </row>
    <row r="3155" spans="1:9" x14ac:dyDescent="0.25">
      <c r="A3155" s="54" t="s">
        <v>635</v>
      </c>
      <c r="B3155" s="43" t="s">
        <v>635</v>
      </c>
      <c r="C3155" s="37" t="s">
        <v>1978</v>
      </c>
      <c r="D3155" s="37"/>
      <c r="E3155" s="37" t="s">
        <v>1974</v>
      </c>
      <c r="F3155" s="37" t="b">
        <v>0</v>
      </c>
      <c r="G3155" s="37">
        <v>200</v>
      </c>
      <c r="H3155" s="37" t="b">
        <v>1</v>
      </c>
    </row>
    <row r="3156" spans="1:9" ht="30" x14ac:dyDescent="0.25">
      <c r="A3156" s="54" t="s">
        <v>635</v>
      </c>
      <c r="B3156" s="31" t="s">
        <v>144</v>
      </c>
      <c r="C3156" s="28" t="s">
        <v>1979</v>
      </c>
      <c r="D3156" s="28"/>
      <c r="E3156" s="28" t="s">
        <v>1974</v>
      </c>
      <c r="F3156" s="28" t="b">
        <v>0</v>
      </c>
      <c r="G3156" s="28">
        <v>200</v>
      </c>
      <c r="H3156" s="28" t="b">
        <v>1</v>
      </c>
      <c r="I3156" s="34"/>
    </row>
    <row r="3157" spans="1:9" x14ac:dyDescent="0.25">
      <c r="A3157" s="54" t="s">
        <v>635</v>
      </c>
      <c r="B3157" s="43" t="s">
        <v>618</v>
      </c>
      <c r="C3157" s="37" t="s">
        <v>1980</v>
      </c>
      <c r="D3157" s="37"/>
      <c r="E3157" s="37" t="s">
        <v>1974</v>
      </c>
      <c r="F3157" s="37" t="b">
        <v>0</v>
      </c>
      <c r="G3157" s="37">
        <v>200</v>
      </c>
      <c r="H3157" s="37" t="b">
        <v>1</v>
      </c>
    </row>
    <row r="3158" spans="1:9" ht="30" x14ac:dyDescent="0.25">
      <c r="A3158" s="54" t="s">
        <v>635</v>
      </c>
      <c r="B3158" s="31" t="s">
        <v>585</v>
      </c>
      <c r="C3158" s="28" t="s">
        <v>1981</v>
      </c>
      <c r="D3158" s="28"/>
      <c r="E3158" s="28" t="s">
        <v>1974</v>
      </c>
      <c r="F3158" s="28" t="b">
        <v>0</v>
      </c>
      <c r="G3158" s="28">
        <v>200</v>
      </c>
      <c r="H3158" s="28" t="b">
        <v>1</v>
      </c>
      <c r="I3158" s="34"/>
    </row>
    <row r="3159" spans="1:9" ht="30" x14ac:dyDescent="0.25">
      <c r="A3159" s="54" t="s">
        <v>635</v>
      </c>
      <c r="B3159" s="43" t="s">
        <v>582</v>
      </c>
      <c r="C3159" s="37" t="s">
        <v>1982</v>
      </c>
      <c r="D3159" s="37"/>
      <c r="E3159" s="37" t="s">
        <v>1974</v>
      </c>
      <c r="F3159" s="37" t="b">
        <v>0</v>
      </c>
      <c r="G3159" s="37">
        <v>200</v>
      </c>
      <c r="H3159" s="37" t="b">
        <v>1</v>
      </c>
    </row>
    <row r="3160" spans="1:9" x14ac:dyDescent="0.25">
      <c r="A3160" s="54" t="s">
        <v>635</v>
      </c>
      <c r="B3160" s="31" t="s">
        <v>638</v>
      </c>
      <c r="C3160" s="28" t="s">
        <v>1983</v>
      </c>
      <c r="D3160" s="28"/>
      <c r="E3160" s="28" t="s">
        <v>1974</v>
      </c>
      <c r="F3160" s="28" t="b">
        <v>0</v>
      </c>
      <c r="G3160" s="28">
        <v>200</v>
      </c>
      <c r="H3160" s="28" t="b">
        <v>1</v>
      </c>
      <c r="I3160" s="34"/>
    </row>
    <row r="3161" spans="1:9" x14ac:dyDescent="0.25">
      <c r="A3161" s="54" t="s">
        <v>635</v>
      </c>
      <c r="B3161" s="43" t="s">
        <v>638</v>
      </c>
      <c r="C3161" s="37" t="s">
        <v>1984</v>
      </c>
      <c r="D3161" s="37"/>
      <c r="E3161" s="37" t="s">
        <v>1974</v>
      </c>
      <c r="F3161" s="37" t="b">
        <v>0</v>
      </c>
      <c r="G3161" s="37">
        <v>200</v>
      </c>
      <c r="H3161" s="37" t="b">
        <v>1</v>
      </c>
    </row>
    <row r="3162" spans="1:9" x14ac:dyDescent="0.25">
      <c r="A3162" s="54" t="s">
        <v>635</v>
      </c>
      <c r="B3162" s="31" t="s">
        <v>647</v>
      </c>
      <c r="C3162" s="28" t="s">
        <v>1985</v>
      </c>
      <c r="D3162" s="28"/>
      <c r="E3162" s="28" t="s">
        <v>1974</v>
      </c>
      <c r="F3162" s="28" t="b">
        <v>0</v>
      </c>
      <c r="G3162" s="28">
        <v>200</v>
      </c>
      <c r="H3162" s="28" t="b">
        <v>1</v>
      </c>
      <c r="I3162" s="34"/>
    </row>
    <row r="3163" spans="1:9" ht="30" x14ac:dyDescent="0.25">
      <c r="A3163" s="54" t="s">
        <v>635</v>
      </c>
      <c r="B3163" s="43" t="s">
        <v>503</v>
      </c>
      <c r="C3163" s="37" t="s">
        <v>1986</v>
      </c>
      <c r="D3163" s="37"/>
      <c r="E3163" s="37" t="s">
        <v>1974</v>
      </c>
      <c r="F3163" s="37" t="b">
        <v>0</v>
      </c>
      <c r="G3163" s="37">
        <v>200</v>
      </c>
      <c r="H3163" s="37" t="b">
        <v>1</v>
      </c>
    </row>
    <row r="3164" spans="1:9" x14ac:dyDescent="0.25">
      <c r="A3164" s="54" t="s">
        <v>635</v>
      </c>
      <c r="B3164" s="31" t="s">
        <v>608</v>
      </c>
      <c r="C3164" s="28" t="s">
        <v>1987</v>
      </c>
      <c r="D3164" s="28"/>
      <c r="E3164" s="28" t="s">
        <v>1974</v>
      </c>
      <c r="F3164" s="28" t="b">
        <v>0</v>
      </c>
      <c r="G3164" s="28">
        <v>200</v>
      </c>
      <c r="H3164" s="28" t="b">
        <v>1</v>
      </c>
      <c r="I3164" s="34"/>
    </row>
    <row r="3165" spans="1:9" x14ac:dyDescent="0.25">
      <c r="A3165" s="54" t="s">
        <v>635</v>
      </c>
      <c r="B3165" s="43" t="s">
        <v>2114</v>
      </c>
      <c r="C3165" s="37" t="s">
        <v>2908</v>
      </c>
      <c r="D3165" s="37"/>
      <c r="E3165" s="37" t="s">
        <v>2012</v>
      </c>
      <c r="F3165" s="37" t="b">
        <v>0</v>
      </c>
      <c r="G3165" s="37"/>
      <c r="H3165" s="37" t="b">
        <v>1</v>
      </c>
    </row>
    <row r="3166" spans="1:9" x14ac:dyDescent="0.25">
      <c r="A3166" s="54" t="s">
        <v>635</v>
      </c>
      <c r="B3166" s="31" t="s">
        <v>2113</v>
      </c>
      <c r="C3166" s="28" t="s">
        <v>2908</v>
      </c>
      <c r="D3166" s="28"/>
      <c r="E3166" s="28" t="s">
        <v>2012</v>
      </c>
      <c r="F3166" s="28" t="b">
        <v>0</v>
      </c>
      <c r="G3166" s="28"/>
      <c r="H3166" s="28" t="b">
        <v>1</v>
      </c>
      <c r="I3166" s="34"/>
    </row>
    <row r="3167" spans="1:9" ht="30" x14ac:dyDescent="0.25">
      <c r="A3167" s="54" t="s">
        <v>635</v>
      </c>
      <c r="B3167" s="43" t="s">
        <v>2909</v>
      </c>
      <c r="C3167" s="37" t="s">
        <v>2908</v>
      </c>
      <c r="D3167" s="37"/>
      <c r="E3167" s="37" t="s">
        <v>2012</v>
      </c>
      <c r="F3167" s="37" t="b">
        <v>0</v>
      </c>
      <c r="G3167" s="37"/>
      <c r="H3167" s="37" t="b">
        <v>1</v>
      </c>
    </row>
    <row r="3168" spans="1:9" x14ac:dyDescent="0.25">
      <c r="A3168" s="54" t="s">
        <v>635</v>
      </c>
      <c r="B3168" s="31" t="s">
        <v>2116</v>
      </c>
      <c r="C3168" s="28" t="s">
        <v>2908</v>
      </c>
      <c r="D3168" s="28"/>
      <c r="E3168" s="28" t="s">
        <v>2012</v>
      </c>
      <c r="F3168" s="28" t="b">
        <v>0</v>
      </c>
      <c r="G3168" s="28"/>
      <c r="H3168" s="28" t="b">
        <v>1</v>
      </c>
      <c r="I3168" s="34"/>
    </row>
    <row r="3169" spans="1:9" x14ac:dyDescent="0.25">
      <c r="A3169" s="54" t="s">
        <v>635</v>
      </c>
      <c r="B3169" s="43" t="s">
        <v>2117</v>
      </c>
      <c r="C3169" s="37" t="s">
        <v>2908</v>
      </c>
      <c r="D3169" s="37"/>
      <c r="E3169" s="37" t="s">
        <v>2012</v>
      </c>
      <c r="F3169" s="37" t="b">
        <v>0</v>
      </c>
      <c r="G3169" s="37"/>
      <c r="H3169" s="37" t="b">
        <v>1</v>
      </c>
    </row>
    <row r="3170" spans="1:9" x14ac:dyDescent="0.25">
      <c r="A3170" s="54" t="s">
        <v>635</v>
      </c>
      <c r="B3170" s="31" t="s">
        <v>2118</v>
      </c>
      <c r="C3170" s="28" t="s">
        <v>2908</v>
      </c>
      <c r="D3170" s="28"/>
      <c r="E3170" s="28" t="s">
        <v>2012</v>
      </c>
      <c r="F3170" s="28" t="b">
        <v>0</v>
      </c>
      <c r="G3170" s="28"/>
      <c r="H3170" s="28" t="b">
        <v>1</v>
      </c>
      <c r="I3170" s="34"/>
    </row>
    <row r="3171" spans="1:9" x14ac:dyDescent="0.25">
      <c r="A3171" s="54" t="s">
        <v>635</v>
      </c>
      <c r="B3171" s="43" t="s">
        <v>2910</v>
      </c>
      <c r="C3171" s="37" t="s">
        <v>2908</v>
      </c>
      <c r="D3171" s="37"/>
      <c r="E3171" s="37" t="s">
        <v>2012</v>
      </c>
      <c r="F3171" s="37" t="b">
        <v>0</v>
      </c>
      <c r="G3171" s="37"/>
      <c r="H3171" s="37" t="b">
        <v>1</v>
      </c>
    </row>
    <row r="3172" spans="1:9" ht="30" x14ac:dyDescent="0.25">
      <c r="A3172" s="54" t="s">
        <v>635</v>
      </c>
      <c r="B3172" s="31" t="s">
        <v>2911</v>
      </c>
      <c r="C3172" s="28" t="s">
        <v>2908</v>
      </c>
      <c r="D3172" s="28"/>
      <c r="E3172" s="28" t="s">
        <v>2012</v>
      </c>
      <c r="F3172" s="28" t="b">
        <v>0</v>
      </c>
      <c r="G3172" s="28"/>
      <c r="H3172" s="28" t="b">
        <v>1</v>
      </c>
      <c r="I3172" s="34"/>
    </row>
    <row r="3173" spans="1:9" x14ac:dyDescent="0.25">
      <c r="A3173" s="54" t="s">
        <v>635</v>
      </c>
      <c r="B3173" s="43" t="s">
        <v>2912</v>
      </c>
      <c r="C3173" s="37" t="s">
        <v>2908</v>
      </c>
      <c r="D3173" s="37"/>
      <c r="E3173" s="37" t="s">
        <v>2012</v>
      </c>
      <c r="F3173" s="37" t="b">
        <v>0</v>
      </c>
      <c r="G3173" s="37"/>
      <c r="H3173" s="37" t="b">
        <v>1</v>
      </c>
    </row>
    <row r="3174" spans="1:9" x14ac:dyDescent="0.25">
      <c r="A3174" s="54" t="s">
        <v>635</v>
      </c>
      <c r="B3174" s="31" t="s">
        <v>2120</v>
      </c>
      <c r="C3174" s="28" t="s">
        <v>2908</v>
      </c>
      <c r="D3174" s="28"/>
      <c r="E3174" s="28" t="s">
        <v>2012</v>
      </c>
      <c r="F3174" s="28" t="b">
        <v>0</v>
      </c>
      <c r="G3174" s="28"/>
      <c r="H3174" s="28" t="b">
        <v>1</v>
      </c>
      <c r="I3174" s="34"/>
    </row>
    <row r="3175" spans="1:9" x14ac:dyDescent="0.25">
      <c r="A3175" s="54" t="s">
        <v>635</v>
      </c>
      <c r="B3175" s="43" t="s">
        <v>2913</v>
      </c>
      <c r="C3175" s="37" t="s">
        <v>2908</v>
      </c>
      <c r="D3175" s="37"/>
      <c r="E3175" s="37" t="s">
        <v>2012</v>
      </c>
      <c r="F3175" s="37" t="b">
        <v>0</v>
      </c>
      <c r="G3175" s="37"/>
      <c r="H3175" s="37" t="b">
        <v>1</v>
      </c>
    </row>
    <row r="3176" spans="1:9" x14ac:dyDescent="0.25">
      <c r="A3176" s="54" t="s">
        <v>635</v>
      </c>
      <c r="B3176" s="31" t="s">
        <v>2914</v>
      </c>
      <c r="C3176" s="28" t="s">
        <v>2908</v>
      </c>
      <c r="D3176" s="28"/>
      <c r="E3176" s="28" t="s">
        <v>2012</v>
      </c>
      <c r="F3176" s="28" t="b">
        <v>0</v>
      </c>
      <c r="G3176" s="28"/>
      <c r="H3176" s="28" t="b">
        <v>1</v>
      </c>
      <c r="I3176" s="34"/>
    </row>
    <row r="3177" spans="1:9" x14ac:dyDescent="0.25">
      <c r="A3177" s="54" t="s">
        <v>635</v>
      </c>
      <c r="B3177" s="43" t="s">
        <v>2915</v>
      </c>
      <c r="C3177" s="37" t="s">
        <v>2908</v>
      </c>
      <c r="D3177" s="37"/>
      <c r="E3177" s="37" t="s">
        <v>2012</v>
      </c>
      <c r="F3177" s="37" t="b">
        <v>0</v>
      </c>
      <c r="G3177" s="37"/>
      <c r="H3177" s="37" t="b">
        <v>1</v>
      </c>
    </row>
    <row r="3178" spans="1:9" ht="30" x14ac:dyDescent="0.25">
      <c r="A3178" s="54" t="s">
        <v>635</v>
      </c>
      <c r="B3178" s="31" t="s">
        <v>2916</v>
      </c>
      <c r="C3178" s="28" t="s">
        <v>2908</v>
      </c>
      <c r="D3178" s="28"/>
      <c r="E3178" s="28" t="s">
        <v>2012</v>
      </c>
      <c r="F3178" s="28" t="b">
        <v>0</v>
      </c>
      <c r="G3178" s="28"/>
      <c r="H3178" s="28" t="b">
        <v>1</v>
      </c>
      <c r="I3178" s="34"/>
    </row>
    <row r="3179" spans="1:9" x14ac:dyDescent="0.25">
      <c r="A3179" s="54" t="s">
        <v>635</v>
      </c>
      <c r="B3179" s="43" t="s">
        <v>2917</v>
      </c>
      <c r="C3179" s="37" t="s">
        <v>2908</v>
      </c>
      <c r="D3179" s="37"/>
      <c r="E3179" s="37" t="s">
        <v>2012</v>
      </c>
      <c r="F3179" s="37" t="b">
        <v>0</v>
      </c>
      <c r="G3179" s="37"/>
      <c r="H3179" s="37" t="b">
        <v>1</v>
      </c>
    </row>
    <row r="3180" spans="1:9" x14ac:dyDescent="0.25">
      <c r="A3180" s="54" t="s">
        <v>635</v>
      </c>
      <c r="B3180" s="31" t="s">
        <v>647</v>
      </c>
      <c r="C3180" s="28" t="s">
        <v>2010</v>
      </c>
      <c r="D3180" s="28"/>
      <c r="E3180" s="28" t="s">
        <v>1974</v>
      </c>
      <c r="F3180" s="28" t="b">
        <v>0</v>
      </c>
      <c r="G3180" s="28">
        <v>200</v>
      </c>
      <c r="H3180" s="28" t="b">
        <v>1</v>
      </c>
      <c r="I3180" s="34"/>
    </row>
    <row r="3181" spans="1:9" ht="30" x14ac:dyDescent="0.25">
      <c r="A3181" s="54" t="s">
        <v>635</v>
      </c>
      <c r="B3181" s="43" t="s">
        <v>2011</v>
      </c>
      <c r="C3181" s="37"/>
      <c r="D3181" s="37"/>
      <c r="E3181" s="37" t="s">
        <v>2012</v>
      </c>
      <c r="F3181" s="37" t="b">
        <v>0</v>
      </c>
      <c r="G3181" s="37"/>
      <c r="H3181" s="37" t="b">
        <v>1</v>
      </c>
    </row>
    <row r="3182" spans="1:9" ht="30" x14ac:dyDescent="0.25">
      <c r="A3182" s="54" t="s">
        <v>635</v>
      </c>
      <c r="B3182" s="31" t="s">
        <v>2013</v>
      </c>
      <c r="C3182" s="28"/>
      <c r="D3182" s="28"/>
      <c r="E3182" s="28" t="s">
        <v>2012</v>
      </c>
      <c r="F3182" s="28" t="b">
        <v>0</v>
      </c>
      <c r="G3182" s="28"/>
      <c r="H3182" s="28" t="b">
        <v>1</v>
      </c>
      <c r="I3182" s="34"/>
    </row>
    <row r="3183" spans="1:9" x14ac:dyDescent="0.25">
      <c r="A3183" s="54" t="s">
        <v>635</v>
      </c>
      <c r="B3183" s="43" t="s">
        <v>641</v>
      </c>
      <c r="C3183" s="37" t="s">
        <v>2014</v>
      </c>
      <c r="D3183" s="37"/>
      <c r="E3183" s="37" t="s">
        <v>1974</v>
      </c>
      <c r="F3183" s="37" t="b">
        <v>0</v>
      </c>
      <c r="G3183" s="37">
        <v>200</v>
      </c>
      <c r="H3183" s="37" t="b">
        <v>1</v>
      </c>
    </row>
    <row r="3184" spans="1:9" ht="30" x14ac:dyDescent="0.25">
      <c r="A3184" s="54" t="s">
        <v>635</v>
      </c>
      <c r="B3184" s="31" t="s">
        <v>2015</v>
      </c>
      <c r="C3184" s="28" t="s">
        <v>2016</v>
      </c>
      <c r="D3184" s="28"/>
      <c r="E3184" s="28" t="s">
        <v>1974</v>
      </c>
      <c r="F3184" s="28" t="b">
        <v>0</v>
      </c>
      <c r="G3184" s="28">
        <v>404</v>
      </c>
      <c r="H3184" s="28" t="b">
        <v>0</v>
      </c>
      <c r="I3184" s="34"/>
    </row>
    <row r="3185" spans="1:9" ht="30" x14ac:dyDescent="0.25">
      <c r="A3185" s="54" t="s">
        <v>635</v>
      </c>
      <c r="B3185" s="43" t="s">
        <v>2015</v>
      </c>
      <c r="C3185" s="37" t="s">
        <v>2017</v>
      </c>
      <c r="D3185" s="37"/>
      <c r="E3185" s="37" t="s">
        <v>1974</v>
      </c>
      <c r="F3185" s="37" t="b">
        <v>0</v>
      </c>
      <c r="G3185" s="37">
        <v>404</v>
      </c>
      <c r="H3185" s="37" t="b">
        <v>0</v>
      </c>
    </row>
    <row r="3186" spans="1:9" x14ac:dyDescent="0.25">
      <c r="A3186" s="54" t="s">
        <v>638</v>
      </c>
      <c r="B3186" s="31" t="s">
        <v>127</v>
      </c>
      <c r="C3186" s="28"/>
      <c r="D3186" s="28"/>
      <c r="E3186" s="28" t="s">
        <v>1974</v>
      </c>
      <c r="F3186" s="28" t="b">
        <v>0</v>
      </c>
      <c r="G3186" s="28">
        <v>200</v>
      </c>
      <c r="H3186" s="28" t="b">
        <v>1</v>
      </c>
      <c r="I3186" s="34"/>
    </row>
    <row r="3187" spans="1:9" x14ac:dyDescent="0.25">
      <c r="A3187" s="54" t="s">
        <v>638</v>
      </c>
      <c r="B3187" s="43" t="s">
        <v>127</v>
      </c>
      <c r="C3187" s="37" t="s">
        <v>1975</v>
      </c>
      <c r="D3187" s="37"/>
      <c r="E3187" s="37" t="s">
        <v>1974</v>
      </c>
      <c r="F3187" s="37" t="b">
        <v>0</v>
      </c>
      <c r="G3187" s="37">
        <v>200</v>
      </c>
      <c r="H3187" s="37" t="b">
        <v>1</v>
      </c>
    </row>
    <row r="3188" spans="1:9" x14ac:dyDescent="0.25">
      <c r="A3188" s="54" t="s">
        <v>638</v>
      </c>
      <c r="B3188" s="31" t="s">
        <v>135</v>
      </c>
      <c r="C3188" s="28" t="s">
        <v>1976</v>
      </c>
      <c r="D3188" s="28"/>
      <c r="E3188" s="28" t="s">
        <v>1974</v>
      </c>
      <c r="F3188" s="28" t="b">
        <v>0</v>
      </c>
      <c r="G3188" s="28">
        <v>200</v>
      </c>
      <c r="H3188" s="28" t="b">
        <v>1</v>
      </c>
      <c r="I3188" s="34"/>
    </row>
    <row r="3189" spans="1:9" x14ac:dyDescent="0.25">
      <c r="A3189" s="54" t="s">
        <v>638</v>
      </c>
      <c r="B3189" s="43" t="s">
        <v>655</v>
      </c>
      <c r="C3189" s="37" t="s">
        <v>1977</v>
      </c>
      <c r="D3189" s="37"/>
      <c r="E3189" s="37" t="s">
        <v>1974</v>
      </c>
      <c r="F3189" s="37" t="b">
        <v>0</v>
      </c>
      <c r="G3189" s="37">
        <v>200</v>
      </c>
      <c r="H3189" s="37" t="b">
        <v>1</v>
      </c>
    </row>
    <row r="3190" spans="1:9" x14ac:dyDescent="0.25">
      <c r="A3190" s="54" t="s">
        <v>638</v>
      </c>
      <c r="B3190" s="31" t="s">
        <v>635</v>
      </c>
      <c r="C3190" s="28" t="s">
        <v>1978</v>
      </c>
      <c r="D3190" s="28"/>
      <c r="E3190" s="28" t="s">
        <v>1974</v>
      </c>
      <c r="F3190" s="28" t="b">
        <v>0</v>
      </c>
      <c r="G3190" s="28">
        <v>200</v>
      </c>
      <c r="H3190" s="28" t="b">
        <v>1</v>
      </c>
      <c r="I3190" s="34"/>
    </row>
    <row r="3191" spans="1:9" ht="30" x14ac:dyDescent="0.25">
      <c r="A3191" s="54" t="s">
        <v>638</v>
      </c>
      <c r="B3191" s="43" t="s">
        <v>144</v>
      </c>
      <c r="C3191" s="37" t="s">
        <v>1979</v>
      </c>
      <c r="D3191" s="37"/>
      <c r="E3191" s="37" t="s">
        <v>1974</v>
      </c>
      <c r="F3191" s="37" t="b">
        <v>0</v>
      </c>
      <c r="G3191" s="37">
        <v>200</v>
      </c>
      <c r="H3191" s="37" t="b">
        <v>1</v>
      </c>
    </row>
    <row r="3192" spans="1:9" x14ac:dyDescent="0.25">
      <c r="A3192" s="54" t="s">
        <v>638</v>
      </c>
      <c r="B3192" s="31" t="s">
        <v>618</v>
      </c>
      <c r="C3192" s="28" t="s">
        <v>1980</v>
      </c>
      <c r="D3192" s="28"/>
      <c r="E3192" s="28" t="s">
        <v>1974</v>
      </c>
      <c r="F3192" s="28" t="b">
        <v>0</v>
      </c>
      <c r="G3192" s="28">
        <v>200</v>
      </c>
      <c r="H3192" s="28" t="b">
        <v>1</v>
      </c>
      <c r="I3192" s="34"/>
    </row>
    <row r="3193" spans="1:9" ht="30" x14ac:dyDescent="0.25">
      <c r="A3193" s="54" t="s">
        <v>638</v>
      </c>
      <c r="B3193" s="43" t="s">
        <v>585</v>
      </c>
      <c r="C3193" s="37" t="s">
        <v>1981</v>
      </c>
      <c r="D3193" s="37"/>
      <c r="E3193" s="37" t="s">
        <v>1974</v>
      </c>
      <c r="F3193" s="37" t="b">
        <v>0</v>
      </c>
      <c r="G3193" s="37">
        <v>200</v>
      </c>
      <c r="H3193" s="37" t="b">
        <v>1</v>
      </c>
    </row>
    <row r="3194" spans="1:9" ht="30" x14ac:dyDescent="0.25">
      <c r="A3194" s="54" t="s">
        <v>638</v>
      </c>
      <c r="B3194" s="31" t="s">
        <v>582</v>
      </c>
      <c r="C3194" s="28" t="s">
        <v>1982</v>
      </c>
      <c r="D3194" s="28"/>
      <c r="E3194" s="28" t="s">
        <v>1974</v>
      </c>
      <c r="F3194" s="28" t="b">
        <v>0</v>
      </c>
      <c r="G3194" s="28">
        <v>200</v>
      </c>
      <c r="H3194" s="28" t="b">
        <v>1</v>
      </c>
      <c r="I3194" s="34"/>
    </row>
    <row r="3195" spans="1:9" x14ac:dyDescent="0.25">
      <c r="A3195" s="54" t="s">
        <v>638</v>
      </c>
      <c r="B3195" s="43" t="s">
        <v>638</v>
      </c>
      <c r="C3195" s="37" t="s">
        <v>1983</v>
      </c>
      <c r="D3195" s="37"/>
      <c r="E3195" s="37" t="s">
        <v>1974</v>
      </c>
      <c r="F3195" s="37" t="b">
        <v>0</v>
      </c>
      <c r="G3195" s="37">
        <v>200</v>
      </c>
      <c r="H3195" s="37" t="b">
        <v>1</v>
      </c>
    </row>
    <row r="3196" spans="1:9" x14ac:dyDescent="0.25">
      <c r="A3196" s="54" t="s">
        <v>638</v>
      </c>
      <c r="B3196" s="31" t="s">
        <v>638</v>
      </c>
      <c r="C3196" s="28" t="s">
        <v>1984</v>
      </c>
      <c r="D3196" s="28"/>
      <c r="E3196" s="28" t="s">
        <v>1974</v>
      </c>
      <c r="F3196" s="28" t="b">
        <v>0</v>
      </c>
      <c r="G3196" s="28">
        <v>200</v>
      </c>
      <c r="H3196" s="28" t="b">
        <v>1</v>
      </c>
      <c r="I3196" s="34"/>
    </row>
    <row r="3197" spans="1:9" x14ac:dyDescent="0.25">
      <c r="A3197" s="54" t="s">
        <v>638</v>
      </c>
      <c r="B3197" s="43" t="s">
        <v>647</v>
      </c>
      <c r="C3197" s="37" t="s">
        <v>1985</v>
      </c>
      <c r="D3197" s="37"/>
      <c r="E3197" s="37" t="s">
        <v>1974</v>
      </c>
      <c r="F3197" s="37" t="b">
        <v>0</v>
      </c>
      <c r="G3197" s="37">
        <v>200</v>
      </c>
      <c r="H3197" s="37" t="b">
        <v>1</v>
      </c>
    </row>
    <row r="3198" spans="1:9" ht="30" x14ac:dyDescent="0.25">
      <c r="A3198" s="54" t="s">
        <v>638</v>
      </c>
      <c r="B3198" s="31" t="s">
        <v>503</v>
      </c>
      <c r="C3198" s="28" t="s">
        <v>1986</v>
      </c>
      <c r="D3198" s="28"/>
      <c r="E3198" s="28" t="s">
        <v>1974</v>
      </c>
      <c r="F3198" s="28" t="b">
        <v>0</v>
      </c>
      <c r="G3198" s="28">
        <v>200</v>
      </c>
      <c r="H3198" s="28" t="b">
        <v>1</v>
      </c>
      <c r="I3198" s="34"/>
    </row>
    <row r="3199" spans="1:9" x14ac:dyDescent="0.25">
      <c r="A3199" s="54" t="s">
        <v>638</v>
      </c>
      <c r="B3199" s="43" t="s">
        <v>608</v>
      </c>
      <c r="C3199" s="37" t="s">
        <v>1987</v>
      </c>
      <c r="D3199" s="37"/>
      <c r="E3199" s="37" t="s">
        <v>1974</v>
      </c>
      <c r="F3199" s="37" t="b">
        <v>0</v>
      </c>
      <c r="G3199" s="37">
        <v>200</v>
      </c>
      <c r="H3199" s="37" t="b">
        <v>1</v>
      </c>
    </row>
    <row r="3200" spans="1:9" x14ac:dyDescent="0.25">
      <c r="A3200" s="54" t="s">
        <v>638</v>
      </c>
      <c r="B3200" s="31" t="s">
        <v>127</v>
      </c>
      <c r="C3200" s="28" t="s">
        <v>1975</v>
      </c>
      <c r="D3200" s="28"/>
      <c r="E3200" s="28" t="s">
        <v>1974</v>
      </c>
      <c r="F3200" s="28" t="b">
        <v>0</v>
      </c>
      <c r="G3200" s="28">
        <v>200</v>
      </c>
      <c r="H3200" s="28" t="b">
        <v>1</v>
      </c>
      <c r="I3200" s="34"/>
    </row>
    <row r="3201" spans="1:9" x14ac:dyDescent="0.25">
      <c r="A3201" s="54" t="s">
        <v>638</v>
      </c>
      <c r="B3201" s="43" t="s">
        <v>135</v>
      </c>
      <c r="C3201" s="37" t="s">
        <v>1976</v>
      </c>
      <c r="D3201" s="37"/>
      <c r="E3201" s="37" t="s">
        <v>1974</v>
      </c>
      <c r="F3201" s="37" t="b">
        <v>0</v>
      </c>
      <c r="G3201" s="37">
        <v>200</v>
      </c>
      <c r="H3201" s="37" t="b">
        <v>1</v>
      </c>
    </row>
    <row r="3202" spans="1:9" x14ac:dyDescent="0.25">
      <c r="A3202" s="54" t="s">
        <v>638</v>
      </c>
      <c r="B3202" s="31" t="s">
        <v>655</v>
      </c>
      <c r="C3202" s="28" t="s">
        <v>1977</v>
      </c>
      <c r="D3202" s="28"/>
      <c r="E3202" s="28" t="s">
        <v>1974</v>
      </c>
      <c r="F3202" s="28" t="b">
        <v>0</v>
      </c>
      <c r="G3202" s="28">
        <v>200</v>
      </c>
      <c r="H3202" s="28" t="b">
        <v>1</v>
      </c>
      <c r="I3202" s="34"/>
    </row>
    <row r="3203" spans="1:9" x14ac:dyDescent="0.25">
      <c r="A3203" s="54" t="s">
        <v>638</v>
      </c>
      <c r="B3203" s="43" t="s">
        <v>635</v>
      </c>
      <c r="C3203" s="37" t="s">
        <v>1978</v>
      </c>
      <c r="D3203" s="37"/>
      <c r="E3203" s="37" t="s">
        <v>1974</v>
      </c>
      <c r="F3203" s="37" t="b">
        <v>0</v>
      </c>
      <c r="G3203" s="37">
        <v>200</v>
      </c>
      <c r="H3203" s="37" t="b">
        <v>1</v>
      </c>
    </row>
    <row r="3204" spans="1:9" ht="30" x14ac:dyDescent="0.25">
      <c r="A3204" s="54" t="s">
        <v>638</v>
      </c>
      <c r="B3204" s="31" t="s">
        <v>144</v>
      </c>
      <c r="C3204" s="28" t="s">
        <v>1979</v>
      </c>
      <c r="D3204" s="28"/>
      <c r="E3204" s="28" t="s">
        <v>1974</v>
      </c>
      <c r="F3204" s="28" t="b">
        <v>0</v>
      </c>
      <c r="G3204" s="28">
        <v>200</v>
      </c>
      <c r="H3204" s="28" t="b">
        <v>1</v>
      </c>
      <c r="I3204" s="34"/>
    </row>
    <row r="3205" spans="1:9" x14ac:dyDescent="0.25">
      <c r="A3205" s="54" t="s">
        <v>638</v>
      </c>
      <c r="B3205" s="43" t="s">
        <v>618</v>
      </c>
      <c r="C3205" s="37" t="s">
        <v>1980</v>
      </c>
      <c r="D3205" s="37"/>
      <c r="E3205" s="37" t="s">
        <v>1974</v>
      </c>
      <c r="F3205" s="37" t="b">
        <v>0</v>
      </c>
      <c r="G3205" s="37">
        <v>200</v>
      </c>
      <c r="H3205" s="37" t="b">
        <v>1</v>
      </c>
    </row>
    <row r="3206" spans="1:9" ht="30" x14ac:dyDescent="0.25">
      <c r="A3206" s="54" t="s">
        <v>638</v>
      </c>
      <c r="B3206" s="31" t="s">
        <v>585</v>
      </c>
      <c r="C3206" s="28" t="s">
        <v>1981</v>
      </c>
      <c r="D3206" s="28"/>
      <c r="E3206" s="28" t="s">
        <v>1974</v>
      </c>
      <c r="F3206" s="28" t="b">
        <v>0</v>
      </c>
      <c r="G3206" s="28">
        <v>200</v>
      </c>
      <c r="H3206" s="28" t="b">
        <v>1</v>
      </c>
      <c r="I3206" s="34"/>
    </row>
    <row r="3207" spans="1:9" ht="30" x14ac:dyDescent="0.25">
      <c r="A3207" s="54" t="s">
        <v>638</v>
      </c>
      <c r="B3207" s="43" t="s">
        <v>582</v>
      </c>
      <c r="C3207" s="37" t="s">
        <v>1982</v>
      </c>
      <c r="D3207" s="37"/>
      <c r="E3207" s="37" t="s">
        <v>1974</v>
      </c>
      <c r="F3207" s="37" t="b">
        <v>0</v>
      </c>
      <c r="G3207" s="37">
        <v>200</v>
      </c>
      <c r="H3207" s="37" t="b">
        <v>1</v>
      </c>
    </row>
    <row r="3208" spans="1:9" x14ac:dyDescent="0.25">
      <c r="A3208" s="54" t="s">
        <v>638</v>
      </c>
      <c r="B3208" s="31" t="s">
        <v>638</v>
      </c>
      <c r="C3208" s="28" t="s">
        <v>1983</v>
      </c>
      <c r="D3208" s="28"/>
      <c r="E3208" s="28" t="s">
        <v>1974</v>
      </c>
      <c r="F3208" s="28" t="b">
        <v>0</v>
      </c>
      <c r="G3208" s="28">
        <v>200</v>
      </c>
      <c r="H3208" s="28" t="b">
        <v>1</v>
      </c>
      <c r="I3208" s="34"/>
    </row>
    <row r="3209" spans="1:9" x14ac:dyDescent="0.25">
      <c r="A3209" s="54" t="s">
        <v>638</v>
      </c>
      <c r="B3209" s="43" t="s">
        <v>638</v>
      </c>
      <c r="C3209" s="37" t="s">
        <v>1984</v>
      </c>
      <c r="D3209" s="37"/>
      <c r="E3209" s="37" t="s">
        <v>1974</v>
      </c>
      <c r="F3209" s="37" t="b">
        <v>0</v>
      </c>
      <c r="G3209" s="37">
        <v>200</v>
      </c>
      <c r="H3209" s="37" t="b">
        <v>1</v>
      </c>
    </row>
    <row r="3210" spans="1:9" x14ac:dyDescent="0.25">
      <c r="A3210" s="54" t="s">
        <v>638</v>
      </c>
      <c r="B3210" s="31" t="s">
        <v>647</v>
      </c>
      <c r="C3210" s="28" t="s">
        <v>1985</v>
      </c>
      <c r="D3210" s="28"/>
      <c r="E3210" s="28" t="s">
        <v>1974</v>
      </c>
      <c r="F3210" s="28" t="b">
        <v>0</v>
      </c>
      <c r="G3210" s="28">
        <v>200</v>
      </c>
      <c r="H3210" s="28" t="b">
        <v>1</v>
      </c>
      <c r="I3210" s="34"/>
    </row>
    <row r="3211" spans="1:9" ht="30" x14ac:dyDescent="0.25">
      <c r="A3211" s="54" t="s">
        <v>638</v>
      </c>
      <c r="B3211" s="43" t="s">
        <v>503</v>
      </c>
      <c r="C3211" s="37" t="s">
        <v>1986</v>
      </c>
      <c r="D3211" s="37"/>
      <c r="E3211" s="37" t="s">
        <v>1974</v>
      </c>
      <c r="F3211" s="37" t="b">
        <v>0</v>
      </c>
      <c r="G3211" s="37">
        <v>200</v>
      </c>
      <c r="H3211" s="37" t="b">
        <v>1</v>
      </c>
    </row>
    <row r="3212" spans="1:9" x14ac:dyDescent="0.25">
      <c r="A3212" s="54" t="s">
        <v>638</v>
      </c>
      <c r="B3212" s="31" t="s">
        <v>608</v>
      </c>
      <c r="C3212" s="28" t="s">
        <v>1987</v>
      </c>
      <c r="D3212" s="28"/>
      <c r="E3212" s="28" t="s">
        <v>1974</v>
      </c>
      <c r="F3212" s="28" t="b">
        <v>0</v>
      </c>
      <c r="G3212" s="28">
        <v>200</v>
      </c>
      <c r="H3212" s="28" t="b">
        <v>1</v>
      </c>
      <c r="I3212" s="34"/>
    </row>
    <row r="3213" spans="1:9" ht="30" x14ac:dyDescent="0.25">
      <c r="A3213" s="54" t="s">
        <v>638</v>
      </c>
      <c r="B3213" s="43" t="s">
        <v>1996</v>
      </c>
      <c r="C3213" s="37"/>
      <c r="D3213" s="37"/>
      <c r="E3213" s="37" t="s">
        <v>1974</v>
      </c>
      <c r="F3213" s="37" t="b">
        <v>0</v>
      </c>
      <c r="G3213" s="37">
        <v>200</v>
      </c>
      <c r="H3213" s="37" t="b">
        <v>1</v>
      </c>
    </row>
    <row r="3214" spans="1:9" ht="30" x14ac:dyDescent="0.25">
      <c r="A3214" s="54" t="s">
        <v>638</v>
      </c>
      <c r="B3214" s="31" t="s">
        <v>1996</v>
      </c>
      <c r="C3214" s="28" t="s">
        <v>1997</v>
      </c>
      <c r="D3214" s="28"/>
      <c r="E3214" s="28" t="s">
        <v>1974</v>
      </c>
      <c r="F3214" s="28" t="b">
        <v>0</v>
      </c>
      <c r="G3214" s="28">
        <v>200</v>
      </c>
      <c r="H3214" s="28" t="b">
        <v>1</v>
      </c>
      <c r="I3214" s="34"/>
    </row>
    <row r="3215" spans="1:9" ht="30" x14ac:dyDescent="0.25">
      <c r="A3215" s="54" t="s">
        <v>638</v>
      </c>
      <c r="B3215" s="43" t="s">
        <v>1996</v>
      </c>
      <c r="C3215" s="37" t="s">
        <v>1998</v>
      </c>
      <c r="D3215" s="37"/>
      <c r="E3215" s="37" t="s">
        <v>1974</v>
      </c>
      <c r="F3215" s="37" t="b">
        <v>0</v>
      </c>
      <c r="G3215" s="37">
        <v>200</v>
      </c>
      <c r="H3215" s="37" t="b">
        <v>1</v>
      </c>
    </row>
    <row r="3216" spans="1:9" ht="30" x14ac:dyDescent="0.25">
      <c r="A3216" s="54" t="s">
        <v>638</v>
      </c>
      <c r="B3216" s="31" t="s">
        <v>1999</v>
      </c>
      <c r="C3216" s="28"/>
      <c r="D3216" s="28"/>
      <c r="E3216" s="28" t="s">
        <v>1974</v>
      </c>
      <c r="F3216" s="28" t="b">
        <v>0</v>
      </c>
      <c r="G3216" s="28">
        <v>200</v>
      </c>
      <c r="H3216" s="28" t="b">
        <v>1</v>
      </c>
      <c r="I3216" s="34"/>
    </row>
    <row r="3217" spans="1:9" ht="30" x14ac:dyDescent="0.25">
      <c r="A3217" s="54" t="s">
        <v>638</v>
      </c>
      <c r="B3217" s="43" t="s">
        <v>1999</v>
      </c>
      <c r="C3217" s="37" t="s">
        <v>2000</v>
      </c>
      <c r="D3217" s="37"/>
      <c r="E3217" s="37" t="s">
        <v>1974</v>
      </c>
      <c r="F3217" s="37" t="b">
        <v>0</v>
      </c>
      <c r="G3217" s="37">
        <v>200</v>
      </c>
      <c r="H3217" s="37" t="b">
        <v>1</v>
      </c>
    </row>
    <row r="3218" spans="1:9" ht="30" x14ac:dyDescent="0.25">
      <c r="A3218" s="54" t="s">
        <v>638</v>
      </c>
      <c r="B3218" s="31" t="s">
        <v>1999</v>
      </c>
      <c r="C3218" s="28" t="s">
        <v>1998</v>
      </c>
      <c r="D3218" s="28"/>
      <c r="E3218" s="28" t="s">
        <v>1974</v>
      </c>
      <c r="F3218" s="28" t="b">
        <v>0</v>
      </c>
      <c r="G3218" s="28">
        <v>200</v>
      </c>
      <c r="H3218" s="28" t="b">
        <v>1</v>
      </c>
      <c r="I3218" s="34"/>
    </row>
    <row r="3219" spans="1:9" ht="30" x14ac:dyDescent="0.25">
      <c r="A3219" s="54" t="s">
        <v>638</v>
      </c>
      <c r="B3219" s="43" t="s">
        <v>2001</v>
      </c>
      <c r="C3219" s="37"/>
      <c r="D3219" s="37"/>
      <c r="E3219" s="37" t="s">
        <v>1974</v>
      </c>
      <c r="F3219" s="37" t="b">
        <v>0</v>
      </c>
      <c r="G3219" s="37">
        <v>200</v>
      </c>
      <c r="H3219" s="37" t="b">
        <v>1</v>
      </c>
    </row>
    <row r="3220" spans="1:9" ht="30" x14ac:dyDescent="0.25">
      <c r="A3220" s="54" t="s">
        <v>638</v>
      </c>
      <c r="B3220" s="31" t="s">
        <v>2001</v>
      </c>
      <c r="C3220" s="28" t="s">
        <v>2002</v>
      </c>
      <c r="D3220" s="28"/>
      <c r="E3220" s="28" t="s">
        <v>1974</v>
      </c>
      <c r="F3220" s="28" t="b">
        <v>0</v>
      </c>
      <c r="G3220" s="28">
        <v>200</v>
      </c>
      <c r="H3220" s="28" t="b">
        <v>1</v>
      </c>
      <c r="I3220" s="34"/>
    </row>
    <row r="3221" spans="1:9" ht="30" x14ac:dyDescent="0.25">
      <c r="A3221" s="54" t="s">
        <v>638</v>
      </c>
      <c r="B3221" s="43" t="s">
        <v>2001</v>
      </c>
      <c r="C3221" s="37" t="s">
        <v>1998</v>
      </c>
      <c r="D3221" s="37"/>
      <c r="E3221" s="37" t="s">
        <v>1974</v>
      </c>
      <c r="F3221" s="37" t="b">
        <v>0</v>
      </c>
      <c r="G3221" s="37">
        <v>200</v>
      </c>
      <c r="H3221" s="37" t="b">
        <v>1</v>
      </c>
    </row>
    <row r="3222" spans="1:9" ht="30" x14ac:dyDescent="0.25">
      <c r="A3222" s="54" t="s">
        <v>638</v>
      </c>
      <c r="B3222" s="31" t="s">
        <v>2003</v>
      </c>
      <c r="C3222" s="28"/>
      <c r="D3222" s="28"/>
      <c r="E3222" s="28" t="s">
        <v>1974</v>
      </c>
      <c r="F3222" s="28" t="b">
        <v>0</v>
      </c>
      <c r="G3222" s="28">
        <v>200</v>
      </c>
      <c r="H3222" s="28" t="b">
        <v>1</v>
      </c>
      <c r="I3222" s="34"/>
    </row>
    <row r="3223" spans="1:9" ht="30" x14ac:dyDescent="0.25">
      <c r="A3223" s="54" t="s">
        <v>638</v>
      </c>
      <c r="B3223" s="43" t="s">
        <v>2003</v>
      </c>
      <c r="C3223" s="37" t="s">
        <v>2004</v>
      </c>
      <c r="D3223" s="37"/>
      <c r="E3223" s="37" t="s">
        <v>1974</v>
      </c>
      <c r="F3223" s="37" t="b">
        <v>0</v>
      </c>
      <c r="G3223" s="37">
        <v>200</v>
      </c>
      <c r="H3223" s="37" t="b">
        <v>1</v>
      </c>
    </row>
    <row r="3224" spans="1:9" ht="30" x14ac:dyDescent="0.25">
      <c r="A3224" s="54" t="s">
        <v>638</v>
      </c>
      <c r="B3224" s="31" t="s">
        <v>2003</v>
      </c>
      <c r="C3224" s="28" t="s">
        <v>1998</v>
      </c>
      <c r="D3224" s="28"/>
      <c r="E3224" s="28" t="s">
        <v>1974</v>
      </c>
      <c r="F3224" s="28" t="b">
        <v>0</v>
      </c>
      <c r="G3224" s="28">
        <v>200</v>
      </c>
      <c r="H3224" s="28" t="b">
        <v>1</v>
      </c>
      <c r="I3224" s="34"/>
    </row>
    <row r="3225" spans="1:9" ht="30" x14ac:dyDescent="0.25">
      <c r="A3225" s="54" t="s">
        <v>638</v>
      </c>
      <c r="B3225" s="43" t="s">
        <v>2005</v>
      </c>
      <c r="C3225" s="37"/>
      <c r="D3225" s="37"/>
      <c r="E3225" s="37" t="s">
        <v>1974</v>
      </c>
      <c r="F3225" s="37" t="b">
        <v>0</v>
      </c>
      <c r="G3225" s="37">
        <v>200</v>
      </c>
      <c r="H3225" s="37" t="b">
        <v>1</v>
      </c>
    </row>
    <row r="3226" spans="1:9" ht="30" x14ac:dyDescent="0.25">
      <c r="A3226" s="54" t="s">
        <v>638</v>
      </c>
      <c r="B3226" s="31" t="s">
        <v>2005</v>
      </c>
      <c r="C3226" s="28" t="s">
        <v>2006</v>
      </c>
      <c r="D3226" s="28"/>
      <c r="E3226" s="28" t="s">
        <v>1974</v>
      </c>
      <c r="F3226" s="28" t="b">
        <v>0</v>
      </c>
      <c r="G3226" s="28">
        <v>200</v>
      </c>
      <c r="H3226" s="28" t="b">
        <v>1</v>
      </c>
      <c r="I3226" s="34"/>
    </row>
    <row r="3227" spans="1:9" ht="30" x14ac:dyDescent="0.25">
      <c r="A3227" s="54" t="s">
        <v>638</v>
      </c>
      <c r="B3227" s="43" t="s">
        <v>2005</v>
      </c>
      <c r="C3227" s="37" t="s">
        <v>1998</v>
      </c>
      <c r="D3227" s="37"/>
      <c r="E3227" s="37" t="s">
        <v>1974</v>
      </c>
      <c r="F3227" s="37" t="b">
        <v>0</v>
      </c>
      <c r="G3227" s="37">
        <v>200</v>
      </c>
      <c r="H3227" s="37" t="b">
        <v>1</v>
      </c>
    </row>
    <row r="3228" spans="1:9" ht="30" x14ac:dyDescent="0.25">
      <c r="A3228" s="54" t="s">
        <v>638</v>
      </c>
      <c r="B3228" s="31" t="s">
        <v>2007</v>
      </c>
      <c r="C3228" s="28"/>
      <c r="D3228" s="28"/>
      <c r="E3228" s="28" t="s">
        <v>1974</v>
      </c>
      <c r="F3228" s="28" t="b">
        <v>0</v>
      </c>
      <c r="G3228" s="28">
        <v>200</v>
      </c>
      <c r="H3228" s="28" t="b">
        <v>1</v>
      </c>
      <c r="I3228" s="34"/>
    </row>
    <row r="3229" spans="1:9" ht="30" x14ac:dyDescent="0.25">
      <c r="A3229" s="54" t="s">
        <v>638</v>
      </c>
      <c r="B3229" s="43" t="s">
        <v>2007</v>
      </c>
      <c r="C3229" s="37" t="s">
        <v>2008</v>
      </c>
      <c r="D3229" s="37"/>
      <c r="E3229" s="37" t="s">
        <v>1974</v>
      </c>
      <c r="F3229" s="37" t="b">
        <v>0</v>
      </c>
      <c r="G3229" s="37">
        <v>200</v>
      </c>
      <c r="H3229" s="37" t="b">
        <v>1</v>
      </c>
    </row>
    <row r="3230" spans="1:9" ht="30" x14ac:dyDescent="0.25">
      <c r="A3230" s="54" t="s">
        <v>638</v>
      </c>
      <c r="B3230" s="31" t="s">
        <v>2007</v>
      </c>
      <c r="C3230" s="28" t="s">
        <v>1998</v>
      </c>
      <c r="D3230" s="28"/>
      <c r="E3230" s="28" t="s">
        <v>1974</v>
      </c>
      <c r="F3230" s="28" t="b">
        <v>0</v>
      </c>
      <c r="G3230" s="28">
        <v>200</v>
      </c>
      <c r="H3230" s="28" t="b">
        <v>1</v>
      </c>
      <c r="I3230" s="34"/>
    </row>
    <row r="3231" spans="1:9" ht="30" x14ac:dyDescent="0.25">
      <c r="A3231" s="54" t="s">
        <v>638</v>
      </c>
      <c r="B3231" s="43" t="s">
        <v>2918</v>
      </c>
      <c r="C3231" s="37"/>
      <c r="D3231" s="37"/>
      <c r="E3231" s="37" t="s">
        <v>1974</v>
      </c>
      <c r="F3231" s="37" t="b">
        <v>0</v>
      </c>
      <c r="G3231" s="37">
        <v>200</v>
      </c>
      <c r="H3231" s="37" t="b">
        <v>1</v>
      </c>
    </row>
    <row r="3232" spans="1:9" ht="30" x14ac:dyDescent="0.25">
      <c r="A3232" s="54" t="s">
        <v>638</v>
      </c>
      <c r="B3232" s="31" t="s">
        <v>2918</v>
      </c>
      <c r="C3232" s="28" t="s">
        <v>2919</v>
      </c>
      <c r="D3232" s="28"/>
      <c r="E3232" s="28" t="s">
        <v>1974</v>
      </c>
      <c r="F3232" s="28" t="b">
        <v>0</v>
      </c>
      <c r="G3232" s="28">
        <v>200</v>
      </c>
      <c r="H3232" s="28" t="b">
        <v>1</v>
      </c>
      <c r="I3232" s="34"/>
    </row>
    <row r="3233" spans="1:9" ht="30" x14ac:dyDescent="0.25">
      <c r="A3233" s="54" t="s">
        <v>638</v>
      </c>
      <c r="B3233" s="43" t="s">
        <v>2918</v>
      </c>
      <c r="C3233" s="37" t="s">
        <v>1998</v>
      </c>
      <c r="D3233" s="37"/>
      <c r="E3233" s="37" t="s">
        <v>1974</v>
      </c>
      <c r="F3233" s="37" t="b">
        <v>0</v>
      </c>
      <c r="G3233" s="37">
        <v>200</v>
      </c>
      <c r="H3233" s="37" t="b">
        <v>1</v>
      </c>
    </row>
    <row r="3234" spans="1:9" ht="30" x14ac:dyDescent="0.25">
      <c r="A3234" s="54" t="s">
        <v>638</v>
      </c>
      <c r="B3234" s="31" t="s">
        <v>2920</v>
      </c>
      <c r="C3234" s="28"/>
      <c r="D3234" s="28"/>
      <c r="E3234" s="28" t="s">
        <v>1974</v>
      </c>
      <c r="F3234" s="28" t="b">
        <v>0</v>
      </c>
      <c r="G3234" s="28">
        <v>200</v>
      </c>
      <c r="H3234" s="28" t="b">
        <v>1</v>
      </c>
      <c r="I3234" s="34"/>
    </row>
    <row r="3235" spans="1:9" ht="30" x14ac:dyDescent="0.25">
      <c r="A3235" s="54" t="s">
        <v>638</v>
      </c>
      <c r="B3235" s="43" t="s">
        <v>2920</v>
      </c>
      <c r="C3235" s="37" t="s">
        <v>2921</v>
      </c>
      <c r="D3235" s="37"/>
      <c r="E3235" s="37" t="s">
        <v>1974</v>
      </c>
      <c r="F3235" s="37" t="b">
        <v>0</v>
      </c>
      <c r="G3235" s="37">
        <v>200</v>
      </c>
      <c r="H3235" s="37" t="b">
        <v>1</v>
      </c>
    </row>
    <row r="3236" spans="1:9" ht="30" x14ac:dyDescent="0.25">
      <c r="A3236" s="54" t="s">
        <v>638</v>
      </c>
      <c r="B3236" s="31" t="s">
        <v>2920</v>
      </c>
      <c r="C3236" s="28" t="s">
        <v>1998</v>
      </c>
      <c r="D3236" s="28"/>
      <c r="E3236" s="28" t="s">
        <v>1974</v>
      </c>
      <c r="F3236" s="28" t="b">
        <v>0</v>
      </c>
      <c r="G3236" s="28">
        <v>200</v>
      </c>
      <c r="H3236" s="28" t="b">
        <v>1</v>
      </c>
      <c r="I3236" s="34"/>
    </row>
    <row r="3237" spans="1:9" ht="30" x14ac:dyDescent="0.25">
      <c r="A3237" s="54" t="s">
        <v>638</v>
      </c>
      <c r="B3237" s="43" t="s">
        <v>2922</v>
      </c>
      <c r="C3237" s="37"/>
      <c r="D3237" s="37"/>
      <c r="E3237" s="37" t="s">
        <v>1974</v>
      </c>
      <c r="F3237" s="37" t="b">
        <v>0</v>
      </c>
      <c r="G3237" s="37">
        <v>200</v>
      </c>
      <c r="H3237" s="37" t="b">
        <v>1</v>
      </c>
    </row>
    <row r="3238" spans="1:9" ht="30" x14ac:dyDescent="0.25">
      <c r="A3238" s="54" t="s">
        <v>638</v>
      </c>
      <c r="B3238" s="31" t="s">
        <v>2922</v>
      </c>
      <c r="C3238" s="28" t="s">
        <v>2923</v>
      </c>
      <c r="D3238" s="28"/>
      <c r="E3238" s="28" t="s">
        <v>1974</v>
      </c>
      <c r="F3238" s="28" t="b">
        <v>0</v>
      </c>
      <c r="G3238" s="28">
        <v>200</v>
      </c>
      <c r="H3238" s="28" t="b">
        <v>1</v>
      </c>
      <c r="I3238" s="34"/>
    </row>
    <row r="3239" spans="1:9" ht="30" x14ac:dyDescent="0.25">
      <c r="A3239" s="54" t="s">
        <v>638</v>
      </c>
      <c r="B3239" s="43" t="s">
        <v>2922</v>
      </c>
      <c r="C3239" s="37" t="s">
        <v>1998</v>
      </c>
      <c r="D3239" s="37"/>
      <c r="E3239" s="37" t="s">
        <v>1974</v>
      </c>
      <c r="F3239" s="37" t="b">
        <v>0</v>
      </c>
      <c r="G3239" s="37">
        <v>200</v>
      </c>
      <c r="H3239" s="37" t="b">
        <v>1</v>
      </c>
    </row>
    <row r="3240" spans="1:9" ht="30" x14ac:dyDescent="0.25">
      <c r="A3240" s="54" t="s">
        <v>638</v>
      </c>
      <c r="B3240" s="31" t="s">
        <v>2924</v>
      </c>
      <c r="C3240" s="28"/>
      <c r="D3240" s="28"/>
      <c r="E3240" s="28" t="s">
        <v>1974</v>
      </c>
      <c r="F3240" s="28" t="b">
        <v>0</v>
      </c>
      <c r="G3240" s="28">
        <v>200</v>
      </c>
      <c r="H3240" s="28" t="b">
        <v>1</v>
      </c>
      <c r="I3240" s="34"/>
    </row>
    <row r="3241" spans="1:9" ht="30" x14ac:dyDescent="0.25">
      <c r="A3241" s="54" t="s">
        <v>638</v>
      </c>
      <c r="B3241" s="43" t="s">
        <v>2924</v>
      </c>
      <c r="C3241" s="37" t="s">
        <v>2925</v>
      </c>
      <c r="D3241" s="37"/>
      <c r="E3241" s="37" t="s">
        <v>1974</v>
      </c>
      <c r="F3241" s="37" t="b">
        <v>0</v>
      </c>
      <c r="G3241" s="37">
        <v>200</v>
      </c>
      <c r="H3241" s="37" t="b">
        <v>1</v>
      </c>
    </row>
    <row r="3242" spans="1:9" ht="30" x14ac:dyDescent="0.25">
      <c r="A3242" s="54" t="s">
        <v>638</v>
      </c>
      <c r="B3242" s="31" t="s">
        <v>2924</v>
      </c>
      <c r="C3242" s="28" t="s">
        <v>1998</v>
      </c>
      <c r="D3242" s="28"/>
      <c r="E3242" s="28" t="s">
        <v>1974</v>
      </c>
      <c r="F3242" s="28" t="b">
        <v>0</v>
      </c>
      <c r="G3242" s="28">
        <v>200</v>
      </c>
      <c r="H3242" s="28" t="b">
        <v>1</v>
      </c>
      <c r="I3242" s="34"/>
    </row>
    <row r="3243" spans="1:9" ht="30" x14ac:dyDescent="0.25">
      <c r="A3243" s="54" t="s">
        <v>638</v>
      </c>
      <c r="B3243" s="43" t="s">
        <v>2926</v>
      </c>
      <c r="C3243" s="37"/>
      <c r="D3243" s="37"/>
      <c r="E3243" s="37" t="s">
        <v>1974</v>
      </c>
      <c r="F3243" s="37" t="b">
        <v>0</v>
      </c>
      <c r="G3243" s="37">
        <v>200</v>
      </c>
      <c r="H3243" s="37" t="b">
        <v>1</v>
      </c>
    </row>
    <row r="3244" spans="1:9" ht="30" x14ac:dyDescent="0.25">
      <c r="A3244" s="54" t="s">
        <v>638</v>
      </c>
      <c r="B3244" s="31" t="s">
        <v>2926</v>
      </c>
      <c r="C3244" s="28" t="s">
        <v>2927</v>
      </c>
      <c r="D3244" s="28"/>
      <c r="E3244" s="28" t="s">
        <v>1974</v>
      </c>
      <c r="F3244" s="28" t="b">
        <v>0</v>
      </c>
      <c r="G3244" s="28">
        <v>200</v>
      </c>
      <c r="H3244" s="28" t="b">
        <v>1</v>
      </c>
      <c r="I3244" s="34"/>
    </row>
    <row r="3245" spans="1:9" ht="30" x14ac:dyDescent="0.25">
      <c r="A3245" s="54" t="s">
        <v>638</v>
      </c>
      <c r="B3245" s="43" t="s">
        <v>2926</v>
      </c>
      <c r="C3245" s="37" t="s">
        <v>1998</v>
      </c>
      <c r="D3245" s="37"/>
      <c r="E3245" s="37" t="s">
        <v>1974</v>
      </c>
      <c r="F3245" s="37" t="b">
        <v>0</v>
      </c>
      <c r="G3245" s="37">
        <v>200</v>
      </c>
      <c r="H3245" s="37" t="b">
        <v>1</v>
      </c>
    </row>
    <row r="3246" spans="1:9" ht="30" x14ac:dyDescent="0.25">
      <c r="A3246" s="54" t="s">
        <v>638</v>
      </c>
      <c r="B3246" s="31" t="s">
        <v>2928</v>
      </c>
      <c r="C3246" s="28"/>
      <c r="D3246" s="28"/>
      <c r="E3246" s="28" t="s">
        <v>1974</v>
      </c>
      <c r="F3246" s="28" t="b">
        <v>0</v>
      </c>
      <c r="G3246" s="28">
        <v>200</v>
      </c>
      <c r="H3246" s="28" t="b">
        <v>1</v>
      </c>
      <c r="I3246" s="34"/>
    </row>
    <row r="3247" spans="1:9" ht="30" x14ac:dyDescent="0.25">
      <c r="A3247" s="54" t="s">
        <v>638</v>
      </c>
      <c r="B3247" s="43" t="s">
        <v>2928</v>
      </c>
      <c r="C3247" s="37" t="s">
        <v>2929</v>
      </c>
      <c r="D3247" s="37"/>
      <c r="E3247" s="37" t="s">
        <v>1974</v>
      </c>
      <c r="F3247" s="37" t="b">
        <v>0</v>
      </c>
      <c r="G3247" s="37">
        <v>200</v>
      </c>
      <c r="H3247" s="37" t="b">
        <v>1</v>
      </c>
    </row>
    <row r="3248" spans="1:9" ht="30" x14ac:dyDescent="0.25">
      <c r="A3248" s="54" t="s">
        <v>638</v>
      </c>
      <c r="B3248" s="31" t="s">
        <v>2928</v>
      </c>
      <c r="C3248" s="28" t="s">
        <v>1998</v>
      </c>
      <c r="D3248" s="28"/>
      <c r="E3248" s="28" t="s">
        <v>1974</v>
      </c>
      <c r="F3248" s="28" t="b">
        <v>0</v>
      </c>
      <c r="G3248" s="28">
        <v>200</v>
      </c>
      <c r="H3248" s="28" t="b">
        <v>1</v>
      </c>
      <c r="I3248" s="34"/>
    </row>
    <row r="3249" spans="1:9" ht="30" x14ac:dyDescent="0.25">
      <c r="A3249" s="54" t="s">
        <v>638</v>
      </c>
      <c r="B3249" s="43" t="s">
        <v>2930</v>
      </c>
      <c r="C3249" s="37"/>
      <c r="D3249" s="37"/>
      <c r="E3249" s="37" t="s">
        <v>1974</v>
      </c>
      <c r="F3249" s="37" t="b">
        <v>0</v>
      </c>
      <c r="G3249" s="37">
        <v>200</v>
      </c>
      <c r="H3249" s="37" t="b">
        <v>1</v>
      </c>
    </row>
    <row r="3250" spans="1:9" ht="30" x14ac:dyDescent="0.25">
      <c r="A3250" s="54" t="s">
        <v>638</v>
      </c>
      <c r="B3250" s="31" t="s">
        <v>2930</v>
      </c>
      <c r="C3250" s="28" t="s">
        <v>2931</v>
      </c>
      <c r="D3250" s="28"/>
      <c r="E3250" s="28" t="s">
        <v>1974</v>
      </c>
      <c r="F3250" s="28" t="b">
        <v>0</v>
      </c>
      <c r="G3250" s="28">
        <v>200</v>
      </c>
      <c r="H3250" s="28" t="b">
        <v>1</v>
      </c>
      <c r="I3250" s="34"/>
    </row>
    <row r="3251" spans="1:9" ht="30" x14ac:dyDescent="0.25">
      <c r="A3251" s="54" t="s">
        <v>638</v>
      </c>
      <c r="B3251" s="43" t="s">
        <v>2930</v>
      </c>
      <c r="C3251" s="37" t="s">
        <v>1998</v>
      </c>
      <c r="D3251" s="37"/>
      <c r="E3251" s="37" t="s">
        <v>1974</v>
      </c>
      <c r="F3251" s="37" t="b">
        <v>0</v>
      </c>
      <c r="G3251" s="37">
        <v>200</v>
      </c>
      <c r="H3251" s="37" t="b">
        <v>1</v>
      </c>
    </row>
    <row r="3252" spans="1:9" ht="30" x14ac:dyDescent="0.25">
      <c r="A3252" s="54" t="s">
        <v>638</v>
      </c>
      <c r="B3252" s="31" t="s">
        <v>2932</v>
      </c>
      <c r="C3252" s="28"/>
      <c r="D3252" s="28"/>
      <c r="E3252" s="28" t="s">
        <v>1974</v>
      </c>
      <c r="F3252" s="28" t="b">
        <v>0</v>
      </c>
      <c r="G3252" s="28">
        <v>200</v>
      </c>
      <c r="H3252" s="28" t="b">
        <v>1</v>
      </c>
      <c r="I3252" s="34"/>
    </row>
    <row r="3253" spans="1:9" ht="30" x14ac:dyDescent="0.25">
      <c r="A3253" s="54" t="s">
        <v>638</v>
      </c>
      <c r="B3253" s="43" t="s">
        <v>2932</v>
      </c>
      <c r="C3253" s="37" t="s">
        <v>2933</v>
      </c>
      <c r="D3253" s="37"/>
      <c r="E3253" s="37" t="s">
        <v>1974</v>
      </c>
      <c r="F3253" s="37" t="b">
        <v>0</v>
      </c>
      <c r="G3253" s="37">
        <v>200</v>
      </c>
      <c r="H3253" s="37" t="b">
        <v>1</v>
      </c>
    </row>
    <row r="3254" spans="1:9" ht="30" x14ac:dyDescent="0.25">
      <c r="A3254" s="54" t="s">
        <v>638</v>
      </c>
      <c r="B3254" s="31" t="s">
        <v>2932</v>
      </c>
      <c r="C3254" s="28" t="s">
        <v>1998</v>
      </c>
      <c r="D3254" s="28"/>
      <c r="E3254" s="28" t="s">
        <v>1974</v>
      </c>
      <c r="F3254" s="28" t="b">
        <v>0</v>
      </c>
      <c r="G3254" s="28">
        <v>200</v>
      </c>
      <c r="H3254" s="28" t="b">
        <v>1</v>
      </c>
      <c r="I3254" s="34"/>
    </row>
    <row r="3255" spans="1:9" x14ac:dyDescent="0.25">
      <c r="A3255" s="54" t="s">
        <v>638</v>
      </c>
      <c r="B3255" s="43" t="s">
        <v>2934</v>
      </c>
      <c r="C3255" s="37" t="s">
        <v>2935</v>
      </c>
      <c r="D3255" s="37"/>
      <c r="E3255" s="37" t="s">
        <v>1974</v>
      </c>
      <c r="F3255" s="37" t="b">
        <v>0</v>
      </c>
      <c r="G3255" s="37">
        <v>200</v>
      </c>
      <c r="H3255" s="37" t="b">
        <v>1</v>
      </c>
    </row>
    <row r="3256" spans="1:9" x14ac:dyDescent="0.25">
      <c r="A3256" s="54" t="s">
        <v>638</v>
      </c>
      <c r="B3256" s="31" t="s">
        <v>2936</v>
      </c>
      <c r="C3256" s="28" t="s">
        <v>2937</v>
      </c>
      <c r="D3256" s="28"/>
      <c r="E3256" s="28" t="s">
        <v>1974</v>
      </c>
      <c r="F3256" s="28" t="b">
        <v>0</v>
      </c>
      <c r="G3256" s="28">
        <v>200</v>
      </c>
      <c r="H3256" s="28" t="b">
        <v>1</v>
      </c>
      <c r="I3256" s="34"/>
    </row>
    <row r="3257" spans="1:9" x14ac:dyDescent="0.25">
      <c r="A3257" s="54" t="s">
        <v>638</v>
      </c>
      <c r="B3257" s="43" t="s">
        <v>2938</v>
      </c>
      <c r="C3257" s="37" t="s">
        <v>2939</v>
      </c>
      <c r="D3257" s="37"/>
      <c r="E3257" s="37" t="s">
        <v>1974</v>
      </c>
      <c r="F3257" s="37" t="b">
        <v>0</v>
      </c>
      <c r="G3257" s="37">
        <v>200</v>
      </c>
      <c r="H3257" s="37" t="b">
        <v>1</v>
      </c>
    </row>
    <row r="3258" spans="1:9" x14ac:dyDescent="0.25">
      <c r="A3258" s="54" t="s">
        <v>638</v>
      </c>
      <c r="B3258" s="31" t="s">
        <v>2934</v>
      </c>
      <c r="C3258" s="28" t="s">
        <v>2940</v>
      </c>
      <c r="D3258" s="28"/>
      <c r="E3258" s="28" t="s">
        <v>1974</v>
      </c>
      <c r="F3258" s="28" t="b">
        <v>0</v>
      </c>
      <c r="G3258" s="28">
        <v>200</v>
      </c>
      <c r="H3258" s="28" t="b">
        <v>1</v>
      </c>
      <c r="I3258" s="34"/>
    </row>
    <row r="3259" spans="1:9" x14ac:dyDescent="0.25">
      <c r="A3259" s="54" t="s">
        <v>638</v>
      </c>
      <c r="B3259" s="43" t="s">
        <v>658</v>
      </c>
      <c r="C3259" s="37" t="s">
        <v>1995</v>
      </c>
      <c r="D3259" s="37"/>
      <c r="E3259" s="37" t="s">
        <v>1974</v>
      </c>
      <c r="F3259" s="37" t="b">
        <v>0</v>
      </c>
      <c r="G3259" s="37">
        <v>200</v>
      </c>
      <c r="H3259" s="37" t="b">
        <v>1</v>
      </c>
    </row>
    <row r="3260" spans="1:9" x14ac:dyDescent="0.25">
      <c r="A3260" s="54" t="s">
        <v>638</v>
      </c>
      <c r="B3260" s="31" t="s">
        <v>647</v>
      </c>
      <c r="C3260" s="28" t="s">
        <v>2010</v>
      </c>
      <c r="D3260" s="28"/>
      <c r="E3260" s="28" t="s">
        <v>1974</v>
      </c>
      <c r="F3260" s="28" t="b">
        <v>0</v>
      </c>
      <c r="G3260" s="28">
        <v>200</v>
      </c>
      <c r="H3260" s="28" t="b">
        <v>1</v>
      </c>
      <c r="I3260" s="34"/>
    </row>
    <row r="3261" spans="1:9" ht="30" x14ac:dyDescent="0.25">
      <c r="A3261" s="54" t="s">
        <v>638</v>
      </c>
      <c r="B3261" s="43" t="s">
        <v>2011</v>
      </c>
      <c r="C3261" s="37"/>
      <c r="D3261" s="37"/>
      <c r="E3261" s="37" t="s">
        <v>2012</v>
      </c>
      <c r="F3261" s="37" t="b">
        <v>0</v>
      </c>
      <c r="G3261" s="37"/>
      <c r="H3261" s="37" t="b">
        <v>1</v>
      </c>
    </row>
    <row r="3262" spans="1:9" ht="30" x14ac:dyDescent="0.25">
      <c r="A3262" s="54" t="s">
        <v>638</v>
      </c>
      <c r="B3262" s="31" t="s">
        <v>2013</v>
      </c>
      <c r="C3262" s="28"/>
      <c r="D3262" s="28"/>
      <c r="E3262" s="28" t="s">
        <v>2012</v>
      </c>
      <c r="F3262" s="28" t="b">
        <v>0</v>
      </c>
      <c r="G3262" s="28"/>
      <c r="H3262" s="28" t="b">
        <v>1</v>
      </c>
      <c r="I3262" s="34"/>
    </row>
    <row r="3263" spans="1:9" x14ac:dyDescent="0.25">
      <c r="A3263" s="54" t="s">
        <v>638</v>
      </c>
      <c r="B3263" s="43" t="s">
        <v>641</v>
      </c>
      <c r="C3263" s="37" t="s">
        <v>2014</v>
      </c>
      <c r="D3263" s="37"/>
      <c r="E3263" s="37" t="s">
        <v>1974</v>
      </c>
      <c r="F3263" s="37" t="b">
        <v>0</v>
      </c>
      <c r="G3263" s="37">
        <v>200</v>
      </c>
      <c r="H3263" s="37" t="b">
        <v>1</v>
      </c>
    </row>
    <row r="3264" spans="1:9" ht="30" x14ac:dyDescent="0.25">
      <c r="A3264" s="54" t="s">
        <v>638</v>
      </c>
      <c r="B3264" s="31" t="s">
        <v>2015</v>
      </c>
      <c r="C3264" s="28" t="s">
        <v>2016</v>
      </c>
      <c r="D3264" s="28"/>
      <c r="E3264" s="28" t="s">
        <v>1974</v>
      </c>
      <c r="F3264" s="28" t="b">
        <v>0</v>
      </c>
      <c r="G3264" s="28">
        <v>404</v>
      </c>
      <c r="H3264" s="28" t="b">
        <v>0</v>
      </c>
      <c r="I3264" s="34"/>
    </row>
    <row r="3265" spans="1:9" ht="30" x14ac:dyDescent="0.25">
      <c r="A3265" s="54" t="s">
        <v>638</v>
      </c>
      <c r="B3265" s="43" t="s">
        <v>2015</v>
      </c>
      <c r="C3265" s="37" t="s">
        <v>2017</v>
      </c>
      <c r="D3265" s="37"/>
      <c r="E3265" s="37" t="s">
        <v>1974</v>
      </c>
      <c r="F3265" s="37" t="b">
        <v>0</v>
      </c>
      <c r="G3265" s="37">
        <v>404</v>
      </c>
      <c r="H3265" s="37" t="b">
        <v>0</v>
      </c>
    </row>
    <row r="3266" spans="1:9" x14ac:dyDescent="0.25">
      <c r="A3266" s="54" t="s">
        <v>641</v>
      </c>
      <c r="B3266" s="31" t="s">
        <v>127</v>
      </c>
      <c r="C3266" s="28"/>
      <c r="D3266" s="28"/>
      <c r="E3266" s="28" t="s">
        <v>1974</v>
      </c>
      <c r="F3266" s="28" t="b">
        <v>0</v>
      </c>
      <c r="G3266" s="28">
        <v>200</v>
      </c>
      <c r="H3266" s="28" t="b">
        <v>1</v>
      </c>
      <c r="I3266" s="34"/>
    </row>
    <row r="3267" spans="1:9" x14ac:dyDescent="0.25">
      <c r="A3267" s="54" t="s">
        <v>641</v>
      </c>
      <c r="B3267" s="43" t="s">
        <v>127</v>
      </c>
      <c r="C3267" s="37" t="s">
        <v>1975</v>
      </c>
      <c r="D3267" s="37"/>
      <c r="E3267" s="37" t="s">
        <v>1974</v>
      </c>
      <c r="F3267" s="37" t="b">
        <v>0</v>
      </c>
      <c r="G3267" s="37">
        <v>200</v>
      </c>
      <c r="H3267" s="37" t="b">
        <v>1</v>
      </c>
    </row>
    <row r="3268" spans="1:9" x14ac:dyDescent="0.25">
      <c r="A3268" s="54" t="s">
        <v>641</v>
      </c>
      <c r="B3268" s="31" t="s">
        <v>135</v>
      </c>
      <c r="C3268" s="28" t="s">
        <v>1976</v>
      </c>
      <c r="D3268" s="28"/>
      <c r="E3268" s="28" t="s">
        <v>1974</v>
      </c>
      <c r="F3268" s="28" t="b">
        <v>0</v>
      </c>
      <c r="G3268" s="28">
        <v>200</v>
      </c>
      <c r="H3268" s="28" t="b">
        <v>1</v>
      </c>
      <c r="I3268" s="34"/>
    </row>
    <row r="3269" spans="1:9" x14ac:dyDescent="0.25">
      <c r="A3269" s="54" t="s">
        <v>641</v>
      </c>
      <c r="B3269" s="43" t="s">
        <v>655</v>
      </c>
      <c r="C3269" s="37" t="s">
        <v>1977</v>
      </c>
      <c r="D3269" s="37"/>
      <c r="E3269" s="37" t="s">
        <v>1974</v>
      </c>
      <c r="F3269" s="37" t="b">
        <v>0</v>
      </c>
      <c r="G3269" s="37">
        <v>200</v>
      </c>
      <c r="H3269" s="37" t="b">
        <v>1</v>
      </c>
    </row>
    <row r="3270" spans="1:9" x14ac:dyDescent="0.25">
      <c r="A3270" s="54" t="s">
        <v>641</v>
      </c>
      <c r="B3270" s="31" t="s">
        <v>635</v>
      </c>
      <c r="C3270" s="28" t="s">
        <v>1978</v>
      </c>
      <c r="D3270" s="28"/>
      <c r="E3270" s="28" t="s">
        <v>1974</v>
      </c>
      <c r="F3270" s="28" t="b">
        <v>0</v>
      </c>
      <c r="G3270" s="28">
        <v>200</v>
      </c>
      <c r="H3270" s="28" t="b">
        <v>1</v>
      </c>
      <c r="I3270" s="34"/>
    </row>
    <row r="3271" spans="1:9" ht="30" x14ac:dyDescent="0.25">
      <c r="A3271" s="54" t="s">
        <v>641</v>
      </c>
      <c r="B3271" s="43" t="s">
        <v>144</v>
      </c>
      <c r="C3271" s="37" t="s">
        <v>1979</v>
      </c>
      <c r="D3271" s="37"/>
      <c r="E3271" s="37" t="s">
        <v>1974</v>
      </c>
      <c r="F3271" s="37" t="b">
        <v>0</v>
      </c>
      <c r="G3271" s="37">
        <v>200</v>
      </c>
      <c r="H3271" s="37" t="b">
        <v>1</v>
      </c>
    </row>
    <row r="3272" spans="1:9" x14ac:dyDescent="0.25">
      <c r="A3272" s="54" t="s">
        <v>641</v>
      </c>
      <c r="B3272" s="31" t="s">
        <v>618</v>
      </c>
      <c r="C3272" s="28" t="s">
        <v>1980</v>
      </c>
      <c r="D3272" s="28"/>
      <c r="E3272" s="28" t="s">
        <v>1974</v>
      </c>
      <c r="F3272" s="28" t="b">
        <v>0</v>
      </c>
      <c r="G3272" s="28">
        <v>200</v>
      </c>
      <c r="H3272" s="28" t="b">
        <v>1</v>
      </c>
      <c r="I3272" s="34"/>
    </row>
    <row r="3273" spans="1:9" ht="30" x14ac:dyDescent="0.25">
      <c r="A3273" s="54" t="s">
        <v>641</v>
      </c>
      <c r="B3273" s="43" t="s">
        <v>585</v>
      </c>
      <c r="C3273" s="37" t="s">
        <v>1981</v>
      </c>
      <c r="D3273" s="37"/>
      <c r="E3273" s="37" t="s">
        <v>1974</v>
      </c>
      <c r="F3273" s="37" t="b">
        <v>0</v>
      </c>
      <c r="G3273" s="37">
        <v>200</v>
      </c>
      <c r="H3273" s="37" t="b">
        <v>1</v>
      </c>
    </row>
    <row r="3274" spans="1:9" ht="30" x14ac:dyDescent="0.25">
      <c r="A3274" s="54" t="s">
        <v>641</v>
      </c>
      <c r="B3274" s="31" t="s">
        <v>582</v>
      </c>
      <c r="C3274" s="28" t="s">
        <v>1982</v>
      </c>
      <c r="D3274" s="28"/>
      <c r="E3274" s="28" t="s">
        <v>1974</v>
      </c>
      <c r="F3274" s="28" t="b">
        <v>0</v>
      </c>
      <c r="G3274" s="28">
        <v>200</v>
      </c>
      <c r="H3274" s="28" t="b">
        <v>1</v>
      </c>
      <c r="I3274" s="34"/>
    </row>
    <row r="3275" spans="1:9" x14ac:dyDescent="0.25">
      <c r="A3275" s="54" t="s">
        <v>641</v>
      </c>
      <c r="B3275" s="43" t="s">
        <v>638</v>
      </c>
      <c r="C3275" s="37" t="s">
        <v>1983</v>
      </c>
      <c r="D3275" s="37"/>
      <c r="E3275" s="37" t="s">
        <v>1974</v>
      </c>
      <c r="F3275" s="37" t="b">
        <v>0</v>
      </c>
      <c r="G3275" s="37">
        <v>200</v>
      </c>
      <c r="H3275" s="37" t="b">
        <v>1</v>
      </c>
    </row>
    <row r="3276" spans="1:9" x14ac:dyDescent="0.25">
      <c r="A3276" s="54" t="s">
        <v>641</v>
      </c>
      <c r="B3276" s="31" t="s">
        <v>638</v>
      </c>
      <c r="C3276" s="28" t="s">
        <v>1984</v>
      </c>
      <c r="D3276" s="28"/>
      <c r="E3276" s="28" t="s">
        <v>1974</v>
      </c>
      <c r="F3276" s="28" t="b">
        <v>0</v>
      </c>
      <c r="G3276" s="28">
        <v>200</v>
      </c>
      <c r="H3276" s="28" t="b">
        <v>1</v>
      </c>
      <c r="I3276" s="34"/>
    </row>
    <row r="3277" spans="1:9" x14ac:dyDescent="0.25">
      <c r="A3277" s="54" t="s">
        <v>641</v>
      </c>
      <c r="B3277" s="43" t="s">
        <v>647</v>
      </c>
      <c r="C3277" s="37" t="s">
        <v>1985</v>
      </c>
      <c r="D3277" s="37"/>
      <c r="E3277" s="37" t="s">
        <v>1974</v>
      </c>
      <c r="F3277" s="37" t="b">
        <v>0</v>
      </c>
      <c r="G3277" s="37">
        <v>200</v>
      </c>
      <c r="H3277" s="37" t="b">
        <v>1</v>
      </c>
    </row>
    <row r="3278" spans="1:9" ht="30" x14ac:dyDescent="0.25">
      <c r="A3278" s="54" t="s">
        <v>641</v>
      </c>
      <c r="B3278" s="31" t="s">
        <v>503</v>
      </c>
      <c r="C3278" s="28" t="s">
        <v>1986</v>
      </c>
      <c r="D3278" s="28"/>
      <c r="E3278" s="28" t="s">
        <v>1974</v>
      </c>
      <c r="F3278" s="28" t="b">
        <v>0</v>
      </c>
      <c r="G3278" s="28">
        <v>200</v>
      </c>
      <c r="H3278" s="28" t="b">
        <v>1</v>
      </c>
      <c r="I3278" s="34"/>
    </row>
    <row r="3279" spans="1:9" x14ac:dyDescent="0.25">
      <c r="A3279" s="54" t="s">
        <v>641</v>
      </c>
      <c r="B3279" s="43" t="s">
        <v>608</v>
      </c>
      <c r="C3279" s="37" t="s">
        <v>1987</v>
      </c>
      <c r="D3279" s="37"/>
      <c r="E3279" s="37" t="s">
        <v>1974</v>
      </c>
      <c r="F3279" s="37" t="b">
        <v>0</v>
      </c>
      <c r="G3279" s="37">
        <v>200</v>
      </c>
      <c r="H3279" s="37" t="b">
        <v>1</v>
      </c>
    </row>
    <row r="3280" spans="1:9" x14ac:dyDescent="0.25">
      <c r="A3280" s="54" t="s">
        <v>641</v>
      </c>
      <c r="B3280" s="31" t="s">
        <v>127</v>
      </c>
      <c r="C3280" s="28" t="s">
        <v>1975</v>
      </c>
      <c r="D3280" s="28"/>
      <c r="E3280" s="28" t="s">
        <v>1974</v>
      </c>
      <c r="F3280" s="28" t="b">
        <v>0</v>
      </c>
      <c r="G3280" s="28">
        <v>200</v>
      </c>
      <c r="H3280" s="28" t="b">
        <v>1</v>
      </c>
      <c r="I3280" s="34"/>
    </row>
    <row r="3281" spans="1:9" x14ac:dyDescent="0.25">
      <c r="A3281" s="54" t="s">
        <v>641</v>
      </c>
      <c r="B3281" s="43" t="s">
        <v>135</v>
      </c>
      <c r="C3281" s="37" t="s">
        <v>1976</v>
      </c>
      <c r="D3281" s="37"/>
      <c r="E3281" s="37" t="s">
        <v>1974</v>
      </c>
      <c r="F3281" s="37" t="b">
        <v>0</v>
      </c>
      <c r="G3281" s="37">
        <v>200</v>
      </c>
      <c r="H3281" s="37" t="b">
        <v>1</v>
      </c>
    </row>
    <row r="3282" spans="1:9" x14ac:dyDescent="0.25">
      <c r="A3282" s="54" t="s">
        <v>641</v>
      </c>
      <c r="B3282" s="31" t="s">
        <v>655</v>
      </c>
      <c r="C3282" s="28" t="s">
        <v>1977</v>
      </c>
      <c r="D3282" s="28"/>
      <c r="E3282" s="28" t="s">
        <v>1974</v>
      </c>
      <c r="F3282" s="28" t="b">
        <v>0</v>
      </c>
      <c r="G3282" s="28">
        <v>200</v>
      </c>
      <c r="H3282" s="28" t="b">
        <v>1</v>
      </c>
      <c r="I3282" s="34"/>
    </row>
    <row r="3283" spans="1:9" x14ac:dyDescent="0.25">
      <c r="A3283" s="54" t="s">
        <v>641</v>
      </c>
      <c r="B3283" s="43" t="s">
        <v>635</v>
      </c>
      <c r="C3283" s="37" t="s">
        <v>1978</v>
      </c>
      <c r="D3283" s="37"/>
      <c r="E3283" s="37" t="s">
        <v>1974</v>
      </c>
      <c r="F3283" s="37" t="b">
        <v>0</v>
      </c>
      <c r="G3283" s="37">
        <v>200</v>
      </c>
      <c r="H3283" s="37" t="b">
        <v>1</v>
      </c>
    </row>
    <row r="3284" spans="1:9" ht="30" x14ac:dyDescent="0.25">
      <c r="A3284" s="54" t="s">
        <v>641</v>
      </c>
      <c r="B3284" s="31" t="s">
        <v>144</v>
      </c>
      <c r="C3284" s="28" t="s">
        <v>1979</v>
      </c>
      <c r="D3284" s="28"/>
      <c r="E3284" s="28" t="s">
        <v>1974</v>
      </c>
      <c r="F3284" s="28" t="b">
        <v>0</v>
      </c>
      <c r="G3284" s="28">
        <v>200</v>
      </c>
      <c r="H3284" s="28" t="b">
        <v>1</v>
      </c>
      <c r="I3284" s="34"/>
    </row>
    <row r="3285" spans="1:9" x14ac:dyDescent="0.25">
      <c r="A3285" s="54" t="s">
        <v>641</v>
      </c>
      <c r="B3285" s="43" t="s">
        <v>618</v>
      </c>
      <c r="C3285" s="37" t="s">
        <v>1980</v>
      </c>
      <c r="D3285" s="37"/>
      <c r="E3285" s="37" t="s">
        <v>1974</v>
      </c>
      <c r="F3285" s="37" t="b">
        <v>0</v>
      </c>
      <c r="G3285" s="37">
        <v>200</v>
      </c>
      <c r="H3285" s="37" t="b">
        <v>1</v>
      </c>
    </row>
    <row r="3286" spans="1:9" ht="30" x14ac:dyDescent="0.25">
      <c r="A3286" s="54" t="s">
        <v>641</v>
      </c>
      <c r="B3286" s="31" t="s">
        <v>585</v>
      </c>
      <c r="C3286" s="28" t="s">
        <v>1981</v>
      </c>
      <c r="D3286" s="28"/>
      <c r="E3286" s="28" t="s">
        <v>1974</v>
      </c>
      <c r="F3286" s="28" t="b">
        <v>0</v>
      </c>
      <c r="G3286" s="28">
        <v>200</v>
      </c>
      <c r="H3286" s="28" t="b">
        <v>1</v>
      </c>
      <c r="I3286" s="34"/>
    </row>
    <row r="3287" spans="1:9" ht="30" x14ac:dyDescent="0.25">
      <c r="A3287" s="54" t="s">
        <v>641</v>
      </c>
      <c r="B3287" s="43" t="s">
        <v>582</v>
      </c>
      <c r="C3287" s="37" t="s">
        <v>1982</v>
      </c>
      <c r="D3287" s="37"/>
      <c r="E3287" s="37" t="s">
        <v>1974</v>
      </c>
      <c r="F3287" s="37" t="b">
        <v>0</v>
      </c>
      <c r="G3287" s="37">
        <v>200</v>
      </c>
      <c r="H3287" s="37" t="b">
        <v>1</v>
      </c>
    </row>
    <row r="3288" spans="1:9" x14ac:dyDescent="0.25">
      <c r="A3288" s="54" t="s">
        <v>641</v>
      </c>
      <c r="B3288" s="31" t="s">
        <v>638</v>
      </c>
      <c r="C3288" s="28" t="s">
        <v>1983</v>
      </c>
      <c r="D3288" s="28"/>
      <c r="E3288" s="28" t="s">
        <v>1974</v>
      </c>
      <c r="F3288" s="28" t="b">
        <v>0</v>
      </c>
      <c r="G3288" s="28">
        <v>200</v>
      </c>
      <c r="H3288" s="28" t="b">
        <v>1</v>
      </c>
      <c r="I3288" s="34"/>
    </row>
    <row r="3289" spans="1:9" x14ac:dyDescent="0.25">
      <c r="A3289" s="54" t="s">
        <v>641</v>
      </c>
      <c r="B3289" s="43" t="s">
        <v>638</v>
      </c>
      <c r="C3289" s="37" t="s">
        <v>1984</v>
      </c>
      <c r="D3289" s="37"/>
      <c r="E3289" s="37" t="s">
        <v>1974</v>
      </c>
      <c r="F3289" s="37" t="b">
        <v>0</v>
      </c>
      <c r="G3289" s="37">
        <v>200</v>
      </c>
      <c r="H3289" s="37" t="b">
        <v>1</v>
      </c>
    </row>
    <row r="3290" spans="1:9" x14ac:dyDescent="0.25">
      <c r="A3290" s="54" t="s">
        <v>641</v>
      </c>
      <c r="B3290" s="31" t="s">
        <v>647</v>
      </c>
      <c r="C3290" s="28" t="s">
        <v>1985</v>
      </c>
      <c r="D3290" s="28"/>
      <c r="E3290" s="28" t="s">
        <v>1974</v>
      </c>
      <c r="F3290" s="28" t="b">
        <v>0</v>
      </c>
      <c r="G3290" s="28">
        <v>200</v>
      </c>
      <c r="H3290" s="28" t="b">
        <v>1</v>
      </c>
      <c r="I3290" s="34"/>
    </row>
    <row r="3291" spans="1:9" ht="30" x14ac:dyDescent="0.25">
      <c r="A3291" s="54" t="s">
        <v>641</v>
      </c>
      <c r="B3291" s="43" t="s">
        <v>503</v>
      </c>
      <c r="C3291" s="37" t="s">
        <v>1986</v>
      </c>
      <c r="D3291" s="37"/>
      <c r="E3291" s="37" t="s">
        <v>1974</v>
      </c>
      <c r="F3291" s="37" t="b">
        <v>0</v>
      </c>
      <c r="G3291" s="37">
        <v>200</v>
      </c>
      <c r="H3291" s="37" t="b">
        <v>1</v>
      </c>
    </row>
    <row r="3292" spans="1:9" x14ac:dyDescent="0.25">
      <c r="A3292" s="54" t="s">
        <v>641</v>
      </c>
      <c r="B3292" s="31" t="s">
        <v>608</v>
      </c>
      <c r="C3292" s="28" t="s">
        <v>1987</v>
      </c>
      <c r="D3292" s="28"/>
      <c r="E3292" s="28" t="s">
        <v>1974</v>
      </c>
      <c r="F3292" s="28" t="b">
        <v>0</v>
      </c>
      <c r="G3292" s="28">
        <v>200</v>
      </c>
      <c r="H3292" s="28" t="b">
        <v>1</v>
      </c>
      <c r="I3292" s="34"/>
    </row>
    <row r="3293" spans="1:9" x14ac:dyDescent="0.25">
      <c r="A3293" s="54" t="s">
        <v>641</v>
      </c>
      <c r="B3293" s="43" t="s">
        <v>647</v>
      </c>
      <c r="C3293" s="37" t="s">
        <v>2010</v>
      </c>
      <c r="D3293" s="37"/>
      <c r="E3293" s="37" t="s">
        <v>1974</v>
      </c>
      <c r="F3293" s="37" t="b">
        <v>0</v>
      </c>
      <c r="G3293" s="37">
        <v>200</v>
      </c>
      <c r="H3293" s="37" t="b">
        <v>1</v>
      </c>
    </row>
    <row r="3294" spans="1:9" ht="30" x14ac:dyDescent="0.25">
      <c r="A3294" s="54" t="s">
        <v>641</v>
      </c>
      <c r="B3294" s="31" t="s">
        <v>2011</v>
      </c>
      <c r="C3294" s="28"/>
      <c r="D3294" s="28"/>
      <c r="E3294" s="28" t="s">
        <v>2012</v>
      </c>
      <c r="F3294" s="28" t="b">
        <v>0</v>
      </c>
      <c r="G3294" s="28"/>
      <c r="H3294" s="28" t="b">
        <v>1</v>
      </c>
      <c r="I3294" s="34"/>
    </row>
    <row r="3295" spans="1:9" ht="30" x14ac:dyDescent="0.25">
      <c r="A3295" s="54" t="s">
        <v>641</v>
      </c>
      <c r="B3295" s="43" t="s">
        <v>2013</v>
      </c>
      <c r="C3295" s="37"/>
      <c r="D3295" s="37"/>
      <c r="E3295" s="37" t="s">
        <v>2012</v>
      </c>
      <c r="F3295" s="37" t="b">
        <v>0</v>
      </c>
      <c r="G3295" s="37"/>
      <c r="H3295" s="37" t="b">
        <v>1</v>
      </c>
    </row>
    <row r="3296" spans="1:9" x14ac:dyDescent="0.25">
      <c r="A3296" s="54" t="s">
        <v>641</v>
      </c>
      <c r="B3296" s="31" t="s">
        <v>641</v>
      </c>
      <c r="C3296" s="28" t="s">
        <v>2014</v>
      </c>
      <c r="D3296" s="28"/>
      <c r="E3296" s="28" t="s">
        <v>1974</v>
      </c>
      <c r="F3296" s="28" t="b">
        <v>0</v>
      </c>
      <c r="G3296" s="28">
        <v>200</v>
      </c>
      <c r="H3296" s="28" t="b">
        <v>1</v>
      </c>
      <c r="I3296" s="34"/>
    </row>
    <row r="3297" spans="1:9" ht="30" x14ac:dyDescent="0.25">
      <c r="A3297" s="54" t="s">
        <v>641</v>
      </c>
      <c r="B3297" s="43" t="s">
        <v>2015</v>
      </c>
      <c r="C3297" s="37" t="s">
        <v>2016</v>
      </c>
      <c r="D3297" s="37"/>
      <c r="E3297" s="37" t="s">
        <v>1974</v>
      </c>
      <c r="F3297" s="37" t="b">
        <v>0</v>
      </c>
      <c r="G3297" s="37">
        <v>404</v>
      </c>
      <c r="H3297" s="37" t="b">
        <v>0</v>
      </c>
    </row>
    <row r="3298" spans="1:9" ht="30" x14ac:dyDescent="0.25">
      <c r="A3298" s="54" t="s">
        <v>641</v>
      </c>
      <c r="B3298" s="31" t="s">
        <v>2015</v>
      </c>
      <c r="C3298" s="28" t="s">
        <v>2017</v>
      </c>
      <c r="D3298" s="28"/>
      <c r="E3298" s="28" t="s">
        <v>1974</v>
      </c>
      <c r="F3298" s="28" t="b">
        <v>0</v>
      </c>
      <c r="G3298" s="28">
        <v>404</v>
      </c>
      <c r="H3298" s="28" t="b">
        <v>0</v>
      </c>
      <c r="I3298" s="34"/>
    </row>
    <row r="3299" spans="1:9" ht="30" x14ac:dyDescent="0.25">
      <c r="A3299" s="54" t="s">
        <v>644</v>
      </c>
      <c r="B3299" s="43" t="s">
        <v>127</v>
      </c>
      <c r="C3299" s="37"/>
      <c r="D3299" s="37"/>
      <c r="E3299" s="37" t="s">
        <v>1974</v>
      </c>
      <c r="F3299" s="37" t="b">
        <v>0</v>
      </c>
      <c r="G3299" s="37">
        <v>200</v>
      </c>
      <c r="H3299" s="37" t="b">
        <v>1</v>
      </c>
    </row>
    <row r="3300" spans="1:9" ht="30" x14ac:dyDescent="0.25">
      <c r="A3300" s="54" t="s">
        <v>644</v>
      </c>
      <c r="B3300" s="31" t="s">
        <v>127</v>
      </c>
      <c r="C3300" s="28" t="s">
        <v>1975</v>
      </c>
      <c r="D3300" s="28"/>
      <c r="E3300" s="28" t="s">
        <v>1974</v>
      </c>
      <c r="F3300" s="28" t="b">
        <v>0</v>
      </c>
      <c r="G3300" s="28">
        <v>200</v>
      </c>
      <c r="H3300" s="28" t="b">
        <v>1</v>
      </c>
      <c r="I3300" s="34"/>
    </row>
    <row r="3301" spans="1:9" ht="30" x14ac:dyDescent="0.25">
      <c r="A3301" s="54" t="s">
        <v>644</v>
      </c>
      <c r="B3301" s="43" t="s">
        <v>135</v>
      </c>
      <c r="C3301" s="37" t="s">
        <v>1976</v>
      </c>
      <c r="D3301" s="37"/>
      <c r="E3301" s="37" t="s">
        <v>1974</v>
      </c>
      <c r="F3301" s="37" t="b">
        <v>0</v>
      </c>
      <c r="G3301" s="37">
        <v>200</v>
      </c>
      <c r="H3301" s="37" t="b">
        <v>1</v>
      </c>
    </row>
    <row r="3302" spans="1:9" ht="30" x14ac:dyDescent="0.25">
      <c r="A3302" s="54" t="s">
        <v>644</v>
      </c>
      <c r="B3302" s="31" t="s">
        <v>655</v>
      </c>
      <c r="C3302" s="28" t="s">
        <v>1977</v>
      </c>
      <c r="D3302" s="28"/>
      <c r="E3302" s="28" t="s">
        <v>1974</v>
      </c>
      <c r="F3302" s="28" t="b">
        <v>0</v>
      </c>
      <c r="G3302" s="28">
        <v>200</v>
      </c>
      <c r="H3302" s="28" t="b">
        <v>1</v>
      </c>
      <c r="I3302" s="34"/>
    </row>
    <row r="3303" spans="1:9" ht="30" x14ac:dyDescent="0.25">
      <c r="A3303" s="54" t="s">
        <v>644</v>
      </c>
      <c r="B3303" s="43" t="s">
        <v>635</v>
      </c>
      <c r="C3303" s="37" t="s">
        <v>1978</v>
      </c>
      <c r="D3303" s="37"/>
      <c r="E3303" s="37" t="s">
        <v>1974</v>
      </c>
      <c r="F3303" s="37" t="b">
        <v>0</v>
      </c>
      <c r="G3303" s="37">
        <v>200</v>
      </c>
      <c r="H3303" s="37" t="b">
        <v>1</v>
      </c>
    </row>
    <row r="3304" spans="1:9" ht="30" x14ac:dyDescent="0.25">
      <c r="A3304" s="54" t="s">
        <v>644</v>
      </c>
      <c r="B3304" s="31" t="s">
        <v>144</v>
      </c>
      <c r="C3304" s="28" t="s">
        <v>1979</v>
      </c>
      <c r="D3304" s="28"/>
      <c r="E3304" s="28" t="s">
        <v>1974</v>
      </c>
      <c r="F3304" s="28" t="b">
        <v>0</v>
      </c>
      <c r="G3304" s="28">
        <v>200</v>
      </c>
      <c r="H3304" s="28" t="b">
        <v>1</v>
      </c>
      <c r="I3304" s="34"/>
    </row>
    <row r="3305" spans="1:9" ht="30" x14ac:dyDescent="0.25">
      <c r="A3305" s="54" t="s">
        <v>644</v>
      </c>
      <c r="B3305" s="43" t="s">
        <v>618</v>
      </c>
      <c r="C3305" s="37" t="s">
        <v>1980</v>
      </c>
      <c r="D3305" s="37"/>
      <c r="E3305" s="37" t="s">
        <v>1974</v>
      </c>
      <c r="F3305" s="37" t="b">
        <v>0</v>
      </c>
      <c r="G3305" s="37">
        <v>200</v>
      </c>
      <c r="H3305" s="37" t="b">
        <v>1</v>
      </c>
    </row>
    <row r="3306" spans="1:9" ht="30" x14ac:dyDescent="0.25">
      <c r="A3306" s="54" t="s">
        <v>644</v>
      </c>
      <c r="B3306" s="31" t="s">
        <v>585</v>
      </c>
      <c r="C3306" s="28" t="s">
        <v>1981</v>
      </c>
      <c r="D3306" s="28"/>
      <c r="E3306" s="28" t="s">
        <v>1974</v>
      </c>
      <c r="F3306" s="28" t="b">
        <v>0</v>
      </c>
      <c r="G3306" s="28">
        <v>200</v>
      </c>
      <c r="H3306" s="28" t="b">
        <v>1</v>
      </c>
      <c r="I3306" s="34"/>
    </row>
    <row r="3307" spans="1:9" ht="30" x14ac:dyDescent="0.25">
      <c r="A3307" s="54" t="s">
        <v>644</v>
      </c>
      <c r="B3307" s="43" t="s">
        <v>582</v>
      </c>
      <c r="C3307" s="37" t="s">
        <v>1982</v>
      </c>
      <c r="D3307" s="37"/>
      <c r="E3307" s="37" t="s">
        <v>1974</v>
      </c>
      <c r="F3307" s="37" t="b">
        <v>0</v>
      </c>
      <c r="G3307" s="37">
        <v>200</v>
      </c>
      <c r="H3307" s="37" t="b">
        <v>1</v>
      </c>
    </row>
    <row r="3308" spans="1:9" ht="30" x14ac:dyDescent="0.25">
      <c r="A3308" s="54" t="s">
        <v>644</v>
      </c>
      <c r="B3308" s="31" t="s">
        <v>638</v>
      </c>
      <c r="C3308" s="28" t="s">
        <v>1983</v>
      </c>
      <c r="D3308" s="28"/>
      <c r="E3308" s="28" t="s">
        <v>1974</v>
      </c>
      <c r="F3308" s="28" t="b">
        <v>0</v>
      </c>
      <c r="G3308" s="28">
        <v>200</v>
      </c>
      <c r="H3308" s="28" t="b">
        <v>1</v>
      </c>
      <c r="I3308" s="34"/>
    </row>
    <row r="3309" spans="1:9" ht="30" x14ac:dyDescent="0.25">
      <c r="A3309" s="54" t="s">
        <v>644</v>
      </c>
      <c r="B3309" s="43" t="s">
        <v>638</v>
      </c>
      <c r="C3309" s="37" t="s">
        <v>1984</v>
      </c>
      <c r="D3309" s="37"/>
      <c r="E3309" s="37" t="s">
        <v>1974</v>
      </c>
      <c r="F3309" s="37" t="b">
        <v>0</v>
      </c>
      <c r="G3309" s="37">
        <v>200</v>
      </c>
      <c r="H3309" s="37" t="b">
        <v>1</v>
      </c>
    </row>
    <row r="3310" spans="1:9" ht="30" x14ac:dyDescent="0.25">
      <c r="A3310" s="54" t="s">
        <v>644</v>
      </c>
      <c r="B3310" s="31" t="s">
        <v>647</v>
      </c>
      <c r="C3310" s="28" t="s">
        <v>1985</v>
      </c>
      <c r="D3310" s="28"/>
      <c r="E3310" s="28" t="s">
        <v>1974</v>
      </c>
      <c r="F3310" s="28" t="b">
        <v>0</v>
      </c>
      <c r="G3310" s="28">
        <v>200</v>
      </c>
      <c r="H3310" s="28" t="b">
        <v>1</v>
      </c>
      <c r="I3310" s="34"/>
    </row>
    <row r="3311" spans="1:9" ht="30" x14ac:dyDescent="0.25">
      <c r="A3311" s="54" t="s">
        <v>644</v>
      </c>
      <c r="B3311" s="43" t="s">
        <v>503</v>
      </c>
      <c r="C3311" s="37" t="s">
        <v>1986</v>
      </c>
      <c r="D3311" s="37"/>
      <c r="E3311" s="37" t="s">
        <v>1974</v>
      </c>
      <c r="F3311" s="37" t="b">
        <v>0</v>
      </c>
      <c r="G3311" s="37">
        <v>200</v>
      </c>
      <c r="H3311" s="37" t="b">
        <v>1</v>
      </c>
    </row>
    <row r="3312" spans="1:9" ht="30" x14ac:dyDescent="0.25">
      <c r="A3312" s="54" t="s">
        <v>644</v>
      </c>
      <c r="B3312" s="31" t="s">
        <v>608</v>
      </c>
      <c r="C3312" s="28" t="s">
        <v>1987</v>
      </c>
      <c r="D3312" s="28"/>
      <c r="E3312" s="28" t="s">
        <v>1974</v>
      </c>
      <c r="F3312" s="28" t="b">
        <v>0</v>
      </c>
      <c r="G3312" s="28">
        <v>200</v>
      </c>
      <c r="H3312" s="28" t="b">
        <v>1</v>
      </c>
      <c r="I3312" s="34"/>
    </row>
    <row r="3313" spans="1:9" ht="30" x14ac:dyDescent="0.25">
      <c r="A3313" s="54" t="s">
        <v>644</v>
      </c>
      <c r="B3313" s="43" t="s">
        <v>127</v>
      </c>
      <c r="C3313" s="37" t="s">
        <v>1975</v>
      </c>
      <c r="D3313" s="37"/>
      <c r="E3313" s="37" t="s">
        <v>1974</v>
      </c>
      <c r="F3313" s="37" t="b">
        <v>0</v>
      </c>
      <c r="G3313" s="37">
        <v>200</v>
      </c>
      <c r="H3313" s="37" t="b">
        <v>1</v>
      </c>
    </row>
    <row r="3314" spans="1:9" ht="30" x14ac:dyDescent="0.25">
      <c r="A3314" s="54" t="s">
        <v>644</v>
      </c>
      <c r="B3314" s="31" t="s">
        <v>135</v>
      </c>
      <c r="C3314" s="28" t="s">
        <v>1976</v>
      </c>
      <c r="D3314" s="28"/>
      <c r="E3314" s="28" t="s">
        <v>1974</v>
      </c>
      <c r="F3314" s="28" t="b">
        <v>0</v>
      </c>
      <c r="G3314" s="28">
        <v>200</v>
      </c>
      <c r="H3314" s="28" t="b">
        <v>1</v>
      </c>
      <c r="I3314" s="34"/>
    </row>
    <row r="3315" spans="1:9" ht="30" x14ac:dyDescent="0.25">
      <c r="A3315" s="54" t="s">
        <v>644</v>
      </c>
      <c r="B3315" s="43" t="s">
        <v>655</v>
      </c>
      <c r="C3315" s="37" t="s">
        <v>1977</v>
      </c>
      <c r="D3315" s="37"/>
      <c r="E3315" s="37" t="s">
        <v>1974</v>
      </c>
      <c r="F3315" s="37" t="b">
        <v>0</v>
      </c>
      <c r="G3315" s="37">
        <v>200</v>
      </c>
      <c r="H3315" s="37" t="b">
        <v>1</v>
      </c>
    </row>
    <row r="3316" spans="1:9" ht="30" x14ac:dyDescent="0.25">
      <c r="A3316" s="54" t="s">
        <v>644</v>
      </c>
      <c r="B3316" s="31" t="s">
        <v>635</v>
      </c>
      <c r="C3316" s="28" t="s">
        <v>1978</v>
      </c>
      <c r="D3316" s="28"/>
      <c r="E3316" s="28" t="s">
        <v>1974</v>
      </c>
      <c r="F3316" s="28" t="b">
        <v>0</v>
      </c>
      <c r="G3316" s="28">
        <v>200</v>
      </c>
      <c r="H3316" s="28" t="b">
        <v>1</v>
      </c>
      <c r="I3316" s="34"/>
    </row>
    <row r="3317" spans="1:9" ht="30" x14ac:dyDescent="0.25">
      <c r="A3317" s="54" t="s">
        <v>644</v>
      </c>
      <c r="B3317" s="43" t="s">
        <v>144</v>
      </c>
      <c r="C3317" s="37" t="s">
        <v>1979</v>
      </c>
      <c r="D3317" s="37"/>
      <c r="E3317" s="37" t="s">
        <v>1974</v>
      </c>
      <c r="F3317" s="37" t="b">
        <v>0</v>
      </c>
      <c r="G3317" s="37">
        <v>200</v>
      </c>
      <c r="H3317" s="37" t="b">
        <v>1</v>
      </c>
    </row>
    <row r="3318" spans="1:9" ht="30" x14ac:dyDescent="0.25">
      <c r="A3318" s="54" t="s">
        <v>644</v>
      </c>
      <c r="B3318" s="31" t="s">
        <v>618</v>
      </c>
      <c r="C3318" s="28" t="s">
        <v>1980</v>
      </c>
      <c r="D3318" s="28"/>
      <c r="E3318" s="28" t="s">
        <v>1974</v>
      </c>
      <c r="F3318" s="28" t="b">
        <v>0</v>
      </c>
      <c r="G3318" s="28">
        <v>200</v>
      </c>
      <c r="H3318" s="28" t="b">
        <v>1</v>
      </c>
      <c r="I3318" s="34"/>
    </row>
    <row r="3319" spans="1:9" ht="30" x14ac:dyDescent="0.25">
      <c r="A3319" s="54" t="s">
        <v>644</v>
      </c>
      <c r="B3319" s="43" t="s">
        <v>585</v>
      </c>
      <c r="C3319" s="37" t="s">
        <v>1981</v>
      </c>
      <c r="D3319" s="37"/>
      <c r="E3319" s="37" t="s">
        <v>1974</v>
      </c>
      <c r="F3319" s="37" t="b">
        <v>0</v>
      </c>
      <c r="G3319" s="37">
        <v>200</v>
      </c>
      <c r="H3319" s="37" t="b">
        <v>1</v>
      </c>
    </row>
    <row r="3320" spans="1:9" ht="30" x14ac:dyDescent="0.25">
      <c r="A3320" s="54" t="s">
        <v>644</v>
      </c>
      <c r="B3320" s="31" t="s">
        <v>582</v>
      </c>
      <c r="C3320" s="28" t="s">
        <v>1982</v>
      </c>
      <c r="D3320" s="28"/>
      <c r="E3320" s="28" t="s">
        <v>1974</v>
      </c>
      <c r="F3320" s="28" t="b">
        <v>0</v>
      </c>
      <c r="G3320" s="28">
        <v>200</v>
      </c>
      <c r="H3320" s="28" t="b">
        <v>1</v>
      </c>
      <c r="I3320" s="34"/>
    </row>
    <row r="3321" spans="1:9" ht="30" x14ac:dyDescent="0.25">
      <c r="A3321" s="54" t="s">
        <v>644</v>
      </c>
      <c r="B3321" s="43" t="s">
        <v>638</v>
      </c>
      <c r="C3321" s="37" t="s">
        <v>1983</v>
      </c>
      <c r="D3321" s="37"/>
      <c r="E3321" s="37" t="s">
        <v>1974</v>
      </c>
      <c r="F3321" s="37" t="b">
        <v>0</v>
      </c>
      <c r="G3321" s="37">
        <v>200</v>
      </c>
      <c r="H3321" s="37" t="b">
        <v>1</v>
      </c>
    </row>
    <row r="3322" spans="1:9" ht="30" x14ac:dyDescent="0.25">
      <c r="A3322" s="54" t="s">
        <v>644</v>
      </c>
      <c r="B3322" s="31" t="s">
        <v>638</v>
      </c>
      <c r="C3322" s="28" t="s">
        <v>1984</v>
      </c>
      <c r="D3322" s="28"/>
      <c r="E3322" s="28" t="s">
        <v>1974</v>
      </c>
      <c r="F3322" s="28" t="b">
        <v>0</v>
      </c>
      <c r="G3322" s="28">
        <v>200</v>
      </c>
      <c r="H3322" s="28" t="b">
        <v>1</v>
      </c>
      <c r="I3322" s="34"/>
    </row>
    <row r="3323" spans="1:9" ht="30" x14ac:dyDescent="0.25">
      <c r="A3323" s="54" t="s">
        <v>644</v>
      </c>
      <c r="B3323" s="43" t="s">
        <v>647</v>
      </c>
      <c r="C3323" s="37" t="s">
        <v>1985</v>
      </c>
      <c r="D3323" s="37"/>
      <c r="E3323" s="37" t="s">
        <v>1974</v>
      </c>
      <c r="F3323" s="37" t="b">
        <v>0</v>
      </c>
      <c r="G3323" s="37">
        <v>200</v>
      </c>
      <c r="H3323" s="37" t="b">
        <v>1</v>
      </c>
    </row>
    <row r="3324" spans="1:9" ht="30" x14ac:dyDescent="0.25">
      <c r="A3324" s="54" t="s">
        <v>644</v>
      </c>
      <c r="B3324" s="31" t="s">
        <v>503</v>
      </c>
      <c r="C3324" s="28" t="s">
        <v>1986</v>
      </c>
      <c r="D3324" s="28"/>
      <c r="E3324" s="28" t="s">
        <v>1974</v>
      </c>
      <c r="F3324" s="28" t="b">
        <v>0</v>
      </c>
      <c r="G3324" s="28">
        <v>200</v>
      </c>
      <c r="H3324" s="28" t="b">
        <v>1</v>
      </c>
      <c r="I3324" s="34"/>
    </row>
    <row r="3325" spans="1:9" ht="30" x14ac:dyDescent="0.25">
      <c r="A3325" s="54" t="s">
        <v>644</v>
      </c>
      <c r="B3325" s="43" t="s">
        <v>608</v>
      </c>
      <c r="C3325" s="37" t="s">
        <v>1987</v>
      </c>
      <c r="D3325" s="37"/>
      <c r="E3325" s="37" t="s">
        <v>1974</v>
      </c>
      <c r="F3325" s="37" t="b">
        <v>0</v>
      </c>
      <c r="G3325" s="37">
        <v>200</v>
      </c>
      <c r="H3325" s="37" t="b">
        <v>1</v>
      </c>
    </row>
    <row r="3326" spans="1:9" ht="45" x14ac:dyDescent="0.25">
      <c r="A3326" s="54" t="s">
        <v>644</v>
      </c>
      <c r="B3326" s="31" t="s">
        <v>2941</v>
      </c>
      <c r="C3326" s="28" t="s">
        <v>2942</v>
      </c>
      <c r="D3326" s="28"/>
      <c r="E3326" s="28" t="s">
        <v>1974</v>
      </c>
      <c r="F3326" s="28" t="b">
        <v>0</v>
      </c>
      <c r="G3326" s="28">
        <v>200</v>
      </c>
      <c r="H3326" s="28" t="b">
        <v>1</v>
      </c>
      <c r="I3326" s="34"/>
    </row>
    <row r="3327" spans="1:9" ht="45" x14ac:dyDescent="0.25">
      <c r="A3327" s="54" t="s">
        <v>644</v>
      </c>
      <c r="B3327" s="43" t="s">
        <v>2943</v>
      </c>
      <c r="C3327" s="37" t="s">
        <v>2942</v>
      </c>
      <c r="D3327" s="37"/>
      <c r="E3327" s="37" t="s">
        <v>1974</v>
      </c>
      <c r="F3327" s="37" t="b">
        <v>0</v>
      </c>
      <c r="G3327" s="37">
        <v>200</v>
      </c>
      <c r="H3327" s="37" t="b">
        <v>1</v>
      </c>
    </row>
    <row r="3328" spans="1:9" ht="45" x14ac:dyDescent="0.25">
      <c r="A3328" s="54" t="s">
        <v>644</v>
      </c>
      <c r="B3328" s="31" t="s">
        <v>2944</v>
      </c>
      <c r="C3328" s="28" t="s">
        <v>2945</v>
      </c>
      <c r="D3328" s="28"/>
      <c r="E3328" s="28" t="s">
        <v>1974</v>
      </c>
      <c r="F3328" s="28" t="b">
        <v>0</v>
      </c>
      <c r="G3328" s="28">
        <v>200</v>
      </c>
      <c r="H3328" s="28" t="b">
        <v>1</v>
      </c>
      <c r="I3328" s="34"/>
    </row>
    <row r="3329" spans="1:9" ht="45" x14ac:dyDescent="0.25">
      <c r="A3329" s="54" t="s">
        <v>644</v>
      </c>
      <c r="B3329" s="43" t="s">
        <v>2946</v>
      </c>
      <c r="C3329" s="37" t="s">
        <v>2945</v>
      </c>
      <c r="D3329" s="37"/>
      <c r="E3329" s="37" t="s">
        <v>1974</v>
      </c>
      <c r="F3329" s="37" t="b">
        <v>0</v>
      </c>
      <c r="G3329" s="37">
        <v>200</v>
      </c>
      <c r="H3329" s="37" t="b">
        <v>1</v>
      </c>
    </row>
    <row r="3330" spans="1:9" ht="45" x14ac:dyDescent="0.25">
      <c r="A3330" s="54" t="s">
        <v>644</v>
      </c>
      <c r="B3330" s="31" t="s">
        <v>2947</v>
      </c>
      <c r="C3330" s="28" t="s">
        <v>2948</v>
      </c>
      <c r="D3330" s="28"/>
      <c r="E3330" s="28" t="s">
        <v>1974</v>
      </c>
      <c r="F3330" s="28" t="b">
        <v>0</v>
      </c>
      <c r="G3330" s="28">
        <v>200</v>
      </c>
      <c r="H3330" s="28" t="b">
        <v>1</v>
      </c>
      <c r="I3330" s="34"/>
    </row>
    <row r="3331" spans="1:9" ht="45" x14ac:dyDescent="0.25">
      <c r="A3331" s="54" t="s">
        <v>644</v>
      </c>
      <c r="B3331" s="43" t="s">
        <v>2949</v>
      </c>
      <c r="C3331" s="37" t="s">
        <v>2948</v>
      </c>
      <c r="D3331" s="37"/>
      <c r="E3331" s="37" t="s">
        <v>1974</v>
      </c>
      <c r="F3331" s="37" t="b">
        <v>0</v>
      </c>
      <c r="G3331" s="37">
        <v>200</v>
      </c>
      <c r="H3331" s="37" t="b">
        <v>1</v>
      </c>
    </row>
    <row r="3332" spans="1:9" ht="30" x14ac:dyDescent="0.25">
      <c r="A3332" s="54" t="s">
        <v>644</v>
      </c>
      <c r="B3332" s="31" t="s">
        <v>2950</v>
      </c>
      <c r="C3332" s="28" t="s">
        <v>2951</v>
      </c>
      <c r="D3332" s="28"/>
      <c r="E3332" s="28" t="s">
        <v>1974</v>
      </c>
      <c r="F3332" s="28" t="b">
        <v>0</v>
      </c>
      <c r="G3332" s="28">
        <v>200</v>
      </c>
      <c r="H3332" s="28" t="b">
        <v>1</v>
      </c>
      <c r="I3332" s="34"/>
    </row>
    <row r="3333" spans="1:9" ht="45" x14ac:dyDescent="0.25">
      <c r="A3333" s="54" t="s">
        <v>644</v>
      </c>
      <c r="B3333" s="43" t="s">
        <v>2952</v>
      </c>
      <c r="C3333" s="37" t="s">
        <v>2953</v>
      </c>
      <c r="D3333" s="37"/>
      <c r="E3333" s="37" t="s">
        <v>1974</v>
      </c>
      <c r="F3333" s="37" t="b">
        <v>0</v>
      </c>
      <c r="G3333" s="37">
        <v>200</v>
      </c>
      <c r="H3333" s="37" t="b">
        <v>1</v>
      </c>
    </row>
    <row r="3334" spans="1:9" ht="45" x14ac:dyDescent="0.25">
      <c r="A3334" s="54" t="s">
        <v>644</v>
      </c>
      <c r="B3334" s="31" t="s">
        <v>2954</v>
      </c>
      <c r="C3334" s="28" t="s">
        <v>2955</v>
      </c>
      <c r="D3334" s="28"/>
      <c r="E3334" s="28" t="s">
        <v>1974</v>
      </c>
      <c r="F3334" s="28" t="b">
        <v>0</v>
      </c>
      <c r="G3334" s="28">
        <v>200</v>
      </c>
      <c r="H3334" s="28" t="b">
        <v>1</v>
      </c>
      <c r="I3334" s="34"/>
    </row>
    <row r="3335" spans="1:9" ht="45" x14ac:dyDescent="0.25">
      <c r="A3335" s="54" t="s">
        <v>644</v>
      </c>
      <c r="B3335" s="43" t="s">
        <v>2956</v>
      </c>
      <c r="C3335" s="37" t="s">
        <v>2957</v>
      </c>
      <c r="D3335" s="37"/>
      <c r="E3335" s="37" t="s">
        <v>1974</v>
      </c>
      <c r="F3335" s="37" t="b">
        <v>0</v>
      </c>
      <c r="G3335" s="37">
        <v>200</v>
      </c>
      <c r="H3335" s="37" t="b">
        <v>1</v>
      </c>
    </row>
    <row r="3336" spans="1:9" ht="30" x14ac:dyDescent="0.25">
      <c r="A3336" s="54" t="s">
        <v>644</v>
      </c>
      <c r="B3336" s="31" t="s">
        <v>2958</v>
      </c>
      <c r="C3336" s="28" t="s">
        <v>2959</v>
      </c>
      <c r="D3336" s="28"/>
      <c r="E3336" s="28" t="s">
        <v>1974</v>
      </c>
      <c r="F3336" s="28" t="b">
        <v>0</v>
      </c>
      <c r="G3336" s="28">
        <v>200</v>
      </c>
      <c r="H3336" s="28" t="b">
        <v>1</v>
      </c>
      <c r="I3336" s="34"/>
    </row>
    <row r="3337" spans="1:9" ht="45" x14ac:dyDescent="0.25">
      <c r="A3337" s="54" t="s">
        <v>644</v>
      </c>
      <c r="B3337" s="43" t="s">
        <v>2960</v>
      </c>
      <c r="C3337" s="37" t="s">
        <v>2961</v>
      </c>
      <c r="D3337" s="37"/>
      <c r="E3337" s="37" t="s">
        <v>1974</v>
      </c>
      <c r="F3337" s="37" t="b">
        <v>0</v>
      </c>
      <c r="G3337" s="37">
        <v>200</v>
      </c>
      <c r="H3337" s="37" t="b">
        <v>1</v>
      </c>
    </row>
    <row r="3338" spans="1:9" ht="45" x14ac:dyDescent="0.25">
      <c r="A3338" s="54" t="s">
        <v>644</v>
      </c>
      <c r="B3338" s="31" t="s">
        <v>2962</v>
      </c>
      <c r="C3338" s="28" t="s">
        <v>2963</v>
      </c>
      <c r="D3338" s="28"/>
      <c r="E3338" s="28" t="s">
        <v>1974</v>
      </c>
      <c r="F3338" s="28" t="b">
        <v>0</v>
      </c>
      <c r="G3338" s="28">
        <v>200</v>
      </c>
      <c r="H3338" s="28" t="b">
        <v>1</v>
      </c>
      <c r="I3338" s="34"/>
    </row>
    <row r="3339" spans="1:9" ht="45" x14ac:dyDescent="0.25">
      <c r="A3339" s="54" t="s">
        <v>644</v>
      </c>
      <c r="B3339" s="43" t="s">
        <v>2964</v>
      </c>
      <c r="C3339" s="37" t="s">
        <v>2965</v>
      </c>
      <c r="D3339" s="37"/>
      <c r="E3339" s="37" t="s">
        <v>1974</v>
      </c>
      <c r="F3339" s="37" t="b">
        <v>0</v>
      </c>
      <c r="G3339" s="37">
        <v>200</v>
      </c>
      <c r="H3339" s="37" t="b">
        <v>1</v>
      </c>
    </row>
    <row r="3340" spans="1:9" ht="45" x14ac:dyDescent="0.25">
      <c r="A3340" s="54" t="s">
        <v>644</v>
      </c>
      <c r="B3340" s="31" t="s">
        <v>2966</v>
      </c>
      <c r="C3340" s="28" t="s">
        <v>2967</v>
      </c>
      <c r="D3340" s="28"/>
      <c r="E3340" s="28" t="s">
        <v>1974</v>
      </c>
      <c r="F3340" s="28" t="b">
        <v>0</v>
      </c>
      <c r="G3340" s="28">
        <v>200</v>
      </c>
      <c r="H3340" s="28" t="b">
        <v>1</v>
      </c>
      <c r="I3340" s="34"/>
    </row>
    <row r="3341" spans="1:9" ht="30" x14ac:dyDescent="0.25">
      <c r="A3341" s="54" t="s">
        <v>644</v>
      </c>
      <c r="B3341" s="43" t="s">
        <v>2968</v>
      </c>
      <c r="C3341" s="37" t="s">
        <v>2969</v>
      </c>
      <c r="D3341" s="37"/>
      <c r="E3341" s="37" t="s">
        <v>1974</v>
      </c>
      <c r="F3341" s="37" t="b">
        <v>0</v>
      </c>
      <c r="G3341" s="37">
        <v>200</v>
      </c>
      <c r="H3341" s="37" t="b">
        <v>1</v>
      </c>
    </row>
    <row r="3342" spans="1:9" ht="45" x14ac:dyDescent="0.25">
      <c r="A3342" s="54" t="s">
        <v>644</v>
      </c>
      <c r="B3342" s="31" t="s">
        <v>2970</v>
      </c>
      <c r="C3342" s="28" t="s">
        <v>2971</v>
      </c>
      <c r="D3342" s="28"/>
      <c r="E3342" s="28" t="s">
        <v>1974</v>
      </c>
      <c r="F3342" s="28" t="b">
        <v>0</v>
      </c>
      <c r="G3342" s="28">
        <v>200</v>
      </c>
      <c r="H3342" s="28" t="b">
        <v>1</v>
      </c>
      <c r="I3342" s="34"/>
    </row>
    <row r="3343" spans="1:9" ht="45" x14ac:dyDescent="0.25">
      <c r="A3343" s="54" t="s">
        <v>644</v>
      </c>
      <c r="B3343" s="43" t="s">
        <v>2972</v>
      </c>
      <c r="C3343" s="37" t="s">
        <v>2973</v>
      </c>
      <c r="D3343" s="37"/>
      <c r="E3343" s="37" t="s">
        <v>1974</v>
      </c>
      <c r="F3343" s="37" t="b">
        <v>0</v>
      </c>
      <c r="G3343" s="37">
        <v>200</v>
      </c>
      <c r="H3343" s="37" t="b">
        <v>1</v>
      </c>
    </row>
    <row r="3344" spans="1:9" ht="30" x14ac:dyDescent="0.25">
      <c r="A3344" s="54" t="s">
        <v>644</v>
      </c>
      <c r="B3344" s="31" t="s">
        <v>2974</v>
      </c>
      <c r="C3344" s="28" t="s">
        <v>2975</v>
      </c>
      <c r="D3344" s="28"/>
      <c r="E3344" s="28" t="s">
        <v>1974</v>
      </c>
      <c r="F3344" s="28" t="b">
        <v>0</v>
      </c>
      <c r="G3344" s="28">
        <v>200</v>
      </c>
      <c r="H3344" s="28" t="b">
        <v>1</v>
      </c>
      <c r="I3344" s="34"/>
    </row>
    <row r="3345" spans="1:9" ht="30" x14ac:dyDescent="0.25">
      <c r="A3345" s="54" t="s">
        <v>644</v>
      </c>
      <c r="B3345" s="43" t="s">
        <v>2976</v>
      </c>
      <c r="C3345" s="37" t="s">
        <v>2977</v>
      </c>
      <c r="D3345" s="37"/>
      <c r="E3345" s="37" t="s">
        <v>1974</v>
      </c>
      <c r="F3345" s="37" t="b">
        <v>0</v>
      </c>
      <c r="G3345" s="37">
        <v>200</v>
      </c>
      <c r="H3345" s="37" t="b">
        <v>1</v>
      </c>
    </row>
    <row r="3346" spans="1:9" ht="30" x14ac:dyDescent="0.25">
      <c r="A3346" s="54" t="s">
        <v>644</v>
      </c>
      <c r="B3346" s="31" t="s">
        <v>2978</v>
      </c>
      <c r="C3346" s="28" t="s">
        <v>2979</v>
      </c>
      <c r="D3346" s="28"/>
      <c r="E3346" s="28" t="s">
        <v>1974</v>
      </c>
      <c r="F3346" s="28" t="b">
        <v>0</v>
      </c>
      <c r="G3346" s="28">
        <v>200</v>
      </c>
      <c r="H3346" s="28" t="b">
        <v>1</v>
      </c>
      <c r="I3346" s="34"/>
    </row>
    <row r="3347" spans="1:9" ht="45" x14ac:dyDescent="0.25">
      <c r="A3347" s="54" t="s">
        <v>644</v>
      </c>
      <c r="B3347" s="43" t="s">
        <v>2980</v>
      </c>
      <c r="C3347" s="37" t="s">
        <v>2981</v>
      </c>
      <c r="D3347" s="37"/>
      <c r="E3347" s="37" t="s">
        <v>1974</v>
      </c>
      <c r="F3347" s="37" t="b">
        <v>0</v>
      </c>
      <c r="G3347" s="37">
        <v>200</v>
      </c>
      <c r="H3347" s="37" t="b">
        <v>1</v>
      </c>
    </row>
    <row r="3348" spans="1:9" ht="30" x14ac:dyDescent="0.25">
      <c r="A3348" s="54" t="s">
        <v>644</v>
      </c>
      <c r="B3348" s="31" t="s">
        <v>647</v>
      </c>
      <c r="C3348" s="28" t="s">
        <v>2010</v>
      </c>
      <c r="D3348" s="28"/>
      <c r="E3348" s="28" t="s">
        <v>1974</v>
      </c>
      <c r="F3348" s="28" t="b">
        <v>0</v>
      </c>
      <c r="G3348" s="28">
        <v>200</v>
      </c>
      <c r="H3348" s="28" t="b">
        <v>1</v>
      </c>
      <c r="I3348" s="34"/>
    </row>
    <row r="3349" spans="1:9" ht="30" x14ac:dyDescent="0.25">
      <c r="A3349" s="54" t="s">
        <v>644</v>
      </c>
      <c r="B3349" s="43" t="s">
        <v>2011</v>
      </c>
      <c r="C3349" s="37"/>
      <c r="D3349" s="37"/>
      <c r="E3349" s="37" t="s">
        <v>2012</v>
      </c>
      <c r="F3349" s="37" t="b">
        <v>0</v>
      </c>
      <c r="G3349" s="37"/>
      <c r="H3349" s="37" t="b">
        <v>1</v>
      </c>
    </row>
    <row r="3350" spans="1:9" ht="30" x14ac:dyDescent="0.25">
      <c r="A3350" s="54" t="s">
        <v>644</v>
      </c>
      <c r="B3350" s="31" t="s">
        <v>2013</v>
      </c>
      <c r="C3350" s="28"/>
      <c r="D3350" s="28"/>
      <c r="E3350" s="28" t="s">
        <v>2012</v>
      </c>
      <c r="F3350" s="28" t="b">
        <v>0</v>
      </c>
      <c r="G3350" s="28"/>
      <c r="H3350" s="28" t="b">
        <v>1</v>
      </c>
      <c r="I3350" s="34"/>
    </row>
    <row r="3351" spans="1:9" ht="30" x14ac:dyDescent="0.25">
      <c r="A3351" s="54" t="s">
        <v>644</v>
      </c>
      <c r="B3351" s="43" t="s">
        <v>641</v>
      </c>
      <c r="C3351" s="37" t="s">
        <v>2014</v>
      </c>
      <c r="D3351" s="37"/>
      <c r="E3351" s="37" t="s">
        <v>1974</v>
      </c>
      <c r="F3351" s="37" t="b">
        <v>0</v>
      </c>
      <c r="G3351" s="37">
        <v>200</v>
      </c>
      <c r="H3351" s="37" t="b">
        <v>1</v>
      </c>
    </row>
    <row r="3352" spans="1:9" ht="30" x14ac:dyDescent="0.25">
      <c r="A3352" s="54" t="s">
        <v>644</v>
      </c>
      <c r="B3352" s="31" t="s">
        <v>2015</v>
      </c>
      <c r="C3352" s="28" t="s">
        <v>2016</v>
      </c>
      <c r="D3352" s="28"/>
      <c r="E3352" s="28" t="s">
        <v>1974</v>
      </c>
      <c r="F3352" s="28" t="b">
        <v>0</v>
      </c>
      <c r="G3352" s="28">
        <v>404</v>
      </c>
      <c r="H3352" s="28" t="b">
        <v>0</v>
      </c>
      <c r="I3352" s="34"/>
    </row>
    <row r="3353" spans="1:9" ht="30" x14ac:dyDescent="0.25">
      <c r="A3353" s="54" t="s">
        <v>644</v>
      </c>
      <c r="B3353" s="43" t="s">
        <v>2015</v>
      </c>
      <c r="C3353" s="37" t="s">
        <v>2017</v>
      </c>
      <c r="D3353" s="37"/>
      <c r="E3353" s="37" t="s">
        <v>1974</v>
      </c>
      <c r="F3353" s="37" t="b">
        <v>0</v>
      </c>
      <c r="G3353" s="37">
        <v>404</v>
      </c>
      <c r="H3353" s="37" t="b">
        <v>0</v>
      </c>
    </row>
    <row r="3354" spans="1:9" x14ac:dyDescent="0.25">
      <c r="A3354" s="54" t="s">
        <v>647</v>
      </c>
      <c r="B3354" s="31" t="s">
        <v>127</v>
      </c>
      <c r="C3354" s="28"/>
      <c r="D3354" s="28"/>
      <c r="E3354" s="28" t="s">
        <v>1974</v>
      </c>
      <c r="F3354" s="28" t="b">
        <v>0</v>
      </c>
      <c r="G3354" s="28">
        <v>200</v>
      </c>
      <c r="H3354" s="28" t="b">
        <v>1</v>
      </c>
      <c r="I3354" s="34"/>
    </row>
    <row r="3355" spans="1:9" x14ac:dyDescent="0.25">
      <c r="A3355" s="54" t="s">
        <v>647</v>
      </c>
      <c r="B3355" s="43" t="s">
        <v>127</v>
      </c>
      <c r="C3355" s="37" t="s">
        <v>1975</v>
      </c>
      <c r="D3355" s="37"/>
      <c r="E3355" s="37" t="s">
        <v>1974</v>
      </c>
      <c r="F3355" s="37" t="b">
        <v>0</v>
      </c>
      <c r="G3355" s="37">
        <v>200</v>
      </c>
      <c r="H3355" s="37" t="b">
        <v>1</v>
      </c>
    </row>
    <row r="3356" spans="1:9" x14ac:dyDescent="0.25">
      <c r="A3356" s="54" t="s">
        <v>647</v>
      </c>
      <c r="B3356" s="31" t="s">
        <v>135</v>
      </c>
      <c r="C3356" s="28" t="s">
        <v>1976</v>
      </c>
      <c r="D3356" s="28"/>
      <c r="E3356" s="28" t="s">
        <v>1974</v>
      </c>
      <c r="F3356" s="28" t="b">
        <v>0</v>
      </c>
      <c r="G3356" s="28">
        <v>200</v>
      </c>
      <c r="H3356" s="28" t="b">
        <v>1</v>
      </c>
      <c r="I3356" s="34"/>
    </row>
    <row r="3357" spans="1:9" x14ac:dyDescent="0.25">
      <c r="A3357" s="54" t="s">
        <v>647</v>
      </c>
      <c r="B3357" s="43" t="s">
        <v>655</v>
      </c>
      <c r="C3357" s="37" t="s">
        <v>1977</v>
      </c>
      <c r="D3357" s="37"/>
      <c r="E3357" s="37" t="s">
        <v>1974</v>
      </c>
      <c r="F3357" s="37" t="b">
        <v>0</v>
      </c>
      <c r="G3357" s="37">
        <v>200</v>
      </c>
      <c r="H3357" s="37" t="b">
        <v>1</v>
      </c>
    </row>
    <row r="3358" spans="1:9" x14ac:dyDescent="0.25">
      <c r="A3358" s="54" t="s">
        <v>647</v>
      </c>
      <c r="B3358" s="31" t="s">
        <v>635</v>
      </c>
      <c r="C3358" s="28" t="s">
        <v>1978</v>
      </c>
      <c r="D3358" s="28"/>
      <c r="E3358" s="28" t="s">
        <v>1974</v>
      </c>
      <c r="F3358" s="28" t="b">
        <v>0</v>
      </c>
      <c r="G3358" s="28">
        <v>200</v>
      </c>
      <c r="H3358" s="28" t="b">
        <v>1</v>
      </c>
      <c r="I3358" s="34"/>
    </row>
    <row r="3359" spans="1:9" ht="30" x14ac:dyDescent="0.25">
      <c r="A3359" s="54" t="s">
        <v>647</v>
      </c>
      <c r="B3359" s="43" t="s">
        <v>144</v>
      </c>
      <c r="C3359" s="37" t="s">
        <v>1979</v>
      </c>
      <c r="D3359" s="37"/>
      <c r="E3359" s="37" t="s">
        <v>1974</v>
      </c>
      <c r="F3359" s="37" t="b">
        <v>0</v>
      </c>
      <c r="G3359" s="37">
        <v>200</v>
      </c>
      <c r="H3359" s="37" t="b">
        <v>1</v>
      </c>
    </row>
    <row r="3360" spans="1:9" x14ac:dyDescent="0.25">
      <c r="A3360" s="54" t="s">
        <v>647</v>
      </c>
      <c r="B3360" s="31" t="s">
        <v>618</v>
      </c>
      <c r="C3360" s="28" t="s">
        <v>1980</v>
      </c>
      <c r="D3360" s="28"/>
      <c r="E3360" s="28" t="s">
        <v>1974</v>
      </c>
      <c r="F3360" s="28" t="b">
        <v>0</v>
      </c>
      <c r="G3360" s="28">
        <v>200</v>
      </c>
      <c r="H3360" s="28" t="b">
        <v>1</v>
      </c>
      <c r="I3360" s="34"/>
    </row>
    <row r="3361" spans="1:9" ht="30" x14ac:dyDescent="0.25">
      <c r="A3361" s="54" t="s">
        <v>647</v>
      </c>
      <c r="B3361" s="43" t="s">
        <v>585</v>
      </c>
      <c r="C3361" s="37" t="s">
        <v>1981</v>
      </c>
      <c r="D3361" s="37"/>
      <c r="E3361" s="37" t="s">
        <v>1974</v>
      </c>
      <c r="F3361" s="37" t="b">
        <v>0</v>
      </c>
      <c r="G3361" s="37">
        <v>200</v>
      </c>
      <c r="H3361" s="37" t="b">
        <v>1</v>
      </c>
    </row>
    <row r="3362" spans="1:9" ht="30" x14ac:dyDescent="0.25">
      <c r="A3362" s="54" t="s">
        <v>647</v>
      </c>
      <c r="B3362" s="31" t="s">
        <v>582</v>
      </c>
      <c r="C3362" s="28" t="s">
        <v>1982</v>
      </c>
      <c r="D3362" s="28"/>
      <c r="E3362" s="28" t="s">
        <v>1974</v>
      </c>
      <c r="F3362" s="28" t="b">
        <v>0</v>
      </c>
      <c r="G3362" s="28">
        <v>200</v>
      </c>
      <c r="H3362" s="28" t="b">
        <v>1</v>
      </c>
      <c r="I3362" s="34"/>
    </row>
    <row r="3363" spans="1:9" x14ac:dyDescent="0.25">
      <c r="A3363" s="54" t="s">
        <v>647</v>
      </c>
      <c r="B3363" s="43" t="s">
        <v>638</v>
      </c>
      <c r="C3363" s="37" t="s">
        <v>1983</v>
      </c>
      <c r="D3363" s="37"/>
      <c r="E3363" s="37" t="s">
        <v>1974</v>
      </c>
      <c r="F3363" s="37" t="b">
        <v>0</v>
      </c>
      <c r="G3363" s="37">
        <v>200</v>
      </c>
      <c r="H3363" s="37" t="b">
        <v>1</v>
      </c>
    </row>
    <row r="3364" spans="1:9" x14ac:dyDescent="0.25">
      <c r="A3364" s="54" t="s">
        <v>647</v>
      </c>
      <c r="B3364" s="31" t="s">
        <v>638</v>
      </c>
      <c r="C3364" s="28" t="s">
        <v>1984</v>
      </c>
      <c r="D3364" s="28"/>
      <c r="E3364" s="28" t="s">
        <v>1974</v>
      </c>
      <c r="F3364" s="28" t="b">
        <v>0</v>
      </c>
      <c r="G3364" s="28">
        <v>200</v>
      </c>
      <c r="H3364" s="28" t="b">
        <v>1</v>
      </c>
      <c r="I3364" s="34"/>
    </row>
    <row r="3365" spans="1:9" x14ac:dyDescent="0.25">
      <c r="A3365" s="54" t="s">
        <v>647</v>
      </c>
      <c r="B3365" s="43" t="s">
        <v>647</v>
      </c>
      <c r="C3365" s="37" t="s">
        <v>1985</v>
      </c>
      <c r="D3365" s="37"/>
      <c r="E3365" s="37" t="s">
        <v>1974</v>
      </c>
      <c r="F3365" s="37" t="b">
        <v>0</v>
      </c>
      <c r="G3365" s="37">
        <v>200</v>
      </c>
      <c r="H3365" s="37" t="b">
        <v>1</v>
      </c>
    </row>
    <row r="3366" spans="1:9" ht="30" x14ac:dyDescent="0.25">
      <c r="A3366" s="54" t="s">
        <v>647</v>
      </c>
      <c r="B3366" s="31" t="s">
        <v>503</v>
      </c>
      <c r="C3366" s="28" t="s">
        <v>1986</v>
      </c>
      <c r="D3366" s="28"/>
      <c r="E3366" s="28" t="s">
        <v>1974</v>
      </c>
      <c r="F3366" s="28" t="b">
        <v>0</v>
      </c>
      <c r="G3366" s="28">
        <v>200</v>
      </c>
      <c r="H3366" s="28" t="b">
        <v>1</v>
      </c>
      <c r="I3366" s="34"/>
    </row>
    <row r="3367" spans="1:9" x14ac:dyDescent="0.25">
      <c r="A3367" s="54" t="s">
        <v>647</v>
      </c>
      <c r="B3367" s="43" t="s">
        <v>608</v>
      </c>
      <c r="C3367" s="37" t="s">
        <v>1987</v>
      </c>
      <c r="D3367" s="37"/>
      <c r="E3367" s="37" t="s">
        <v>1974</v>
      </c>
      <c r="F3367" s="37" t="b">
        <v>0</v>
      </c>
      <c r="G3367" s="37">
        <v>200</v>
      </c>
      <c r="H3367" s="37" t="b">
        <v>1</v>
      </c>
    </row>
    <row r="3368" spans="1:9" x14ac:dyDescent="0.25">
      <c r="A3368" s="54" t="s">
        <v>647</v>
      </c>
      <c r="B3368" s="31" t="s">
        <v>127</v>
      </c>
      <c r="C3368" s="28" t="s">
        <v>1975</v>
      </c>
      <c r="D3368" s="28"/>
      <c r="E3368" s="28" t="s">
        <v>1974</v>
      </c>
      <c r="F3368" s="28" t="b">
        <v>0</v>
      </c>
      <c r="G3368" s="28">
        <v>200</v>
      </c>
      <c r="H3368" s="28" t="b">
        <v>1</v>
      </c>
      <c r="I3368" s="34"/>
    </row>
    <row r="3369" spans="1:9" x14ac:dyDescent="0.25">
      <c r="A3369" s="54" t="s">
        <v>647</v>
      </c>
      <c r="B3369" s="43" t="s">
        <v>135</v>
      </c>
      <c r="C3369" s="37" t="s">
        <v>1976</v>
      </c>
      <c r="D3369" s="37"/>
      <c r="E3369" s="37" t="s">
        <v>1974</v>
      </c>
      <c r="F3369" s="37" t="b">
        <v>0</v>
      </c>
      <c r="G3369" s="37">
        <v>200</v>
      </c>
      <c r="H3369" s="37" t="b">
        <v>1</v>
      </c>
    </row>
    <row r="3370" spans="1:9" x14ac:dyDescent="0.25">
      <c r="A3370" s="54" t="s">
        <v>647</v>
      </c>
      <c r="B3370" s="31" t="s">
        <v>655</v>
      </c>
      <c r="C3370" s="28" t="s">
        <v>1977</v>
      </c>
      <c r="D3370" s="28"/>
      <c r="E3370" s="28" t="s">
        <v>1974</v>
      </c>
      <c r="F3370" s="28" t="b">
        <v>0</v>
      </c>
      <c r="G3370" s="28">
        <v>200</v>
      </c>
      <c r="H3370" s="28" t="b">
        <v>1</v>
      </c>
      <c r="I3370" s="34"/>
    </row>
    <row r="3371" spans="1:9" x14ac:dyDescent="0.25">
      <c r="A3371" s="54" t="s">
        <v>647</v>
      </c>
      <c r="B3371" s="43" t="s">
        <v>635</v>
      </c>
      <c r="C3371" s="37" t="s">
        <v>1978</v>
      </c>
      <c r="D3371" s="37"/>
      <c r="E3371" s="37" t="s">
        <v>1974</v>
      </c>
      <c r="F3371" s="37" t="b">
        <v>0</v>
      </c>
      <c r="G3371" s="37">
        <v>200</v>
      </c>
      <c r="H3371" s="37" t="b">
        <v>1</v>
      </c>
    </row>
    <row r="3372" spans="1:9" ht="30" x14ac:dyDescent="0.25">
      <c r="A3372" s="54" t="s">
        <v>647</v>
      </c>
      <c r="B3372" s="31" t="s">
        <v>144</v>
      </c>
      <c r="C3372" s="28" t="s">
        <v>1979</v>
      </c>
      <c r="D3372" s="28"/>
      <c r="E3372" s="28" t="s">
        <v>1974</v>
      </c>
      <c r="F3372" s="28" t="b">
        <v>0</v>
      </c>
      <c r="G3372" s="28">
        <v>200</v>
      </c>
      <c r="H3372" s="28" t="b">
        <v>1</v>
      </c>
      <c r="I3372" s="34"/>
    </row>
    <row r="3373" spans="1:9" x14ac:dyDescent="0.25">
      <c r="A3373" s="54" t="s">
        <v>647</v>
      </c>
      <c r="B3373" s="43" t="s">
        <v>618</v>
      </c>
      <c r="C3373" s="37" t="s">
        <v>1980</v>
      </c>
      <c r="D3373" s="37"/>
      <c r="E3373" s="37" t="s">
        <v>1974</v>
      </c>
      <c r="F3373" s="37" t="b">
        <v>0</v>
      </c>
      <c r="G3373" s="37">
        <v>200</v>
      </c>
      <c r="H3373" s="37" t="b">
        <v>1</v>
      </c>
    </row>
    <row r="3374" spans="1:9" ht="30" x14ac:dyDescent="0.25">
      <c r="A3374" s="54" t="s">
        <v>647</v>
      </c>
      <c r="B3374" s="31" t="s">
        <v>585</v>
      </c>
      <c r="C3374" s="28" t="s">
        <v>1981</v>
      </c>
      <c r="D3374" s="28"/>
      <c r="E3374" s="28" t="s">
        <v>1974</v>
      </c>
      <c r="F3374" s="28" t="b">
        <v>0</v>
      </c>
      <c r="G3374" s="28">
        <v>200</v>
      </c>
      <c r="H3374" s="28" t="b">
        <v>1</v>
      </c>
      <c r="I3374" s="34"/>
    </row>
    <row r="3375" spans="1:9" ht="30" x14ac:dyDescent="0.25">
      <c r="A3375" s="54" t="s">
        <v>647</v>
      </c>
      <c r="B3375" s="43" t="s">
        <v>582</v>
      </c>
      <c r="C3375" s="37" t="s">
        <v>1982</v>
      </c>
      <c r="D3375" s="37"/>
      <c r="E3375" s="37" t="s">
        <v>1974</v>
      </c>
      <c r="F3375" s="37" t="b">
        <v>0</v>
      </c>
      <c r="G3375" s="37">
        <v>200</v>
      </c>
      <c r="H3375" s="37" t="b">
        <v>1</v>
      </c>
    </row>
    <row r="3376" spans="1:9" x14ac:dyDescent="0.25">
      <c r="A3376" s="54" t="s">
        <v>647</v>
      </c>
      <c r="B3376" s="31" t="s">
        <v>638</v>
      </c>
      <c r="C3376" s="28" t="s">
        <v>1983</v>
      </c>
      <c r="D3376" s="28"/>
      <c r="E3376" s="28" t="s">
        <v>1974</v>
      </c>
      <c r="F3376" s="28" t="b">
        <v>0</v>
      </c>
      <c r="G3376" s="28">
        <v>200</v>
      </c>
      <c r="H3376" s="28" t="b">
        <v>1</v>
      </c>
      <c r="I3376" s="34"/>
    </row>
    <row r="3377" spans="1:9" x14ac:dyDescent="0.25">
      <c r="A3377" s="54" t="s">
        <v>647</v>
      </c>
      <c r="B3377" s="43" t="s">
        <v>638</v>
      </c>
      <c r="C3377" s="37" t="s">
        <v>1984</v>
      </c>
      <c r="D3377" s="37"/>
      <c r="E3377" s="37" t="s">
        <v>1974</v>
      </c>
      <c r="F3377" s="37" t="b">
        <v>0</v>
      </c>
      <c r="G3377" s="37">
        <v>200</v>
      </c>
      <c r="H3377" s="37" t="b">
        <v>1</v>
      </c>
    </row>
    <row r="3378" spans="1:9" x14ac:dyDescent="0.25">
      <c r="A3378" s="54" t="s">
        <v>647</v>
      </c>
      <c r="B3378" s="31" t="s">
        <v>647</v>
      </c>
      <c r="C3378" s="28" t="s">
        <v>1985</v>
      </c>
      <c r="D3378" s="28"/>
      <c r="E3378" s="28" t="s">
        <v>1974</v>
      </c>
      <c r="F3378" s="28" t="b">
        <v>0</v>
      </c>
      <c r="G3378" s="28">
        <v>200</v>
      </c>
      <c r="H3378" s="28" t="b">
        <v>1</v>
      </c>
      <c r="I3378" s="34"/>
    </row>
    <row r="3379" spans="1:9" ht="30" x14ac:dyDescent="0.25">
      <c r="A3379" s="54" t="s">
        <v>647</v>
      </c>
      <c r="B3379" s="43" t="s">
        <v>503</v>
      </c>
      <c r="C3379" s="37" t="s">
        <v>1986</v>
      </c>
      <c r="D3379" s="37"/>
      <c r="E3379" s="37" t="s">
        <v>1974</v>
      </c>
      <c r="F3379" s="37" t="b">
        <v>0</v>
      </c>
      <c r="G3379" s="37">
        <v>200</v>
      </c>
      <c r="H3379" s="37" t="b">
        <v>1</v>
      </c>
    </row>
    <row r="3380" spans="1:9" x14ac:dyDescent="0.25">
      <c r="A3380" s="54" t="s">
        <v>647</v>
      </c>
      <c r="B3380" s="31" t="s">
        <v>608</v>
      </c>
      <c r="C3380" s="28" t="s">
        <v>1987</v>
      </c>
      <c r="D3380" s="28"/>
      <c r="E3380" s="28" t="s">
        <v>1974</v>
      </c>
      <c r="F3380" s="28" t="b">
        <v>0</v>
      </c>
      <c r="G3380" s="28">
        <v>200</v>
      </c>
      <c r="H3380" s="28" t="b">
        <v>1</v>
      </c>
      <c r="I3380" s="34"/>
    </row>
    <row r="3381" spans="1:9" x14ac:dyDescent="0.25">
      <c r="A3381" s="54" t="s">
        <v>647</v>
      </c>
      <c r="B3381" s="43" t="s">
        <v>647</v>
      </c>
      <c r="C3381" s="37" t="s">
        <v>2010</v>
      </c>
      <c r="D3381" s="37"/>
      <c r="E3381" s="37" t="s">
        <v>1974</v>
      </c>
      <c r="F3381" s="37" t="b">
        <v>0</v>
      </c>
      <c r="G3381" s="37">
        <v>200</v>
      </c>
      <c r="H3381" s="37" t="b">
        <v>1</v>
      </c>
    </row>
    <row r="3382" spans="1:9" ht="30" x14ac:dyDescent="0.25">
      <c r="A3382" s="54" t="s">
        <v>647</v>
      </c>
      <c r="B3382" s="31" t="s">
        <v>2011</v>
      </c>
      <c r="C3382" s="28"/>
      <c r="D3382" s="28"/>
      <c r="E3382" s="28" t="s">
        <v>2012</v>
      </c>
      <c r="F3382" s="28" t="b">
        <v>0</v>
      </c>
      <c r="G3382" s="28"/>
      <c r="H3382" s="28" t="b">
        <v>1</v>
      </c>
      <c r="I3382" s="34"/>
    </row>
    <row r="3383" spans="1:9" ht="30" x14ac:dyDescent="0.25">
      <c r="A3383" s="54" t="s">
        <v>647</v>
      </c>
      <c r="B3383" s="43" t="s">
        <v>2013</v>
      </c>
      <c r="C3383" s="37"/>
      <c r="D3383" s="37"/>
      <c r="E3383" s="37" t="s">
        <v>2012</v>
      </c>
      <c r="F3383" s="37" t="b">
        <v>0</v>
      </c>
      <c r="G3383" s="37"/>
      <c r="H3383" s="37" t="b">
        <v>1</v>
      </c>
    </row>
    <row r="3384" spans="1:9" x14ac:dyDescent="0.25">
      <c r="A3384" s="54" t="s">
        <v>647</v>
      </c>
      <c r="B3384" s="31" t="s">
        <v>641</v>
      </c>
      <c r="C3384" s="28" t="s">
        <v>2014</v>
      </c>
      <c r="D3384" s="28"/>
      <c r="E3384" s="28" t="s">
        <v>1974</v>
      </c>
      <c r="F3384" s="28" t="b">
        <v>0</v>
      </c>
      <c r="G3384" s="28">
        <v>200</v>
      </c>
      <c r="H3384" s="28" t="b">
        <v>1</v>
      </c>
      <c r="I3384" s="34"/>
    </row>
    <row r="3385" spans="1:9" ht="30" x14ac:dyDescent="0.25">
      <c r="A3385" s="54" t="s">
        <v>647</v>
      </c>
      <c r="B3385" s="43" t="s">
        <v>2015</v>
      </c>
      <c r="C3385" s="37" t="s">
        <v>2016</v>
      </c>
      <c r="D3385" s="37"/>
      <c r="E3385" s="37" t="s">
        <v>1974</v>
      </c>
      <c r="F3385" s="37" t="b">
        <v>0</v>
      </c>
      <c r="G3385" s="37">
        <v>404</v>
      </c>
      <c r="H3385" s="37" t="b">
        <v>0</v>
      </c>
    </row>
    <row r="3386" spans="1:9" ht="30" x14ac:dyDescent="0.25">
      <c r="A3386" s="54" t="s">
        <v>647</v>
      </c>
      <c r="B3386" s="31" t="s">
        <v>2015</v>
      </c>
      <c r="C3386" s="28" t="s">
        <v>2017</v>
      </c>
      <c r="D3386" s="28"/>
      <c r="E3386" s="28" t="s">
        <v>1974</v>
      </c>
      <c r="F3386" s="28" t="b">
        <v>0</v>
      </c>
      <c r="G3386" s="28">
        <v>404</v>
      </c>
      <c r="H3386" s="28" t="b">
        <v>0</v>
      </c>
      <c r="I3386" s="34"/>
    </row>
    <row r="3387" spans="1:9" x14ac:dyDescent="0.25">
      <c r="A3387" s="54" t="s">
        <v>652</v>
      </c>
      <c r="B3387" s="43" t="s">
        <v>2025</v>
      </c>
      <c r="C3387" s="37"/>
      <c r="D3387" s="37"/>
      <c r="E3387" s="37" t="s">
        <v>2012</v>
      </c>
      <c r="F3387" s="37" t="b">
        <v>0</v>
      </c>
      <c r="G3387" s="37"/>
      <c r="H3387" s="37" t="b">
        <v>1</v>
      </c>
    </row>
    <row r="3388" spans="1:9" x14ac:dyDescent="0.25">
      <c r="A3388" s="54" t="s">
        <v>652</v>
      </c>
      <c r="B3388" s="31" t="s">
        <v>127</v>
      </c>
      <c r="C3388" s="28" t="s">
        <v>1975</v>
      </c>
      <c r="D3388" s="28"/>
      <c r="E3388" s="28" t="s">
        <v>1974</v>
      </c>
      <c r="F3388" s="28" t="b">
        <v>0</v>
      </c>
      <c r="G3388" s="28">
        <v>200</v>
      </c>
      <c r="H3388" s="28" t="b">
        <v>1</v>
      </c>
      <c r="I3388" s="34"/>
    </row>
    <row r="3389" spans="1:9" x14ac:dyDescent="0.25">
      <c r="A3389" s="54" t="s">
        <v>652</v>
      </c>
      <c r="B3389" s="43" t="s">
        <v>135</v>
      </c>
      <c r="C3389" s="37" t="s">
        <v>1976</v>
      </c>
      <c r="D3389" s="37"/>
      <c r="E3389" s="37" t="s">
        <v>1974</v>
      </c>
      <c r="F3389" s="37" t="b">
        <v>0</v>
      </c>
      <c r="G3389" s="37">
        <v>200</v>
      </c>
      <c r="H3389" s="37" t="b">
        <v>1</v>
      </c>
    </row>
    <row r="3390" spans="1:9" x14ac:dyDescent="0.25">
      <c r="A3390" s="54" t="s">
        <v>652</v>
      </c>
      <c r="B3390" s="31" t="s">
        <v>655</v>
      </c>
      <c r="C3390" s="28" t="s">
        <v>1977</v>
      </c>
      <c r="D3390" s="28"/>
      <c r="E3390" s="28" t="s">
        <v>1974</v>
      </c>
      <c r="F3390" s="28" t="b">
        <v>0</v>
      </c>
      <c r="G3390" s="28">
        <v>200</v>
      </c>
      <c r="H3390" s="28" t="b">
        <v>1</v>
      </c>
      <c r="I3390" s="34"/>
    </row>
    <row r="3391" spans="1:9" x14ac:dyDescent="0.25">
      <c r="A3391" s="54" t="s">
        <v>652</v>
      </c>
      <c r="B3391" s="43" t="s">
        <v>635</v>
      </c>
      <c r="C3391" s="37" t="s">
        <v>1978</v>
      </c>
      <c r="D3391" s="37"/>
      <c r="E3391" s="37" t="s">
        <v>1974</v>
      </c>
      <c r="F3391" s="37" t="b">
        <v>0</v>
      </c>
      <c r="G3391" s="37">
        <v>200</v>
      </c>
      <c r="H3391" s="37" t="b">
        <v>1</v>
      </c>
    </row>
    <row r="3392" spans="1:9" ht="30" x14ac:dyDescent="0.25">
      <c r="A3392" s="54" t="s">
        <v>652</v>
      </c>
      <c r="B3392" s="31" t="s">
        <v>144</v>
      </c>
      <c r="C3392" s="28" t="s">
        <v>1979</v>
      </c>
      <c r="D3392" s="28"/>
      <c r="E3392" s="28" t="s">
        <v>1974</v>
      </c>
      <c r="F3392" s="28" t="b">
        <v>0</v>
      </c>
      <c r="G3392" s="28">
        <v>200</v>
      </c>
      <c r="H3392" s="28" t="b">
        <v>1</v>
      </c>
      <c r="I3392" s="34"/>
    </row>
    <row r="3393" spans="1:9" x14ac:dyDescent="0.25">
      <c r="A3393" s="54" t="s">
        <v>652</v>
      </c>
      <c r="B3393" s="43" t="s">
        <v>618</v>
      </c>
      <c r="C3393" s="37" t="s">
        <v>1980</v>
      </c>
      <c r="D3393" s="37"/>
      <c r="E3393" s="37" t="s">
        <v>1974</v>
      </c>
      <c r="F3393" s="37" t="b">
        <v>0</v>
      </c>
      <c r="G3393" s="37">
        <v>200</v>
      </c>
      <c r="H3393" s="37" t="b">
        <v>1</v>
      </c>
    </row>
    <row r="3394" spans="1:9" ht="30" x14ac:dyDescent="0.25">
      <c r="A3394" s="54" t="s">
        <v>652</v>
      </c>
      <c r="B3394" s="31" t="s">
        <v>585</v>
      </c>
      <c r="C3394" s="28" t="s">
        <v>1981</v>
      </c>
      <c r="D3394" s="28"/>
      <c r="E3394" s="28" t="s">
        <v>1974</v>
      </c>
      <c r="F3394" s="28" t="b">
        <v>0</v>
      </c>
      <c r="G3394" s="28">
        <v>200</v>
      </c>
      <c r="H3394" s="28" t="b">
        <v>1</v>
      </c>
      <c r="I3394" s="34"/>
    </row>
    <row r="3395" spans="1:9" ht="30" x14ac:dyDescent="0.25">
      <c r="A3395" s="54" t="s">
        <v>652</v>
      </c>
      <c r="B3395" s="43" t="s">
        <v>582</v>
      </c>
      <c r="C3395" s="37" t="s">
        <v>1982</v>
      </c>
      <c r="D3395" s="37"/>
      <c r="E3395" s="37" t="s">
        <v>1974</v>
      </c>
      <c r="F3395" s="37" t="b">
        <v>0</v>
      </c>
      <c r="G3395" s="37">
        <v>200</v>
      </c>
      <c r="H3395" s="37" t="b">
        <v>1</v>
      </c>
    </row>
    <row r="3396" spans="1:9" x14ac:dyDescent="0.25">
      <c r="A3396" s="54" t="s">
        <v>652</v>
      </c>
      <c r="B3396" s="31" t="s">
        <v>638</v>
      </c>
      <c r="C3396" s="28" t="s">
        <v>1983</v>
      </c>
      <c r="D3396" s="28"/>
      <c r="E3396" s="28" t="s">
        <v>1974</v>
      </c>
      <c r="F3396" s="28" t="b">
        <v>0</v>
      </c>
      <c r="G3396" s="28">
        <v>200</v>
      </c>
      <c r="H3396" s="28" t="b">
        <v>1</v>
      </c>
      <c r="I3396" s="34"/>
    </row>
    <row r="3397" spans="1:9" x14ac:dyDescent="0.25">
      <c r="A3397" s="54" t="s">
        <v>652</v>
      </c>
      <c r="B3397" s="43" t="s">
        <v>638</v>
      </c>
      <c r="C3397" s="37" t="s">
        <v>1984</v>
      </c>
      <c r="D3397" s="37"/>
      <c r="E3397" s="37" t="s">
        <v>1974</v>
      </c>
      <c r="F3397" s="37" t="b">
        <v>0</v>
      </c>
      <c r="G3397" s="37">
        <v>200</v>
      </c>
      <c r="H3397" s="37" t="b">
        <v>1</v>
      </c>
    </row>
    <row r="3398" spans="1:9" x14ac:dyDescent="0.25">
      <c r="A3398" s="54" t="s">
        <v>652</v>
      </c>
      <c r="B3398" s="31" t="s">
        <v>647</v>
      </c>
      <c r="C3398" s="28" t="s">
        <v>1985</v>
      </c>
      <c r="D3398" s="28"/>
      <c r="E3398" s="28" t="s">
        <v>1974</v>
      </c>
      <c r="F3398" s="28" t="b">
        <v>0</v>
      </c>
      <c r="G3398" s="28">
        <v>200</v>
      </c>
      <c r="H3398" s="28" t="b">
        <v>1</v>
      </c>
      <c r="I3398" s="34"/>
    </row>
    <row r="3399" spans="1:9" ht="30" x14ac:dyDescent="0.25">
      <c r="A3399" s="54" t="s">
        <v>652</v>
      </c>
      <c r="B3399" s="43" t="s">
        <v>503</v>
      </c>
      <c r="C3399" s="37" t="s">
        <v>1986</v>
      </c>
      <c r="D3399" s="37"/>
      <c r="E3399" s="37" t="s">
        <v>1974</v>
      </c>
      <c r="F3399" s="37" t="b">
        <v>0</v>
      </c>
      <c r="G3399" s="37">
        <v>200</v>
      </c>
      <c r="H3399" s="37" t="b">
        <v>1</v>
      </c>
    </row>
    <row r="3400" spans="1:9" x14ac:dyDescent="0.25">
      <c r="A3400" s="54" t="s">
        <v>652</v>
      </c>
      <c r="B3400" s="31" t="s">
        <v>608</v>
      </c>
      <c r="C3400" s="28" t="s">
        <v>1987</v>
      </c>
      <c r="D3400" s="28"/>
      <c r="E3400" s="28" t="s">
        <v>1974</v>
      </c>
      <c r="F3400" s="28" t="b">
        <v>0</v>
      </c>
      <c r="G3400" s="28">
        <v>200</v>
      </c>
      <c r="H3400" s="28" t="b">
        <v>1</v>
      </c>
      <c r="I3400" s="34"/>
    </row>
    <row r="3401" spans="1:9" x14ac:dyDescent="0.25">
      <c r="A3401" s="54" t="s">
        <v>652</v>
      </c>
      <c r="B3401" s="43" t="s">
        <v>127</v>
      </c>
      <c r="C3401" s="37" t="s">
        <v>1975</v>
      </c>
      <c r="D3401" s="37"/>
      <c r="E3401" s="37" t="s">
        <v>1974</v>
      </c>
      <c r="F3401" s="37" t="b">
        <v>0</v>
      </c>
      <c r="G3401" s="37">
        <v>200</v>
      </c>
      <c r="H3401" s="37" t="b">
        <v>1</v>
      </c>
    </row>
    <row r="3402" spans="1:9" x14ac:dyDescent="0.25">
      <c r="A3402" s="54" t="s">
        <v>652</v>
      </c>
      <c r="B3402" s="31" t="s">
        <v>135</v>
      </c>
      <c r="C3402" s="28" t="s">
        <v>1976</v>
      </c>
      <c r="D3402" s="28"/>
      <c r="E3402" s="28" t="s">
        <v>1974</v>
      </c>
      <c r="F3402" s="28" t="b">
        <v>0</v>
      </c>
      <c r="G3402" s="28">
        <v>200</v>
      </c>
      <c r="H3402" s="28" t="b">
        <v>1</v>
      </c>
      <c r="I3402" s="34"/>
    </row>
    <row r="3403" spans="1:9" x14ac:dyDescent="0.25">
      <c r="A3403" s="54" t="s">
        <v>652</v>
      </c>
      <c r="B3403" s="43" t="s">
        <v>655</v>
      </c>
      <c r="C3403" s="37" t="s">
        <v>1977</v>
      </c>
      <c r="D3403" s="37"/>
      <c r="E3403" s="37" t="s">
        <v>1974</v>
      </c>
      <c r="F3403" s="37" t="b">
        <v>0</v>
      </c>
      <c r="G3403" s="37">
        <v>200</v>
      </c>
      <c r="H3403" s="37" t="b">
        <v>1</v>
      </c>
    </row>
    <row r="3404" spans="1:9" x14ac:dyDescent="0.25">
      <c r="A3404" s="54" t="s">
        <v>652</v>
      </c>
      <c r="B3404" s="31" t="s">
        <v>635</v>
      </c>
      <c r="C3404" s="28" t="s">
        <v>1978</v>
      </c>
      <c r="D3404" s="28"/>
      <c r="E3404" s="28" t="s">
        <v>1974</v>
      </c>
      <c r="F3404" s="28" t="b">
        <v>0</v>
      </c>
      <c r="G3404" s="28">
        <v>200</v>
      </c>
      <c r="H3404" s="28" t="b">
        <v>1</v>
      </c>
      <c r="I3404" s="34"/>
    </row>
    <row r="3405" spans="1:9" ht="30" x14ac:dyDescent="0.25">
      <c r="A3405" s="54" t="s">
        <v>652</v>
      </c>
      <c r="B3405" s="43" t="s">
        <v>144</v>
      </c>
      <c r="C3405" s="37" t="s">
        <v>1979</v>
      </c>
      <c r="D3405" s="37"/>
      <c r="E3405" s="37" t="s">
        <v>1974</v>
      </c>
      <c r="F3405" s="37" t="b">
        <v>0</v>
      </c>
      <c r="G3405" s="37">
        <v>200</v>
      </c>
      <c r="H3405" s="37" t="b">
        <v>1</v>
      </c>
    </row>
    <row r="3406" spans="1:9" x14ac:dyDescent="0.25">
      <c r="A3406" s="54" t="s">
        <v>652</v>
      </c>
      <c r="B3406" s="31" t="s">
        <v>618</v>
      </c>
      <c r="C3406" s="28" t="s">
        <v>1980</v>
      </c>
      <c r="D3406" s="28"/>
      <c r="E3406" s="28" t="s">
        <v>1974</v>
      </c>
      <c r="F3406" s="28" t="b">
        <v>0</v>
      </c>
      <c r="G3406" s="28">
        <v>200</v>
      </c>
      <c r="H3406" s="28" t="b">
        <v>1</v>
      </c>
      <c r="I3406" s="34"/>
    </row>
    <row r="3407" spans="1:9" ht="30" x14ac:dyDescent="0.25">
      <c r="A3407" s="54" t="s">
        <v>652</v>
      </c>
      <c r="B3407" s="43" t="s">
        <v>585</v>
      </c>
      <c r="C3407" s="37" t="s">
        <v>1981</v>
      </c>
      <c r="D3407" s="37"/>
      <c r="E3407" s="37" t="s">
        <v>1974</v>
      </c>
      <c r="F3407" s="37" t="b">
        <v>0</v>
      </c>
      <c r="G3407" s="37">
        <v>200</v>
      </c>
      <c r="H3407" s="37" t="b">
        <v>1</v>
      </c>
    </row>
    <row r="3408" spans="1:9" ht="30" x14ac:dyDescent="0.25">
      <c r="A3408" s="54" t="s">
        <v>652</v>
      </c>
      <c r="B3408" s="31" t="s">
        <v>582</v>
      </c>
      <c r="C3408" s="28" t="s">
        <v>1982</v>
      </c>
      <c r="D3408" s="28"/>
      <c r="E3408" s="28" t="s">
        <v>1974</v>
      </c>
      <c r="F3408" s="28" t="b">
        <v>0</v>
      </c>
      <c r="G3408" s="28">
        <v>200</v>
      </c>
      <c r="H3408" s="28" t="b">
        <v>1</v>
      </c>
      <c r="I3408" s="34"/>
    </row>
    <row r="3409" spans="1:9" x14ac:dyDescent="0.25">
      <c r="A3409" s="54" t="s">
        <v>652</v>
      </c>
      <c r="B3409" s="43" t="s">
        <v>638</v>
      </c>
      <c r="C3409" s="37" t="s">
        <v>1983</v>
      </c>
      <c r="D3409" s="37"/>
      <c r="E3409" s="37" t="s">
        <v>1974</v>
      </c>
      <c r="F3409" s="37" t="b">
        <v>0</v>
      </c>
      <c r="G3409" s="37">
        <v>200</v>
      </c>
      <c r="H3409" s="37" t="b">
        <v>1</v>
      </c>
    </row>
    <row r="3410" spans="1:9" x14ac:dyDescent="0.25">
      <c r="A3410" s="54" t="s">
        <v>652</v>
      </c>
      <c r="B3410" s="31" t="s">
        <v>638</v>
      </c>
      <c r="C3410" s="28" t="s">
        <v>1984</v>
      </c>
      <c r="D3410" s="28"/>
      <c r="E3410" s="28" t="s">
        <v>1974</v>
      </c>
      <c r="F3410" s="28" t="b">
        <v>0</v>
      </c>
      <c r="G3410" s="28">
        <v>200</v>
      </c>
      <c r="H3410" s="28" t="b">
        <v>1</v>
      </c>
      <c r="I3410" s="34"/>
    </row>
    <row r="3411" spans="1:9" x14ac:dyDescent="0.25">
      <c r="A3411" s="54" t="s">
        <v>652</v>
      </c>
      <c r="B3411" s="43" t="s">
        <v>647</v>
      </c>
      <c r="C3411" s="37" t="s">
        <v>1985</v>
      </c>
      <c r="D3411" s="37"/>
      <c r="E3411" s="37" t="s">
        <v>1974</v>
      </c>
      <c r="F3411" s="37" t="b">
        <v>0</v>
      </c>
      <c r="G3411" s="37">
        <v>200</v>
      </c>
      <c r="H3411" s="37" t="b">
        <v>1</v>
      </c>
    </row>
    <row r="3412" spans="1:9" ht="30" x14ac:dyDescent="0.25">
      <c r="A3412" s="54" t="s">
        <v>652</v>
      </c>
      <c r="B3412" s="31" t="s">
        <v>503</v>
      </c>
      <c r="C3412" s="28" t="s">
        <v>1986</v>
      </c>
      <c r="D3412" s="28"/>
      <c r="E3412" s="28" t="s">
        <v>1974</v>
      </c>
      <c r="F3412" s="28" t="b">
        <v>0</v>
      </c>
      <c r="G3412" s="28">
        <v>200</v>
      </c>
      <c r="H3412" s="28" t="b">
        <v>1</v>
      </c>
      <c r="I3412" s="34"/>
    </row>
    <row r="3413" spans="1:9" x14ac:dyDescent="0.25">
      <c r="A3413" s="54" t="s">
        <v>652</v>
      </c>
      <c r="B3413" s="43" t="s">
        <v>608</v>
      </c>
      <c r="C3413" s="37" t="s">
        <v>1987</v>
      </c>
      <c r="D3413" s="37"/>
      <c r="E3413" s="37" t="s">
        <v>1974</v>
      </c>
      <c r="F3413" s="37" t="b">
        <v>0</v>
      </c>
      <c r="G3413" s="37">
        <v>200</v>
      </c>
      <c r="H3413" s="37" t="b">
        <v>1</v>
      </c>
    </row>
    <row r="3414" spans="1:9" ht="30" x14ac:dyDescent="0.25">
      <c r="A3414" s="54" t="s">
        <v>652</v>
      </c>
      <c r="B3414" s="31" t="s">
        <v>497</v>
      </c>
      <c r="C3414" s="28" t="s">
        <v>2027</v>
      </c>
      <c r="D3414" s="28"/>
      <c r="E3414" s="28" t="s">
        <v>1974</v>
      </c>
      <c r="F3414" s="28" t="b">
        <v>0</v>
      </c>
      <c r="G3414" s="28">
        <v>200</v>
      </c>
      <c r="H3414" s="28" t="b">
        <v>1</v>
      </c>
      <c r="I3414" s="34"/>
    </row>
    <row r="3415" spans="1:9" x14ac:dyDescent="0.25">
      <c r="A3415" s="54" t="s">
        <v>652</v>
      </c>
      <c r="B3415" s="43" t="s">
        <v>652</v>
      </c>
      <c r="C3415" s="37" t="s">
        <v>2028</v>
      </c>
      <c r="D3415" s="37"/>
      <c r="E3415" s="37" t="s">
        <v>1974</v>
      </c>
      <c r="F3415" s="37" t="b">
        <v>0</v>
      </c>
      <c r="G3415" s="37">
        <v>200</v>
      </c>
      <c r="H3415" s="37" t="b">
        <v>1</v>
      </c>
    </row>
    <row r="3416" spans="1:9" ht="30" x14ac:dyDescent="0.25">
      <c r="A3416" s="54" t="s">
        <v>652</v>
      </c>
      <c r="B3416" s="31" t="s">
        <v>537</v>
      </c>
      <c r="C3416" s="28" t="s">
        <v>2029</v>
      </c>
      <c r="D3416" s="28"/>
      <c r="E3416" s="28" t="s">
        <v>1974</v>
      </c>
      <c r="F3416" s="28" t="b">
        <v>0</v>
      </c>
      <c r="G3416" s="28">
        <v>200</v>
      </c>
      <c r="H3416" s="28" t="b">
        <v>1</v>
      </c>
      <c r="I3416" s="34"/>
    </row>
    <row r="3417" spans="1:9" ht="30" x14ac:dyDescent="0.25">
      <c r="A3417" s="54" t="s">
        <v>652</v>
      </c>
      <c r="B3417" s="43" t="s">
        <v>543</v>
      </c>
      <c r="C3417" s="37" t="s">
        <v>2030</v>
      </c>
      <c r="D3417" s="37"/>
      <c r="E3417" s="37" t="s">
        <v>1974</v>
      </c>
      <c r="F3417" s="37" t="b">
        <v>0</v>
      </c>
      <c r="G3417" s="37">
        <v>200</v>
      </c>
      <c r="H3417" s="37" t="b">
        <v>1</v>
      </c>
    </row>
    <row r="3418" spans="1:9" x14ac:dyDescent="0.25">
      <c r="A3418" s="54" t="s">
        <v>652</v>
      </c>
      <c r="B3418" s="31" t="s">
        <v>566</v>
      </c>
      <c r="C3418" s="28" t="s">
        <v>2031</v>
      </c>
      <c r="D3418" s="28"/>
      <c r="E3418" s="28" t="s">
        <v>1974</v>
      </c>
      <c r="F3418" s="28" t="b">
        <v>0</v>
      </c>
      <c r="G3418" s="28">
        <v>200</v>
      </c>
      <c r="H3418" s="28" t="b">
        <v>1</v>
      </c>
      <c r="I3418" s="34"/>
    </row>
    <row r="3419" spans="1:9" x14ac:dyDescent="0.25">
      <c r="A3419" s="54" t="s">
        <v>652</v>
      </c>
      <c r="B3419" s="43" t="s">
        <v>601</v>
      </c>
      <c r="C3419" s="37" t="s">
        <v>2032</v>
      </c>
      <c r="D3419" s="37"/>
      <c r="E3419" s="37" t="s">
        <v>1974</v>
      </c>
      <c r="F3419" s="37" t="b">
        <v>0</v>
      </c>
      <c r="G3419" s="37">
        <v>200</v>
      </c>
      <c r="H3419" s="37" t="b">
        <v>1</v>
      </c>
    </row>
    <row r="3420" spans="1:9" ht="30" x14ac:dyDescent="0.25">
      <c r="A3420" s="54" t="s">
        <v>652</v>
      </c>
      <c r="B3420" s="31" t="s">
        <v>497</v>
      </c>
      <c r="C3420" s="28" t="s">
        <v>2027</v>
      </c>
      <c r="D3420" s="28"/>
      <c r="E3420" s="28" t="s">
        <v>1974</v>
      </c>
      <c r="F3420" s="28" t="b">
        <v>0</v>
      </c>
      <c r="G3420" s="28">
        <v>200</v>
      </c>
      <c r="H3420" s="28" t="b">
        <v>1</v>
      </c>
      <c r="I3420" s="34"/>
    </row>
    <row r="3421" spans="1:9" x14ac:dyDescent="0.25">
      <c r="A3421" s="54" t="s">
        <v>652</v>
      </c>
      <c r="B3421" s="43" t="s">
        <v>652</v>
      </c>
      <c r="C3421" s="37" t="s">
        <v>2028</v>
      </c>
      <c r="D3421" s="37"/>
      <c r="E3421" s="37" t="s">
        <v>1974</v>
      </c>
      <c r="F3421" s="37" t="b">
        <v>0</v>
      </c>
      <c r="G3421" s="37">
        <v>200</v>
      </c>
      <c r="H3421" s="37" t="b">
        <v>1</v>
      </c>
    </row>
    <row r="3422" spans="1:9" ht="30" x14ac:dyDescent="0.25">
      <c r="A3422" s="54" t="s">
        <v>652</v>
      </c>
      <c r="B3422" s="31" t="s">
        <v>537</v>
      </c>
      <c r="C3422" s="28" t="s">
        <v>2029</v>
      </c>
      <c r="D3422" s="28"/>
      <c r="E3422" s="28" t="s">
        <v>1974</v>
      </c>
      <c r="F3422" s="28" t="b">
        <v>0</v>
      </c>
      <c r="G3422" s="28">
        <v>200</v>
      </c>
      <c r="H3422" s="28" t="b">
        <v>1</v>
      </c>
      <c r="I3422" s="34"/>
    </row>
    <row r="3423" spans="1:9" ht="30" x14ac:dyDescent="0.25">
      <c r="A3423" s="54" t="s">
        <v>652</v>
      </c>
      <c r="B3423" s="43" t="s">
        <v>543</v>
      </c>
      <c r="C3423" s="37" t="s">
        <v>2030</v>
      </c>
      <c r="D3423" s="37"/>
      <c r="E3423" s="37" t="s">
        <v>1974</v>
      </c>
      <c r="F3423" s="37" t="b">
        <v>0</v>
      </c>
      <c r="G3423" s="37">
        <v>200</v>
      </c>
      <c r="H3423" s="37" t="b">
        <v>1</v>
      </c>
    </row>
    <row r="3424" spans="1:9" x14ac:dyDescent="0.25">
      <c r="A3424" s="54" t="s">
        <v>652</v>
      </c>
      <c r="B3424" s="31" t="s">
        <v>566</v>
      </c>
      <c r="C3424" s="28" t="s">
        <v>2031</v>
      </c>
      <c r="D3424" s="28"/>
      <c r="E3424" s="28" t="s">
        <v>1974</v>
      </c>
      <c r="F3424" s="28" t="b">
        <v>0</v>
      </c>
      <c r="G3424" s="28">
        <v>200</v>
      </c>
      <c r="H3424" s="28" t="b">
        <v>1</v>
      </c>
      <c r="I3424" s="34"/>
    </row>
    <row r="3425" spans="1:9" x14ac:dyDescent="0.25">
      <c r="A3425" s="54" t="s">
        <v>652</v>
      </c>
      <c r="B3425" s="43" t="s">
        <v>601</v>
      </c>
      <c r="C3425" s="37" t="s">
        <v>2032</v>
      </c>
      <c r="D3425" s="37"/>
      <c r="E3425" s="37" t="s">
        <v>1974</v>
      </c>
      <c r="F3425" s="37" t="b">
        <v>0</v>
      </c>
      <c r="G3425" s="37">
        <v>200</v>
      </c>
      <c r="H3425" s="37" t="b">
        <v>1</v>
      </c>
    </row>
    <row r="3426" spans="1:9" ht="30" x14ac:dyDescent="0.25">
      <c r="A3426" s="54" t="s">
        <v>652</v>
      </c>
      <c r="B3426" s="31" t="s">
        <v>2767</v>
      </c>
      <c r="C3426" s="28" t="s">
        <v>2824</v>
      </c>
      <c r="D3426" s="28"/>
      <c r="E3426" s="28" t="s">
        <v>2012</v>
      </c>
      <c r="F3426" s="28" t="b">
        <v>0</v>
      </c>
      <c r="G3426" s="28"/>
      <c r="H3426" s="28" t="b">
        <v>1</v>
      </c>
      <c r="I3426" s="34"/>
    </row>
    <row r="3427" spans="1:9" x14ac:dyDescent="0.25">
      <c r="A3427" s="54" t="s">
        <v>652</v>
      </c>
      <c r="B3427" s="43" t="s">
        <v>2777</v>
      </c>
      <c r="C3427" s="37" t="s">
        <v>2824</v>
      </c>
      <c r="D3427" s="37"/>
      <c r="E3427" s="37" t="s">
        <v>2012</v>
      </c>
      <c r="F3427" s="37" t="b">
        <v>0</v>
      </c>
      <c r="G3427" s="37"/>
      <c r="H3427" s="37" t="b">
        <v>1</v>
      </c>
    </row>
    <row r="3428" spans="1:9" x14ac:dyDescent="0.25">
      <c r="A3428" s="54" t="s">
        <v>652</v>
      </c>
      <c r="B3428" s="31" t="s">
        <v>2797</v>
      </c>
      <c r="C3428" s="28" t="s">
        <v>2824</v>
      </c>
      <c r="D3428" s="28"/>
      <c r="E3428" s="28" t="s">
        <v>2012</v>
      </c>
      <c r="F3428" s="28" t="b">
        <v>0</v>
      </c>
      <c r="G3428" s="28"/>
      <c r="H3428" s="28" t="b">
        <v>1</v>
      </c>
      <c r="I3428" s="34"/>
    </row>
    <row r="3429" spans="1:9" x14ac:dyDescent="0.25">
      <c r="A3429" s="54" t="s">
        <v>652</v>
      </c>
      <c r="B3429" s="43" t="s">
        <v>2806</v>
      </c>
      <c r="C3429" s="37" t="s">
        <v>2824</v>
      </c>
      <c r="D3429" s="37"/>
      <c r="E3429" s="37" t="s">
        <v>2012</v>
      </c>
      <c r="F3429" s="37" t="b">
        <v>0</v>
      </c>
      <c r="G3429" s="37"/>
      <c r="H3429" s="37" t="b">
        <v>1</v>
      </c>
    </row>
    <row r="3430" spans="1:9" ht="30" x14ac:dyDescent="0.25">
      <c r="A3430" s="54" t="s">
        <v>652</v>
      </c>
      <c r="B3430" s="31" t="s">
        <v>2775</v>
      </c>
      <c r="C3430" s="28" t="s">
        <v>2824</v>
      </c>
      <c r="D3430" s="28"/>
      <c r="E3430" s="28" t="s">
        <v>2012</v>
      </c>
      <c r="F3430" s="28" t="b">
        <v>0</v>
      </c>
      <c r="G3430" s="28"/>
      <c r="H3430" s="28" t="b">
        <v>1</v>
      </c>
      <c r="I3430" s="34"/>
    </row>
    <row r="3431" spans="1:9" ht="30" x14ac:dyDescent="0.25">
      <c r="A3431" s="54" t="s">
        <v>652</v>
      </c>
      <c r="B3431" s="43" t="s">
        <v>2804</v>
      </c>
      <c r="C3431" s="37" t="s">
        <v>2824</v>
      </c>
      <c r="D3431" s="37"/>
      <c r="E3431" s="37" t="s">
        <v>2012</v>
      </c>
      <c r="F3431" s="37" t="b">
        <v>0</v>
      </c>
      <c r="G3431" s="37"/>
      <c r="H3431" s="37" t="b">
        <v>1</v>
      </c>
    </row>
    <row r="3432" spans="1:9" x14ac:dyDescent="0.25">
      <c r="A3432" s="54" t="s">
        <v>652</v>
      </c>
      <c r="B3432" s="31" t="s">
        <v>2794</v>
      </c>
      <c r="C3432" s="28" t="s">
        <v>2824</v>
      </c>
      <c r="D3432" s="28"/>
      <c r="E3432" s="28" t="s">
        <v>2012</v>
      </c>
      <c r="F3432" s="28" t="b">
        <v>0</v>
      </c>
      <c r="G3432" s="28"/>
      <c r="H3432" s="28" t="b">
        <v>1</v>
      </c>
      <c r="I3432" s="34"/>
    </row>
    <row r="3433" spans="1:9" ht="30" x14ac:dyDescent="0.25">
      <c r="A3433" s="54" t="s">
        <v>652</v>
      </c>
      <c r="B3433" s="43" t="s">
        <v>2792</v>
      </c>
      <c r="C3433" s="37" t="s">
        <v>2824</v>
      </c>
      <c r="D3433" s="37"/>
      <c r="E3433" s="37" t="s">
        <v>2012</v>
      </c>
      <c r="F3433" s="37" t="b">
        <v>0</v>
      </c>
      <c r="G3433" s="37"/>
      <c r="H3433" s="37" t="b">
        <v>1</v>
      </c>
    </row>
    <row r="3434" spans="1:9" ht="30" x14ac:dyDescent="0.25">
      <c r="A3434" s="54" t="s">
        <v>652</v>
      </c>
      <c r="B3434" s="31" t="s">
        <v>2825</v>
      </c>
      <c r="C3434" s="28" t="s">
        <v>2824</v>
      </c>
      <c r="D3434" s="28"/>
      <c r="E3434" s="28" t="s">
        <v>2012</v>
      </c>
      <c r="F3434" s="28" t="b">
        <v>0</v>
      </c>
      <c r="G3434" s="28"/>
      <c r="H3434" s="28" t="b">
        <v>1</v>
      </c>
      <c r="I3434" s="34"/>
    </row>
    <row r="3435" spans="1:9" x14ac:dyDescent="0.25">
      <c r="A3435" s="54" t="s">
        <v>652</v>
      </c>
      <c r="B3435" s="43" t="s">
        <v>2982</v>
      </c>
      <c r="C3435" s="37" t="s">
        <v>2824</v>
      </c>
      <c r="D3435" s="37"/>
      <c r="E3435" s="37" t="s">
        <v>2012</v>
      </c>
      <c r="F3435" s="37" t="b">
        <v>0</v>
      </c>
      <c r="G3435" s="37"/>
      <c r="H3435" s="37" t="b">
        <v>1</v>
      </c>
    </row>
    <row r="3436" spans="1:9" x14ac:dyDescent="0.25">
      <c r="A3436" s="54" t="s">
        <v>652</v>
      </c>
      <c r="B3436" s="31" t="s">
        <v>2983</v>
      </c>
      <c r="C3436" s="28" t="s">
        <v>2824</v>
      </c>
      <c r="D3436" s="28"/>
      <c r="E3436" s="28" t="s">
        <v>2012</v>
      </c>
      <c r="F3436" s="28" t="b">
        <v>0</v>
      </c>
      <c r="G3436" s="28"/>
      <c r="H3436" s="28" t="b">
        <v>1</v>
      </c>
      <c r="I3436" s="34"/>
    </row>
    <row r="3437" spans="1:9" x14ac:dyDescent="0.25">
      <c r="A3437" s="54" t="s">
        <v>652</v>
      </c>
      <c r="B3437" s="43" t="s">
        <v>2984</v>
      </c>
      <c r="C3437" s="37" t="s">
        <v>2824</v>
      </c>
      <c r="D3437" s="37"/>
      <c r="E3437" s="37" t="s">
        <v>2012</v>
      </c>
      <c r="F3437" s="37" t="b">
        <v>0</v>
      </c>
      <c r="G3437" s="37"/>
      <c r="H3437" s="37" t="b">
        <v>1</v>
      </c>
    </row>
    <row r="3438" spans="1:9" x14ac:dyDescent="0.25">
      <c r="A3438" s="54" t="s">
        <v>652</v>
      </c>
      <c r="B3438" s="31" t="s">
        <v>2810</v>
      </c>
      <c r="C3438" s="28" t="s">
        <v>2824</v>
      </c>
      <c r="D3438" s="28"/>
      <c r="E3438" s="28" t="s">
        <v>2012</v>
      </c>
      <c r="F3438" s="28" t="b">
        <v>0</v>
      </c>
      <c r="G3438" s="28"/>
      <c r="H3438" s="28" t="b">
        <v>1</v>
      </c>
      <c r="I3438" s="34"/>
    </row>
    <row r="3439" spans="1:9" x14ac:dyDescent="0.25">
      <c r="A3439" s="54" t="s">
        <v>652</v>
      </c>
      <c r="B3439" s="43" t="s">
        <v>2790</v>
      </c>
      <c r="C3439" s="37" t="s">
        <v>2824</v>
      </c>
      <c r="D3439" s="37"/>
      <c r="E3439" s="37" t="s">
        <v>2012</v>
      </c>
      <c r="F3439" s="37" t="b">
        <v>0</v>
      </c>
      <c r="G3439" s="37"/>
      <c r="H3439" s="37" t="b">
        <v>1</v>
      </c>
    </row>
    <row r="3440" spans="1:9" ht="30" x14ac:dyDescent="0.25">
      <c r="A3440" s="54" t="s">
        <v>652</v>
      </c>
      <c r="B3440" s="31" t="s">
        <v>2788</v>
      </c>
      <c r="C3440" s="28" t="s">
        <v>2824</v>
      </c>
      <c r="D3440" s="28"/>
      <c r="E3440" s="28" t="s">
        <v>2012</v>
      </c>
      <c r="F3440" s="28" t="b">
        <v>0</v>
      </c>
      <c r="G3440" s="28"/>
      <c r="H3440" s="28" t="b">
        <v>1</v>
      </c>
      <c r="I3440" s="34"/>
    </row>
    <row r="3441" spans="1:9" ht="30" x14ac:dyDescent="0.25">
      <c r="A3441" s="54" t="s">
        <v>652</v>
      </c>
      <c r="B3441" s="43" t="s">
        <v>2818</v>
      </c>
      <c r="C3441" s="37" t="s">
        <v>2824</v>
      </c>
      <c r="D3441" s="37"/>
      <c r="E3441" s="37" t="s">
        <v>2012</v>
      </c>
      <c r="F3441" s="37" t="b">
        <v>0</v>
      </c>
      <c r="G3441" s="37"/>
      <c r="H3441" s="37" t="b">
        <v>1</v>
      </c>
    </row>
    <row r="3442" spans="1:9" ht="45" x14ac:dyDescent="0.25">
      <c r="A3442" s="54" t="s">
        <v>652</v>
      </c>
      <c r="B3442" s="31" t="s">
        <v>2816</v>
      </c>
      <c r="C3442" s="28" t="s">
        <v>2824</v>
      </c>
      <c r="D3442" s="28"/>
      <c r="E3442" s="28" t="s">
        <v>2012</v>
      </c>
      <c r="F3442" s="28" t="b">
        <v>0</v>
      </c>
      <c r="G3442" s="28"/>
      <c r="H3442" s="28" t="b">
        <v>1</v>
      </c>
      <c r="I3442" s="34"/>
    </row>
    <row r="3443" spans="1:9" x14ac:dyDescent="0.25">
      <c r="A3443" s="54" t="s">
        <v>652</v>
      </c>
      <c r="B3443" s="43" t="s">
        <v>2808</v>
      </c>
      <c r="C3443" s="37" t="s">
        <v>2824</v>
      </c>
      <c r="D3443" s="37"/>
      <c r="E3443" s="37" t="s">
        <v>2012</v>
      </c>
      <c r="F3443" s="37" t="b">
        <v>0</v>
      </c>
      <c r="G3443" s="37"/>
      <c r="H3443" s="37" t="b">
        <v>1</v>
      </c>
    </row>
    <row r="3444" spans="1:9" x14ac:dyDescent="0.25">
      <c r="A3444" s="54" t="s">
        <v>652</v>
      </c>
      <c r="B3444" s="31" t="s">
        <v>2812</v>
      </c>
      <c r="C3444" s="28" t="s">
        <v>2824</v>
      </c>
      <c r="D3444" s="28"/>
      <c r="E3444" s="28" t="s">
        <v>2012</v>
      </c>
      <c r="F3444" s="28" t="b">
        <v>0</v>
      </c>
      <c r="G3444" s="28"/>
      <c r="H3444" s="28" t="b">
        <v>1</v>
      </c>
      <c r="I3444" s="34"/>
    </row>
    <row r="3445" spans="1:9" x14ac:dyDescent="0.25">
      <c r="A3445" s="54" t="s">
        <v>652</v>
      </c>
      <c r="B3445" s="43" t="s">
        <v>2786</v>
      </c>
      <c r="C3445" s="37" t="s">
        <v>2824</v>
      </c>
      <c r="D3445" s="37"/>
      <c r="E3445" s="37" t="s">
        <v>2012</v>
      </c>
      <c r="F3445" s="37" t="b">
        <v>0</v>
      </c>
      <c r="G3445" s="37"/>
      <c r="H3445" s="37" t="b">
        <v>1</v>
      </c>
    </row>
    <row r="3446" spans="1:9" ht="30" x14ac:dyDescent="0.25">
      <c r="A3446" s="54" t="s">
        <v>652</v>
      </c>
      <c r="B3446" s="31" t="s">
        <v>2773</v>
      </c>
      <c r="C3446" s="28" t="s">
        <v>2824</v>
      </c>
      <c r="D3446" s="28"/>
      <c r="E3446" s="28" t="s">
        <v>2012</v>
      </c>
      <c r="F3446" s="28" t="b">
        <v>0</v>
      </c>
      <c r="G3446" s="28"/>
      <c r="H3446" s="28" t="b">
        <v>1</v>
      </c>
      <c r="I3446" s="34"/>
    </row>
    <row r="3447" spans="1:9" x14ac:dyDescent="0.25">
      <c r="A3447" s="54" t="s">
        <v>652</v>
      </c>
      <c r="B3447" s="43" t="s">
        <v>2765</v>
      </c>
      <c r="C3447" s="37" t="s">
        <v>2824</v>
      </c>
      <c r="D3447" s="37"/>
      <c r="E3447" s="37" t="s">
        <v>2012</v>
      </c>
      <c r="F3447" s="37" t="b">
        <v>0</v>
      </c>
      <c r="G3447" s="37"/>
      <c r="H3447" s="37" t="b">
        <v>1</v>
      </c>
    </row>
    <row r="3448" spans="1:9" ht="30" x14ac:dyDescent="0.25">
      <c r="A3448" s="54" t="s">
        <v>652</v>
      </c>
      <c r="B3448" s="31" t="s">
        <v>2985</v>
      </c>
      <c r="C3448" s="28" t="s">
        <v>2824</v>
      </c>
      <c r="D3448" s="28"/>
      <c r="E3448" s="28" t="s">
        <v>2012</v>
      </c>
      <c r="F3448" s="28" t="b">
        <v>0</v>
      </c>
      <c r="G3448" s="28"/>
      <c r="H3448" s="28" t="b">
        <v>1</v>
      </c>
      <c r="I3448" s="34"/>
    </row>
    <row r="3449" spans="1:9" x14ac:dyDescent="0.25">
      <c r="A3449" s="54" t="s">
        <v>652</v>
      </c>
      <c r="B3449" s="43" t="s">
        <v>2763</v>
      </c>
      <c r="C3449" s="37" t="s">
        <v>2824</v>
      </c>
      <c r="D3449" s="37"/>
      <c r="E3449" s="37" t="s">
        <v>2012</v>
      </c>
      <c r="F3449" s="37" t="b">
        <v>0</v>
      </c>
      <c r="G3449" s="37"/>
      <c r="H3449" s="37" t="b">
        <v>1</v>
      </c>
    </row>
    <row r="3450" spans="1:9" ht="30" x14ac:dyDescent="0.25">
      <c r="A3450" s="54" t="s">
        <v>652</v>
      </c>
      <c r="B3450" s="31" t="s">
        <v>2820</v>
      </c>
      <c r="C3450" s="28" t="s">
        <v>2824</v>
      </c>
      <c r="D3450" s="28"/>
      <c r="E3450" s="28" t="s">
        <v>2012</v>
      </c>
      <c r="F3450" s="28" t="b">
        <v>0</v>
      </c>
      <c r="G3450" s="28"/>
      <c r="H3450" s="28" t="b">
        <v>1</v>
      </c>
      <c r="I3450" s="34"/>
    </row>
    <row r="3451" spans="1:9" x14ac:dyDescent="0.25">
      <c r="A3451" s="54" t="s">
        <v>652</v>
      </c>
      <c r="B3451" s="43" t="s">
        <v>2798</v>
      </c>
      <c r="C3451" s="37" t="s">
        <v>2824</v>
      </c>
      <c r="D3451" s="37"/>
      <c r="E3451" s="37" t="s">
        <v>2012</v>
      </c>
      <c r="F3451" s="37" t="b">
        <v>0</v>
      </c>
      <c r="G3451" s="37"/>
      <c r="H3451" s="37" t="b">
        <v>1</v>
      </c>
    </row>
    <row r="3452" spans="1:9" x14ac:dyDescent="0.25">
      <c r="A3452" s="54" t="s">
        <v>652</v>
      </c>
      <c r="B3452" s="31" t="s">
        <v>2986</v>
      </c>
      <c r="C3452" s="28" t="s">
        <v>2824</v>
      </c>
      <c r="D3452" s="28"/>
      <c r="E3452" s="28" t="s">
        <v>2012</v>
      </c>
      <c r="F3452" s="28" t="b">
        <v>0</v>
      </c>
      <c r="G3452" s="28"/>
      <c r="H3452" s="28" t="b">
        <v>1</v>
      </c>
      <c r="I3452" s="34"/>
    </row>
    <row r="3453" spans="1:9" x14ac:dyDescent="0.25">
      <c r="A3453" s="54" t="s">
        <v>652</v>
      </c>
      <c r="B3453" s="43" t="s">
        <v>2987</v>
      </c>
      <c r="C3453" s="37"/>
      <c r="D3453" s="37"/>
      <c r="E3453" s="37" t="s">
        <v>2012</v>
      </c>
      <c r="F3453" s="37" t="b">
        <v>0</v>
      </c>
      <c r="G3453" s="37"/>
      <c r="H3453" s="37" t="b">
        <v>1</v>
      </c>
    </row>
    <row r="3454" spans="1:9" x14ac:dyDescent="0.25">
      <c r="A3454" s="54" t="s">
        <v>652</v>
      </c>
      <c r="B3454" s="31" t="s">
        <v>2988</v>
      </c>
      <c r="C3454" s="28"/>
      <c r="D3454" s="28"/>
      <c r="E3454" s="28" t="s">
        <v>2012</v>
      </c>
      <c r="F3454" s="28" t="b">
        <v>0</v>
      </c>
      <c r="G3454" s="28"/>
      <c r="H3454" s="28" t="b">
        <v>1</v>
      </c>
      <c r="I3454" s="34"/>
    </row>
    <row r="3455" spans="1:9" ht="30" x14ac:dyDescent="0.25">
      <c r="A3455" s="54" t="s">
        <v>652</v>
      </c>
      <c r="B3455" s="43" t="s">
        <v>2989</v>
      </c>
      <c r="C3455" s="37"/>
      <c r="D3455" s="37"/>
      <c r="E3455" s="37" t="s">
        <v>2012</v>
      </c>
      <c r="F3455" s="37" t="b">
        <v>0</v>
      </c>
      <c r="G3455" s="37"/>
      <c r="H3455" s="37" t="b">
        <v>1</v>
      </c>
    </row>
    <row r="3456" spans="1:9" x14ac:dyDescent="0.25">
      <c r="A3456" s="54" t="s">
        <v>652</v>
      </c>
      <c r="B3456" s="31" t="s">
        <v>2990</v>
      </c>
      <c r="C3456" s="28"/>
      <c r="D3456" s="28"/>
      <c r="E3456" s="28" t="s">
        <v>2012</v>
      </c>
      <c r="F3456" s="28" t="b">
        <v>0</v>
      </c>
      <c r="G3456" s="28"/>
      <c r="H3456" s="28" t="b">
        <v>1</v>
      </c>
      <c r="I3456" s="34"/>
    </row>
    <row r="3457" spans="1:9" ht="30" x14ac:dyDescent="0.25">
      <c r="A3457" s="54" t="s">
        <v>652</v>
      </c>
      <c r="B3457" s="43" t="s">
        <v>2991</v>
      </c>
      <c r="C3457" s="37"/>
      <c r="D3457" s="37"/>
      <c r="E3457" s="37" t="s">
        <v>2012</v>
      </c>
      <c r="F3457" s="37" t="b">
        <v>0</v>
      </c>
      <c r="G3457" s="37"/>
      <c r="H3457" s="37" t="b">
        <v>1</v>
      </c>
    </row>
    <row r="3458" spans="1:9" x14ac:dyDescent="0.25">
      <c r="A3458" s="54" t="s">
        <v>652</v>
      </c>
      <c r="B3458" s="31" t="s">
        <v>2802</v>
      </c>
      <c r="C3458" s="28"/>
      <c r="D3458" s="28"/>
      <c r="E3458" s="28" t="s">
        <v>2012</v>
      </c>
      <c r="F3458" s="28" t="b">
        <v>0</v>
      </c>
      <c r="G3458" s="28"/>
      <c r="H3458" s="28" t="b">
        <v>1</v>
      </c>
      <c r="I3458" s="34"/>
    </row>
    <row r="3459" spans="1:9" x14ac:dyDescent="0.25">
      <c r="A3459" s="54" t="s">
        <v>652</v>
      </c>
      <c r="B3459" s="43" t="s">
        <v>2992</v>
      </c>
      <c r="C3459" s="37"/>
      <c r="D3459" s="37"/>
      <c r="E3459" s="37" t="s">
        <v>2012</v>
      </c>
      <c r="F3459" s="37" t="b">
        <v>0</v>
      </c>
      <c r="G3459" s="37"/>
      <c r="H3459" s="37" t="b">
        <v>1</v>
      </c>
    </row>
    <row r="3460" spans="1:9" x14ac:dyDescent="0.25">
      <c r="A3460" s="54" t="s">
        <v>652</v>
      </c>
      <c r="B3460" s="31" t="s">
        <v>2993</v>
      </c>
      <c r="C3460" s="28"/>
      <c r="D3460" s="28"/>
      <c r="E3460" s="28" t="s">
        <v>2012</v>
      </c>
      <c r="F3460" s="28" t="b">
        <v>0</v>
      </c>
      <c r="G3460" s="28"/>
      <c r="H3460" s="28" t="b">
        <v>1</v>
      </c>
      <c r="I3460" s="34"/>
    </row>
    <row r="3461" spans="1:9" x14ac:dyDescent="0.25">
      <c r="A3461" s="54" t="s">
        <v>652</v>
      </c>
      <c r="B3461" s="43" t="s">
        <v>2994</v>
      </c>
      <c r="C3461" s="37"/>
      <c r="D3461" s="37"/>
      <c r="E3461" s="37" t="s">
        <v>2012</v>
      </c>
      <c r="F3461" s="37" t="b">
        <v>0</v>
      </c>
      <c r="G3461" s="37"/>
      <c r="H3461" s="37" t="b">
        <v>1</v>
      </c>
    </row>
    <row r="3462" spans="1:9" x14ac:dyDescent="0.25">
      <c r="A3462" s="54" t="s">
        <v>652</v>
      </c>
      <c r="B3462" s="31" t="s">
        <v>2982</v>
      </c>
      <c r="C3462" s="28"/>
      <c r="D3462" s="28"/>
      <c r="E3462" s="28" t="s">
        <v>2012</v>
      </c>
      <c r="F3462" s="28" t="b">
        <v>0</v>
      </c>
      <c r="G3462" s="28"/>
      <c r="H3462" s="28" t="b">
        <v>1</v>
      </c>
      <c r="I3462" s="34"/>
    </row>
    <row r="3463" spans="1:9" x14ac:dyDescent="0.25">
      <c r="A3463" s="54" t="s">
        <v>652</v>
      </c>
      <c r="B3463" s="43" t="s">
        <v>2995</v>
      </c>
      <c r="C3463" s="37"/>
      <c r="D3463" s="37"/>
      <c r="E3463" s="37" t="s">
        <v>2012</v>
      </c>
      <c r="F3463" s="37" t="b">
        <v>0</v>
      </c>
      <c r="G3463" s="37"/>
      <c r="H3463" s="37" t="b">
        <v>1</v>
      </c>
    </row>
    <row r="3464" spans="1:9" x14ac:dyDescent="0.25">
      <c r="A3464" s="54" t="s">
        <v>652</v>
      </c>
      <c r="B3464" s="31" t="s">
        <v>2996</v>
      </c>
      <c r="C3464" s="28"/>
      <c r="D3464" s="28"/>
      <c r="E3464" s="28" t="s">
        <v>2012</v>
      </c>
      <c r="F3464" s="28" t="b">
        <v>0</v>
      </c>
      <c r="G3464" s="28"/>
      <c r="H3464" s="28" t="b">
        <v>1</v>
      </c>
      <c r="I3464" s="34"/>
    </row>
    <row r="3465" spans="1:9" x14ac:dyDescent="0.25">
      <c r="A3465" s="54" t="s">
        <v>652</v>
      </c>
      <c r="B3465" s="43" t="s">
        <v>2808</v>
      </c>
      <c r="C3465" s="37"/>
      <c r="D3465" s="37"/>
      <c r="E3465" s="37" t="s">
        <v>2012</v>
      </c>
      <c r="F3465" s="37" t="b">
        <v>0</v>
      </c>
      <c r="G3465" s="37"/>
      <c r="H3465" s="37" t="b">
        <v>1</v>
      </c>
    </row>
    <row r="3466" spans="1:9" x14ac:dyDescent="0.25">
      <c r="A3466" s="54" t="s">
        <v>652</v>
      </c>
      <c r="B3466" s="31" t="s">
        <v>2984</v>
      </c>
      <c r="C3466" s="28"/>
      <c r="D3466" s="28"/>
      <c r="E3466" s="28" t="s">
        <v>2012</v>
      </c>
      <c r="F3466" s="28" t="b">
        <v>0</v>
      </c>
      <c r="G3466" s="28"/>
      <c r="H3466" s="28" t="b">
        <v>1</v>
      </c>
      <c r="I3466" s="34"/>
    </row>
    <row r="3467" spans="1:9" x14ac:dyDescent="0.25">
      <c r="A3467" s="54" t="s">
        <v>652</v>
      </c>
      <c r="B3467" s="43" t="s">
        <v>2997</v>
      </c>
      <c r="C3467" s="37"/>
      <c r="D3467" s="37"/>
      <c r="E3467" s="37" t="s">
        <v>2012</v>
      </c>
      <c r="F3467" s="37" t="b">
        <v>0</v>
      </c>
      <c r="G3467" s="37"/>
      <c r="H3467" s="37" t="b">
        <v>1</v>
      </c>
    </row>
    <row r="3468" spans="1:9" x14ac:dyDescent="0.25">
      <c r="A3468" s="54" t="s">
        <v>652</v>
      </c>
      <c r="B3468" s="31" t="s">
        <v>2998</v>
      </c>
      <c r="C3468" s="28"/>
      <c r="D3468" s="28"/>
      <c r="E3468" s="28" t="s">
        <v>2012</v>
      </c>
      <c r="F3468" s="28" t="b">
        <v>0</v>
      </c>
      <c r="G3468" s="28"/>
      <c r="H3468" s="28" t="b">
        <v>1</v>
      </c>
      <c r="I3468" s="34"/>
    </row>
    <row r="3469" spans="1:9" x14ac:dyDescent="0.25">
      <c r="A3469" s="54" t="s">
        <v>652</v>
      </c>
      <c r="B3469" s="43" t="s">
        <v>2999</v>
      </c>
      <c r="C3469" s="37"/>
      <c r="D3469" s="37"/>
      <c r="E3469" s="37" t="s">
        <v>2012</v>
      </c>
      <c r="F3469" s="37" t="b">
        <v>0</v>
      </c>
      <c r="G3469" s="37"/>
      <c r="H3469" s="37" t="b">
        <v>1</v>
      </c>
    </row>
    <row r="3470" spans="1:9" x14ac:dyDescent="0.25">
      <c r="A3470" s="54" t="s">
        <v>652</v>
      </c>
      <c r="B3470" s="31" t="s">
        <v>3000</v>
      </c>
      <c r="C3470" s="28"/>
      <c r="D3470" s="28"/>
      <c r="E3470" s="28" t="s">
        <v>2012</v>
      </c>
      <c r="F3470" s="28" t="b">
        <v>0</v>
      </c>
      <c r="G3470" s="28"/>
      <c r="H3470" s="28" t="b">
        <v>1</v>
      </c>
      <c r="I3470" s="34"/>
    </row>
    <row r="3471" spans="1:9" x14ac:dyDescent="0.25">
      <c r="A3471" s="54" t="s">
        <v>652</v>
      </c>
      <c r="B3471" s="43" t="s">
        <v>3001</v>
      </c>
      <c r="C3471" s="37"/>
      <c r="D3471" s="37"/>
      <c r="E3471" s="37" t="s">
        <v>2012</v>
      </c>
      <c r="F3471" s="37" t="b">
        <v>0</v>
      </c>
      <c r="G3471" s="37"/>
      <c r="H3471" s="37" t="b">
        <v>1</v>
      </c>
    </row>
    <row r="3472" spans="1:9" x14ac:dyDescent="0.25">
      <c r="A3472" s="54" t="s">
        <v>652</v>
      </c>
      <c r="B3472" s="31" t="s">
        <v>3002</v>
      </c>
      <c r="C3472" s="28"/>
      <c r="D3472" s="28"/>
      <c r="E3472" s="28" t="s">
        <v>2012</v>
      </c>
      <c r="F3472" s="28" t="b">
        <v>0</v>
      </c>
      <c r="G3472" s="28"/>
      <c r="H3472" s="28" t="b">
        <v>1</v>
      </c>
      <c r="I3472" s="34"/>
    </row>
    <row r="3473" spans="1:9" x14ac:dyDescent="0.25">
      <c r="A3473" s="54" t="s">
        <v>652</v>
      </c>
      <c r="B3473" s="43" t="s">
        <v>2987</v>
      </c>
      <c r="C3473" s="37"/>
      <c r="D3473" s="37"/>
      <c r="E3473" s="37" t="s">
        <v>2012</v>
      </c>
      <c r="F3473" s="37" t="b">
        <v>0</v>
      </c>
      <c r="G3473" s="37"/>
      <c r="H3473" s="37" t="b">
        <v>1</v>
      </c>
    </row>
    <row r="3474" spans="1:9" x14ac:dyDescent="0.25">
      <c r="A3474" s="54" t="s">
        <v>652</v>
      </c>
      <c r="B3474" s="31" t="s">
        <v>2988</v>
      </c>
      <c r="C3474" s="28"/>
      <c r="D3474" s="28"/>
      <c r="E3474" s="28" t="s">
        <v>2012</v>
      </c>
      <c r="F3474" s="28" t="b">
        <v>0</v>
      </c>
      <c r="G3474" s="28"/>
      <c r="H3474" s="28" t="b">
        <v>1</v>
      </c>
      <c r="I3474" s="34"/>
    </row>
    <row r="3475" spans="1:9" ht="30" x14ac:dyDescent="0.25">
      <c r="A3475" s="54" t="s">
        <v>652</v>
      </c>
      <c r="B3475" s="43" t="s">
        <v>2989</v>
      </c>
      <c r="C3475" s="37"/>
      <c r="D3475" s="37"/>
      <c r="E3475" s="37" t="s">
        <v>2012</v>
      </c>
      <c r="F3475" s="37" t="b">
        <v>0</v>
      </c>
      <c r="G3475" s="37"/>
      <c r="H3475" s="37" t="b">
        <v>1</v>
      </c>
    </row>
    <row r="3476" spans="1:9" x14ac:dyDescent="0.25">
      <c r="A3476" s="54" t="s">
        <v>652</v>
      </c>
      <c r="B3476" s="31" t="s">
        <v>2990</v>
      </c>
      <c r="C3476" s="28"/>
      <c r="D3476" s="28"/>
      <c r="E3476" s="28" t="s">
        <v>2012</v>
      </c>
      <c r="F3476" s="28" t="b">
        <v>0</v>
      </c>
      <c r="G3476" s="28"/>
      <c r="H3476" s="28" t="b">
        <v>1</v>
      </c>
      <c r="I3476" s="34"/>
    </row>
    <row r="3477" spans="1:9" ht="30" x14ac:dyDescent="0.25">
      <c r="A3477" s="54" t="s">
        <v>652</v>
      </c>
      <c r="B3477" s="43" t="s">
        <v>2991</v>
      </c>
      <c r="C3477" s="37"/>
      <c r="D3477" s="37"/>
      <c r="E3477" s="37" t="s">
        <v>2012</v>
      </c>
      <c r="F3477" s="37" t="b">
        <v>0</v>
      </c>
      <c r="G3477" s="37"/>
      <c r="H3477" s="37" t="b">
        <v>1</v>
      </c>
    </row>
    <row r="3478" spans="1:9" x14ac:dyDescent="0.25">
      <c r="A3478" s="54" t="s">
        <v>652</v>
      </c>
      <c r="B3478" s="31" t="s">
        <v>2802</v>
      </c>
      <c r="C3478" s="28"/>
      <c r="D3478" s="28"/>
      <c r="E3478" s="28" t="s">
        <v>2012</v>
      </c>
      <c r="F3478" s="28" t="b">
        <v>0</v>
      </c>
      <c r="G3478" s="28"/>
      <c r="H3478" s="28" t="b">
        <v>1</v>
      </c>
      <c r="I3478" s="34"/>
    </row>
    <row r="3479" spans="1:9" x14ac:dyDescent="0.25">
      <c r="A3479" s="54" t="s">
        <v>652</v>
      </c>
      <c r="B3479" s="43" t="s">
        <v>647</v>
      </c>
      <c r="C3479" s="37" t="s">
        <v>2010</v>
      </c>
      <c r="D3479" s="37"/>
      <c r="E3479" s="37" t="s">
        <v>1974</v>
      </c>
      <c r="F3479" s="37" t="b">
        <v>0</v>
      </c>
      <c r="G3479" s="37">
        <v>200</v>
      </c>
      <c r="H3479" s="37" t="b">
        <v>1</v>
      </c>
    </row>
    <row r="3480" spans="1:9" ht="30" x14ac:dyDescent="0.25">
      <c r="A3480" s="54" t="s">
        <v>652</v>
      </c>
      <c r="B3480" s="31" t="s">
        <v>2011</v>
      </c>
      <c r="C3480" s="28"/>
      <c r="D3480" s="28"/>
      <c r="E3480" s="28" t="s">
        <v>2012</v>
      </c>
      <c r="F3480" s="28" t="b">
        <v>0</v>
      </c>
      <c r="G3480" s="28"/>
      <c r="H3480" s="28" t="b">
        <v>1</v>
      </c>
      <c r="I3480" s="34"/>
    </row>
    <row r="3481" spans="1:9" ht="30" x14ac:dyDescent="0.25">
      <c r="A3481" s="54" t="s">
        <v>652</v>
      </c>
      <c r="B3481" s="43" t="s">
        <v>2013</v>
      </c>
      <c r="C3481" s="37"/>
      <c r="D3481" s="37"/>
      <c r="E3481" s="37" t="s">
        <v>2012</v>
      </c>
      <c r="F3481" s="37" t="b">
        <v>0</v>
      </c>
      <c r="G3481" s="37"/>
      <c r="H3481" s="37" t="b">
        <v>1</v>
      </c>
    </row>
    <row r="3482" spans="1:9" x14ac:dyDescent="0.25">
      <c r="A3482" s="54" t="s">
        <v>652</v>
      </c>
      <c r="B3482" s="31" t="s">
        <v>2033</v>
      </c>
      <c r="C3482" s="28"/>
      <c r="D3482" s="28"/>
      <c r="E3482" s="28" t="s">
        <v>2012</v>
      </c>
      <c r="F3482" s="28" t="b">
        <v>0</v>
      </c>
      <c r="G3482" s="28"/>
      <c r="H3482" s="28" t="b">
        <v>1</v>
      </c>
      <c r="I3482" s="34"/>
    </row>
    <row r="3483" spans="1:9" x14ac:dyDescent="0.25">
      <c r="A3483" s="54" t="s">
        <v>652</v>
      </c>
      <c r="B3483" s="43" t="s">
        <v>641</v>
      </c>
      <c r="C3483" s="37" t="s">
        <v>2034</v>
      </c>
      <c r="D3483" s="37"/>
      <c r="E3483" s="37" t="s">
        <v>1974</v>
      </c>
      <c r="F3483" s="37" t="b">
        <v>0</v>
      </c>
      <c r="G3483" s="37">
        <v>200</v>
      </c>
      <c r="H3483" s="37" t="b">
        <v>1</v>
      </c>
    </row>
    <row r="3484" spans="1:9" ht="30" x14ac:dyDescent="0.25">
      <c r="A3484" s="54" t="s">
        <v>652</v>
      </c>
      <c r="B3484" s="31" t="s">
        <v>2015</v>
      </c>
      <c r="C3484" s="28" t="s">
        <v>2016</v>
      </c>
      <c r="D3484" s="28"/>
      <c r="E3484" s="28" t="s">
        <v>1974</v>
      </c>
      <c r="F3484" s="28" t="b">
        <v>0</v>
      </c>
      <c r="G3484" s="28">
        <v>404</v>
      </c>
      <c r="H3484" s="28" t="b">
        <v>0</v>
      </c>
      <c r="I3484" s="34"/>
    </row>
    <row r="3485" spans="1:9" ht="30" x14ac:dyDescent="0.25">
      <c r="A3485" s="54" t="s">
        <v>652</v>
      </c>
      <c r="B3485" s="43" t="s">
        <v>2015</v>
      </c>
      <c r="C3485" s="37" t="s">
        <v>2017</v>
      </c>
      <c r="D3485" s="37"/>
      <c r="E3485" s="37" t="s">
        <v>1974</v>
      </c>
      <c r="F3485" s="37" t="b">
        <v>0</v>
      </c>
      <c r="G3485" s="37">
        <v>404</v>
      </c>
      <c r="H3485" s="37" t="b">
        <v>0</v>
      </c>
    </row>
    <row r="3486" spans="1:9" x14ac:dyDescent="0.25">
      <c r="A3486" s="54" t="s">
        <v>650</v>
      </c>
      <c r="B3486" s="31" t="s">
        <v>127</v>
      </c>
      <c r="C3486" s="28"/>
      <c r="D3486" s="28"/>
      <c r="E3486" s="28" t="s">
        <v>1974</v>
      </c>
      <c r="F3486" s="28" t="b">
        <v>0</v>
      </c>
      <c r="G3486" s="28">
        <v>200</v>
      </c>
      <c r="H3486" s="28" t="b">
        <v>1</v>
      </c>
      <c r="I3486" s="34"/>
    </row>
    <row r="3487" spans="1:9" x14ac:dyDescent="0.25">
      <c r="A3487" s="54" t="s">
        <v>650</v>
      </c>
      <c r="B3487" s="43" t="s">
        <v>127</v>
      </c>
      <c r="C3487" s="37" t="s">
        <v>1975</v>
      </c>
      <c r="D3487" s="37"/>
      <c r="E3487" s="37" t="s">
        <v>1974</v>
      </c>
      <c r="F3487" s="37" t="b">
        <v>0</v>
      </c>
      <c r="G3487" s="37">
        <v>200</v>
      </c>
      <c r="H3487" s="37" t="b">
        <v>1</v>
      </c>
    </row>
    <row r="3488" spans="1:9" x14ac:dyDescent="0.25">
      <c r="A3488" s="54" t="s">
        <v>650</v>
      </c>
      <c r="B3488" s="31" t="s">
        <v>135</v>
      </c>
      <c r="C3488" s="28" t="s">
        <v>1976</v>
      </c>
      <c r="D3488" s="28"/>
      <c r="E3488" s="28" t="s">
        <v>1974</v>
      </c>
      <c r="F3488" s="28" t="b">
        <v>0</v>
      </c>
      <c r="G3488" s="28">
        <v>200</v>
      </c>
      <c r="H3488" s="28" t="b">
        <v>1</v>
      </c>
      <c r="I3488" s="34"/>
    </row>
    <row r="3489" spans="1:9" x14ac:dyDescent="0.25">
      <c r="A3489" s="54" t="s">
        <v>650</v>
      </c>
      <c r="B3489" s="43" t="s">
        <v>655</v>
      </c>
      <c r="C3489" s="37" t="s">
        <v>1977</v>
      </c>
      <c r="D3489" s="37"/>
      <c r="E3489" s="37" t="s">
        <v>1974</v>
      </c>
      <c r="F3489" s="37" t="b">
        <v>0</v>
      </c>
      <c r="G3489" s="37">
        <v>200</v>
      </c>
      <c r="H3489" s="37" t="b">
        <v>1</v>
      </c>
    </row>
    <row r="3490" spans="1:9" x14ac:dyDescent="0.25">
      <c r="A3490" s="54" t="s">
        <v>650</v>
      </c>
      <c r="B3490" s="31" t="s">
        <v>635</v>
      </c>
      <c r="C3490" s="28" t="s">
        <v>1978</v>
      </c>
      <c r="D3490" s="28"/>
      <c r="E3490" s="28" t="s">
        <v>1974</v>
      </c>
      <c r="F3490" s="28" t="b">
        <v>0</v>
      </c>
      <c r="G3490" s="28">
        <v>200</v>
      </c>
      <c r="H3490" s="28" t="b">
        <v>1</v>
      </c>
      <c r="I3490" s="34"/>
    </row>
    <row r="3491" spans="1:9" ht="30" x14ac:dyDescent="0.25">
      <c r="A3491" s="54" t="s">
        <v>650</v>
      </c>
      <c r="B3491" s="43" t="s">
        <v>144</v>
      </c>
      <c r="C3491" s="37" t="s">
        <v>1979</v>
      </c>
      <c r="D3491" s="37"/>
      <c r="E3491" s="37" t="s">
        <v>1974</v>
      </c>
      <c r="F3491" s="37" t="b">
        <v>0</v>
      </c>
      <c r="G3491" s="37">
        <v>200</v>
      </c>
      <c r="H3491" s="37" t="b">
        <v>1</v>
      </c>
    </row>
    <row r="3492" spans="1:9" x14ac:dyDescent="0.25">
      <c r="A3492" s="54" t="s">
        <v>650</v>
      </c>
      <c r="B3492" s="31" t="s">
        <v>618</v>
      </c>
      <c r="C3492" s="28" t="s">
        <v>1980</v>
      </c>
      <c r="D3492" s="28"/>
      <c r="E3492" s="28" t="s">
        <v>1974</v>
      </c>
      <c r="F3492" s="28" t="b">
        <v>0</v>
      </c>
      <c r="G3492" s="28">
        <v>200</v>
      </c>
      <c r="H3492" s="28" t="b">
        <v>1</v>
      </c>
      <c r="I3492" s="34"/>
    </row>
    <row r="3493" spans="1:9" ht="30" x14ac:dyDescent="0.25">
      <c r="A3493" s="54" t="s">
        <v>650</v>
      </c>
      <c r="B3493" s="43" t="s">
        <v>585</v>
      </c>
      <c r="C3493" s="37" t="s">
        <v>1981</v>
      </c>
      <c r="D3493" s="37"/>
      <c r="E3493" s="37" t="s">
        <v>1974</v>
      </c>
      <c r="F3493" s="37" t="b">
        <v>0</v>
      </c>
      <c r="G3493" s="37">
        <v>200</v>
      </c>
      <c r="H3493" s="37" t="b">
        <v>1</v>
      </c>
    </row>
    <row r="3494" spans="1:9" ht="30" x14ac:dyDescent="0.25">
      <c r="A3494" s="54" t="s">
        <v>650</v>
      </c>
      <c r="B3494" s="31" t="s">
        <v>582</v>
      </c>
      <c r="C3494" s="28" t="s">
        <v>1982</v>
      </c>
      <c r="D3494" s="28"/>
      <c r="E3494" s="28" t="s">
        <v>1974</v>
      </c>
      <c r="F3494" s="28" t="b">
        <v>0</v>
      </c>
      <c r="G3494" s="28">
        <v>200</v>
      </c>
      <c r="H3494" s="28" t="b">
        <v>1</v>
      </c>
      <c r="I3494" s="34"/>
    </row>
    <row r="3495" spans="1:9" x14ac:dyDescent="0.25">
      <c r="A3495" s="54" t="s">
        <v>650</v>
      </c>
      <c r="B3495" s="43" t="s">
        <v>638</v>
      </c>
      <c r="C3495" s="37" t="s">
        <v>1983</v>
      </c>
      <c r="D3495" s="37"/>
      <c r="E3495" s="37" t="s">
        <v>1974</v>
      </c>
      <c r="F3495" s="37" t="b">
        <v>0</v>
      </c>
      <c r="G3495" s="37">
        <v>200</v>
      </c>
      <c r="H3495" s="37" t="b">
        <v>1</v>
      </c>
    </row>
    <row r="3496" spans="1:9" x14ac:dyDescent="0.25">
      <c r="A3496" s="54" t="s">
        <v>650</v>
      </c>
      <c r="B3496" s="31" t="s">
        <v>638</v>
      </c>
      <c r="C3496" s="28" t="s">
        <v>1984</v>
      </c>
      <c r="D3496" s="28"/>
      <c r="E3496" s="28" t="s">
        <v>1974</v>
      </c>
      <c r="F3496" s="28" t="b">
        <v>0</v>
      </c>
      <c r="G3496" s="28">
        <v>200</v>
      </c>
      <c r="H3496" s="28" t="b">
        <v>1</v>
      </c>
      <c r="I3496" s="34"/>
    </row>
    <row r="3497" spans="1:9" x14ac:dyDescent="0.25">
      <c r="A3497" s="54" t="s">
        <v>650</v>
      </c>
      <c r="B3497" s="43" t="s">
        <v>647</v>
      </c>
      <c r="C3497" s="37" t="s">
        <v>1985</v>
      </c>
      <c r="D3497" s="37"/>
      <c r="E3497" s="37" t="s">
        <v>1974</v>
      </c>
      <c r="F3497" s="37" t="b">
        <v>0</v>
      </c>
      <c r="G3497" s="37">
        <v>200</v>
      </c>
      <c r="H3497" s="37" t="b">
        <v>1</v>
      </c>
    </row>
    <row r="3498" spans="1:9" ht="30" x14ac:dyDescent="0.25">
      <c r="A3498" s="54" t="s">
        <v>650</v>
      </c>
      <c r="B3498" s="31" t="s">
        <v>503</v>
      </c>
      <c r="C3498" s="28" t="s">
        <v>1986</v>
      </c>
      <c r="D3498" s="28"/>
      <c r="E3498" s="28" t="s">
        <v>1974</v>
      </c>
      <c r="F3498" s="28" t="b">
        <v>0</v>
      </c>
      <c r="G3498" s="28">
        <v>200</v>
      </c>
      <c r="H3498" s="28" t="b">
        <v>1</v>
      </c>
      <c r="I3498" s="34"/>
    </row>
    <row r="3499" spans="1:9" x14ac:dyDescent="0.25">
      <c r="A3499" s="54" t="s">
        <v>650</v>
      </c>
      <c r="B3499" s="43" t="s">
        <v>608</v>
      </c>
      <c r="C3499" s="37" t="s">
        <v>1987</v>
      </c>
      <c r="D3499" s="37"/>
      <c r="E3499" s="37" t="s">
        <v>1974</v>
      </c>
      <c r="F3499" s="37" t="b">
        <v>0</v>
      </c>
      <c r="G3499" s="37">
        <v>200</v>
      </c>
      <c r="H3499" s="37" t="b">
        <v>1</v>
      </c>
    </row>
    <row r="3500" spans="1:9" x14ac:dyDescent="0.25">
      <c r="A3500" s="54" t="s">
        <v>650</v>
      </c>
      <c r="B3500" s="31" t="s">
        <v>127</v>
      </c>
      <c r="C3500" s="28" t="s">
        <v>1975</v>
      </c>
      <c r="D3500" s="28"/>
      <c r="E3500" s="28" t="s">
        <v>1974</v>
      </c>
      <c r="F3500" s="28" t="b">
        <v>0</v>
      </c>
      <c r="G3500" s="28">
        <v>200</v>
      </c>
      <c r="H3500" s="28" t="b">
        <v>1</v>
      </c>
      <c r="I3500" s="34"/>
    </row>
    <row r="3501" spans="1:9" x14ac:dyDescent="0.25">
      <c r="A3501" s="54" t="s">
        <v>650</v>
      </c>
      <c r="B3501" s="43" t="s">
        <v>135</v>
      </c>
      <c r="C3501" s="37" t="s">
        <v>1976</v>
      </c>
      <c r="D3501" s="37"/>
      <c r="E3501" s="37" t="s">
        <v>1974</v>
      </c>
      <c r="F3501" s="37" t="b">
        <v>0</v>
      </c>
      <c r="G3501" s="37">
        <v>200</v>
      </c>
      <c r="H3501" s="37" t="b">
        <v>1</v>
      </c>
    </row>
    <row r="3502" spans="1:9" x14ac:dyDescent="0.25">
      <c r="A3502" s="54" t="s">
        <v>650</v>
      </c>
      <c r="B3502" s="31" t="s">
        <v>655</v>
      </c>
      <c r="C3502" s="28" t="s">
        <v>1977</v>
      </c>
      <c r="D3502" s="28"/>
      <c r="E3502" s="28" t="s">
        <v>1974</v>
      </c>
      <c r="F3502" s="28" t="b">
        <v>0</v>
      </c>
      <c r="G3502" s="28">
        <v>200</v>
      </c>
      <c r="H3502" s="28" t="b">
        <v>1</v>
      </c>
      <c r="I3502" s="34"/>
    </row>
    <row r="3503" spans="1:9" x14ac:dyDescent="0.25">
      <c r="A3503" s="54" t="s">
        <v>650</v>
      </c>
      <c r="B3503" s="43" t="s">
        <v>635</v>
      </c>
      <c r="C3503" s="37" t="s">
        <v>1978</v>
      </c>
      <c r="D3503" s="37"/>
      <c r="E3503" s="37" t="s">
        <v>1974</v>
      </c>
      <c r="F3503" s="37" t="b">
        <v>0</v>
      </c>
      <c r="G3503" s="37">
        <v>200</v>
      </c>
      <c r="H3503" s="37" t="b">
        <v>1</v>
      </c>
    </row>
    <row r="3504" spans="1:9" ht="30" x14ac:dyDescent="0.25">
      <c r="A3504" s="54" t="s">
        <v>650</v>
      </c>
      <c r="B3504" s="31" t="s">
        <v>144</v>
      </c>
      <c r="C3504" s="28" t="s">
        <v>1979</v>
      </c>
      <c r="D3504" s="28"/>
      <c r="E3504" s="28" t="s">
        <v>1974</v>
      </c>
      <c r="F3504" s="28" t="b">
        <v>0</v>
      </c>
      <c r="G3504" s="28">
        <v>200</v>
      </c>
      <c r="H3504" s="28" t="b">
        <v>1</v>
      </c>
      <c r="I3504" s="34"/>
    </row>
    <row r="3505" spans="1:9" x14ac:dyDescent="0.25">
      <c r="A3505" s="54" t="s">
        <v>650</v>
      </c>
      <c r="B3505" s="43" t="s">
        <v>618</v>
      </c>
      <c r="C3505" s="37" t="s">
        <v>1980</v>
      </c>
      <c r="D3505" s="37"/>
      <c r="E3505" s="37" t="s">
        <v>1974</v>
      </c>
      <c r="F3505" s="37" t="b">
        <v>0</v>
      </c>
      <c r="G3505" s="37">
        <v>200</v>
      </c>
      <c r="H3505" s="37" t="b">
        <v>1</v>
      </c>
    </row>
    <row r="3506" spans="1:9" ht="30" x14ac:dyDescent="0.25">
      <c r="A3506" s="54" t="s">
        <v>650</v>
      </c>
      <c r="B3506" s="31" t="s">
        <v>585</v>
      </c>
      <c r="C3506" s="28" t="s">
        <v>1981</v>
      </c>
      <c r="D3506" s="28"/>
      <c r="E3506" s="28" t="s">
        <v>1974</v>
      </c>
      <c r="F3506" s="28" t="b">
        <v>0</v>
      </c>
      <c r="G3506" s="28">
        <v>200</v>
      </c>
      <c r="H3506" s="28" t="b">
        <v>1</v>
      </c>
      <c r="I3506" s="34"/>
    </row>
    <row r="3507" spans="1:9" ht="30" x14ac:dyDescent="0.25">
      <c r="A3507" s="54" t="s">
        <v>650</v>
      </c>
      <c r="B3507" s="43" t="s">
        <v>582</v>
      </c>
      <c r="C3507" s="37" t="s">
        <v>1982</v>
      </c>
      <c r="D3507" s="37"/>
      <c r="E3507" s="37" t="s">
        <v>1974</v>
      </c>
      <c r="F3507" s="37" t="b">
        <v>0</v>
      </c>
      <c r="G3507" s="37">
        <v>200</v>
      </c>
      <c r="H3507" s="37" t="b">
        <v>1</v>
      </c>
    </row>
    <row r="3508" spans="1:9" x14ac:dyDescent="0.25">
      <c r="A3508" s="54" t="s">
        <v>650</v>
      </c>
      <c r="B3508" s="31" t="s">
        <v>638</v>
      </c>
      <c r="C3508" s="28" t="s">
        <v>1983</v>
      </c>
      <c r="D3508" s="28"/>
      <c r="E3508" s="28" t="s">
        <v>1974</v>
      </c>
      <c r="F3508" s="28" t="b">
        <v>0</v>
      </c>
      <c r="G3508" s="28">
        <v>200</v>
      </c>
      <c r="H3508" s="28" t="b">
        <v>1</v>
      </c>
      <c r="I3508" s="34"/>
    </row>
    <row r="3509" spans="1:9" x14ac:dyDescent="0.25">
      <c r="A3509" s="54" t="s">
        <v>650</v>
      </c>
      <c r="B3509" s="43" t="s">
        <v>638</v>
      </c>
      <c r="C3509" s="37" t="s">
        <v>1984</v>
      </c>
      <c r="D3509" s="37"/>
      <c r="E3509" s="37" t="s">
        <v>1974</v>
      </c>
      <c r="F3509" s="37" t="b">
        <v>0</v>
      </c>
      <c r="G3509" s="37">
        <v>200</v>
      </c>
      <c r="H3509" s="37" t="b">
        <v>1</v>
      </c>
    </row>
    <row r="3510" spans="1:9" x14ac:dyDescent="0.25">
      <c r="A3510" s="54" t="s">
        <v>650</v>
      </c>
      <c r="B3510" s="31" t="s">
        <v>647</v>
      </c>
      <c r="C3510" s="28" t="s">
        <v>1985</v>
      </c>
      <c r="D3510" s="28"/>
      <c r="E3510" s="28" t="s">
        <v>1974</v>
      </c>
      <c r="F3510" s="28" t="b">
        <v>0</v>
      </c>
      <c r="G3510" s="28">
        <v>200</v>
      </c>
      <c r="H3510" s="28" t="b">
        <v>1</v>
      </c>
      <c r="I3510" s="34"/>
    </row>
    <row r="3511" spans="1:9" ht="30" x14ac:dyDescent="0.25">
      <c r="A3511" s="54" t="s">
        <v>650</v>
      </c>
      <c r="B3511" s="43" t="s">
        <v>503</v>
      </c>
      <c r="C3511" s="37" t="s">
        <v>1986</v>
      </c>
      <c r="D3511" s="37"/>
      <c r="E3511" s="37" t="s">
        <v>1974</v>
      </c>
      <c r="F3511" s="37" t="b">
        <v>0</v>
      </c>
      <c r="G3511" s="37">
        <v>200</v>
      </c>
      <c r="H3511" s="37" t="b">
        <v>1</v>
      </c>
    </row>
    <row r="3512" spans="1:9" x14ac:dyDescent="0.25">
      <c r="A3512" s="54" t="s">
        <v>650</v>
      </c>
      <c r="B3512" s="31" t="s">
        <v>608</v>
      </c>
      <c r="C3512" s="28" t="s">
        <v>1987</v>
      </c>
      <c r="D3512" s="28"/>
      <c r="E3512" s="28" t="s">
        <v>1974</v>
      </c>
      <c r="F3512" s="28" t="b">
        <v>0</v>
      </c>
      <c r="G3512" s="28">
        <v>200</v>
      </c>
      <c r="H3512" s="28" t="b">
        <v>1</v>
      </c>
      <c r="I3512" s="34"/>
    </row>
    <row r="3513" spans="1:9" ht="30" x14ac:dyDescent="0.25">
      <c r="A3513" s="54" t="s">
        <v>650</v>
      </c>
      <c r="B3513" s="43" t="s">
        <v>3003</v>
      </c>
      <c r="C3513" s="37" t="s">
        <v>3004</v>
      </c>
      <c r="D3513" s="37"/>
      <c r="E3513" s="37" t="s">
        <v>1974</v>
      </c>
      <c r="F3513" s="37" t="b">
        <v>0</v>
      </c>
      <c r="G3513" s="37">
        <v>404</v>
      </c>
      <c r="H3513" s="37" t="b">
        <v>0</v>
      </c>
    </row>
    <row r="3514" spans="1:9" ht="30" x14ac:dyDescent="0.25">
      <c r="A3514" s="54" t="s">
        <v>650</v>
      </c>
      <c r="B3514" s="31" t="s">
        <v>3003</v>
      </c>
      <c r="C3514" s="28" t="s">
        <v>3004</v>
      </c>
      <c r="D3514" s="28"/>
      <c r="E3514" s="28" t="s">
        <v>1974</v>
      </c>
      <c r="F3514" s="28" t="b">
        <v>0</v>
      </c>
      <c r="G3514" s="28">
        <v>404</v>
      </c>
      <c r="H3514" s="28" t="b">
        <v>0</v>
      </c>
      <c r="I3514" s="34"/>
    </row>
    <row r="3515" spans="1:9" ht="30" x14ac:dyDescent="0.25">
      <c r="A3515" s="54" t="s">
        <v>650</v>
      </c>
      <c r="B3515" s="43" t="s">
        <v>3003</v>
      </c>
      <c r="C3515" s="37" t="s">
        <v>3004</v>
      </c>
      <c r="D3515" s="37"/>
      <c r="E3515" s="37" t="s">
        <v>1974</v>
      </c>
      <c r="F3515" s="37" t="b">
        <v>0</v>
      </c>
      <c r="G3515" s="37">
        <v>404</v>
      </c>
      <c r="H3515" s="37" t="b">
        <v>0</v>
      </c>
    </row>
    <row r="3516" spans="1:9" x14ac:dyDescent="0.25">
      <c r="A3516" s="54" t="s">
        <v>650</v>
      </c>
      <c r="B3516" s="31" t="s">
        <v>647</v>
      </c>
      <c r="C3516" s="28" t="s">
        <v>2010</v>
      </c>
      <c r="D3516" s="28"/>
      <c r="E3516" s="28" t="s">
        <v>1974</v>
      </c>
      <c r="F3516" s="28" t="b">
        <v>0</v>
      </c>
      <c r="G3516" s="28">
        <v>200</v>
      </c>
      <c r="H3516" s="28" t="b">
        <v>1</v>
      </c>
      <c r="I3516" s="34"/>
    </row>
    <row r="3517" spans="1:9" ht="30" x14ac:dyDescent="0.25">
      <c r="A3517" s="54" t="s">
        <v>650</v>
      </c>
      <c r="B3517" s="43" t="s">
        <v>2011</v>
      </c>
      <c r="C3517" s="37"/>
      <c r="D3517" s="37"/>
      <c r="E3517" s="37" t="s">
        <v>2012</v>
      </c>
      <c r="F3517" s="37" t="b">
        <v>0</v>
      </c>
      <c r="G3517" s="37"/>
      <c r="H3517" s="37" t="b">
        <v>1</v>
      </c>
    </row>
    <row r="3518" spans="1:9" ht="30" x14ac:dyDescent="0.25">
      <c r="A3518" s="54" t="s">
        <v>650</v>
      </c>
      <c r="B3518" s="31" t="s">
        <v>2013</v>
      </c>
      <c r="C3518" s="28"/>
      <c r="D3518" s="28"/>
      <c r="E3518" s="28" t="s">
        <v>2012</v>
      </c>
      <c r="F3518" s="28" t="b">
        <v>0</v>
      </c>
      <c r="G3518" s="28"/>
      <c r="H3518" s="28" t="b">
        <v>1</v>
      </c>
      <c r="I3518" s="34"/>
    </row>
    <row r="3519" spans="1:9" x14ac:dyDescent="0.25">
      <c r="A3519" s="54" t="s">
        <v>650</v>
      </c>
      <c r="B3519" s="43" t="s">
        <v>641</v>
      </c>
      <c r="C3519" s="37" t="s">
        <v>2014</v>
      </c>
      <c r="D3519" s="37"/>
      <c r="E3519" s="37" t="s">
        <v>1974</v>
      </c>
      <c r="F3519" s="37" t="b">
        <v>0</v>
      </c>
      <c r="G3519" s="37">
        <v>200</v>
      </c>
      <c r="H3519" s="37" t="b">
        <v>1</v>
      </c>
    </row>
    <row r="3520" spans="1:9" ht="30" x14ac:dyDescent="0.25">
      <c r="A3520" s="54" t="s">
        <v>650</v>
      </c>
      <c r="B3520" s="31" t="s">
        <v>2015</v>
      </c>
      <c r="C3520" s="28" t="s">
        <v>2016</v>
      </c>
      <c r="D3520" s="28"/>
      <c r="E3520" s="28" t="s">
        <v>1974</v>
      </c>
      <c r="F3520" s="28" t="b">
        <v>0</v>
      </c>
      <c r="G3520" s="28">
        <v>404</v>
      </c>
      <c r="H3520" s="28" t="b">
        <v>0</v>
      </c>
      <c r="I3520" s="34"/>
    </row>
    <row r="3521" spans="1:9" ht="30" x14ac:dyDescent="0.25">
      <c r="A3521" s="54" t="s">
        <v>650</v>
      </c>
      <c r="B3521" s="43" t="s">
        <v>2015</v>
      </c>
      <c r="C3521" s="37" t="s">
        <v>2017</v>
      </c>
      <c r="D3521" s="37"/>
      <c r="E3521" s="37" t="s">
        <v>1974</v>
      </c>
      <c r="F3521" s="37" t="b">
        <v>0</v>
      </c>
      <c r="G3521" s="37">
        <v>404</v>
      </c>
      <c r="H3521" s="37" t="b">
        <v>0</v>
      </c>
    </row>
    <row r="3522" spans="1:9" x14ac:dyDescent="0.25">
      <c r="A3522" s="54" t="s">
        <v>655</v>
      </c>
      <c r="B3522" s="31" t="s">
        <v>127</v>
      </c>
      <c r="C3522" s="28"/>
      <c r="D3522" s="28"/>
      <c r="E3522" s="28" t="s">
        <v>1974</v>
      </c>
      <c r="F3522" s="28" t="b">
        <v>0</v>
      </c>
      <c r="G3522" s="28">
        <v>200</v>
      </c>
      <c r="H3522" s="28" t="b">
        <v>1</v>
      </c>
      <c r="I3522" s="34"/>
    </row>
    <row r="3523" spans="1:9" x14ac:dyDescent="0.25">
      <c r="A3523" s="54" t="s">
        <v>655</v>
      </c>
      <c r="B3523" s="43" t="s">
        <v>127</v>
      </c>
      <c r="C3523" s="37" t="s">
        <v>1975</v>
      </c>
      <c r="D3523" s="37"/>
      <c r="E3523" s="37" t="s">
        <v>1974</v>
      </c>
      <c r="F3523" s="37" t="b">
        <v>0</v>
      </c>
      <c r="G3523" s="37">
        <v>200</v>
      </c>
      <c r="H3523" s="37" t="b">
        <v>1</v>
      </c>
    </row>
    <row r="3524" spans="1:9" x14ac:dyDescent="0.25">
      <c r="A3524" s="54" t="s">
        <v>655</v>
      </c>
      <c r="B3524" s="31" t="s">
        <v>135</v>
      </c>
      <c r="C3524" s="28" t="s">
        <v>1976</v>
      </c>
      <c r="D3524" s="28"/>
      <c r="E3524" s="28" t="s">
        <v>1974</v>
      </c>
      <c r="F3524" s="28" t="b">
        <v>0</v>
      </c>
      <c r="G3524" s="28">
        <v>200</v>
      </c>
      <c r="H3524" s="28" t="b">
        <v>1</v>
      </c>
      <c r="I3524" s="34"/>
    </row>
    <row r="3525" spans="1:9" x14ac:dyDescent="0.25">
      <c r="A3525" s="54" t="s">
        <v>655</v>
      </c>
      <c r="B3525" s="43" t="s">
        <v>655</v>
      </c>
      <c r="C3525" s="37" t="s">
        <v>1977</v>
      </c>
      <c r="D3525" s="37"/>
      <c r="E3525" s="37" t="s">
        <v>1974</v>
      </c>
      <c r="F3525" s="37" t="b">
        <v>0</v>
      </c>
      <c r="G3525" s="37">
        <v>200</v>
      </c>
      <c r="H3525" s="37" t="b">
        <v>1</v>
      </c>
    </row>
    <row r="3526" spans="1:9" x14ac:dyDescent="0.25">
      <c r="A3526" s="54" t="s">
        <v>655</v>
      </c>
      <c r="B3526" s="31" t="s">
        <v>635</v>
      </c>
      <c r="C3526" s="28" t="s">
        <v>1978</v>
      </c>
      <c r="D3526" s="28"/>
      <c r="E3526" s="28" t="s">
        <v>1974</v>
      </c>
      <c r="F3526" s="28" t="b">
        <v>0</v>
      </c>
      <c r="G3526" s="28">
        <v>200</v>
      </c>
      <c r="H3526" s="28" t="b">
        <v>1</v>
      </c>
      <c r="I3526" s="34"/>
    </row>
    <row r="3527" spans="1:9" ht="30" x14ac:dyDescent="0.25">
      <c r="A3527" s="54" t="s">
        <v>655</v>
      </c>
      <c r="B3527" s="43" t="s">
        <v>144</v>
      </c>
      <c r="C3527" s="37" t="s">
        <v>1979</v>
      </c>
      <c r="D3527" s="37"/>
      <c r="E3527" s="37" t="s">
        <v>1974</v>
      </c>
      <c r="F3527" s="37" t="b">
        <v>0</v>
      </c>
      <c r="G3527" s="37">
        <v>200</v>
      </c>
      <c r="H3527" s="37" t="b">
        <v>1</v>
      </c>
    </row>
    <row r="3528" spans="1:9" x14ac:dyDescent="0.25">
      <c r="A3528" s="54" t="s">
        <v>655</v>
      </c>
      <c r="B3528" s="31" t="s">
        <v>618</v>
      </c>
      <c r="C3528" s="28" t="s">
        <v>1980</v>
      </c>
      <c r="D3528" s="28"/>
      <c r="E3528" s="28" t="s">
        <v>1974</v>
      </c>
      <c r="F3528" s="28" t="b">
        <v>0</v>
      </c>
      <c r="G3528" s="28">
        <v>200</v>
      </c>
      <c r="H3528" s="28" t="b">
        <v>1</v>
      </c>
      <c r="I3528" s="34"/>
    </row>
    <row r="3529" spans="1:9" ht="30" x14ac:dyDescent="0.25">
      <c r="A3529" s="54" t="s">
        <v>655</v>
      </c>
      <c r="B3529" s="43" t="s">
        <v>585</v>
      </c>
      <c r="C3529" s="37" t="s">
        <v>1981</v>
      </c>
      <c r="D3529" s="37"/>
      <c r="E3529" s="37" t="s">
        <v>1974</v>
      </c>
      <c r="F3529" s="37" t="b">
        <v>0</v>
      </c>
      <c r="G3529" s="37">
        <v>200</v>
      </c>
      <c r="H3529" s="37" t="b">
        <v>1</v>
      </c>
    </row>
    <row r="3530" spans="1:9" ht="30" x14ac:dyDescent="0.25">
      <c r="A3530" s="54" t="s">
        <v>655</v>
      </c>
      <c r="B3530" s="31" t="s">
        <v>582</v>
      </c>
      <c r="C3530" s="28" t="s">
        <v>1982</v>
      </c>
      <c r="D3530" s="28"/>
      <c r="E3530" s="28" t="s">
        <v>1974</v>
      </c>
      <c r="F3530" s="28" t="b">
        <v>0</v>
      </c>
      <c r="G3530" s="28">
        <v>200</v>
      </c>
      <c r="H3530" s="28" t="b">
        <v>1</v>
      </c>
      <c r="I3530" s="34"/>
    </row>
    <row r="3531" spans="1:9" x14ac:dyDescent="0.25">
      <c r="A3531" s="54" t="s">
        <v>655</v>
      </c>
      <c r="B3531" s="43" t="s">
        <v>638</v>
      </c>
      <c r="C3531" s="37" t="s">
        <v>1983</v>
      </c>
      <c r="D3531" s="37"/>
      <c r="E3531" s="37" t="s">
        <v>1974</v>
      </c>
      <c r="F3531" s="37" t="b">
        <v>0</v>
      </c>
      <c r="G3531" s="37">
        <v>200</v>
      </c>
      <c r="H3531" s="37" t="b">
        <v>1</v>
      </c>
    </row>
    <row r="3532" spans="1:9" x14ac:dyDescent="0.25">
      <c r="A3532" s="54" t="s">
        <v>655</v>
      </c>
      <c r="B3532" s="31" t="s">
        <v>638</v>
      </c>
      <c r="C3532" s="28" t="s">
        <v>1984</v>
      </c>
      <c r="D3532" s="28"/>
      <c r="E3532" s="28" t="s">
        <v>1974</v>
      </c>
      <c r="F3532" s="28" t="b">
        <v>0</v>
      </c>
      <c r="G3532" s="28">
        <v>200</v>
      </c>
      <c r="H3532" s="28" t="b">
        <v>1</v>
      </c>
      <c r="I3532" s="34"/>
    </row>
    <row r="3533" spans="1:9" x14ac:dyDescent="0.25">
      <c r="A3533" s="54" t="s">
        <v>655</v>
      </c>
      <c r="B3533" s="43" t="s">
        <v>647</v>
      </c>
      <c r="C3533" s="37" t="s">
        <v>1985</v>
      </c>
      <c r="D3533" s="37"/>
      <c r="E3533" s="37" t="s">
        <v>1974</v>
      </c>
      <c r="F3533" s="37" t="b">
        <v>0</v>
      </c>
      <c r="G3533" s="37">
        <v>200</v>
      </c>
      <c r="H3533" s="37" t="b">
        <v>1</v>
      </c>
    </row>
    <row r="3534" spans="1:9" ht="30" x14ac:dyDescent="0.25">
      <c r="A3534" s="54" t="s">
        <v>655</v>
      </c>
      <c r="B3534" s="31" t="s">
        <v>503</v>
      </c>
      <c r="C3534" s="28" t="s">
        <v>1986</v>
      </c>
      <c r="D3534" s="28"/>
      <c r="E3534" s="28" t="s">
        <v>1974</v>
      </c>
      <c r="F3534" s="28" t="b">
        <v>0</v>
      </c>
      <c r="G3534" s="28">
        <v>200</v>
      </c>
      <c r="H3534" s="28" t="b">
        <v>1</v>
      </c>
      <c r="I3534" s="34"/>
    </row>
    <row r="3535" spans="1:9" x14ac:dyDescent="0.25">
      <c r="A3535" s="54" t="s">
        <v>655</v>
      </c>
      <c r="B3535" s="43" t="s">
        <v>608</v>
      </c>
      <c r="C3535" s="37" t="s">
        <v>1987</v>
      </c>
      <c r="D3535" s="37"/>
      <c r="E3535" s="37" t="s">
        <v>1974</v>
      </c>
      <c r="F3535" s="37" t="b">
        <v>0</v>
      </c>
      <c r="G3535" s="37">
        <v>200</v>
      </c>
      <c r="H3535" s="37" t="b">
        <v>1</v>
      </c>
    </row>
    <row r="3536" spans="1:9" x14ac:dyDescent="0.25">
      <c r="A3536" s="54" t="s">
        <v>655</v>
      </c>
      <c r="B3536" s="31" t="s">
        <v>127</v>
      </c>
      <c r="C3536" s="28" t="s">
        <v>1975</v>
      </c>
      <c r="D3536" s="28"/>
      <c r="E3536" s="28" t="s">
        <v>1974</v>
      </c>
      <c r="F3536" s="28" t="b">
        <v>0</v>
      </c>
      <c r="G3536" s="28">
        <v>200</v>
      </c>
      <c r="H3536" s="28" t="b">
        <v>1</v>
      </c>
      <c r="I3536" s="34"/>
    </row>
    <row r="3537" spans="1:9" x14ac:dyDescent="0.25">
      <c r="A3537" s="54" t="s">
        <v>655</v>
      </c>
      <c r="B3537" s="43" t="s">
        <v>135</v>
      </c>
      <c r="C3537" s="37" t="s">
        <v>1976</v>
      </c>
      <c r="D3537" s="37"/>
      <c r="E3537" s="37" t="s">
        <v>1974</v>
      </c>
      <c r="F3537" s="37" t="b">
        <v>0</v>
      </c>
      <c r="G3537" s="37">
        <v>200</v>
      </c>
      <c r="H3537" s="37" t="b">
        <v>1</v>
      </c>
    </row>
    <row r="3538" spans="1:9" x14ac:dyDescent="0.25">
      <c r="A3538" s="54" t="s">
        <v>655</v>
      </c>
      <c r="B3538" s="31" t="s">
        <v>655</v>
      </c>
      <c r="C3538" s="28" t="s">
        <v>1977</v>
      </c>
      <c r="D3538" s="28"/>
      <c r="E3538" s="28" t="s">
        <v>1974</v>
      </c>
      <c r="F3538" s="28" t="b">
        <v>0</v>
      </c>
      <c r="G3538" s="28">
        <v>200</v>
      </c>
      <c r="H3538" s="28" t="b">
        <v>1</v>
      </c>
      <c r="I3538" s="34"/>
    </row>
    <row r="3539" spans="1:9" x14ac:dyDescent="0.25">
      <c r="A3539" s="54" t="s">
        <v>655</v>
      </c>
      <c r="B3539" s="43" t="s">
        <v>635</v>
      </c>
      <c r="C3539" s="37" t="s">
        <v>1978</v>
      </c>
      <c r="D3539" s="37"/>
      <c r="E3539" s="37" t="s">
        <v>1974</v>
      </c>
      <c r="F3539" s="37" t="b">
        <v>0</v>
      </c>
      <c r="G3539" s="37">
        <v>200</v>
      </c>
      <c r="H3539" s="37" t="b">
        <v>1</v>
      </c>
    </row>
    <row r="3540" spans="1:9" ht="30" x14ac:dyDescent="0.25">
      <c r="A3540" s="54" t="s">
        <v>655</v>
      </c>
      <c r="B3540" s="31" t="s">
        <v>144</v>
      </c>
      <c r="C3540" s="28" t="s">
        <v>1979</v>
      </c>
      <c r="D3540" s="28"/>
      <c r="E3540" s="28" t="s">
        <v>1974</v>
      </c>
      <c r="F3540" s="28" t="b">
        <v>0</v>
      </c>
      <c r="G3540" s="28">
        <v>200</v>
      </c>
      <c r="H3540" s="28" t="b">
        <v>1</v>
      </c>
      <c r="I3540" s="34"/>
    </row>
    <row r="3541" spans="1:9" x14ac:dyDescent="0.25">
      <c r="A3541" s="54" t="s">
        <v>655</v>
      </c>
      <c r="B3541" s="43" t="s">
        <v>618</v>
      </c>
      <c r="C3541" s="37" t="s">
        <v>1980</v>
      </c>
      <c r="D3541" s="37"/>
      <c r="E3541" s="37" t="s">
        <v>1974</v>
      </c>
      <c r="F3541" s="37" t="b">
        <v>0</v>
      </c>
      <c r="G3541" s="37">
        <v>200</v>
      </c>
      <c r="H3541" s="37" t="b">
        <v>1</v>
      </c>
    </row>
    <row r="3542" spans="1:9" ht="30" x14ac:dyDescent="0.25">
      <c r="A3542" s="54" t="s">
        <v>655</v>
      </c>
      <c r="B3542" s="31" t="s">
        <v>585</v>
      </c>
      <c r="C3542" s="28" t="s">
        <v>1981</v>
      </c>
      <c r="D3542" s="28"/>
      <c r="E3542" s="28" t="s">
        <v>1974</v>
      </c>
      <c r="F3542" s="28" t="b">
        <v>0</v>
      </c>
      <c r="G3542" s="28">
        <v>200</v>
      </c>
      <c r="H3542" s="28" t="b">
        <v>1</v>
      </c>
      <c r="I3542" s="34"/>
    </row>
    <row r="3543" spans="1:9" ht="30" x14ac:dyDescent="0.25">
      <c r="A3543" s="54" t="s">
        <v>655</v>
      </c>
      <c r="B3543" s="43" t="s">
        <v>582</v>
      </c>
      <c r="C3543" s="37" t="s">
        <v>1982</v>
      </c>
      <c r="D3543" s="37"/>
      <c r="E3543" s="37" t="s">
        <v>1974</v>
      </c>
      <c r="F3543" s="37" t="b">
        <v>0</v>
      </c>
      <c r="G3543" s="37">
        <v>200</v>
      </c>
      <c r="H3543" s="37" t="b">
        <v>1</v>
      </c>
    </row>
    <row r="3544" spans="1:9" x14ac:dyDescent="0.25">
      <c r="A3544" s="54" t="s">
        <v>655</v>
      </c>
      <c r="B3544" s="31" t="s">
        <v>638</v>
      </c>
      <c r="C3544" s="28" t="s">
        <v>1983</v>
      </c>
      <c r="D3544" s="28"/>
      <c r="E3544" s="28" t="s">
        <v>1974</v>
      </c>
      <c r="F3544" s="28" t="b">
        <v>0</v>
      </c>
      <c r="G3544" s="28">
        <v>200</v>
      </c>
      <c r="H3544" s="28" t="b">
        <v>1</v>
      </c>
      <c r="I3544" s="34"/>
    </row>
    <row r="3545" spans="1:9" x14ac:dyDescent="0.25">
      <c r="A3545" s="54" t="s">
        <v>655</v>
      </c>
      <c r="B3545" s="43" t="s">
        <v>638</v>
      </c>
      <c r="C3545" s="37" t="s">
        <v>1984</v>
      </c>
      <c r="D3545" s="37"/>
      <c r="E3545" s="37" t="s">
        <v>1974</v>
      </c>
      <c r="F3545" s="37" t="b">
        <v>0</v>
      </c>
      <c r="G3545" s="37">
        <v>200</v>
      </c>
      <c r="H3545" s="37" t="b">
        <v>1</v>
      </c>
    </row>
    <row r="3546" spans="1:9" x14ac:dyDescent="0.25">
      <c r="A3546" s="54" t="s">
        <v>655</v>
      </c>
      <c r="B3546" s="31" t="s">
        <v>647</v>
      </c>
      <c r="C3546" s="28" t="s">
        <v>1985</v>
      </c>
      <c r="D3546" s="28"/>
      <c r="E3546" s="28" t="s">
        <v>1974</v>
      </c>
      <c r="F3546" s="28" t="b">
        <v>0</v>
      </c>
      <c r="G3546" s="28">
        <v>200</v>
      </c>
      <c r="H3546" s="28" t="b">
        <v>1</v>
      </c>
      <c r="I3546" s="34"/>
    </row>
    <row r="3547" spans="1:9" ht="30" x14ac:dyDescent="0.25">
      <c r="A3547" s="54" t="s">
        <v>655</v>
      </c>
      <c r="B3547" s="43" t="s">
        <v>503</v>
      </c>
      <c r="C3547" s="37" t="s">
        <v>1986</v>
      </c>
      <c r="D3547" s="37"/>
      <c r="E3547" s="37" t="s">
        <v>1974</v>
      </c>
      <c r="F3547" s="37" t="b">
        <v>0</v>
      </c>
      <c r="G3547" s="37">
        <v>200</v>
      </c>
      <c r="H3547" s="37" t="b">
        <v>1</v>
      </c>
    </row>
    <row r="3548" spans="1:9" x14ac:dyDescent="0.25">
      <c r="A3548" s="54" t="s">
        <v>655</v>
      </c>
      <c r="B3548" s="31" t="s">
        <v>608</v>
      </c>
      <c r="C3548" s="28" t="s">
        <v>1987</v>
      </c>
      <c r="D3548" s="28"/>
      <c r="E3548" s="28" t="s">
        <v>1974</v>
      </c>
      <c r="F3548" s="28" t="b">
        <v>0</v>
      </c>
      <c r="G3548" s="28">
        <v>200</v>
      </c>
      <c r="H3548" s="28" t="b">
        <v>1</v>
      </c>
      <c r="I3548" s="34"/>
    </row>
    <row r="3549" spans="1:9" x14ac:dyDescent="0.25">
      <c r="A3549" s="54" t="s">
        <v>655</v>
      </c>
      <c r="B3549" s="43" t="s">
        <v>647</v>
      </c>
      <c r="C3549" s="37" t="s">
        <v>2010</v>
      </c>
      <c r="D3549" s="37"/>
      <c r="E3549" s="37" t="s">
        <v>1974</v>
      </c>
      <c r="F3549" s="37" t="b">
        <v>0</v>
      </c>
      <c r="G3549" s="37">
        <v>200</v>
      </c>
      <c r="H3549" s="37" t="b">
        <v>1</v>
      </c>
    </row>
    <row r="3550" spans="1:9" ht="30" x14ac:dyDescent="0.25">
      <c r="A3550" s="54" t="s">
        <v>655</v>
      </c>
      <c r="B3550" s="31" t="s">
        <v>2011</v>
      </c>
      <c r="C3550" s="28"/>
      <c r="D3550" s="28"/>
      <c r="E3550" s="28" t="s">
        <v>2012</v>
      </c>
      <c r="F3550" s="28" t="b">
        <v>0</v>
      </c>
      <c r="G3550" s="28"/>
      <c r="H3550" s="28" t="b">
        <v>1</v>
      </c>
      <c r="I3550" s="34"/>
    </row>
    <row r="3551" spans="1:9" ht="30" x14ac:dyDescent="0.25">
      <c r="A3551" s="54" t="s">
        <v>655</v>
      </c>
      <c r="B3551" s="43" t="s">
        <v>2013</v>
      </c>
      <c r="C3551" s="37"/>
      <c r="D3551" s="37"/>
      <c r="E3551" s="37" t="s">
        <v>2012</v>
      </c>
      <c r="F3551" s="37" t="b">
        <v>0</v>
      </c>
      <c r="G3551" s="37"/>
      <c r="H3551" s="37" t="b">
        <v>1</v>
      </c>
    </row>
    <row r="3552" spans="1:9" x14ac:dyDescent="0.25">
      <c r="A3552" s="54" t="s">
        <v>655</v>
      </c>
      <c r="B3552" s="31" t="s">
        <v>641</v>
      </c>
      <c r="C3552" s="28" t="s">
        <v>2014</v>
      </c>
      <c r="D3552" s="28"/>
      <c r="E3552" s="28" t="s">
        <v>1974</v>
      </c>
      <c r="F3552" s="28" t="b">
        <v>0</v>
      </c>
      <c r="G3552" s="28">
        <v>200</v>
      </c>
      <c r="H3552" s="28" t="b">
        <v>1</v>
      </c>
      <c r="I3552" s="34"/>
    </row>
    <row r="3553" spans="1:9" ht="30" x14ac:dyDescent="0.25">
      <c r="A3553" s="54" t="s">
        <v>655</v>
      </c>
      <c r="B3553" s="43" t="s">
        <v>2015</v>
      </c>
      <c r="C3553" s="37" t="s">
        <v>2016</v>
      </c>
      <c r="D3553" s="37"/>
      <c r="E3553" s="37" t="s">
        <v>1974</v>
      </c>
      <c r="F3553" s="37" t="b">
        <v>0</v>
      </c>
      <c r="G3553" s="37">
        <v>404</v>
      </c>
      <c r="H3553" s="37" t="b">
        <v>0</v>
      </c>
    </row>
    <row r="3554" spans="1:9" ht="30" x14ac:dyDescent="0.25">
      <c r="A3554" s="54" t="s">
        <v>655</v>
      </c>
      <c r="B3554" s="31" t="s">
        <v>2015</v>
      </c>
      <c r="C3554" s="28" t="s">
        <v>2017</v>
      </c>
      <c r="D3554" s="28"/>
      <c r="E3554" s="28" t="s">
        <v>1974</v>
      </c>
      <c r="F3554" s="28" t="b">
        <v>0</v>
      </c>
      <c r="G3554" s="28">
        <v>404</v>
      </c>
      <c r="H3554" s="28" t="b">
        <v>0</v>
      </c>
      <c r="I3554" s="34"/>
    </row>
    <row r="3555" spans="1:9" x14ac:dyDescent="0.25">
      <c r="A3555" s="54" t="s">
        <v>658</v>
      </c>
      <c r="B3555" s="43" t="s">
        <v>127</v>
      </c>
      <c r="C3555" s="37"/>
      <c r="D3555" s="37"/>
      <c r="E3555" s="37" t="s">
        <v>1974</v>
      </c>
      <c r="F3555" s="37" t="b">
        <v>0</v>
      </c>
      <c r="G3555" s="37">
        <v>200</v>
      </c>
      <c r="H3555" s="37" t="b">
        <v>1</v>
      </c>
    </row>
    <row r="3556" spans="1:9" x14ac:dyDescent="0.25">
      <c r="A3556" s="54" t="s">
        <v>658</v>
      </c>
      <c r="B3556" s="31" t="s">
        <v>127</v>
      </c>
      <c r="C3556" s="28" t="s">
        <v>1975</v>
      </c>
      <c r="D3556" s="28"/>
      <c r="E3556" s="28" t="s">
        <v>1974</v>
      </c>
      <c r="F3556" s="28" t="b">
        <v>0</v>
      </c>
      <c r="G3556" s="28">
        <v>200</v>
      </c>
      <c r="H3556" s="28" t="b">
        <v>1</v>
      </c>
      <c r="I3556" s="34"/>
    </row>
    <row r="3557" spans="1:9" x14ac:dyDescent="0.25">
      <c r="A3557" s="54" t="s">
        <v>658</v>
      </c>
      <c r="B3557" s="43" t="s">
        <v>135</v>
      </c>
      <c r="C3557" s="37" t="s">
        <v>1976</v>
      </c>
      <c r="D3557" s="37"/>
      <c r="E3557" s="37" t="s">
        <v>1974</v>
      </c>
      <c r="F3557" s="37" t="b">
        <v>0</v>
      </c>
      <c r="G3557" s="37">
        <v>200</v>
      </c>
      <c r="H3557" s="37" t="b">
        <v>1</v>
      </c>
    </row>
    <row r="3558" spans="1:9" x14ac:dyDescent="0.25">
      <c r="A3558" s="54" t="s">
        <v>658</v>
      </c>
      <c r="B3558" s="31" t="s">
        <v>655</v>
      </c>
      <c r="C3558" s="28" t="s">
        <v>1977</v>
      </c>
      <c r="D3558" s="28"/>
      <c r="E3558" s="28" t="s">
        <v>1974</v>
      </c>
      <c r="F3558" s="28" t="b">
        <v>0</v>
      </c>
      <c r="G3558" s="28">
        <v>200</v>
      </c>
      <c r="H3558" s="28" t="b">
        <v>1</v>
      </c>
      <c r="I3558" s="34"/>
    </row>
    <row r="3559" spans="1:9" x14ac:dyDescent="0.25">
      <c r="A3559" s="54" t="s">
        <v>658</v>
      </c>
      <c r="B3559" s="43" t="s">
        <v>635</v>
      </c>
      <c r="C3559" s="37" t="s">
        <v>1978</v>
      </c>
      <c r="D3559" s="37"/>
      <c r="E3559" s="37" t="s">
        <v>1974</v>
      </c>
      <c r="F3559" s="37" t="b">
        <v>0</v>
      </c>
      <c r="G3559" s="37">
        <v>200</v>
      </c>
      <c r="H3559" s="37" t="b">
        <v>1</v>
      </c>
    </row>
    <row r="3560" spans="1:9" ht="30" x14ac:dyDescent="0.25">
      <c r="A3560" s="54" t="s">
        <v>658</v>
      </c>
      <c r="B3560" s="31" t="s">
        <v>144</v>
      </c>
      <c r="C3560" s="28" t="s">
        <v>1979</v>
      </c>
      <c r="D3560" s="28"/>
      <c r="E3560" s="28" t="s">
        <v>1974</v>
      </c>
      <c r="F3560" s="28" t="b">
        <v>0</v>
      </c>
      <c r="G3560" s="28">
        <v>200</v>
      </c>
      <c r="H3560" s="28" t="b">
        <v>1</v>
      </c>
      <c r="I3560" s="34"/>
    </row>
    <row r="3561" spans="1:9" x14ac:dyDescent="0.25">
      <c r="A3561" s="54" t="s">
        <v>658</v>
      </c>
      <c r="B3561" s="43" t="s">
        <v>618</v>
      </c>
      <c r="C3561" s="37" t="s">
        <v>1980</v>
      </c>
      <c r="D3561" s="37"/>
      <c r="E3561" s="37" t="s">
        <v>1974</v>
      </c>
      <c r="F3561" s="37" t="b">
        <v>0</v>
      </c>
      <c r="G3561" s="37">
        <v>200</v>
      </c>
      <c r="H3561" s="37" t="b">
        <v>1</v>
      </c>
    </row>
    <row r="3562" spans="1:9" ht="30" x14ac:dyDescent="0.25">
      <c r="A3562" s="54" t="s">
        <v>658</v>
      </c>
      <c r="B3562" s="31" t="s">
        <v>585</v>
      </c>
      <c r="C3562" s="28" t="s">
        <v>1981</v>
      </c>
      <c r="D3562" s="28"/>
      <c r="E3562" s="28" t="s">
        <v>1974</v>
      </c>
      <c r="F3562" s="28" t="b">
        <v>0</v>
      </c>
      <c r="G3562" s="28">
        <v>200</v>
      </c>
      <c r="H3562" s="28" t="b">
        <v>1</v>
      </c>
      <c r="I3562" s="34"/>
    </row>
    <row r="3563" spans="1:9" ht="30" x14ac:dyDescent="0.25">
      <c r="A3563" s="54" t="s">
        <v>658</v>
      </c>
      <c r="B3563" s="43" t="s">
        <v>582</v>
      </c>
      <c r="C3563" s="37" t="s">
        <v>1982</v>
      </c>
      <c r="D3563" s="37"/>
      <c r="E3563" s="37" t="s">
        <v>1974</v>
      </c>
      <c r="F3563" s="37" t="b">
        <v>0</v>
      </c>
      <c r="G3563" s="37">
        <v>200</v>
      </c>
      <c r="H3563" s="37" t="b">
        <v>1</v>
      </c>
    </row>
    <row r="3564" spans="1:9" x14ac:dyDescent="0.25">
      <c r="A3564" s="54" t="s">
        <v>658</v>
      </c>
      <c r="B3564" s="31" t="s">
        <v>638</v>
      </c>
      <c r="C3564" s="28" t="s">
        <v>1983</v>
      </c>
      <c r="D3564" s="28"/>
      <c r="E3564" s="28" t="s">
        <v>1974</v>
      </c>
      <c r="F3564" s="28" t="b">
        <v>0</v>
      </c>
      <c r="G3564" s="28">
        <v>200</v>
      </c>
      <c r="H3564" s="28" t="b">
        <v>1</v>
      </c>
      <c r="I3564" s="34"/>
    </row>
    <row r="3565" spans="1:9" x14ac:dyDescent="0.25">
      <c r="A3565" s="54" t="s">
        <v>658</v>
      </c>
      <c r="B3565" s="43" t="s">
        <v>638</v>
      </c>
      <c r="C3565" s="37" t="s">
        <v>1984</v>
      </c>
      <c r="D3565" s="37"/>
      <c r="E3565" s="37" t="s">
        <v>1974</v>
      </c>
      <c r="F3565" s="37" t="b">
        <v>0</v>
      </c>
      <c r="G3565" s="37">
        <v>200</v>
      </c>
      <c r="H3565" s="37" t="b">
        <v>1</v>
      </c>
    </row>
    <row r="3566" spans="1:9" x14ac:dyDescent="0.25">
      <c r="A3566" s="54" t="s">
        <v>658</v>
      </c>
      <c r="B3566" s="31" t="s">
        <v>647</v>
      </c>
      <c r="C3566" s="28" t="s">
        <v>1985</v>
      </c>
      <c r="D3566" s="28"/>
      <c r="E3566" s="28" t="s">
        <v>1974</v>
      </c>
      <c r="F3566" s="28" t="b">
        <v>0</v>
      </c>
      <c r="G3566" s="28">
        <v>200</v>
      </c>
      <c r="H3566" s="28" t="b">
        <v>1</v>
      </c>
      <c r="I3566" s="34"/>
    </row>
    <row r="3567" spans="1:9" ht="30" x14ac:dyDescent="0.25">
      <c r="A3567" s="54" t="s">
        <v>658</v>
      </c>
      <c r="B3567" s="43" t="s">
        <v>503</v>
      </c>
      <c r="C3567" s="37" t="s">
        <v>1986</v>
      </c>
      <c r="D3567" s="37"/>
      <c r="E3567" s="37" t="s">
        <v>1974</v>
      </c>
      <c r="F3567" s="37" t="b">
        <v>0</v>
      </c>
      <c r="G3567" s="37">
        <v>200</v>
      </c>
      <c r="H3567" s="37" t="b">
        <v>1</v>
      </c>
    </row>
    <row r="3568" spans="1:9" x14ac:dyDescent="0.25">
      <c r="A3568" s="54" t="s">
        <v>658</v>
      </c>
      <c r="B3568" s="31" t="s">
        <v>608</v>
      </c>
      <c r="C3568" s="28" t="s">
        <v>1987</v>
      </c>
      <c r="D3568" s="28"/>
      <c r="E3568" s="28" t="s">
        <v>1974</v>
      </c>
      <c r="F3568" s="28" t="b">
        <v>0</v>
      </c>
      <c r="G3568" s="28">
        <v>200</v>
      </c>
      <c r="H3568" s="28" t="b">
        <v>1</v>
      </c>
      <c r="I3568" s="34"/>
    </row>
    <row r="3569" spans="1:9" x14ac:dyDescent="0.25">
      <c r="A3569" s="54" t="s">
        <v>658</v>
      </c>
      <c r="B3569" s="43" t="s">
        <v>127</v>
      </c>
      <c r="C3569" s="37" t="s">
        <v>1975</v>
      </c>
      <c r="D3569" s="37"/>
      <c r="E3569" s="37" t="s">
        <v>1974</v>
      </c>
      <c r="F3569" s="37" t="b">
        <v>0</v>
      </c>
      <c r="G3569" s="37">
        <v>200</v>
      </c>
      <c r="H3569" s="37" t="b">
        <v>1</v>
      </c>
    </row>
    <row r="3570" spans="1:9" x14ac:dyDescent="0.25">
      <c r="A3570" s="54" t="s">
        <v>658</v>
      </c>
      <c r="B3570" s="31" t="s">
        <v>135</v>
      </c>
      <c r="C3570" s="28" t="s">
        <v>1976</v>
      </c>
      <c r="D3570" s="28"/>
      <c r="E3570" s="28" t="s">
        <v>1974</v>
      </c>
      <c r="F3570" s="28" t="b">
        <v>0</v>
      </c>
      <c r="G3570" s="28">
        <v>200</v>
      </c>
      <c r="H3570" s="28" t="b">
        <v>1</v>
      </c>
      <c r="I3570" s="34"/>
    </row>
    <row r="3571" spans="1:9" x14ac:dyDescent="0.25">
      <c r="A3571" s="54" t="s">
        <v>658</v>
      </c>
      <c r="B3571" s="43" t="s">
        <v>655</v>
      </c>
      <c r="C3571" s="37" t="s">
        <v>1977</v>
      </c>
      <c r="D3571" s="37"/>
      <c r="E3571" s="37" t="s">
        <v>1974</v>
      </c>
      <c r="F3571" s="37" t="b">
        <v>0</v>
      </c>
      <c r="G3571" s="37">
        <v>200</v>
      </c>
      <c r="H3571" s="37" t="b">
        <v>1</v>
      </c>
    </row>
    <row r="3572" spans="1:9" x14ac:dyDescent="0.25">
      <c r="A3572" s="54" t="s">
        <v>658</v>
      </c>
      <c r="B3572" s="31" t="s">
        <v>635</v>
      </c>
      <c r="C3572" s="28" t="s">
        <v>1978</v>
      </c>
      <c r="D3572" s="28"/>
      <c r="E3572" s="28" t="s">
        <v>1974</v>
      </c>
      <c r="F3572" s="28" t="b">
        <v>0</v>
      </c>
      <c r="G3572" s="28">
        <v>200</v>
      </c>
      <c r="H3572" s="28" t="b">
        <v>1</v>
      </c>
      <c r="I3572" s="34"/>
    </row>
    <row r="3573" spans="1:9" ht="30" x14ac:dyDescent="0.25">
      <c r="A3573" s="54" t="s">
        <v>658</v>
      </c>
      <c r="B3573" s="43" t="s">
        <v>144</v>
      </c>
      <c r="C3573" s="37" t="s">
        <v>1979</v>
      </c>
      <c r="D3573" s="37"/>
      <c r="E3573" s="37" t="s">
        <v>1974</v>
      </c>
      <c r="F3573" s="37" t="b">
        <v>0</v>
      </c>
      <c r="G3573" s="37">
        <v>200</v>
      </c>
      <c r="H3573" s="37" t="b">
        <v>1</v>
      </c>
    </row>
    <row r="3574" spans="1:9" x14ac:dyDescent="0.25">
      <c r="A3574" s="54" t="s">
        <v>658</v>
      </c>
      <c r="B3574" s="31" t="s">
        <v>618</v>
      </c>
      <c r="C3574" s="28" t="s">
        <v>1980</v>
      </c>
      <c r="D3574" s="28"/>
      <c r="E3574" s="28" t="s">
        <v>1974</v>
      </c>
      <c r="F3574" s="28" t="b">
        <v>0</v>
      </c>
      <c r="G3574" s="28">
        <v>200</v>
      </c>
      <c r="H3574" s="28" t="b">
        <v>1</v>
      </c>
      <c r="I3574" s="34"/>
    </row>
    <row r="3575" spans="1:9" ht="30" x14ac:dyDescent="0.25">
      <c r="A3575" s="54" t="s">
        <v>658</v>
      </c>
      <c r="B3575" s="43" t="s">
        <v>585</v>
      </c>
      <c r="C3575" s="37" t="s">
        <v>1981</v>
      </c>
      <c r="D3575" s="37"/>
      <c r="E3575" s="37" t="s">
        <v>1974</v>
      </c>
      <c r="F3575" s="37" t="b">
        <v>0</v>
      </c>
      <c r="G3575" s="37">
        <v>200</v>
      </c>
      <c r="H3575" s="37" t="b">
        <v>1</v>
      </c>
    </row>
    <row r="3576" spans="1:9" ht="30" x14ac:dyDescent="0.25">
      <c r="A3576" s="54" t="s">
        <v>658</v>
      </c>
      <c r="B3576" s="31" t="s">
        <v>582</v>
      </c>
      <c r="C3576" s="28" t="s">
        <v>1982</v>
      </c>
      <c r="D3576" s="28"/>
      <c r="E3576" s="28" t="s">
        <v>1974</v>
      </c>
      <c r="F3576" s="28" t="b">
        <v>0</v>
      </c>
      <c r="G3576" s="28">
        <v>200</v>
      </c>
      <c r="H3576" s="28" t="b">
        <v>1</v>
      </c>
      <c r="I3576" s="34"/>
    </row>
    <row r="3577" spans="1:9" x14ac:dyDescent="0.25">
      <c r="A3577" s="54" t="s">
        <v>658</v>
      </c>
      <c r="B3577" s="43" t="s">
        <v>638</v>
      </c>
      <c r="C3577" s="37" t="s">
        <v>1983</v>
      </c>
      <c r="D3577" s="37"/>
      <c r="E3577" s="37" t="s">
        <v>1974</v>
      </c>
      <c r="F3577" s="37" t="b">
        <v>0</v>
      </c>
      <c r="G3577" s="37">
        <v>200</v>
      </c>
      <c r="H3577" s="37" t="b">
        <v>1</v>
      </c>
    </row>
    <row r="3578" spans="1:9" x14ac:dyDescent="0.25">
      <c r="A3578" s="54" t="s">
        <v>658</v>
      </c>
      <c r="B3578" s="31" t="s">
        <v>638</v>
      </c>
      <c r="C3578" s="28" t="s">
        <v>1984</v>
      </c>
      <c r="D3578" s="28"/>
      <c r="E3578" s="28" t="s">
        <v>1974</v>
      </c>
      <c r="F3578" s="28" t="b">
        <v>0</v>
      </c>
      <c r="G3578" s="28">
        <v>200</v>
      </c>
      <c r="H3578" s="28" t="b">
        <v>1</v>
      </c>
      <c r="I3578" s="34"/>
    </row>
    <row r="3579" spans="1:9" x14ac:dyDescent="0.25">
      <c r="A3579" s="54" t="s">
        <v>658</v>
      </c>
      <c r="B3579" s="43" t="s">
        <v>647</v>
      </c>
      <c r="C3579" s="37" t="s">
        <v>1985</v>
      </c>
      <c r="D3579" s="37"/>
      <c r="E3579" s="37" t="s">
        <v>1974</v>
      </c>
      <c r="F3579" s="37" t="b">
        <v>0</v>
      </c>
      <c r="G3579" s="37">
        <v>200</v>
      </c>
      <c r="H3579" s="37" t="b">
        <v>1</v>
      </c>
    </row>
    <row r="3580" spans="1:9" ht="30" x14ac:dyDescent="0.25">
      <c r="A3580" s="54" t="s">
        <v>658</v>
      </c>
      <c r="B3580" s="31" t="s">
        <v>503</v>
      </c>
      <c r="C3580" s="28" t="s">
        <v>1986</v>
      </c>
      <c r="D3580" s="28"/>
      <c r="E3580" s="28" t="s">
        <v>1974</v>
      </c>
      <c r="F3580" s="28" t="b">
        <v>0</v>
      </c>
      <c r="G3580" s="28">
        <v>200</v>
      </c>
      <c r="H3580" s="28" t="b">
        <v>1</v>
      </c>
      <c r="I3580" s="34"/>
    </row>
    <row r="3581" spans="1:9" x14ac:dyDescent="0.25">
      <c r="A3581" s="54" t="s">
        <v>658</v>
      </c>
      <c r="B3581" s="43" t="s">
        <v>608</v>
      </c>
      <c r="C3581" s="37" t="s">
        <v>1987</v>
      </c>
      <c r="D3581" s="37"/>
      <c r="E3581" s="37" t="s">
        <v>1974</v>
      </c>
      <c r="F3581" s="37" t="b">
        <v>0</v>
      </c>
      <c r="G3581" s="37">
        <v>200</v>
      </c>
      <c r="H3581" s="37" t="b">
        <v>1</v>
      </c>
    </row>
    <row r="3582" spans="1:9" x14ac:dyDescent="0.25">
      <c r="A3582" s="54" t="s">
        <v>658</v>
      </c>
      <c r="B3582" s="31" t="s">
        <v>647</v>
      </c>
      <c r="C3582" s="28" t="s">
        <v>2010</v>
      </c>
      <c r="D3582" s="28"/>
      <c r="E3582" s="28" t="s">
        <v>1974</v>
      </c>
      <c r="F3582" s="28" t="b">
        <v>0</v>
      </c>
      <c r="G3582" s="28">
        <v>200</v>
      </c>
      <c r="H3582" s="28" t="b">
        <v>1</v>
      </c>
      <c r="I3582" s="34"/>
    </row>
    <row r="3583" spans="1:9" ht="30" x14ac:dyDescent="0.25">
      <c r="A3583" s="54" t="s">
        <v>658</v>
      </c>
      <c r="B3583" s="43" t="s">
        <v>2011</v>
      </c>
      <c r="C3583" s="37"/>
      <c r="D3583" s="37"/>
      <c r="E3583" s="37" t="s">
        <v>2012</v>
      </c>
      <c r="F3583" s="37" t="b">
        <v>0</v>
      </c>
      <c r="G3583" s="37"/>
      <c r="H3583" s="37" t="b">
        <v>1</v>
      </c>
    </row>
    <row r="3584" spans="1:9" ht="30" x14ac:dyDescent="0.25">
      <c r="A3584" s="54" t="s">
        <v>658</v>
      </c>
      <c r="B3584" s="31" t="s">
        <v>2013</v>
      </c>
      <c r="C3584" s="28"/>
      <c r="D3584" s="28"/>
      <c r="E3584" s="28" t="s">
        <v>2012</v>
      </c>
      <c r="F3584" s="28" t="b">
        <v>0</v>
      </c>
      <c r="G3584" s="28"/>
      <c r="H3584" s="28" t="b">
        <v>1</v>
      </c>
      <c r="I3584" s="34"/>
    </row>
    <row r="3585" spans="1:9" x14ac:dyDescent="0.25">
      <c r="A3585" s="54" t="s">
        <v>658</v>
      </c>
      <c r="B3585" s="43" t="s">
        <v>641</v>
      </c>
      <c r="C3585" s="37" t="s">
        <v>2014</v>
      </c>
      <c r="D3585" s="37"/>
      <c r="E3585" s="37" t="s">
        <v>1974</v>
      </c>
      <c r="F3585" s="37" t="b">
        <v>0</v>
      </c>
      <c r="G3585" s="37">
        <v>200</v>
      </c>
      <c r="H3585" s="37" t="b">
        <v>1</v>
      </c>
    </row>
    <row r="3586" spans="1:9" ht="30" x14ac:dyDescent="0.25">
      <c r="A3586" s="54" t="s">
        <v>658</v>
      </c>
      <c r="B3586" s="31" t="s">
        <v>2015</v>
      </c>
      <c r="C3586" s="28" t="s">
        <v>2016</v>
      </c>
      <c r="D3586" s="28"/>
      <c r="E3586" s="28" t="s">
        <v>1974</v>
      </c>
      <c r="F3586" s="28" t="b">
        <v>0</v>
      </c>
      <c r="G3586" s="28">
        <v>404</v>
      </c>
      <c r="H3586" s="28" t="b">
        <v>0</v>
      </c>
      <c r="I3586" s="34"/>
    </row>
    <row r="3587" spans="1:9" ht="30" x14ac:dyDescent="0.25">
      <c r="A3587" s="54" t="s">
        <v>658</v>
      </c>
      <c r="B3587" s="43" t="s">
        <v>2015</v>
      </c>
      <c r="C3587" s="37" t="s">
        <v>2017</v>
      </c>
      <c r="D3587" s="37"/>
      <c r="E3587" s="37" t="s">
        <v>1974</v>
      </c>
      <c r="F3587" s="37" t="b">
        <v>0</v>
      </c>
      <c r="G3587" s="37">
        <v>404</v>
      </c>
      <c r="H3587" s="37" t="b">
        <v>0</v>
      </c>
    </row>
    <row r="3588" spans="1:9" x14ac:dyDescent="0.25">
      <c r="A3588" s="54" t="s">
        <v>661</v>
      </c>
      <c r="B3588" s="31" t="s">
        <v>127</v>
      </c>
      <c r="C3588" s="28"/>
      <c r="D3588" s="28"/>
      <c r="E3588" s="28" t="s">
        <v>1974</v>
      </c>
      <c r="F3588" s="28" t="b">
        <v>0</v>
      </c>
      <c r="G3588" s="28">
        <v>200</v>
      </c>
      <c r="H3588" s="28" t="b">
        <v>1</v>
      </c>
      <c r="I3588" s="34"/>
    </row>
    <row r="3589" spans="1:9" x14ac:dyDescent="0.25">
      <c r="A3589" s="54" t="s">
        <v>661</v>
      </c>
      <c r="B3589" s="43" t="s">
        <v>127</v>
      </c>
      <c r="C3589" s="37" t="s">
        <v>1975</v>
      </c>
      <c r="D3589" s="37"/>
      <c r="E3589" s="37" t="s">
        <v>1974</v>
      </c>
      <c r="F3589" s="37" t="b">
        <v>0</v>
      </c>
      <c r="G3589" s="37">
        <v>200</v>
      </c>
      <c r="H3589" s="37" t="b">
        <v>1</v>
      </c>
    </row>
    <row r="3590" spans="1:9" x14ac:dyDescent="0.25">
      <c r="A3590" s="54" t="s">
        <v>661</v>
      </c>
      <c r="B3590" s="31" t="s">
        <v>135</v>
      </c>
      <c r="C3590" s="28" t="s">
        <v>1976</v>
      </c>
      <c r="D3590" s="28"/>
      <c r="E3590" s="28" t="s">
        <v>1974</v>
      </c>
      <c r="F3590" s="28" t="b">
        <v>0</v>
      </c>
      <c r="G3590" s="28">
        <v>200</v>
      </c>
      <c r="H3590" s="28" t="b">
        <v>1</v>
      </c>
      <c r="I3590" s="34"/>
    </row>
    <row r="3591" spans="1:9" x14ac:dyDescent="0.25">
      <c r="A3591" s="54" t="s">
        <v>661</v>
      </c>
      <c r="B3591" s="43" t="s">
        <v>655</v>
      </c>
      <c r="C3591" s="37" t="s">
        <v>1977</v>
      </c>
      <c r="D3591" s="37"/>
      <c r="E3591" s="37" t="s">
        <v>1974</v>
      </c>
      <c r="F3591" s="37" t="b">
        <v>0</v>
      </c>
      <c r="G3591" s="37">
        <v>200</v>
      </c>
      <c r="H3591" s="37" t="b">
        <v>1</v>
      </c>
    </row>
    <row r="3592" spans="1:9" x14ac:dyDescent="0.25">
      <c r="A3592" s="54" t="s">
        <v>661</v>
      </c>
      <c r="B3592" s="31" t="s">
        <v>635</v>
      </c>
      <c r="C3592" s="28" t="s">
        <v>1978</v>
      </c>
      <c r="D3592" s="28"/>
      <c r="E3592" s="28" t="s">
        <v>1974</v>
      </c>
      <c r="F3592" s="28" t="b">
        <v>0</v>
      </c>
      <c r="G3592" s="28">
        <v>200</v>
      </c>
      <c r="H3592" s="28" t="b">
        <v>1</v>
      </c>
      <c r="I3592" s="34"/>
    </row>
    <row r="3593" spans="1:9" ht="30" x14ac:dyDescent="0.25">
      <c r="A3593" s="54" t="s">
        <v>661</v>
      </c>
      <c r="B3593" s="43" t="s">
        <v>144</v>
      </c>
      <c r="C3593" s="37" t="s">
        <v>1979</v>
      </c>
      <c r="D3593" s="37"/>
      <c r="E3593" s="37" t="s">
        <v>1974</v>
      </c>
      <c r="F3593" s="37" t="b">
        <v>0</v>
      </c>
      <c r="G3593" s="37">
        <v>200</v>
      </c>
      <c r="H3593" s="37" t="b">
        <v>1</v>
      </c>
    </row>
    <row r="3594" spans="1:9" x14ac:dyDescent="0.25">
      <c r="A3594" s="54" t="s">
        <v>661</v>
      </c>
      <c r="B3594" s="31" t="s">
        <v>618</v>
      </c>
      <c r="C3594" s="28" t="s">
        <v>1980</v>
      </c>
      <c r="D3594" s="28"/>
      <c r="E3594" s="28" t="s">
        <v>1974</v>
      </c>
      <c r="F3594" s="28" t="b">
        <v>0</v>
      </c>
      <c r="G3594" s="28">
        <v>200</v>
      </c>
      <c r="H3594" s="28" t="b">
        <v>1</v>
      </c>
      <c r="I3594" s="34"/>
    </row>
    <row r="3595" spans="1:9" ht="30" x14ac:dyDescent="0.25">
      <c r="A3595" s="54" t="s">
        <v>661</v>
      </c>
      <c r="B3595" s="43" t="s">
        <v>585</v>
      </c>
      <c r="C3595" s="37" t="s">
        <v>1981</v>
      </c>
      <c r="D3595" s="37"/>
      <c r="E3595" s="37" t="s">
        <v>1974</v>
      </c>
      <c r="F3595" s="37" t="b">
        <v>0</v>
      </c>
      <c r="G3595" s="37">
        <v>200</v>
      </c>
      <c r="H3595" s="37" t="b">
        <v>1</v>
      </c>
    </row>
    <row r="3596" spans="1:9" ht="30" x14ac:dyDescent="0.25">
      <c r="A3596" s="54" t="s">
        <v>661</v>
      </c>
      <c r="B3596" s="31" t="s">
        <v>582</v>
      </c>
      <c r="C3596" s="28" t="s">
        <v>1982</v>
      </c>
      <c r="D3596" s="28"/>
      <c r="E3596" s="28" t="s">
        <v>1974</v>
      </c>
      <c r="F3596" s="28" t="b">
        <v>0</v>
      </c>
      <c r="G3596" s="28">
        <v>200</v>
      </c>
      <c r="H3596" s="28" t="b">
        <v>1</v>
      </c>
      <c r="I3596" s="34"/>
    </row>
    <row r="3597" spans="1:9" x14ac:dyDescent="0.25">
      <c r="A3597" s="54" t="s">
        <v>661</v>
      </c>
      <c r="B3597" s="43" t="s">
        <v>638</v>
      </c>
      <c r="C3597" s="37" t="s">
        <v>1983</v>
      </c>
      <c r="D3597" s="37"/>
      <c r="E3597" s="37" t="s">
        <v>1974</v>
      </c>
      <c r="F3597" s="37" t="b">
        <v>0</v>
      </c>
      <c r="G3597" s="37">
        <v>200</v>
      </c>
      <c r="H3597" s="37" t="b">
        <v>1</v>
      </c>
    </row>
    <row r="3598" spans="1:9" x14ac:dyDescent="0.25">
      <c r="A3598" s="54" t="s">
        <v>661</v>
      </c>
      <c r="B3598" s="31" t="s">
        <v>638</v>
      </c>
      <c r="C3598" s="28" t="s">
        <v>1984</v>
      </c>
      <c r="D3598" s="28"/>
      <c r="E3598" s="28" t="s">
        <v>1974</v>
      </c>
      <c r="F3598" s="28" t="b">
        <v>0</v>
      </c>
      <c r="G3598" s="28">
        <v>200</v>
      </c>
      <c r="H3598" s="28" t="b">
        <v>1</v>
      </c>
      <c r="I3598" s="34"/>
    </row>
    <row r="3599" spans="1:9" x14ac:dyDescent="0.25">
      <c r="A3599" s="54" t="s">
        <v>661</v>
      </c>
      <c r="B3599" s="43" t="s">
        <v>647</v>
      </c>
      <c r="C3599" s="37" t="s">
        <v>1985</v>
      </c>
      <c r="D3599" s="37"/>
      <c r="E3599" s="37" t="s">
        <v>1974</v>
      </c>
      <c r="F3599" s="37" t="b">
        <v>0</v>
      </c>
      <c r="G3599" s="37">
        <v>200</v>
      </c>
      <c r="H3599" s="37" t="b">
        <v>1</v>
      </c>
    </row>
    <row r="3600" spans="1:9" ht="30" x14ac:dyDescent="0.25">
      <c r="A3600" s="54" t="s">
        <v>661</v>
      </c>
      <c r="B3600" s="31" t="s">
        <v>503</v>
      </c>
      <c r="C3600" s="28" t="s">
        <v>1986</v>
      </c>
      <c r="D3600" s="28"/>
      <c r="E3600" s="28" t="s">
        <v>1974</v>
      </c>
      <c r="F3600" s="28" t="b">
        <v>0</v>
      </c>
      <c r="G3600" s="28">
        <v>200</v>
      </c>
      <c r="H3600" s="28" t="b">
        <v>1</v>
      </c>
      <c r="I3600" s="34"/>
    </row>
    <row r="3601" spans="1:9" x14ac:dyDescent="0.25">
      <c r="A3601" s="54" t="s">
        <v>661</v>
      </c>
      <c r="B3601" s="43" t="s">
        <v>608</v>
      </c>
      <c r="C3601" s="37" t="s">
        <v>1987</v>
      </c>
      <c r="D3601" s="37"/>
      <c r="E3601" s="37" t="s">
        <v>1974</v>
      </c>
      <c r="F3601" s="37" t="b">
        <v>0</v>
      </c>
      <c r="G3601" s="37">
        <v>200</v>
      </c>
      <c r="H3601" s="37" t="b">
        <v>1</v>
      </c>
    </row>
    <row r="3602" spans="1:9" x14ac:dyDescent="0.25">
      <c r="A3602" s="54" t="s">
        <v>661</v>
      </c>
      <c r="B3602" s="31" t="s">
        <v>127</v>
      </c>
      <c r="C3602" s="28" t="s">
        <v>1975</v>
      </c>
      <c r="D3602" s="28"/>
      <c r="E3602" s="28" t="s">
        <v>1974</v>
      </c>
      <c r="F3602" s="28" t="b">
        <v>0</v>
      </c>
      <c r="G3602" s="28">
        <v>200</v>
      </c>
      <c r="H3602" s="28" t="b">
        <v>1</v>
      </c>
      <c r="I3602" s="34"/>
    </row>
    <row r="3603" spans="1:9" x14ac:dyDescent="0.25">
      <c r="A3603" s="54" t="s">
        <v>661</v>
      </c>
      <c r="B3603" s="43" t="s">
        <v>135</v>
      </c>
      <c r="C3603" s="37" t="s">
        <v>1976</v>
      </c>
      <c r="D3603" s="37"/>
      <c r="E3603" s="37" t="s">
        <v>1974</v>
      </c>
      <c r="F3603" s="37" t="b">
        <v>0</v>
      </c>
      <c r="G3603" s="37">
        <v>200</v>
      </c>
      <c r="H3603" s="37" t="b">
        <v>1</v>
      </c>
    </row>
    <row r="3604" spans="1:9" x14ac:dyDescent="0.25">
      <c r="A3604" s="54" t="s">
        <v>661</v>
      </c>
      <c r="B3604" s="31" t="s">
        <v>655</v>
      </c>
      <c r="C3604" s="28" t="s">
        <v>1977</v>
      </c>
      <c r="D3604" s="28"/>
      <c r="E3604" s="28" t="s">
        <v>1974</v>
      </c>
      <c r="F3604" s="28" t="b">
        <v>0</v>
      </c>
      <c r="G3604" s="28">
        <v>200</v>
      </c>
      <c r="H3604" s="28" t="b">
        <v>1</v>
      </c>
      <c r="I3604" s="34"/>
    </row>
    <row r="3605" spans="1:9" x14ac:dyDescent="0.25">
      <c r="A3605" s="54" t="s">
        <v>661</v>
      </c>
      <c r="B3605" s="43" t="s">
        <v>635</v>
      </c>
      <c r="C3605" s="37" t="s">
        <v>1978</v>
      </c>
      <c r="D3605" s="37"/>
      <c r="E3605" s="37" t="s">
        <v>1974</v>
      </c>
      <c r="F3605" s="37" t="b">
        <v>0</v>
      </c>
      <c r="G3605" s="37">
        <v>200</v>
      </c>
      <c r="H3605" s="37" t="b">
        <v>1</v>
      </c>
    </row>
    <row r="3606" spans="1:9" ht="30" x14ac:dyDescent="0.25">
      <c r="A3606" s="54" t="s">
        <v>661</v>
      </c>
      <c r="B3606" s="31" t="s">
        <v>144</v>
      </c>
      <c r="C3606" s="28" t="s">
        <v>1979</v>
      </c>
      <c r="D3606" s="28"/>
      <c r="E3606" s="28" t="s">
        <v>1974</v>
      </c>
      <c r="F3606" s="28" t="b">
        <v>0</v>
      </c>
      <c r="G3606" s="28">
        <v>200</v>
      </c>
      <c r="H3606" s="28" t="b">
        <v>1</v>
      </c>
      <c r="I3606" s="34"/>
    </row>
    <row r="3607" spans="1:9" x14ac:dyDescent="0.25">
      <c r="A3607" s="54" t="s">
        <v>661</v>
      </c>
      <c r="B3607" s="43" t="s">
        <v>618</v>
      </c>
      <c r="C3607" s="37" t="s">
        <v>1980</v>
      </c>
      <c r="D3607" s="37"/>
      <c r="E3607" s="37" t="s">
        <v>1974</v>
      </c>
      <c r="F3607" s="37" t="b">
        <v>0</v>
      </c>
      <c r="G3607" s="37">
        <v>200</v>
      </c>
      <c r="H3607" s="37" t="b">
        <v>1</v>
      </c>
    </row>
    <row r="3608" spans="1:9" ht="30" x14ac:dyDescent="0.25">
      <c r="A3608" s="54" t="s">
        <v>661</v>
      </c>
      <c r="B3608" s="31" t="s">
        <v>585</v>
      </c>
      <c r="C3608" s="28" t="s">
        <v>1981</v>
      </c>
      <c r="D3608" s="28"/>
      <c r="E3608" s="28" t="s">
        <v>1974</v>
      </c>
      <c r="F3608" s="28" t="b">
        <v>0</v>
      </c>
      <c r="G3608" s="28">
        <v>200</v>
      </c>
      <c r="H3608" s="28" t="b">
        <v>1</v>
      </c>
      <c r="I3608" s="34"/>
    </row>
    <row r="3609" spans="1:9" ht="30" x14ac:dyDescent="0.25">
      <c r="A3609" s="54" t="s">
        <v>661</v>
      </c>
      <c r="B3609" s="43" t="s">
        <v>582</v>
      </c>
      <c r="C3609" s="37" t="s">
        <v>1982</v>
      </c>
      <c r="D3609" s="37"/>
      <c r="E3609" s="37" t="s">
        <v>1974</v>
      </c>
      <c r="F3609" s="37" t="b">
        <v>0</v>
      </c>
      <c r="G3609" s="37">
        <v>200</v>
      </c>
      <c r="H3609" s="37" t="b">
        <v>1</v>
      </c>
    </row>
    <row r="3610" spans="1:9" x14ac:dyDescent="0.25">
      <c r="A3610" s="54" t="s">
        <v>661</v>
      </c>
      <c r="B3610" s="31" t="s">
        <v>638</v>
      </c>
      <c r="C3610" s="28" t="s">
        <v>1983</v>
      </c>
      <c r="D3610" s="28"/>
      <c r="E3610" s="28" t="s">
        <v>1974</v>
      </c>
      <c r="F3610" s="28" t="b">
        <v>0</v>
      </c>
      <c r="G3610" s="28">
        <v>200</v>
      </c>
      <c r="H3610" s="28" t="b">
        <v>1</v>
      </c>
      <c r="I3610" s="34"/>
    </row>
    <row r="3611" spans="1:9" x14ac:dyDescent="0.25">
      <c r="A3611" s="54" t="s">
        <v>661</v>
      </c>
      <c r="B3611" s="43" t="s">
        <v>638</v>
      </c>
      <c r="C3611" s="37" t="s">
        <v>1984</v>
      </c>
      <c r="D3611" s="37"/>
      <c r="E3611" s="37" t="s">
        <v>1974</v>
      </c>
      <c r="F3611" s="37" t="b">
        <v>0</v>
      </c>
      <c r="G3611" s="37">
        <v>200</v>
      </c>
      <c r="H3611" s="37" t="b">
        <v>1</v>
      </c>
    </row>
    <row r="3612" spans="1:9" x14ac:dyDescent="0.25">
      <c r="A3612" s="54" t="s">
        <v>661</v>
      </c>
      <c r="B3612" s="31" t="s">
        <v>647</v>
      </c>
      <c r="C3612" s="28" t="s">
        <v>1985</v>
      </c>
      <c r="D3612" s="28"/>
      <c r="E3612" s="28" t="s">
        <v>1974</v>
      </c>
      <c r="F3612" s="28" t="b">
        <v>0</v>
      </c>
      <c r="G3612" s="28">
        <v>200</v>
      </c>
      <c r="H3612" s="28" t="b">
        <v>1</v>
      </c>
      <c r="I3612" s="34"/>
    </row>
    <row r="3613" spans="1:9" ht="30" x14ac:dyDescent="0.25">
      <c r="A3613" s="54" t="s">
        <v>661</v>
      </c>
      <c r="B3613" s="43" t="s">
        <v>503</v>
      </c>
      <c r="C3613" s="37" t="s">
        <v>1986</v>
      </c>
      <c r="D3613" s="37"/>
      <c r="E3613" s="37" t="s">
        <v>1974</v>
      </c>
      <c r="F3613" s="37" t="b">
        <v>0</v>
      </c>
      <c r="G3613" s="37">
        <v>200</v>
      </c>
      <c r="H3613" s="37" t="b">
        <v>1</v>
      </c>
    </row>
    <row r="3614" spans="1:9" x14ac:dyDescent="0.25">
      <c r="A3614" s="54" t="s">
        <v>661</v>
      </c>
      <c r="B3614" s="31" t="s">
        <v>608</v>
      </c>
      <c r="C3614" s="28" t="s">
        <v>1987</v>
      </c>
      <c r="D3614" s="28"/>
      <c r="E3614" s="28" t="s">
        <v>1974</v>
      </c>
      <c r="F3614" s="28" t="b">
        <v>0</v>
      </c>
      <c r="G3614" s="28">
        <v>200</v>
      </c>
      <c r="H3614" s="28" t="b">
        <v>1</v>
      </c>
      <c r="I3614" s="34"/>
    </row>
    <row r="3615" spans="1:9" ht="30" x14ac:dyDescent="0.25">
      <c r="A3615" s="54" t="s">
        <v>661</v>
      </c>
      <c r="B3615" s="43" t="s">
        <v>3005</v>
      </c>
      <c r="C3615" s="37" t="s">
        <v>3006</v>
      </c>
      <c r="D3615" s="37"/>
      <c r="E3615" s="37" t="s">
        <v>1974</v>
      </c>
      <c r="F3615" s="37" t="b">
        <v>0</v>
      </c>
      <c r="G3615" s="37">
        <v>200</v>
      </c>
      <c r="H3615" s="37" t="b">
        <v>1</v>
      </c>
    </row>
    <row r="3616" spans="1:9" x14ac:dyDescent="0.25">
      <c r="A3616" s="54" t="s">
        <v>661</v>
      </c>
      <c r="B3616" s="31" t="s">
        <v>3007</v>
      </c>
      <c r="C3616" s="28" t="s">
        <v>3008</v>
      </c>
      <c r="D3616" s="28"/>
      <c r="E3616" s="28" t="s">
        <v>1974</v>
      </c>
      <c r="F3616" s="28" t="b">
        <v>0</v>
      </c>
      <c r="G3616" s="28">
        <v>200</v>
      </c>
      <c r="H3616" s="28" t="b">
        <v>1</v>
      </c>
      <c r="I3616" s="34"/>
    </row>
    <row r="3617" spans="1:9" ht="30" x14ac:dyDescent="0.25">
      <c r="A3617" s="54" t="s">
        <v>661</v>
      </c>
      <c r="B3617" s="43" t="s">
        <v>3005</v>
      </c>
      <c r="C3617" s="37" t="s">
        <v>3006</v>
      </c>
      <c r="D3617" s="37"/>
      <c r="E3617" s="37" t="s">
        <v>1974</v>
      </c>
      <c r="F3617" s="37" t="b">
        <v>0</v>
      </c>
      <c r="G3617" s="37">
        <v>200</v>
      </c>
      <c r="H3617" s="37" t="b">
        <v>1</v>
      </c>
    </row>
    <row r="3618" spans="1:9" x14ac:dyDescent="0.25">
      <c r="A3618" s="54" t="s">
        <v>661</v>
      </c>
      <c r="B3618" s="31" t="s">
        <v>3007</v>
      </c>
      <c r="C3618" s="28" t="s">
        <v>3008</v>
      </c>
      <c r="D3618" s="28"/>
      <c r="E3618" s="28" t="s">
        <v>1974</v>
      </c>
      <c r="F3618" s="28" t="b">
        <v>0</v>
      </c>
      <c r="G3618" s="28">
        <v>200</v>
      </c>
      <c r="H3618" s="28" t="b">
        <v>1</v>
      </c>
      <c r="I3618" s="34"/>
    </row>
    <row r="3619" spans="1:9" ht="30" x14ac:dyDescent="0.25">
      <c r="A3619" s="54" t="s">
        <v>661</v>
      </c>
      <c r="B3619" s="43" t="s">
        <v>3005</v>
      </c>
      <c r="C3619" s="37" t="s">
        <v>3006</v>
      </c>
      <c r="D3619" s="37"/>
      <c r="E3619" s="37" t="s">
        <v>1974</v>
      </c>
      <c r="F3619" s="37" t="b">
        <v>0</v>
      </c>
      <c r="G3619" s="37">
        <v>200</v>
      </c>
      <c r="H3619" s="37" t="b">
        <v>1</v>
      </c>
    </row>
    <row r="3620" spans="1:9" x14ac:dyDescent="0.25">
      <c r="A3620" s="54" t="s">
        <v>661</v>
      </c>
      <c r="B3620" s="31" t="s">
        <v>3007</v>
      </c>
      <c r="C3620" s="28" t="s">
        <v>3008</v>
      </c>
      <c r="D3620" s="28"/>
      <c r="E3620" s="28" t="s">
        <v>1974</v>
      </c>
      <c r="F3620" s="28" t="b">
        <v>0</v>
      </c>
      <c r="G3620" s="28">
        <v>200</v>
      </c>
      <c r="H3620" s="28" t="b">
        <v>1</v>
      </c>
      <c r="I3620" s="34"/>
    </row>
    <row r="3621" spans="1:9" ht="30" x14ac:dyDescent="0.25">
      <c r="A3621" s="54" t="s">
        <v>661</v>
      </c>
      <c r="B3621" s="43" t="s">
        <v>3005</v>
      </c>
      <c r="C3621" s="37" t="s">
        <v>3009</v>
      </c>
      <c r="D3621" s="37"/>
      <c r="E3621" s="37" t="s">
        <v>1974</v>
      </c>
      <c r="F3621" s="37" t="b">
        <v>0</v>
      </c>
      <c r="G3621" s="37">
        <v>200</v>
      </c>
      <c r="H3621" s="37" t="b">
        <v>1</v>
      </c>
    </row>
    <row r="3622" spans="1:9" x14ac:dyDescent="0.25">
      <c r="A3622" s="54" t="s">
        <v>661</v>
      </c>
      <c r="B3622" s="31" t="s">
        <v>3007</v>
      </c>
      <c r="C3622" s="28" t="s">
        <v>3008</v>
      </c>
      <c r="D3622" s="28"/>
      <c r="E3622" s="28" t="s">
        <v>1974</v>
      </c>
      <c r="F3622" s="28" t="b">
        <v>0</v>
      </c>
      <c r="G3622" s="28">
        <v>200</v>
      </c>
      <c r="H3622" s="28" t="b">
        <v>1</v>
      </c>
      <c r="I3622" s="34"/>
    </row>
    <row r="3623" spans="1:9" ht="30" x14ac:dyDescent="0.25">
      <c r="A3623" s="54" t="s">
        <v>661</v>
      </c>
      <c r="B3623" s="43" t="s">
        <v>3005</v>
      </c>
      <c r="C3623" s="37" t="s">
        <v>3009</v>
      </c>
      <c r="D3623" s="37"/>
      <c r="E3623" s="37" t="s">
        <v>1974</v>
      </c>
      <c r="F3623" s="37" t="b">
        <v>0</v>
      </c>
      <c r="G3623" s="37">
        <v>200</v>
      </c>
      <c r="H3623" s="37" t="b">
        <v>1</v>
      </c>
    </row>
    <row r="3624" spans="1:9" x14ac:dyDescent="0.25">
      <c r="A3624" s="54" t="s">
        <v>661</v>
      </c>
      <c r="B3624" s="31" t="s">
        <v>3007</v>
      </c>
      <c r="C3624" s="28" t="s">
        <v>3008</v>
      </c>
      <c r="D3624" s="28"/>
      <c r="E3624" s="28" t="s">
        <v>1974</v>
      </c>
      <c r="F3624" s="28" t="b">
        <v>0</v>
      </c>
      <c r="G3624" s="28">
        <v>200</v>
      </c>
      <c r="H3624" s="28" t="b">
        <v>1</v>
      </c>
      <c r="I3624" s="34"/>
    </row>
    <row r="3625" spans="1:9" ht="30" x14ac:dyDescent="0.25">
      <c r="A3625" s="54" t="s">
        <v>661</v>
      </c>
      <c r="B3625" s="43" t="s">
        <v>3005</v>
      </c>
      <c r="C3625" s="37" t="s">
        <v>3009</v>
      </c>
      <c r="D3625" s="37"/>
      <c r="E3625" s="37" t="s">
        <v>1974</v>
      </c>
      <c r="F3625" s="37" t="b">
        <v>0</v>
      </c>
      <c r="G3625" s="37">
        <v>200</v>
      </c>
      <c r="H3625" s="37" t="b">
        <v>1</v>
      </c>
    </row>
    <row r="3626" spans="1:9" x14ac:dyDescent="0.25">
      <c r="A3626" s="54" t="s">
        <v>661</v>
      </c>
      <c r="B3626" s="31" t="s">
        <v>3007</v>
      </c>
      <c r="C3626" s="28" t="s">
        <v>3008</v>
      </c>
      <c r="D3626" s="28"/>
      <c r="E3626" s="28" t="s">
        <v>1974</v>
      </c>
      <c r="F3626" s="28" t="b">
        <v>0</v>
      </c>
      <c r="G3626" s="28">
        <v>200</v>
      </c>
      <c r="H3626" s="28" t="b">
        <v>1</v>
      </c>
      <c r="I3626" s="34"/>
    </row>
    <row r="3627" spans="1:9" x14ac:dyDescent="0.25">
      <c r="A3627" s="54" t="s">
        <v>661</v>
      </c>
      <c r="B3627" s="43" t="s">
        <v>647</v>
      </c>
      <c r="C3627" s="37" t="s">
        <v>2010</v>
      </c>
      <c r="D3627" s="37"/>
      <c r="E3627" s="37" t="s">
        <v>1974</v>
      </c>
      <c r="F3627" s="37" t="b">
        <v>0</v>
      </c>
      <c r="G3627" s="37">
        <v>200</v>
      </c>
      <c r="H3627" s="37" t="b">
        <v>1</v>
      </c>
    </row>
    <row r="3628" spans="1:9" ht="30" x14ac:dyDescent="0.25">
      <c r="A3628" s="54" t="s">
        <v>661</v>
      </c>
      <c r="B3628" s="31" t="s">
        <v>2011</v>
      </c>
      <c r="C3628" s="28"/>
      <c r="D3628" s="28"/>
      <c r="E3628" s="28" t="s">
        <v>2012</v>
      </c>
      <c r="F3628" s="28" t="b">
        <v>0</v>
      </c>
      <c r="G3628" s="28"/>
      <c r="H3628" s="28" t="b">
        <v>1</v>
      </c>
      <c r="I3628" s="34"/>
    </row>
    <row r="3629" spans="1:9" ht="30" x14ac:dyDescent="0.25">
      <c r="A3629" s="54" t="s">
        <v>661</v>
      </c>
      <c r="B3629" s="43" t="s">
        <v>2013</v>
      </c>
      <c r="C3629" s="37"/>
      <c r="D3629" s="37"/>
      <c r="E3629" s="37" t="s">
        <v>2012</v>
      </c>
      <c r="F3629" s="37" t="b">
        <v>0</v>
      </c>
      <c r="G3629" s="37"/>
      <c r="H3629" s="37" t="b">
        <v>1</v>
      </c>
    </row>
    <row r="3630" spans="1:9" x14ac:dyDescent="0.25">
      <c r="A3630" s="54" t="s">
        <v>661</v>
      </c>
      <c r="B3630" s="31" t="s">
        <v>641</v>
      </c>
      <c r="C3630" s="28" t="s">
        <v>2014</v>
      </c>
      <c r="D3630" s="28"/>
      <c r="E3630" s="28" t="s">
        <v>1974</v>
      </c>
      <c r="F3630" s="28" t="b">
        <v>0</v>
      </c>
      <c r="G3630" s="28">
        <v>200</v>
      </c>
      <c r="H3630" s="28" t="b">
        <v>1</v>
      </c>
      <c r="I3630" s="34"/>
    </row>
    <row r="3631" spans="1:9" ht="30" x14ac:dyDescent="0.25">
      <c r="A3631" s="54" t="s">
        <v>661</v>
      </c>
      <c r="B3631" s="43" t="s">
        <v>2015</v>
      </c>
      <c r="C3631" s="37" t="s">
        <v>2016</v>
      </c>
      <c r="D3631" s="37"/>
      <c r="E3631" s="37" t="s">
        <v>1974</v>
      </c>
      <c r="F3631" s="37" t="b">
        <v>0</v>
      </c>
      <c r="G3631" s="37">
        <v>404</v>
      </c>
      <c r="H3631" s="37" t="b">
        <v>0</v>
      </c>
    </row>
    <row r="3632" spans="1:9" ht="30" x14ac:dyDescent="0.25">
      <c r="A3632" s="54" t="s">
        <v>661</v>
      </c>
      <c r="B3632" s="31" t="s">
        <v>2015</v>
      </c>
      <c r="C3632" s="28" t="s">
        <v>2017</v>
      </c>
      <c r="D3632" s="28"/>
      <c r="E3632" s="28" t="s">
        <v>1974</v>
      </c>
      <c r="F3632" s="28" t="b">
        <v>0</v>
      </c>
      <c r="G3632" s="28">
        <v>404</v>
      </c>
      <c r="H3632" s="28" t="b">
        <v>0</v>
      </c>
      <c r="I3632" s="34"/>
    </row>
    <row r="3633" spans="1:9" x14ac:dyDescent="0.25">
      <c r="A3633" s="54" t="s">
        <v>664</v>
      </c>
      <c r="B3633" s="43" t="s">
        <v>127</v>
      </c>
      <c r="C3633" s="37"/>
      <c r="D3633" s="37"/>
      <c r="E3633" s="37" t="s">
        <v>1974</v>
      </c>
      <c r="F3633" s="37" t="b">
        <v>0</v>
      </c>
      <c r="G3633" s="37">
        <v>200</v>
      </c>
      <c r="H3633" s="37" t="b">
        <v>1</v>
      </c>
    </row>
    <row r="3634" spans="1:9" x14ac:dyDescent="0.25">
      <c r="A3634" s="54" t="s">
        <v>664</v>
      </c>
      <c r="B3634" s="31" t="s">
        <v>127</v>
      </c>
      <c r="C3634" s="28" t="s">
        <v>1975</v>
      </c>
      <c r="D3634" s="28"/>
      <c r="E3634" s="28" t="s">
        <v>1974</v>
      </c>
      <c r="F3634" s="28" t="b">
        <v>0</v>
      </c>
      <c r="G3634" s="28">
        <v>200</v>
      </c>
      <c r="H3634" s="28" t="b">
        <v>1</v>
      </c>
      <c r="I3634" s="34"/>
    </row>
    <row r="3635" spans="1:9" x14ac:dyDescent="0.25">
      <c r="A3635" s="54" t="s">
        <v>664</v>
      </c>
      <c r="B3635" s="43" t="s">
        <v>135</v>
      </c>
      <c r="C3635" s="37" t="s">
        <v>1976</v>
      </c>
      <c r="D3635" s="37"/>
      <c r="E3635" s="37" t="s">
        <v>1974</v>
      </c>
      <c r="F3635" s="37" t="b">
        <v>0</v>
      </c>
      <c r="G3635" s="37">
        <v>200</v>
      </c>
      <c r="H3635" s="37" t="b">
        <v>1</v>
      </c>
    </row>
    <row r="3636" spans="1:9" x14ac:dyDescent="0.25">
      <c r="A3636" s="54" t="s">
        <v>664</v>
      </c>
      <c r="B3636" s="31" t="s">
        <v>655</v>
      </c>
      <c r="C3636" s="28" t="s">
        <v>1977</v>
      </c>
      <c r="D3636" s="28"/>
      <c r="E3636" s="28" t="s">
        <v>1974</v>
      </c>
      <c r="F3636" s="28" t="b">
        <v>0</v>
      </c>
      <c r="G3636" s="28">
        <v>200</v>
      </c>
      <c r="H3636" s="28" t="b">
        <v>1</v>
      </c>
      <c r="I3636" s="34"/>
    </row>
    <row r="3637" spans="1:9" x14ac:dyDescent="0.25">
      <c r="A3637" s="54" t="s">
        <v>664</v>
      </c>
      <c r="B3637" s="43" t="s">
        <v>635</v>
      </c>
      <c r="C3637" s="37" t="s">
        <v>1978</v>
      </c>
      <c r="D3637" s="37"/>
      <c r="E3637" s="37" t="s">
        <v>1974</v>
      </c>
      <c r="F3637" s="37" t="b">
        <v>0</v>
      </c>
      <c r="G3637" s="37">
        <v>200</v>
      </c>
      <c r="H3637" s="37" t="b">
        <v>1</v>
      </c>
    </row>
    <row r="3638" spans="1:9" ht="30" x14ac:dyDescent="0.25">
      <c r="A3638" s="54" t="s">
        <v>664</v>
      </c>
      <c r="B3638" s="31" t="s">
        <v>144</v>
      </c>
      <c r="C3638" s="28" t="s">
        <v>1979</v>
      </c>
      <c r="D3638" s="28"/>
      <c r="E3638" s="28" t="s">
        <v>1974</v>
      </c>
      <c r="F3638" s="28" t="b">
        <v>0</v>
      </c>
      <c r="G3638" s="28">
        <v>200</v>
      </c>
      <c r="H3638" s="28" t="b">
        <v>1</v>
      </c>
      <c r="I3638" s="34"/>
    </row>
    <row r="3639" spans="1:9" x14ac:dyDescent="0.25">
      <c r="A3639" s="54" t="s">
        <v>664</v>
      </c>
      <c r="B3639" s="43" t="s">
        <v>618</v>
      </c>
      <c r="C3639" s="37" t="s">
        <v>1980</v>
      </c>
      <c r="D3639" s="37"/>
      <c r="E3639" s="37" t="s">
        <v>1974</v>
      </c>
      <c r="F3639" s="37" t="b">
        <v>0</v>
      </c>
      <c r="G3639" s="37">
        <v>200</v>
      </c>
      <c r="H3639" s="37" t="b">
        <v>1</v>
      </c>
    </row>
    <row r="3640" spans="1:9" ht="30" x14ac:dyDescent="0.25">
      <c r="A3640" s="54" t="s">
        <v>664</v>
      </c>
      <c r="B3640" s="31" t="s">
        <v>585</v>
      </c>
      <c r="C3640" s="28" t="s">
        <v>1981</v>
      </c>
      <c r="D3640" s="28"/>
      <c r="E3640" s="28" t="s">
        <v>1974</v>
      </c>
      <c r="F3640" s="28" t="b">
        <v>0</v>
      </c>
      <c r="G3640" s="28">
        <v>200</v>
      </c>
      <c r="H3640" s="28" t="b">
        <v>1</v>
      </c>
      <c r="I3640" s="34"/>
    </row>
    <row r="3641" spans="1:9" ht="30" x14ac:dyDescent="0.25">
      <c r="A3641" s="54" t="s">
        <v>664</v>
      </c>
      <c r="B3641" s="43" t="s">
        <v>582</v>
      </c>
      <c r="C3641" s="37" t="s">
        <v>1982</v>
      </c>
      <c r="D3641" s="37"/>
      <c r="E3641" s="37" t="s">
        <v>1974</v>
      </c>
      <c r="F3641" s="37" t="b">
        <v>0</v>
      </c>
      <c r="G3641" s="37">
        <v>200</v>
      </c>
      <c r="H3641" s="37" t="b">
        <v>1</v>
      </c>
    </row>
    <row r="3642" spans="1:9" x14ac:dyDescent="0.25">
      <c r="A3642" s="54" t="s">
        <v>664</v>
      </c>
      <c r="B3642" s="31" t="s">
        <v>638</v>
      </c>
      <c r="C3642" s="28" t="s">
        <v>1983</v>
      </c>
      <c r="D3642" s="28"/>
      <c r="E3642" s="28" t="s">
        <v>1974</v>
      </c>
      <c r="F3642" s="28" t="b">
        <v>0</v>
      </c>
      <c r="G3642" s="28">
        <v>200</v>
      </c>
      <c r="H3642" s="28" t="b">
        <v>1</v>
      </c>
      <c r="I3642" s="34"/>
    </row>
    <row r="3643" spans="1:9" x14ac:dyDescent="0.25">
      <c r="A3643" s="54" t="s">
        <v>664</v>
      </c>
      <c r="B3643" s="43" t="s">
        <v>638</v>
      </c>
      <c r="C3643" s="37" t="s">
        <v>1984</v>
      </c>
      <c r="D3643" s="37"/>
      <c r="E3643" s="37" t="s">
        <v>1974</v>
      </c>
      <c r="F3643" s="37" t="b">
        <v>0</v>
      </c>
      <c r="G3643" s="37">
        <v>200</v>
      </c>
      <c r="H3643" s="37" t="b">
        <v>1</v>
      </c>
    </row>
    <row r="3644" spans="1:9" x14ac:dyDescent="0.25">
      <c r="A3644" s="54" t="s">
        <v>664</v>
      </c>
      <c r="B3644" s="31" t="s">
        <v>647</v>
      </c>
      <c r="C3644" s="28" t="s">
        <v>1985</v>
      </c>
      <c r="D3644" s="28"/>
      <c r="E3644" s="28" t="s">
        <v>1974</v>
      </c>
      <c r="F3644" s="28" t="b">
        <v>0</v>
      </c>
      <c r="G3644" s="28">
        <v>200</v>
      </c>
      <c r="H3644" s="28" t="b">
        <v>1</v>
      </c>
      <c r="I3644" s="34"/>
    </row>
    <row r="3645" spans="1:9" ht="30" x14ac:dyDescent="0.25">
      <c r="A3645" s="54" t="s">
        <v>664</v>
      </c>
      <c r="B3645" s="43" t="s">
        <v>503</v>
      </c>
      <c r="C3645" s="37" t="s">
        <v>1986</v>
      </c>
      <c r="D3645" s="37"/>
      <c r="E3645" s="37" t="s">
        <v>1974</v>
      </c>
      <c r="F3645" s="37" t="b">
        <v>0</v>
      </c>
      <c r="G3645" s="37">
        <v>200</v>
      </c>
      <c r="H3645" s="37" t="b">
        <v>1</v>
      </c>
    </row>
    <row r="3646" spans="1:9" x14ac:dyDescent="0.25">
      <c r="A3646" s="54" t="s">
        <v>664</v>
      </c>
      <c r="B3646" s="31" t="s">
        <v>608</v>
      </c>
      <c r="C3646" s="28" t="s">
        <v>1987</v>
      </c>
      <c r="D3646" s="28"/>
      <c r="E3646" s="28" t="s">
        <v>1974</v>
      </c>
      <c r="F3646" s="28" t="b">
        <v>0</v>
      </c>
      <c r="G3646" s="28">
        <v>200</v>
      </c>
      <c r="H3646" s="28" t="b">
        <v>1</v>
      </c>
      <c r="I3646" s="34"/>
    </row>
    <row r="3647" spans="1:9" x14ac:dyDescent="0.25">
      <c r="A3647" s="54" t="s">
        <v>664</v>
      </c>
      <c r="B3647" s="43" t="s">
        <v>127</v>
      </c>
      <c r="C3647" s="37" t="s">
        <v>1975</v>
      </c>
      <c r="D3647" s="37"/>
      <c r="E3647" s="37" t="s">
        <v>1974</v>
      </c>
      <c r="F3647" s="37" t="b">
        <v>0</v>
      </c>
      <c r="G3647" s="37">
        <v>200</v>
      </c>
      <c r="H3647" s="37" t="b">
        <v>1</v>
      </c>
    </row>
    <row r="3648" spans="1:9" x14ac:dyDescent="0.25">
      <c r="A3648" s="54" t="s">
        <v>664</v>
      </c>
      <c r="B3648" s="31" t="s">
        <v>135</v>
      </c>
      <c r="C3648" s="28" t="s">
        <v>1976</v>
      </c>
      <c r="D3648" s="28"/>
      <c r="E3648" s="28" t="s">
        <v>1974</v>
      </c>
      <c r="F3648" s="28" t="b">
        <v>0</v>
      </c>
      <c r="G3648" s="28">
        <v>200</v>
      </c>
      <c r="H3648" s="28" t="b">
        <v>1</v>
      </c>
      <c r="I3648" s="34"/>
    </row>
    <row r="3649" spans="1:9" x14ac:dyDescent="0.25">
      <c r="A3649" s="54" t="s">
        <v>664</v>
      </c>
      <c r="B3649" s="43" t="s">
        <v>655</v>
      </c>
      <c r="C3649" s="37" t="s">
        <v>1977</v>
      </c>
      <c r="D3649" s="37"/>
      <c r="E3649" s="37" t="s">
        <v>1974</v>
      </c>
      <c r="F3649" s="37" t="b">
        <v>0</v>
      </c>
      <c r="G3649" s="37">
        <v>200</v>
      </c>
      <c r="H3649" s="37" t="b">
        <v>1</v>
      </c>
    </row>
    <row r="3650" spans="1:9" x14ac:dyDescent="0.25">
      <c r="A3650" s="54" t="s">
        <v>664</v>
      </c>
      <c r="B3650" s="31" t="s">
        <v>635</v>
      </c>
      <c r="C3650" s="28" t="s">
        <v>1978</v>
      </c>
      <c r="D3650" s="28"/>
      <c r="E3650" s="28" t="s">
        <v>1974</v>
      </c>
      <c r="F3650" s="28" t="b">
        <v>0</v>
      </c>
      <c r="G3650" s="28">
        <v>200</v>
      </c>
      <c r="H3650" s="28" t="b">
        <v>1</v>
      </c>
      <c r="I3650" s="34"/>
    </row>
    <row r="3651" spans="1:9" ht="30" x14ac:dyDescent="0.25">
      <c r="A3651" s="54" t="s">
        <v>664</v>
      </c>
      <c r="B3651" s="43" t="s">
        <v>144</v>
      </c>
      <c r="C3651" s="37" t="s">
        <v>1979</v>
      </c>
      <c r="D3651" s="37"/>
      <c r="E3651" s="37" t="s">
        <v>1974</v>
      </c>
      <c r="F3651" s="37" t="b">
        <v>0</v>
      </c>
      <c r="G3651" s="37">
        <v>200</v>
      </c>
      <c r="H3651" s="37" t="b">
        <v>1</v>
      </c>
    </row>
    <row r="3652" spans="1:9" x14ac:dyDescent="0.25">
      <c r="A3652" s="54" t="s">
        <v>664</v>
      </c>
      <c r="B3652" s="31" t="s">
        <v>618</v>
      </c>
      <c r="C3652" s="28" t="s">
        <v>1980</v>
      </c>
      <c r="D3652" s="28"/>
      <c r="E3652" s="28" t="s">
        <v>1974</v>
      </c>
      <c r="F3652" s="28" t="b">
        <v>0</v>
      </c>
      <c r="G3652" s="28">
        <v>200</v>
      </c>
      <c r="H3652" s="28" t="b">
        <v>1</v>
      </c>
      <c r="I3652" s="34"/>
    </row>
    <row r="3653" spans="1:9" ht="30" x14ac:dyDescent="0.25">
      <c r="A3653" s="54" t="s">
        <v>664</v>
      </c>
      <c r="B3653" s="43" t="s">
        <v>585</v>
      </c>
      <c r="C3653" s="37" t="s">
        <v>1981</v>
      </c>
      <c r="D3653" s="37"/>
      <c r="E3653" s="37" t="s">
        <v>1974</v>
      </c>
      <c r="F3653" s="37" t="b">
        <v>0</v>
      </c>
      <c r="G3653" s="37">
        <v>200</v>
      </c>
      <c r="H3653" s="37" t="b">
        <v>1</v>
      </c>
    </row>
    <row r="3654" spans="1:9" ht="30" x14ac:dyDescent="0.25">
      <c r="A3654" s="54" t="s">
        <v>664</v>
      </c>
      <c r="B3654" s="31" t="s">
        <v>582</v>
      </c>
      <c r="C3654" s="28" t="s">
        <v>1982</v>
      </c>
      <c r="D3654" s="28"/>
      <c r="E3654" s="28" t="s">
        <v>1974</v>
      </c>
      <c r="F3654" s="28" t="b">
        <v>0</v>
      </c>
      <c r="G3654" s="28">
        <v>200</v>
      </c>
      <c r="H3654" s="28" t="b">
        <v>1</v>
      </c>
      <c r="I3654" s="34"/>
    </row>
    <row r="3655" spans="1:9" x14ac:dyDescent="0.25">
      <c r="A3655" s="54" t="s">
        <v>664</v>
      </c>
      <c r="B3655" s="43" t="s">
        <v>638</v>
      </c>
      <c r="C3655" s="37" t="s">
        <v>1983</v>
      </c>
      <c r="D3655" s="37"/>
      <c r="E3655" s="37" t="s">
        <v>1974</v>
      </c>
      <c r="F3655" s="37" t="b">
        <v>0</v>
      </c>
      <c r="G3655" s="37">
        <v>200</v>
      </c>
      <c r="H3655" s="37" t="b">
        <v>1</v>
      </c>
    </row>
    <row r="3656" spans="1:9" x14ac:dyDescent="0.25">
      <c r="A3656" s="54" t="s">
        <v>664</v>
      </c>
      <c r="B3656" s="31" t="s">
        <v>638</v>
      </c>
      <c r="C3656" s="28" t="s">
        <v>1984</v>
      </c>
      <c r="D3656" s="28"/>
      <c r="E3656" s="28" t="s">
        <v>1974</v>
      </c>
      <c r="F3656" s="28" t="b">
        <v>0</v>
      </c>
      <c r="G3656" s="28">
        <v>200</v>
      </c>
      <c r="H3656" s="28" t="b">
        <v>1</v>
      </c>
      <c r="I3656" s="34"/>
    </row>
    <row r="3657" spans="1:9" x14ac:dyDescent="0.25">
      <c r="A3657" s="54" t="s">
        <v>664</v>
      </c>
      <c r="B3657" s="43" t="s">
        <v>647</v>
      </c>
      <c r="C3657" s="37" t="s">
        <v>1985</v>
      </c>
      <c r="D3657" s="37"/>
      <c r="E3657" s="37" t="s">
        <v>1974</v>
      </c>
      <c r="F3657" s="37" t="b">
        <v>0</v>
      </c>
      <c r="G3657" s="37">
        <v>200</v>
      </c>
      <c r="H3657" s="37" t="b">
        <v>1</v>
      </c>
    </row>
    <row r="3658" spans="1:9" ht="30" x14ac:dyDescent="0.25">
      <c r="A3658" s="54" t="s">
        <v>664</v>
      </c>
      <c r="B3658" s="31" t="s">
        <v>503</v>
      </c>
      <c r="C3658" s="28" t="s">
        <v>1986</v>
      </c>
      <c r="D3658" s="28"/>
      <c r="E3658" s="28" t="s">
        <v>1974</v>
      </c>
      <c r="F3658" s="28" t="b">
        <v>0</v>
      </c>
      <c r="G3658" s="28">
        <v>200</v>
      </c>
      <c r="H3658" s="28" t="b">
        <v>1</v>
      </c>
      <c r="I3658" s="34"/>
    </row>
    <row r="3659" spans="1:9" x14ac:dyDescent="0.25">
      <c r="A3659" s="54" t="s">
        <v>664</v>
      </c>
      <c r="B3659" s="43" t="s">
        <v>608</v>
      </c>
      <c r="C3659" s="37" t="s">
        <v>1987</v>
      </c>
      <c r="D3659" s="37"/>
      <c r="E3659" s="37" t="s">
        <v>1974</v>
      </c>
      <c r="F3659" s="37" t="b">
        <v>0</v>
      </c>
      <c r="G3659" s="37">
        <v>200</v>
      </c>
      <c r="H3659" s="37" t="b">
        <v>1</v>
      </c>
    </row>
    <row r="3660" spans="1:9" ht="30" x14ac:dyDescent="0.25">
      <c r="A3660" s="54" t="s">
        <v>664</v>
      </c>
      <c r="B3660" s="31" t="s">
        <v>3010</v>
      </c>
      <c r="C3660" s="28" t="s">
        <v>2840</v>
      </c>
      <c r="D3660" s="28" t="s">
        <v>2841</v>
      </c>
      <c r="E3660" s="28" t="s">
        <v>1974</v>
      </c>
      <c r="F3660" s="28" t="b">
        <v>1</v>
      </c>
      <c r="G3660" s="28">
        <v>200</v>
      </c>
      <c r="H3660" s="28" t="b">
        <v>1</v>
      </c>
      <c r="I3660" s="34"/>
    </row>
    <row r="3661" spans="1:9" ht="30" x14ac:dyDescent="0.25">
      <c r="A3661" s="54" t="s">
        <v>664</v>
      </c>
      <c r="B3661" s="43" t="s">
        <v>2751</v>
      </c>
      <c r="C3661" s="37"/>
      <c r="D3661" s="37"/>
      <c r="E3661" s="37" t="s">
        <v>1974</v>
      </c>
      <c r="F3661" s="37" t="b">
        <v>0</v>
      </c>
      <c r="G3661" s="37">
        <v>200</v>
      </c>
      <c r="H3661" s="37" t="b">
        <v>1</v>
      </c>
    </row>
    <row r="3662" spans="1:9" ht="30" x14ac:dyDescent="0.25">
      <c r="A3662" s="54" t="s">
        <v>664</v>
      </c>
      <c r="B3662" s="31" t="s">
        <v>2751</v>
      </c>
      <c r="C3662" s="28" t="s">
        <v>2752</v>
      </c>
      <c r="D3662" s="28"/>
      <c r="E3662" s="28" t="s">
        <v>1974</v>
      </c>
      <c r="F3662" s="28" t="b">
        <v>0</v>
      </c>
      <c r="G3662" s="28">
        <v>200</v>
      </c>
      <c r="H3662" s="28" t="b">
        <v>1</v>
      </c>
      <c r="I3662" s="34"/>
    </row>
    <row r="3663" spans="1:9" ht="30" x14ac:dyDescent="0.25">
      <c r="A3663" s="54" t="s">
        <v>664</v>
      </c>
      <c r="B3663" s="43" t="s">
        <v>3010</v>
      </c>
      <c r="C3663" s="37" t="s">
        <v>2840</v>
      </c>
      <c r="D3663" s="37" t="s">
        <v>2841</v>
      </c>
      <c r="E3663" s="37" t="s">
        <v>1974</v>
      </c>
      <c r="F3663" s="37" t="b">
        <v>1</v>
      </c>
      <c r="G3663" s="37">
        <v>200</v>
      </c>
      <c r="H3663" s="37" t="b">
        <v>1</v>
      </c>
    </row>
    <row r="3664" spans="1:9" ht="30" x14ac:dyDescent="0.25">
      <c r="A3664" s="54" t="s">
        <v>664</v>
      </c>
      <c r="B3664" s="31" t="s">
        <v>3011</v>
      </c>
      <c r="C3664" s="28" t="s">
        <v>2840</v>
      </c>
      <c r="D3664" s="28" t="s">
        <v>2841</v>
      </c>
      <c r="E3664" s="28" t="s">
        <v>1974</v>
      </c>
      <c r="F3664" s="28" t="b">
        <v>1</v>
      </c>
      <c r="G3664" s="28">
        <v>200</v>
      </c>
      <c r="H3664" s="28" t="b">
        <v>1</v>
      </c>
      <c r="I3664" s="34"/>
    </row>
    <row r="3665" spans="1:9" ht="30" x14ac:dyDescent="0.25">
      <c r="A3665" s="54" t="s">
        <v>664</v>
      </c>
      <c r="B3665" s="43" t="s">
        <v>2753</v>
      </c>
      <c r="C3665" s="37"/>
      <c r="D3665" s="37"/>
      <c r="E3665" s="37" t="s">
        <v>1974</v>
      </c>
      <c r="F3665" s="37" t="b">
        <v>0</v>
      </c>
      <c r="G3665" s="37">
        <v>200</v>
      </c>
      <c r="H3665" s="37" t="b">
        <v>1</v>
      </c>
    </row>
    <row r="3666" spans="1:9" ht="30" x14ac:dyDescent="0.25">
      <c r="A3666" s="54" t="s">
        <v>664</v>
      </c>
      <c r="B3666" s="31" t="s">
        <v>2753</v>
      </c>
      <c r="C3666" s="28" t="s">
        <v>2754</v>
      </c>
      <c r="D3666" s="28"/>
      <c r="E3666" s="28" t="s">
        <v>1974</v>
      </c>
      <c r="F3666" s="28" t="b">
        <v>0</v>
      </c>
      <c r="G3666" s="28">
        <v>200</v>
      </c>
      <c r="H3666" s="28" t="b">
        <v>1</v>
      </c>
      <c r="I3666" s="34"/>
    </row>
    <row r="3667" spans="1:9" ht="30" x14ac:dyDescent="0.25">
      <c r="A3667" s="54" t="s">
        <v>664</v>
      </c>
      <c r="B3667" s="43" t="s">
        <v>3011</v>
      </c>
      <c r="C3667" s="37" t="s">
        <v>2840</v>
      </c>
      <c r="D3667" s="37" t="s">
        <v>2841</v>
      </c>
      <c r="E3667" s="37" t="s">
        <v>1974</v>
      </c>
      <c r="F3667" s="37" t="b">
        <v>1</v>
      </c>
      <c r="G3667" s="37">
        <v>200</v>
      </c>
      <c r="H3667" s="37" t="b">
        <v>1</v>
      </c>
    </row>
    <row r="3668" spans="1:9" ht="30" x14ac:dyDescent="0.25">
      <c r="A3668" s="54" t="s">
        <v>664</v>
      </c>
      <c r="B3668" s="31" t="s">
        <v>3012</v>
      </c>
      <c r="C3668" s="28" t="s">
        <v>2840</v>
      </c>
      <c r="D3668" s="28" t="s">
        <v>2841</v>
      </c>
      <c r="E3668" s="28" t="s">
        <v>1974</v>
      </c>
      <c r="F3668" s="28" t="b">
        <v>1</v>
      </c>
      <c r="G3668" s="28">
        <v>200</v>
      </c>
      <c r="H3668" s="28" t="b">
        <v>1</v>
      </c>
      <c r="I3668" s="34"/>
    </row>
    <row r="3669" spans="1:9" ht="30" x14ac:dyDescent="0.25">
      <c r="A3669" s="54" t="s">
        <v>664</v>
      </c>
      <c r="B3669" s="43" t="s">
        <v>2749</v>
      </c>
      <c r="C3669" s="37"/>
      <c r="D3669" s="37"/>
      <c r="E3669" s="37" t="s">
        <v>1974</v>
      </c>
      <c r="F3669" s="37" t="b">
        <v>0</v>
      </c>
      <c r="G3669" s="37">
        <v>200</v>
      </c>
      <c r="H3669" s="37" t="b">
        <v>1</v>
      </c>
    </row>
    <row r="3670" spans="1:9" ht="30" x14ac:dyDescent="0.25">
      <c r="A3670" s="54" t="s">
        <v>664</v>
      </c>
      <c r="B3670" s="31" t="s">
        <v>2749</v>
      </c>
      <c r="C3670" s="28" t="s">
        <v>2750</v>
      </c>
      <c r="D3670" s="28"/>
      <c r="E3670" s="28" t="s">
        <v>1974</v>
      </c>
      <c r="F3670" s="28" t="b">
        <v>0</v>
      </c>
      <c r="G3670" s="28">
        <v>200</v>
      </c>
      <c r="H3670" s="28" t="b">
        <v>1</v>
      </c>
      <c r="I3670" s="34"/>
    </row>
    <row r="3671" spans="1:9" ht="30" x14ac:dyDescent="0.25">
      <c r="A3671" s="54" t="s">
        <v>664</v>
      </c>
      <c r="B3671" s="43" t="s">
        <v>3012</v>
      </c>
      <c r="C3671" s="37" t="s">
        <v>2840</v>
      </c>
      <c r="D3671" s="37" t="s">
        <v>2841</v>
      </c>
      <c r="E3671" s="37" t="s">
        <v>1974</v>
      </c>
      <c r="F3671" s="37" t="b">
        <v>1</v>
      </c>
      <c r="G3671" s="37">
        <v>200</v>
      </c>
      <c r="H3671" s="37" t="b">
        <v>1</v>
      </c>
    </row>
    <row r="3672" spans="1:9" ht="30" x14ac:dyDescent="0.25">
      <c r="A3672" s="54" t="s">
        <v>664</v>
      </c>
      <c r="B3672" s="31" t="s">
        <v>3013</v>
      </c>
      <c r="C3672" s="28" t="s">
        <v>2840</v>
      </c>
      <c r="D3672" s="28" t="s">
        <v>2841</v>
      </c>
      <c r="E3672" s="28" t="s">
        <v>1974</v>
      </c>
      <c r="F3672" s="28" t="b">
        <v>1</v>
      </c>
      <c r="G3672" s="28">
        <v>200</v>
      </c>
      <c r="H3672" s="28" t="b">
        <v>1</v>
      </c>
      <c r="I3672" s="34"/>
    </row>
    <row r="3673" spans="1:9" ht="30" x14ac:dyDescent="0.25">
      <c r="A3673" s="54" t="s">
        <v>664</v>
      </c>
      <c r="B3673" s="43" t="s">
        <v>2747</v>
      </c>
      <c r="C3673" s="37"/>
      <c r="D3673" s="37"/>
      <c r="E3673" s="37" t="s">
        <v>1974</v>
      </c>
      <c r="F3673" s="37" t="b">
        <v>0</v>
      </c>
      <c r="G3673" s="37">
        <v>200</v>
      </c>
      <c r="H3673" s="37" t="b">
        <v>1</v>
      </c>
    </row>
    <row r="3674" spans="1:9" ht="30" x14ac:dyDescent="0.25">
      <c r="A3674" s="54" t="s">
        <v>664</v>
      </c>
      <c r="B3674" s="31" t="s">
        <v>2747</v>
      </c>
      <c r="C3674" s="28" t="s">
        <v>2748</v>
      </c>
      <c r="D3674" s="28"/>
      <c r="E3674" s="28" t="s">
        <v>1974</v>
      </c>
      <c r="F3674" s="28" t="b">
        <v>0</v>
      </c>
      <c r="G3674" s="28">
        <v>200</v>
      </c>
      <c r="H3674" s="28" t="b">
        <v>1</v>
      </c>
      <c r="I3674" s="34"/>
    </row>
    <row r="3675" spans="1:9" ht="30" x14ac:dyDescent="0.25">
      <c r="A3675" s="54" t="s">
        <v>664</v>
      </c>
      <c r="B3675" s="43" t="s">
        <v>3013</v>
      </c>
      <c r="C3675" s="37" t="s">
        <v>2840</v>
      </c>
      <c r="D3675" s="37" t="s">
        <v>2841</v>
      </c>
      <c r="E3675" s="37" t="s">
        <v>1974</v>
      </c>
      <c r="F3675" s="37" t="b">
        <v>1</v>
      </c>
      <c r="G3675" s="37">
        <v>200</v>
      </c>
      <c r="H3675" s="37" t="b">
        <v>1</v>
      </c>
    </row>
    <row r="3676" spans="1:9" x14ac:dyDescent="0.25">
      <c r="A3676" s="54" t="s">
        <v>664</v>
      </c>
      <c r="B3676" s="31" t="s">
        <v>647</v>
      </c>
      <c r="C3676" s="28" t="s">
        <v>2010</v>
      </c>
      <c r="D3676" s="28"/>
      <c r="E3676" s="28" t="s">
        <v>1974</v>
      </c>
      <c r="F3676" s="28" t="b">
        <v>0</v>
      </c>
      <c r="G3676" s="28">
        <v>200</v>
      </c>
      <c r="H3676" s="28" t="b">
        <v>1</v>
      </c>
      <c r="I3676" s="34"/>
    </row>
    <row r="3677" spans="1:9" ht="30" x14ac:dyDescent="0.25">
      <c r="A3677" s="54" t="s">
        <v>664</v>
      </c>
      <c r="B3677" s="43" t="s">
        <v>2011</v>
      </c>
      <c r="C3677" s="37"/>
      <c r="D3677" s="37"/>
      <c r="E3677" s="37" t="s">
        <v>2012</v>
      </c>
      <c r="F3677" s="37" t="b">
        <v>0</v>
      </c>
      <c r="G3677" s="37"/>
      <c r="H3677" s="37" t="b">
        <v>1</v>
      </c>
    </row>
    <row r="3678" spans="1:9" ht="30" x14ac:dyDescent="0.25">
      <c r="A3678" s="54" t="s">
        <v>664</v>
      </c>
      <c r="B3678" s="31" t="s">
        <v>2013</v>
      </c>
      <c r="C3678" s="28"/>
      <c r="D3678" s="28"/>
      <c r="E3678" s="28" t="s">
        <v>2012</v>
      </c>
      <c r="F3678" s="28" t="b">
        <v>0</v>
      </c>
      <c r="G3678" s="28"/>
      <c r="H3678" s="28" t="b">
        <v>1</v>
      </c>
      <c r="I3678" s="34"/>
    </row>
    <row r="3679" spans="1:9" x14ac:dyDescent="0.25">
      <c r="A3679" s="54" t="s">
        <v>664</v>
      </c>
      <c r="B3679" s="43" t="s">
        <v>641</v>
      </c>
      <c r="C3679" s="37" t="s">
        <v>2014</v>
      </c>
      <c r="D3679" s="37"/>
      <c r="E3679" s="37" t="s">
        <v>1974</v>
      </c>
      <c r="F3679" s="37" t="b">
        <v>0</v>
      </c>
      <c r="G3679" s="37">
        <v>200</v>
      </c>
      <c r="H3679" s="37" t="b">
        <v>1</v>
      </c>
    </row>
    <row r="3680" spans="1:9" ht="30" x14ac:dyDescent="0.25">
      <c r="A3680" s="54" t="s">
        <v>664</v>
      </c>
      <c r="B3680" s="31" t="s">
        <v>2015</v>
      </c>
      <c r="C3680" s="28" t="s">
        <v>2016</v>
      </c>
      <c r="D3680" s="28"/>
      <c r="E3680" s="28" t="s">
        <v>1974</v>
      </c>
      <c r="F3680" s="28" t="b">
        <v>0</v>
      </c>
      <c r="G3680" s="28">
        <v>404</v>
      </c>
      <c r="H3680" s="28" t="b">
        <v>0</v>
      </c>
      <c r="I3680" s="34"/>
    </row>
    <row r="3681" spans="1:9" ht="30" x14ac:dyDescent="0.25">
      <c r="A3681" s="54" t="s">
        <v>664</v>
      </c>
      <c r="B3681" s="43" t="s">
        <v>2015</v>
      </c>
      <c r="C3681" s="37" t="s">
        <v>2017</v>
      </c>
      <c r="D3681" s="37"/>
      <c r="E3681" s="37" t="s">
        <v>1974</v>
      </c>
      <c r="F3681" s="37" t="b">
        <v>0</v>
      </c>
      <c r="G3681" s="37">
        <v>404</v>
      </c>
      <c r="H3681" s="37" t="b">
        <v>0</v>
      </c>
    </row>
    <row r="3682" spans="1:9" ht="30" x14ac:dyDescent="0.25">
      <c r="A3682" s="54" t="s">
        <v>670</v>
      </c>
      <c r="B3682" s="31" t="s">
        <v>127</v>
      </c>
      <c r="C3682" s="28"/>
      <c r="D3682" s="28"/>
      <c r="E3682" s="28" t="s">
        <v>1974</v>
      </c>
      <c r="F3682" s="28" t="b">
        <v>0</v>
      </c>
      <c r="G3682" s="28">
        <v>200</v>
      </c>
      <c r="H3682" s="28" t="b">
        <v>1</v>
      </c>
      <c r="I3682" s="34"/>
    </row>
    <row r="3683" spans="1:9" ht="30" x14ac:dyDescent="0.25">
      <c r="A3683" s="54" t="s">
        <v>670</v>
      </c>
      <c r="B3683" s="43" t="s">
        <v>127</v>
      </c>
      <c r="C3683" s="37" t="s">
        <v>1975</v>
      </c>
      <c r="D3683" s="37"/>
      <c r="E3683" s="37" t="s">
        <v>1974</v>
      </c>
      <c r="F3683" s="37" t="b">
        <v>0</v>
      </c>
      <c r="G3683" s="37">
        <v>200</v>
      </c>
      <c r="H3683" s="37" t="b">
        <v>1</v>
      </c>
    </row>
    <row r="3684" spans="1:9" ht="30" x14ac:dyDescent="0.25">
      <c r="A3684" s="54" t="s">
        <v>670</v>
      </c>
      <c r="B3684" s="31" t="s">
        <v>135</v>
      </c>
      <c r="C3684" s="28" t="s">
        <v>1976</v>
      </c>
      <c r="D3684" s="28"/>
      <c r="E3684" s="28" t="s">
        <v>1974</v>
      </c>
      <c r="F3684" s="28" t="b">
        <v>0</v>
      </c>
      <c r="G3684" s="28">
        <v>200</v>
      </c>
      <c r="H3684" s="28" t="b">
        <v>1</v>
      </c>
      <c r="I3684" s="34"/>
    </row>
    <row r="3685" spans="1:9" ht="30" x14ac:dyDescent="0.25">
      <c r="A3685" s="54" t="s">
        <v>670</v>
      </c>
      <c r="B3685" s="43" t="s">
        <v>655</v>
      </c>
      <c r="C3685" s="37" t="s">
        <v>1977</v>
      </c>
      <c r="D3685" s="37"/>
      <c r="E3685" s="37" t="s">
        <v>1974</v>
      </c>
      <c r="F3685" s="37" t="b">
        <v>0</v>
      </c>
      <c r="G3685" s="37">
        <v>200</v>
      </c>
      <c r="H3685" s="37" t="b">
        <v>1</v>
      </c>
    </row>
    <row r="3686" spans="1:9" ht="30" x14ac:dyDescent="0.25">
      <c r="A3686" s="54" t="s">
        <v>670</v>
      </c>
      <c r="B3686" s="31" t="s">
        <v>635</v>
      </c>
      <c r="C3686" s="28" t="s">
        <v>1978</v>
      </c>
      <c r="D3686" s="28"/>
      <c r="E3686" s="28" t="s">
        <v>1974</v>
      </c>
      <c r="F3686" s="28" t="b">
        <v>0</v>
      </c>
      <c r="G3686" s="28">
        <v>200</v>
      </c>
      <c r="H3686" s="28" t="b">
        <v>1</v>
      </c>
      <c r="I3686" s="34"/>
    </row>
    <row r="3687" spans="1:9" ht="30" x14ac:dyDescent="0.25">
      <c r="A3687" s="54" t="s">
        <v>670</v>
      </c>
      <c r="B3687" s="43" t="s">
        <v>144</v>
      </c>
      <c r="C3687" s="37" t="s">
        <v>1979</v>
      </c>
      <c r="D3687" s="37"/>
      <c r="E3687" s="37" t="s">
        <v>1974</v>
      </c>
      <c r="F3687" s="37" t="b">
        <v>0</v>
      </c>
      <c r="G3687" s="37">
        <v>200</v>
      </c>
      <c r="H3687" s="37" t="b">
        <v>1</v>
      </c>
    </row>
    <row r="3688" spans="1:9" ht="30" x14ac:dyDescent="0.25">
      <c r="A3688" s="54" t="s">
        <v>670</v>
      </c>
      <c r="B3688" s="31" t="s">
        <v>618</v>
      </c>
      <c r="C3688" s="28" t="s">
        <v>1980</v>
      </c>
      <c r="D3688" s="28"/>
      <c r="E3688" s="28" t="s">
        <v>1974</v>
      </c>
      <c r="F3688" s="28" t="b">
        <v>0</v>
      </c>
      <c r="G3688" s="28">
        <v>200</v>
      </c>
      <c r="H3688" s="28" t="b">
        <v>1</v>
      </c>
      <c r="I3688" s="34"/>
    </row>
    <row r="3689" spans="1:9" ht="30" x14ac:dyDescent="0.25">
      <c r="A3689" s="54" t="s">
        <v>670</v>
      </c>
      <c r="B3689" s="43" t="s">
        <v>585</v>
      </c>
      <c r="C3689" s="37" t="s">
        <v>1981</v>
      </c>
      <c r="D3689" s="37"/>
      <c r="E3689" s="37" t="s">
        <v>1974</v>
      </c>
      <c r="F3689" s="37" t="b">
        <v>0</v>
      </c>
      <c r="G3689" s="37">
        <v>200</v>
      </c>
      <c r="H3689" s="37" t="b">
        <v>1</v>
      </c>
    </row>
    <row r="3690" spans="1:9" ht="30" x14ac:dyDescent="0.25">
      <c r="A3690" s="54" t="s">
        <v>670</v>
      </c>
      <c r="B3690" s="31" t="s">
        <v>582</v>
      </c>
      <c r="C3690" s="28" t="s">
        <v>1982</v>
      </c>
      <c r="D3690" s="28"/>
      <c r="E3690" s="28" t="s">
        <v>1974</v>
      </c>
      <c r="F3690" s="28" t="b">
        <v>0</v>
      </c>
      <c r="G3690" s="28">
        <v>200</v>
      </c>
      <c r="H3690" s="28" t="b">
        <v>1</v>
      </c>
      <c r="I3690" s="34"/>
    </row>
    <row r="3691" spans="1:9" ht="30" x14ac:dyDescent="0.25">
      <c r="A3691" s="54" t="s">
        <v>670</v>
      </c>
      <c r="B3691" s="43" t="s">
        <v>638</v>
      </c>
      <c r="C3691" s="37" t="s">
        <v>1983</v>
      </c>
      <c r="D3691" s="37"/>
      <c r="E3691" s="37" t="s">
        <v>1974</v>
      </c>
      <c r="F3691" s="37" t="b">
        <v>0</v>
      </c>
      <c r="G3691" s="37">
        <v>200</v>
      </c>
      <c r="H3691" s="37" t="b">
        <v>1</v>
      </c>
    </row>
    <row r="3692" spans="1:9" ht="30" x14ac:dyDescent="0.25">
      <c r="A3692" s="54" t="s">
        <v>670</v>
      </c>
      <c r="B3692" s="31" t="s">
        <v>638</v>
      </c>
      <c r="C3692" s="28" t="s">
        <v>1984</v>
      </c>
      <c r="D3692" s="28"/>
      <c r="E3692" s="28" t="s">
        <v>1974</v>
      </c>
      <c r="F3692" s="28" t="b">
        <v>0</v>
      </c>
      <c r="G3692" s="28">
        <v>200</v>
      </c>
      <c r="H3692" s="28" t="b">
        <v>1</v>
      </c>
      <c r="I3692" s="34"/>
    </row>
    <row r="3693" spans="1:9" ht="30" x14ac:dyDescent="0.25">
      <c r="A3693" s="54" t="s">
        <v>670</v>
      </c>
      <c r="B3693" s="43" t="s">
        <v>647</v>
      </c>
      <c r="C3693" s="37" t="s">
        <v>1985</v>
      </c>
      <c r="D3693" s="37"/>
      <c r="E3693" s="37" t="s">
        <v>1974</v>
      </c>
      <c r="F3693" s="37" t="b">
        <v>0</v>
      </c>
      <c r="G3693" s="37">
        <v>200</v>
      </c>
      <c r="H3693" s="37" t="b">
        <v>1</v>
      </c>
    </row>
    <row r="3694" spans="1:9" ht="30" x14ac:dyDescent="0.25">
      <c r="A3694" s="54" t="s">
        <v>670</v>
      </c>
      <c r="B3694" s="31" t="s">
        <v>503</v>
      </c>
      <c r="C3694" s="28" t="s">
        <v>1986</v>
      </c>
      <c r="D3694" s="28"/>
      <c r="E3694" s="28" t="s">
        <v>1974</v>
      </c>
      <c r="F3694" s="28" t="b">
        <v>0</v>
      </c>
      <c r="G3694" s="28">
        <v>200</v>
      </c>
      <c r="H3694" s="28" t="b">
        <v>1</v>
      </c>
      <c r="I3694" s="34"/>
    </row>
    <row r="3695" spans="1:9" ht="30" x14ac:dyDescent="0.25">
      <c r="A3695" s="54" t="s">
        <v>670</v>
      </c>
      <c r="B3695" s="43" t="s">
        <v>608</v>
      </c>
      <c r="C3695" s="37" t="s">
        <v>1987</v>
      </c>
      <c r="D3695" s="37"/>
      <c r="E3695" s="37" t="s">
        <v>1974</v>
      </c>
      <c r="F3695" s="37" t="b">
        <v>0</v>
      </c>
      <c r="G3695" s="37">
        <v>200</v>
      </c>
      <c r="H3695" s="37" t="b">
        <v>1</v>
      </c>
    </row>
    <row r="3696" spans="1:9" ht="30" x14ac:dyDescent="0.25">
      <c r="A3696" s="54" t="s">
        <v>670</v>
      </c>
      <c r="B3696" s="31" t="s">
        <v>127</v>
      </c>
      <c r="C3696" s="28" t="s">
        <v>1975</v>
      </c>
      <c r="D3696" s="28"/>
      <c r="E3696" s="28" t="s">
        <v>1974</v>
      </c>
      <c r="F3696" s="28" t="b">
        <v>0</v>
      </c>
      <c r="G3696" s="28">
        <v>200</v>
      </c>
      <c r="H3696" s="28" t="b">
        <v>1</v>
      </c>
      <c r="I3696" s="34"/>
    </row>
    <row r="3697" spans="1:9" ht="30" x14ac:dyDescent="0.25">
      <c r="A3697" s="54" t="s">
        <v>670</v>
      </c>
      <c r="B3697" s="43" t="s">
        <v>135</v>
      </c>
      <c r="C3697" s="37" t="s">
        <v>1976</v>
      </c>
      <c r="D3697" s="37"/>
      <c r="E3697" s="37" t="s">
        <v>1974</v>
      </c>
      <c r="F3697" s="37" t="b">
        <v>0</v>
      </c>
      <c r="G3697" s="37">
        <v>200</v>
      </c>
      <c r="H3697" s="37" t="b">
        <v>1</v>
      </c>
    </row>
    <row r="3698" spans="1:9" ht="30" x14ac:dyDescent="0.25">
      <c r="A3698" s="54" t="s">
        <v>670</v>
      </c>
      <c r="B3698" s="31" t="s">
        <v>655</v>
      </c>
      <c r="C3698" s="28" t="s">
        <v>1977</v>
      </c>
      <c r="D3698" s="28"/>
      <c r="E3698" s="28" t="s">
        <v>1974</v>
      </c>
      <c r="F3698" s="28" t="b">
        <v>0</v>
      </c>
      <c r="G3698" s="28">
        <v>200</v>
      </c>
      <c r="H3698" s="28" t="b">
        <v>1</v>
      </c>
      <c r="I3698" s="34"/>
    </row>
    <row r="3699" spans="1:9" ht="30" x14ac:dyDescent="0.25">
      <c r="A3699" s="54" t="s">
        <v>670</v>
      </c>
      <c r="B3699" s="43" t="s">
        <v>635</v>
      </c>
      <c r="C3699" s="37" t="s">
        <v>1978</v>
      </c>
      <c r="D3699" s="37"/>
      <c r="E3699" s="37" t="s">
        <v>1974</v>
      </c>
      <c r="F3699" s="37" t="b">
        <v>0</v>
      </c>
      <c r="G3699" s="37">
        <v>200</v>
      </c>
      <c r="H3699" s="37" t="b">
        <v>1</v>
      </c>
    </row>
    <row r="3700" spans="1:9" ht="30" x14ac:dyDescent="0.25">
      <c r="A3700" s="54" t="s">
        <v>670</v>
      </c>
      <c r="B3700" s="31" t="s">
        <v>144</v>
      </c>
      <c r="C3700" s="28" t="s">
        <v>1979</v>
      </c>
      <c r="D3700" s="28"/>
      <c r="E3700" s="28" t="s">
        <v>1974</v>
      </c>
      <c r="F3700" s="28" t="b">
        <v>0</v>
      </c>
      <c r="G3700" s="28">
        <v>200</v>
      </c>
      <c r="H3700" s="28" t="b">
        <v>1</v>
      </c>
      <c r="I3700" s="34"/>
    </row>
    <row r="3701" spans="1:9" ht="30" x14ac:dyDescent="0.25">
      <c r="A3701" s="54" t="s">
        <v>670</v>
      </c>
      <c r="B3701" s="43" t="s">
        <v>618</v>
      </c>
      <c r="C3701" s="37" t="s">
        <v>1980</v>
      </c>
      <c r="D3701" s="37"/>
      <c r="E3701" s="37" t="s">
        <v>1974</v>
      </c>
      <c r="F3701" s="37" t="b">
        <v>0</v>
      </c>
      <c r="G3701" s="37">
        <v>200</v>
      </c>
      <c r="H3701" s="37" t="b">
        <v>1</v>
      </c>
    </row>
    <row r="3702" spans="1:9" ht="30" x14ac:dyDescent="0.25">
      <c r="A3702" s="54" t="s">
        <v>670</v>
      </c>
      <c r="B3702" s="31" t="s">
        <v>585</v>
      </c>
      <c r="C3702" s="28" t="s">
        <v>1981</v>
      </c>
      <c r="D3702" s="28"/>
      <c r="E3702" s="28" t="s">
        <v>1974</v>
      </c>
      <c r="F3702" s="28" t="b">
        <v>0</v>
      </c>
      <c r="G3702" s="28">
        <v>200</v>
      </c>
      <c r="H3702" s="28" t="b">
        <v>1</v>
      </c>
      <c r="I3702" s="34"/>
    </row>
    <row r="3703" spans="1:9" ht="30" x14ac:dyDescent="0.25">
      <c r="A3703" s="54" t="s">
        <v>670</v>
      </c>
      <c r="B3703" s="43" t="s">
        <v>582</v>
      </c>
      <c r="C3703" s="37" t="s">
        <v>1982</v>
      </c>
      <c r="D3703" s="37"/>
      <c r="E3703" s="37" t="s">
        <v>1974</v>
      </c>
      <c r="F3703" s="37" t="b">
        <v>0</v>
      </c>
      <c r="G3703" s="37">
        <v>200</v>
      </c>
      <c r="H3703" s="37" t="b">
        <v>1</v>
      </c>
    </row>
    <row r="3704" spans="1:9" ht="30" x14ac:dyDescent="0.25">
      <c r="A3704" s="54" t="s">
        <v>670</v>
      </c>
      <c r="B3704" s="31" t="s">
        <v>638</v>
      </c>
      <c r="C3704" s="28" t="s">
        <v>1983</v>
      </c>
      <c r="D3704" s="28"/>
      <c r="E3704" s="28" t="s">
        <v>1974</v>
      </c>
      <c r="F3704" s="28" t="b">
        <v>0</v>
      </c>
      <c r="G3704" s="28">
        <v>200</v>
      </c>
      <c r="H3704" s="28" t="b">
        <v>1</v>
      </c>
      <c r="I3704" s="34"/>
    </row>
    <row r="3705" spans="1:9" ht="30" x14ac:dyDescent="0.25">
      <c r="A3705" s="54" t="s">
        <v>670</v>
      </c>
      <c r="B3705" s="43" t="s">
        <v>638</v>
      </c>
      <c r="C3705" s="37" t="s">
        <v>1984</v>
      </c>
      <c r="D3705" s="37"/>
      <c r="E3705" s="37" t="s">
        <v>1974</v>
      </c>
      <c r="F3705" s="37" t="b">
        <v>0</v>
      </c>
      <c r="G3705" s="37">
        <v>200</v>
      </c>
      <c r="H3705" s="37" t="b">
        <v>1</v>
      </c>
    </row>
    <row r="3706" spans="1:9" ht="30" x14ac:dyDescent="0.25">
      <c r="A3706" s="54" t="s">
        <v>670</v>
      </c>
      <c r="B3706" s="31" t="s">
        <v>647</v>
      </c>
      <c r="C3706" s="28" t="s">
        <v>1985</v>
      </c>
      <c r="D3706" s="28"/>
      <c r="E3706" s="28" t="s">
        <v>1974</v>
      </c>
      <c r="F3706" s="28" t="b">
        <v>0</v>
      </c>
      <c r="G3706" s="28">
        <v>200</v>
      </c>
      <c r="H3706" s="28" t="b">
        <v>1</v>
      </c>
      <c r="I3706" s="34"/>
    </row>
    <row r="3707" spans="1:9" ht="30" x14ac:dyDescent="0.25">
      <c r="A3707" s="54" t="s">
        <v>670</v>
      </c>
      <c r="B3707" s="43" t="s">
        <v>503</v>
      </c>
      <c r="C3707" s="37" t="s">
        <v>1986</v>
      </c>
      <c r="D3707" s="37"/>
      <c r="E3707" s="37" t="s">
        <v>1974</v>
      </c>
      <c r="F3707" s="37" t="b">
        <v>0</v>
      </c>
      <c r="G3707" s="37">
        <v>200</v>
      </c>
      <c r="H3707" s="37" t="b">
        <v>1</v>
      </c>
    </row>
    <row r="3708" spans="1:9" ht="30" x14ac:dyDescent="0.25">
      <c r="A3708" s="54" t="s">
        <v>670</v>
      </c>
      <c r="B3708" s="31" t="s">
        <v>608</v>
      </c>
      <c r="C3708" s="28" t="s">
        <v>1987</v>
      </c>
      <c r="D3708" s="28"/>
      <c r="E3708" s="28" t="s">
        <v>1974</v>
      </c>
      <c r="F3708" s="28" t="b">
        <v>0</v>
      </c>
      <c r="G3708" s="28">
        <v>200</v>
      </c>
      <c r="H3708" s="28" t="b">
        <v>1</v>
      </c>
      <c r="I3708" s="34"/>
    </row>
    <row r="3709" spans="1:9" ht="30" x14ac:dyDescent="0.25">
      <c r="A3709" s="54" t="s">
        <v>670</v>
      </c>
      <c r="B3709" s="43" t="s">
        <v>2025</v>
      </c>
      <c r="C3709" s="37"/>
      <c r="D3709" s="37"/>
      <c r="E3709" s="37" t="s">
        <v>2012</v>
      </c>
      <c r="F3709" s="37" t="b">
        <v>0</v>
      </c>
      <c r="G3709" s="37"/>
      <c r="H3709" s="37" t="b">
        <v>1</v>
      </c>
    </row>
    <row r="3710" spans="1:9" ht="30" x14ac:dyDescent="0.25">
      <c r="A3710" s="54" t="s">
        <v>670</v>
      </c>
      <c r="B3710" s="31" t="s">
        <v>127</v>
      </c>
      <c r="C3710" s="28" t="s">
        <v>1975</v>
      </c>
      <c r="D3710" s="28"/>
      <c r="E3710" s="28" t="s">
        <v>1974</v>
      </c>
      <c r="F3710" s="28" t="b">
        <v>0</v>
      </c>
      <c r="G3710" s="28">
        <v>200</v>
      </c>
      <c r="H3710" s="28" t="b">
        <v>1</v>
      </c>
      <c r="I3710" s="34"/>
    </row>
    <row r="3711" spans="1:9" ht="30" x14ac:dyDescent="0.25">
      <c r="A3711" s="54" t="s">
        <v>670</v>
      </c>
      <c r="B3711" s="43" t="s">
        <v>135</v>
      </c>
      <c r="C3711" s="37" t="s">
        <v>1976</v>
      </c>
      <c r="D3711" s="37"/>
      <c r="E3711" s="37" t="s">
        <v>1974</v>
      </c>
      <c r="F3711" s="37" t="b">
        <v>0</v>
      </c>
      <c r="G3711" s="37">
        <v>200</v>
      </c>
      <c r="H3711" s="37" t="b">
        <v>1</v>
      </c>
    </row>
    <row r="3712" spans="1:9" ht="30" x14ac:dyDescent="0.25">
      <c r="A3712" s="54" t="s">
        <v>670</v>
      </c>
      <c r="B3712" s="31" t="s">
        <v>655</v>
      </c>
      <c r="C3712" s="28" t="s">
        <v>1977</v>
      </c>
      <c r="D3712" s="28"/>
      <c r="E3712" s="28" t="s">
        <v>1974</v>
      </c>
      <c r="F3712" s="28" t="b">
        <v>0</v>
      </c>
      <c r="G3712" s="28">
        <v>200</v>
      </c>
      <c r="H3712" s="28" t="b">
        <v>1</v>
      </c>
      <c r="I3712" s="34"/>
    </row>
    <row r="3713" spans="1:9" ht="30" x14ac:dyDescent="0.25">
      <c r="A3713" s="54" t="s">
        <v>670</v>
      </c>
      <c r="B3713" s="43" t="s">
        <v>635</v>
      </c>
      <c r="C3713" s="37" t="s">
        <v>1978</v>
      </c>
      <c r="D3713" s="37"/>
      <c r="E3713" s="37" t="s">
        <v>1974</v>
      </c>
      <c r="F3713" s="37" t="b">
        <v>0</v>
      </c>
      <c r="G3713" s="37">
        <v>200</v>
      </c>
      <c r="H3713" s="37" t="b">
        <v>1</v>
      </c>
    </row>
    <row r="3714" spans="1:9" ht="30" x14ac:dyDescent="0.25">
      <c r="A3714" s="54" t="s">
        <v>670</v>
      </c>
      <c r="B3714" s="31" t="s">
        <v>144</v>
      </c>
      <c r="C3714" s="28" t="s">
        <v>1979</v>
      </c>
      <c r="D3714" s="28"/>
      <c r="E3714" s="28" t="s">
        <v>1974</v>
      </c>
      <c r="F3714" s="28" t="b">
        <v>0</v>
      </c>
      <c r="G3714" s="28">
        <v>200</v>
      </c>
      <c r="H3714" s="28" t="b">
        <v>1</v>
      </c>
      <c r="I3714" s="34"/>
    </row>
    <row r="3715" spans="1:9" ht="30" x14ac:dyDescent="0.25">
      <c r="A3715" s="54" t="s">
        <v>670</v>
      </c>
      <c r="B3715" s="43" t="s">
        <v>618</v>
      </c>
      <c r="C3715" s="37" t="s">
        <v>1980</v>
      </c>
      <c r="D3715" s="37"/>
      <c r="E3715" s="37" t="s">
        <v>1974</v>
      </c>
      <c r="F3715" s="37" t="b">
        <v>0</v>
      </c>
      <c r="G3715" s="37">
        <v>200</v>
      </c>
      <c r="H3715" s="37" t="b">
        <v>1</v>
      </c>
    </row>
    <row r="3716" spans="1:9" ht="30" x14ac:dyDescent="0.25">
      <c r="A3716" s="54" t="s">
        <v>670</v>
      </c>
      <c r="B3716" s="31" t="s">
        <v>585</v>
      </c>
      <c r="C3716" s="28" t="s">
        <v>1981</v>
      </c>
      <c r="D3716" s="28"/>
      <c r="E3716" s="28" t="s">
        <v>1974</v>
      </c>
      <c r="F3716" s="28" t="b">
        <v>0</v>
      </c>
      <c r="G3716" s="28">
        <v>200</v>
      </c>
      <c r="H3716" s="28" t="b">
        <v>1</v>
      </c>
      <c r="I3716" s="34"/>
    </row>
    <row r="3717" spans="1:9" ht="30" x14ac:dyDescent="0.25">
      <c r="A3717" s="54" t="s">
        <v>670</v>
      </c>
      <c r="B3717" s="43" t="s">
        <v>582</v>
      </c>
      <c r="C3717" s="37" t="s">
        <v>1982</v>
      </c>
      <c r="D3717" s="37"/>
      <c r="E3717" s="37" t="s">
        <v>1974</v>
      </c>
      <c r="F3717" s="37" t="b">
        <v>0</v>
      </c>
      <c r="G3717" s="37">
        <v>200</v>
      </c>
      <c r="H3717" s="37" t="b">
        <v>1</v>
      </c>
    </row>
    <row r="3718" spans="1:9" ht="30" x14ac:dyDescent="0.25">
      <c r="A3718" s="54" t="s">
        <v>670</v>
      </c>
      <c r="B3718" s="31" t="s">
        <v>638</v>
      </c>
      <c r="C3718" s="28" t="s">
        <v>1983</v>
      </c>
      <c r="D3718" s="28"/>
      <c r="E3718" s="28" t="s">
        <v>1974</v>
      </c>
      <c r="F3718" s="28" t="b">
        <v>0</v>
      </c>
      <c r="G3718" s="28">
        <v>200</v>
      </c>
      <c r="H3718" s="28" t="b">
        <v>1</v>
      </c>
      <c r="I3718" s="34"/>
    </row>
    <row r="3719" spans="1:9" ht="30" x14ac:dyDescent="0.25">
      <c r="A3719" s="54" t="s">
        <v>670</v>
      </c>
      <c r="B3719" s="43" t="s">
        <v>638</v>
      </c>
      <c r="C3719" s="37" t="s">
        <v>1984</v>
      </c>
      <c r="D3719" s="37"/>
      <c r="E3719" s="37" t="s">
        <v>1974</v>
      </c>
      <c r="F3719" s="37" t="b">
        <v>0</v>
      </c>
      <c r="G3719" s="37">
        <v>200</v>
      </c>
      <c r="H3719" s="37" t="b">
        <v>1</v>
      </c>
    </row>
    <row r="3720" spans="1:9" ht="30" x14ac:dyDescent="0.25">
      <c r="A3720" s="54" t="s">
        <v>670</v>
      </c>
      <c r="B3720" s="31" t="s">
        <v>647</v>
      </c>
      <c r="C3720" s="28" t="s">
        <v>1985</v>
      </c>
      <c r="D3720" s="28"/>
      <c r="E3720" s="28" t="s">
        <v>1974</v>
      </c>
      <c r="F3720" s="28" t="b">
        <v>0</v>
      </c>
      <c r="G3720" s="28">
        <v>200</v>
      </c>
      <c r="H3720" s="28" t="b">
        <v>1</v>
      </c>
      <c r="I3720" s="34"/>
    </row>
    <row r="3721" spans="1:9" ht="30" x14ac:dyDescent="0.25">
      <c r="A3721" s="54" t="s">
        <v>670</v>
      </c>
      <c r="B3721" s="43" t="s">
        <v>503</v>
      </c>
      <c r="C3721" s="37" t="s">
        <v>1986</v>
      </c>
      <c r="D3721" s="37"/>
      <c r="E3721" s="37" t="s">
        <v>1974</v>
      </c>
      <c r="F3721" s="37" t="b">
        <v>0</v>
      </c>
      <c r="G3721" s="37">
        <v>200</v>
      </c>
      <c r="H3721" s="37" t="b">
        <v>1</v>
      </c>
    </row>
    <row r="3722" spans="1:9" ht="30" x14ac:dyDescent="0.25">
      <c r="A3722" s="54" t="s">
        <v>670</v>
      </c>
      <c r="B3722" s="31" t="s">
        <v>608</v>
      </c>
      <c r="C3722" s="28" t="s">
        <v>1987</v>
      </c>
      <c r="D3722" s="28"/>
      <c r="E3722" s="28" t="s">
        <v>1974</v>
      </c>
      <c r="F3722" s="28" t="b">
        <v>0</v>
      </c>
      <c r="G3722" s="28">
        <v>200</v>
      </c>
      <c r="H3722" s="28" t="b">
        <v>1</v>
      </c>
      <c r="I3722" s="34"/>
    </row>
    <row r="3723" spans="1:9" ht="30" x14ac:dyDescent="0.25">
      <c r="A3723" s="54" t="s">
        <v>670</v>
      </c>
      <c r="B3723" s="43" t="s">
        <v>127</v>
      </c>
      <c r="C3723" s="37" t="s">
        <v>1975</v>
      </c>
      <c r="D3723" s="37"/>
      <c r="E3723" s="37" t="s">
        <v>1974</v>
      </c>
      <c r="F3723" s="37" t="b">
        <v>0</v>
      </c>
      <c r="G3723" s="37">
        <v>200</v>
      </c>
      <c r="H3723" s="37" t="b">
        <v>1</v>
      </c>
    </row>
    <row r="3724" spans="1:9" ht="30" x14ac:dyDescent="0.25">
      <c r="A3724" s="54" t="s">
        <v>670</v>
      </c>
      <c r="B3724" s="31" t="s">
        <v>135</v>
      </c>
      <c r="C3724" s="28" t="s">
        <v>1976</v>
      </c>
      <c r="D3724" s="28"/>
      <c r="E3724" s="28" t="s">
        <v>1974</v>
      </c>
      <c r="F3724" s="28" t="b">
        <v>0</v>
      </c>
      <c r="G3724" s="28">
        <v>200</v>
      </c>
      <c r="H3724" s="28" t="b">
        <v>1</v>
      </c>
      <c r="I3724" s="34"/>
    </row>
    <row r="3725" spans="1:9" ht="30" x14ac:dyDescent="0.25">
      <c r="A3725" s="54" t="s">
        <v>670</v>
      </c>
      <c r="B3725" s="43" t="s">
        <v>655</v>
      </c>
      <c r="C3725" s="37" t="s">
        <v>1977</v>
      </c>
      <c r="D3725" s="37"/>
      <c r="E3725" s="37" t="s">
        <v>1974</v>
      </c>
      <c r="F3725" s="37" t="b">
        <v>0</v>
      </c>
      <c r="G3725" s="37">
        <v>200</v>
      </c>
      <c r="H3725" s="37" t="b">
        <v>1</v>
      </c>
    </row>
    <row r="3726" spans="1:9" ht="30" x14ac:dyDescent="0.25">
      <c r="A3726" s="54" t="s">
        <v>670</v>
      </c>
      <c r="B3726" s="31" t="s">
        <v>635</v>
      </c>
      <c r="C3726" s="28" t="s">
        <v>1978</v>
      </c>
      <c r="D3726" s="28"/>
      <c r="E3726" s="28" t="s">
        <v>1974</v>
      </c>
      <c r="F3726" s="28" t="b">
        <v>0</v>
      </c>
      <c r="G3726" s="28">
        <v>200</v>
      </c>
      <c r="H3726" s="28" t="b">
        <v>1</v>
      </c>
      <c r="I3726" s="34"/>
    </row>
    <row r="3727" spans="1:9" ht="30" x14ac:dyDescent="0.25">
      <c r="A3727" s="54" t="s">
        <v>670</v>
      </c>
      <c r="B3727" s="43" t="s">
        <v>144</v>
      </c>
      <c r="C3727" s="37" t="s">
        <v>1979</v>
      </c>
      <c r="D3727" s="37"/>
      <c r="E3727" s="37" t="s">
        <v>1974</v>
      </c>
      <c r="F3727" s="37" t="b">
        <v>0</v>
      </c>
      <c r="G3727" s="37">
        <v>200</v>
      </c>
      <c r="H3727" s="37" t="b">
        <v>1</v>
      </c>
    </row>
    <row r="3728" spans="1:9" ht="30" x14ac:dyDescent="0.25">
      <c r="A3728" s="54" t="s">
        <v>670</v>
      </c>
      <c r="B3728" s="31" t="s">
        <v>618</v>
      </c>
      <c r="C3728" s="28" t="s">
        <v>1980</v>
      </c>
      <c r="D3728" s="28"/>
      <c r="E3728" s="28" t="s">
        <v>1974</v>
      </c>
      <c r="F3728" s="28" t="b">
        <v>0</v>
      </c>
      <c r="G3728" s="28">
        <v>200</v>
      </c>
      <c r="H3728" s="28" t="b">
        <v>1</v>
      </c>
      <c r="I3728" s="34"/>
    </row>
    <row r="3729" spans="1:9" ht="30" x14ac:dyDescent="0.25">
      <c r="A3729" s="54" t="s">
        <v>670</v>
      </c>
      <c r="B3729" s="43" t="s">
        <v>585</v>
      </c>
      <c r="C3729" s="37" t="s">
        <v>1981</v>
      </c>
      <c r="D3729" s="37"/>
      <c r="E3729" s="37" t="s">
        <v>1974</v>
      </c>
      <c r="F3729" s="37" t="b">
        <v>0</v>
      </c>
      <c r="G3729" s="37">
        <v>200</v>
      </c>
      <c r="H3729" s="37" t="b">
        <v>1</v>
      </c>
    </row>
    <row r="3730" spans="1:9" ht="30" x14ac:dyDescent="0.25">
      <c r="A3730" s="54" t="s">
        <v>670</v>
      </c>
      <c r="B3730" s="31" t="s">
        <v>582</v>
      </c>
      <c r="C3730" s="28" t="s">
        <v>1982</v>
      </c>
      <c r="D3730" s="28"/>
      <c r="E3730" s="28" t="s">
        <v>1974</v>
      </c>
      <c r="F3730" s="28" t="b">
        <v>0</v>
      </c>
      <c r="G3730" s="28">
        <v>200</v>
      </c>
      <c r="H3730" s="28" t="b">
        <v>1</v>
      </c>
      <c r="I3730" s="34"/>
    </row>
    <row r="3731" spans="1:9" ht="30" x14ac:dyDescent="0.25">
      <c r="A3731" s="54" t="s">
        <v>670</v>
      </c>
      <c r="B3731" s="43" t="s">
        <v>638</v>
      </c>
      <c r="C3731" s="37" t="s">
        <v>1983</v>
      </c>
      <c r="D3731" s="37"/>
      <c r="E3731" s="37" t="s">
        <v>1974</v>
      </c>
      <c r="F3731" s="37" t="b">
        <v>0</v>
      </c>
      <c r="G3731" s="37">
        <v>200</v>
      </c>
      <c r="H3731" s="37" t="b">
        <v>1</v>
      </c>
    </row>
    <row r="3732" spans="1:9" ht="30" x14ac:dyDescent="0.25">
      <c r="A3732" s="54" t="s">
        <v>670</v>
      </c>
      <c r="B3732" s="31" t="s">
        <v>638</v>
      </c>
      <c r="C3732" s="28" t="s">
        <v>1984</v>
      </c>
      <c r="D3732" s="28"/>
      <c r="E3732" s="28" t="s">
        <v>1974</v>
      </c>
      <c r="F3732" s="28" t="b">
        <v>0</v>
      </c>
      <c r="G3732" s="28">
        <v>200</v>
      </c>
      <c r="H3732" s="28" t="b">
        <v>1</v>
      </c>
      <c r="I3732" s="34"/>
    </row>
    <row r="3733" spans="1:9" ht="30" x14ac:dyDescent="0.25">
      <c r="A3733" s="54" t="s">
        <v>670</v>
      </c>
      <c r="B3733" s="43" t="s">
        <v>647</v>
      </c>
      <c r="C3733" s="37" t="s">
        <v>1985</v>
      </c>
      <c r="D3733" s="37"/>
      <c r="E3733" s="37" t="s">
        <v>1974</v>
      </c>
      <c r="F3733" s="37" t="b">
        <v>0</v>
      </c>
      <c r="G3733" s="37">
        <v>200</v>
      </c>
      <c r="H3733" s="37" t="b">
        <v>1</v>
      </c>
    </row>
    <row r="3734" spans="1:9" ht="30" x14ac:dyDescent="0.25">
      <c r="A3734" s="54" t="s">
        <v>670</v>
      </c>
      <c r="B3734" s="31" t="s">
        <v>503</v>
      </c>
      <c r="C3734" s="28" t="s">
        <v>1986</v>
      </c>
      <c r="D3734" s="28"/>
      <c r="E3734" s="28" t="s">
        <v>1974</v>
      </c>
      <c r="F3734" s="28" t="b">
        <v>0</v>
      </c>
      <c r="G3734" s="28">
        <v>200</v>
      </c>
      <c r="H3734" s="28" t="b">
        <v>1</v>
      </c>
      <c r="I3734" s="34"/>
    </row>
    <row r="3735" spans="1:9" ht="30" x14ac:dyDescent="0.25">
      <c r="A3735" s="54" t="s">
        <v>670</v>
      </c>
      <c r="B3735" s="43" t="s">
        <v>608</v>
      </c>
      <c r="C3735" s="37" t="s">
        <v>1987</v>
      </c>
      <c r="D3735" s="37"/>
      <c r="E3735" s="37" t="s">
        <v>1974</v>
      </c>
      <c r="F3735" s="37" t="b">
        <v>0</v>
      </c>
      <c r="G3735" s="37">
        <v>200</v>
      </c>
      <c r="H3735" s="37" t="b">
        <v>1</v>
      </c>
    </row>
    <row r="3736" spans="1:9" ht="30" x14ac:dyDescent="0.25">
      <c r="A3736" s="54" t="s">
        <v>670</v>
      </c>
      <c r="B3736" s="31" t="s">
        <v>3014</v>
      </c>
      <c r="C3736" s="28" t="s">
        <v>3015</v>
      </c>
      <c r="D3736" s="28"/>
      <c r="E3736" s="28" t="s">
        <v>2012</v>
      </c>
      <c r="F3736" s="28" t="b">
        <v>0</v>
      </c>
      <c r="G3736" s="28"/>
      <c r="H3736" s="28" t="b">
        <v>1</v>
      </c>
      <c r="I3736" s="34"/>
    </row>
    <row r="3737" spans="1:9" ht="30" x14ac:dyDescent="0.25">
      <c r="A3737" s="54" t="s">
        <v>670</v>
      </c>
      <c r="B3737" s="43" t="s">
        <v>647</v>
      </c>
      <c r="C3737" s="37" t="s">
        <v>2010</v>
      </c>
      <c r="D3737" s="37"/>
      <c r="E3737" s="37" t="s">
        <v>1974</v>
      </c>
      <c r="F3737" s="37" t="b">
        <v>0</v>
      </c>
      <c r="G3737" s="37">
        <v>200</v>
      </c>
      <c r="H3737" s="37" t="b">
        <v>1</v>
      </c>
    </row>
    <row r="3738" spans="1:9" ht="30" x14ac:dyDescent="0.25">
      <c r="A3738" s="54" t="s">
        <v>670</v>
      </c>
      <c r="B3738" s="31" t="s">
        <v>2011</v>
      </c>
      <c r="C3738" s="28"/>
      <c r="D3738" s="28"/>
      <c r="E3738" s="28" t="s">
        <v>2012</v>
      </c>
      <c r="F3738" s="28" t="b">
        <v>0</v>
      </c>
      <c r="G3738" s="28"/>
      <c r="H3738" s="28" t="b">
        <v>1</v>
      </c>
      <c r="I3738" s="34"/>
    </row>
    <row r="3739" spans="1:9" ht="30" x14ac:dyDescent="0.25">
      <c r="A3739" s="54" t="s">
        <v>670</v>
      </c>
      <c r="B3739" s="43" t="s">
        <v>2013</v>
      </c>
      <c r="C3739" s="37"/>
      <c r="D3739" s="37"/>
      <c r="E3739" s="37" t="s">
        <v>2012</v>
      </c>
      <c r="F3739" s="37" t="b">
        <v>0</v>
      </c>
      <c r="G3739" s="37"/>
      <c r="H3739" s="37" t="b">
        <v>1</v>
      </c>
    </row>
    <row r="3740" spans="1:9" ht="30" x14ac:dyDescent="0.25">
      <c r="A3740" s="54" t="s">
        <v>670</v>
      </c>
      <c r="B3740" s="31" t="s">
        <v>641</v>
      </c>
      <c r="C3740" s="28" t="s">
        <v>2014</v>
      </c>
      <c r="D3740" s="28"/>
      <c r="E3740" s="28" t="s">
        <v>1974</v>
      </c>
      <c r="F3740" s="28" t="b">
        <v>0</v>
      </c>
      <c r="G3740" s="28">
        <v>200</v>
      </c>
      <c r="H3740" s="28" t="b">
        <v>1</v>
      </c>
      <c r="I3740" s="34"/>
    </row>
    <row r="3741" spans="1:9" ht="30" x14ac:dyDescent="0.25">
      <c r="A3741" s="54" t="s">
        <v>670</v>
      </c>
      <c r="B3741" s="43" t="s">
        <v>2015</v>
      </c>
      <c r="C3741" s="37" t="s">
        <v>2016</v>
      </c>
      <c r="D3741" s="37"/>
      <c r="E3741" s="37" t="s">
        <v>1974</v>
      </c>
      <c r="F3741" s="37" t="b">
        <v>0</v>
      </c>
      <c r="G3741" s="37">
        <v>404</v>
      </c>
      <c r="H3741" s="37" t="b">
        <v>0</v>
      </c>
    </row>
    <row r="3742" spans="1:9" ht="30" x14ac:dyDescent="0.25">
      <c r="A3742" s="54" t="s">
        <v>670</v>
      </c>
      <c r="B3742" s="31" t="s">
        <v>2015</v>
      </c>
      <c r="C3742" s="28" t="s">
        <v>2017</v>
      </c>
      <c r="D3742" s="28"/>
      <c r="E3742" s="28" t="s">
        <v>1974</v>
      </c>
      <c r="F3742" s="28" t="b">
        <v>0</v>
      </c>
      <c r="G3742" s="28">
        <v>404</v>
      </c>
      <c r="H3742" s="28" t="b">
        <v>0</v>
      </c>
      <c r="I3742" s="34"/>
    </row>
    <row r="3743" spans="1:9" ht="30" x14ac:dyDescent="0.25">
      <c r="A3743" s="54" t="s">
        <v>667</v>
      </c>
      <c r="B3743" s="43" t="s">
        <v>127</v>
      </c>
      <c r="C3743" s="37"/>
      <c r="D3743" s="37"/>
      <c r="E3743" s="37" t="s">
        <v>1974</v>
      </c>
      <c r="F3743" s="37" t="b">
        <v>0</v>
      </c>
      <c r="G3743" s="37">
        <v>200</v>
      </c>
      <c r="H3743" s="37" t="b">
        <v>1</v>
      </c>
    </row>
    <row r="3744" spans="1:9" ht="30" x14ac:dyDescent="0.25">
      <c r="A3744" s="54" t="s">
        <v>667</v>
      </c>
      <c r="B3744" s="31" t="s">
        <v>127</v>
      </c>
      <c r="C3744" s="28" t="s">
        <v>1975</v>
      </c>
      <c r="D3744" s="28"/>
      <c r="E3744" s="28" t="s">
        <v>1974</v>
      </c>
      <c r="F3744" s="28" t="b">
        <v>0</v>
      </c>
      <c r="G3744" s="28">
        <v>200</v>
      </c>
      <c r="H3744" s="28" t="b">
        <v>1</v>
      </c>
      <c r="I3744" s="34"/>
    </row>
    <row r="3745" spans="1:9" ht="30" x14ac:dyDescent="0.25">
      <c r="A3745" s="54" t="s">
        <v>667</v>
      </c>
      <c r="B3745" s="43" t="s">
        <v>135</v>
      </c>
      <c r="C3745" s="37" t="s">
        <v>1976</v>
      </c>
      <c r="D3745" s="37"/>
      <c r="E3745" s="37" t="s">
        <v>1974</v>
      </c>
      <c r="F3745" s="37" t="b">
        <v>0</v>
      </c>
      <c r="G3745" s="37">
        <v>200</v>
      </c>
      <c r="H3745" s="37" t="b">
        <v>1</v>
      </c>
    </row>
    <row r="3746" spans="1:9" ht="30" x14ac:dyDescent="0.25">
      <c r="A3746" s="54" t="s">
        <v>667</v>
      </c>
      <c r="B3746" s="31" t="s">
        <v>655</v>
      </c>
      <c r="C3746" s="28" t="s">
        <v>1977</v>
      </c>
      <c r="D3746" s="28"/>
      <c r="E3746" s="28" t="s">
        <v>1974</v>
      </c>
      <c r="F3746" s="28" t="b">
        <v>0</v>
      </c>
      <c r="G3746" s="28">
        <v>200</v>
      </c>
      <c r="H3746" s="28" t="b">
        <v>1</v>
      </c>
      <c r="I3746" s="34"/>
    </row>
    <row r="3747" spans="1:9" ht="30" x14ac:dyDescent="0.25">
      <c r="A3747" s="54" t="s">
        <v>667</v>
      </c>
      <c r="B3747" s="43" t="s">
        <v>635</v>
      </c>
      <c r="C3747" s="37" t="s">
        <v>1978</v>
      </c>
      <c r="D3747" s="37"/>
      <c r="E3747" s="37" t="s">
        <v>1974</v>
      </c>
      <c r="F3747" s="37" t="b">
        <v>0</v>
      </c>
      <c r="G3747" s="37">
        <v>200</v>
      </c>
      <c r="H3747" s="37" t="b">
        <v>1</v>
      </c>
    </row>
    <row r="3748" spans="1:9" ht="30" x14ac:dyDescent="0.25">
      <c r="A3748" s="54" t="s">
        <v>667</v>
      </c>
      <c r="B3748" s="31" t="s">
        <v>144</v>
      </c>
      <c r="C3748" s="28" t="s">
        <v>1979</v>
      </c>
      <c r="D3748" s="28"/>
      <c r="E3748" s="28" t="s">
        <v>1974</v>
      </c>
      <c r="F3748" s="28" t="b">
        <v>0</v>
      </c>
      <c r="G3748" s="28">
        <v>200</v>
      </c>
      <c r="H3748" s="28" t="b">
        <v>1</v>
      </c>
      <c r="I3748" s="34"/>
    </row>
    <row r="3749" spans="1:9" ht="30" x14ac:dyDescent="0.25">
      <c r="A3749" s="54" t="s">
        <v>667</v>
      </c>
      <c r="B3749" s="43" t="s">
        <v>618</v>
      </c>
      <c r="C3749" s="37" t="s">
        <v>1980</v>
      </c>
      <c r="D3749" s="37"/>
      <c r="E3749" s="37" t="s">
        <v>1974</v>
      </c>
      <c r="F3749" s="37" t="b">
        <v>0</v>
      </c>
      <c r="G3749" s="37">
        <v>200</v>
      </c>
      <c r="H3749" s="37" t="b">
        <v>1</v>
      </c>
    </row>
    <row r="3750" spans="1:9" ht="30" x14ac:dyDescent="0.25">
      <c r="A3750" s="54" t="s">
        <v>667</v>
      </c>
      <c r="B3750" s="31" t="s">
        <v>585</v>
      </c>
      <c r="C3750" s="28" t="s">
        <v>1981</v>
      </c>
      <c r="D3750" s="28"/>
      <c r="E3750" s="28" t="s">
        <v>1974</v>
      </c>
      <c r="F3750" s="28" t="b">
        <v>0</v>
      </c>
      <c r="G3750" s="28">
        <v>200</v>
      </c>
      <c r="H3750" s="28" t="b">
        <v>1</v>
      </c>
      <c r="I3750" s="34"/>
    </row>
    <row r="3751" spans="1:9" ht="30" x14ac:dyDescent="0.25">
      <c r="A3751" s="54" t="s">
        <v>667</v>
      </c>
      <c r="B3751" s="43" t="s">
        <v>582</v>
      </c>
      <c r="C3751" s="37" t="s">
        <v>1982</v>
      </c>
      <c r="D3751" s="37"/>
      <c r="E3751" s="37" t="s">
        <v>1974</v>
      </c>
      <c r="F3751" s="37" t="b">
        <v>0</v>
      </c>
      <c r="G3751" s="37">
        <v>200</v>
      </c>
      <c r="H3751" s="37" t="b">
        <v>1</v>
      </c>
    </row>
    <row r="3752" spans="1:9" ht="30" x14ac:dyDescent="0.25">
      <c r="A3752" s="54" t="s">
        <v>667</v>
      </c>
      <c r="B3752" s="31" t="s">
        <v>638</v>
      </c>
      <c r="C3752" s="28" t="s">
        <v>1983</v>
      </c>
      <c r="D3752" s="28"/>
      <c r="E3752" s="28" t="s">
        <v>1974</v>
      </c>
      <c r="F3752" s="28" t="b">
        <v>0</v>
      </c>
      <c r="G3752" s="28">
        <v>200</v>
      </c>
      <c r="H3752" s="28" t="b">
        <v>1</v>
      </c>
      <c r="I3752" s="34"/>
    </row>
    <row r="3753" spans="1:9" ht="30" x14ac:dyDescent="0.25">
      <c r="A3753" s="54" t="s">
        <v>667</v>
      </c>
      <c r="B3753" s="43" t="s">
        <v>638</v>
      </c>
      <c r="C3753" s="37" t="s">
        <v>1984</v>
      </c>
      <c r="D3753" s="37"/>
      <c r="E3753" s="37" t="s">
        <v>1974</v>
      </c>
      <c r="F3753" s="37" t="b">
        <v>0</v>
      </c>
      <c r="G3753" s="37">
        <v>200</v>
      </c>
      <c r="H3753" s="37" t="b">
        <v>1</v>
      </c>
    </row>
    <row r="3754" spans="1:9" ht="30" x14ac:dyDescent="0.25">
      <c r="A3754" s="54" t="s">
        <v>667</v>
      </c>
      <c r="B3754" s="31" t="s">
        <v>647</v>
      </c>
      <c r="C3754" s="28" t="s">
        <v>1985</v>
      </c>
      <c r="D3754" s="28"/>
      <c r="E3754" s="28" t="s">
        <v>1974</v>
      </c>
      <c r="F3754" s="28" t="b">
        <v>0</v>
      </c>
      <c r="G3754" s="28">
        <v>200</v>
      </c>
      <c r="H3754" s="28" t="b">
        <v>1</v>
      </c>
      <c r="I3754" s="34"/>
    </row>
    <row r="3755" spans="1:9" ht="30" x14ac:dyDescent="0.25">
      <c r="A3755" s="54" t="s">
        <v>667</v>
      </c>
      <c r="B3755" s="43" t="s">
        <v>503</v>
      </c>
      <c r="C3755" s="37" t="s">
        <v>1986</v>
      </c>
      <c r="D3755" s="37"/>
      <c r="E3755" s="37" t="s">
        <v>1974</v>
      </c>
      <c r="F3755" s="37" t="b">
        <v>0</v>
      </c>
      <c r="G3755" s="37">
        <v>200</v>
      </c>
      <c r="H3755" s="37" t="b">
        <v>1</v>
      </c>
    </row>
    <row r="3756" spans="1:9" ht="30" x14ac:dyDescent="0.25">
      <c r="A3756" s="54" t="s">
        <v>667</v>
      </c>
      <c r="B3756" s="31" t="s">
        <v>608</v>
      </c>
      <c r="C3756" s="28" t="s">
        <v>1987</v>
      </c>
      <c r="D3756" s="28"/>
      <c r="E3756" s="28" t="s">
        <v>1974</v>
      </c>
      <c r="F3756" s="28" t="b">
        <v>0</v>
      </c>
      <c r="G3756" s="28">
        <v>200</v>
      </c>
      <c r="H3756" s="28" t="b">
        <v>1</v>
      </c>
      <c r="I3756" s="34"/>
    </row>
    <row r="3757" spans="1:9" ht="30" x14ac:dyDescent="0.25">
      <c r="A3757" s="54" t="s">
        <v>667</v>
      </c>
      <c r="B3757" s="43" t="s">
        <v>127</v>
      </c>
      <c r="C3757" s="37" t="s">
        <v>1975</v>
      </c>
      <c r="D3757" s="37"/>
      <c r="E3757" s="37" t="s">
        <v>1974</v>
      </c>
      <c r="F3757" s="37" t="b">
        <v>0</v>
      </c>
      <c r="G3757" s="37">
        <v>200</v>
      </c>
      <c r="H3757" s="37" t="b">
        <v>1</v>
      </c>
    </row>
    <row r="3758" spans="1:9" ht="30" x14ac:dyDescent="0.25">
      <c r="A3758" s="54" t="s">
        <v>667</v>
      </c>
      <c r="B3758" s="31" t="s">
        <v>135</v>
      </c>
      <c r="C3758" s="28" t="s">
        <v>1976</v>
      </c>
      <c r="D3758" s="28"/>
      <c r="E3758" s="28" t="s">
        <v>1974</v>
      </c>
      <c r="F3758" s="28" t="b">
        <v>0</v>
      </c>
      <c r="G3758" s="28">
        <v>200</v>
      </c>
      <c r="H3758" s="28" t="b">
        <v>1</v>
      </c>
      <c r="I3758" s="34"/>
    </row>
    <row r="3759" spans="1:9" ht="30" x14ac:dyDescent="0.25">
      <c r="A3759" s="54" t="s">
        <v>667</v>
      </c>
      <c r="B3759" s="43" t="s">
        <v>655</v>
      </c>
      <c r="C3759" s="37" t="s">
        <v>1977</v>
      </c>
      <c r="D3759" s="37"/>
      <c r="E3759" s="37" t="s">
        <v>1974</v>
      </c>
      <c r="F3759" s="37" t="b">
        <v>0</v>
      </c>
      <c r="G3759" s="37">
        <v>200</v>
      </c>
      <c r="H3759" s="37" t="b">
        <v>1</v>
      </c>
    </row>
    <row r="3760" spans="1:9" ht="30" x14ac:dyDescent="0.25">
      <c r="A3760" s="54" t="s">
        <v>667</v>
      </c>
      <c r="B3760" s="31" t="s">
        <v>635</v>
      </c>
      <c r="C3760" s="28" t="s">
        <v>1978</v>
      </c>
      <c r="D3760" s="28"/>
      <c r="E3760" s="28" t="s">
        <v>1974</v>
      </c>
      <c r="F3760" s="28" t="b">
        <v>0</v>
      </c>
      <c r="G3760" s="28">
        <v>200</v>
      </c>
      <c r="H3760" s="28" t="b">
        <v>1</v>
      </c>
      <c r="I3760" s="34"/>
    </row>
    <row r="3761" spans="1:9" ht="30" x14ac:dyDescent="0.25">
      <c r="A3761" s="54" t="s">
        <v>667</v>
      </c>
      <c r="B3761" s="43" t="s">
        <v>144</v>
      </c>
      <c r="C3761" s="37" t="s">
        <v>1979</v>
      </c>
      <c r="D3761" s="37"/>
      <c r="E3761" s="37" t="s">
        <v>1974</v>
      </c>
      <c r="F3761" s="37" t="b">
        <v>0</v>
      </c>
      <c r="G3761" s="37">
        <v>200</v>
      </c>
      <c r="H3761" s="37" t="b">
        <v>1</v>
      </c>
    </row>
    <row r="3762" spans="1:9" ht="30" x14ac:dyDescent="0.25">
      <c r="A3762" s="54" t="s">
        <v>667</v>
      </c>
      <c r="B3762" s="31" t="s">
        <v>618</v>
      </c>
      <c r="C3762" s="28" t="s">
        <v>1980</v>
      </c>
      <c r="D3762" s="28"/>
      <c r="E3762" s="28" t="s">
        <v>1974</v>
      </c>
      <c r="F3762" s="28" t="b">
        <v>0</v>
      </c>
      <c r="G3762" s="28">
        <v>200</v>
      </c>
      <c r="H3762" s="28" t="b">
        <v>1</v>
      </c>
      <c r="I3762" s="34"/>
    </row>
    <row r="3763" spans="1:9" ht="30" x14ac:dyDescent="0.25">
      <c r="A3763" s="54" t="s">
        <v>667</v>
      </c>
      <c r="B3763" s="43" t="s">
        <v>585</v>
      </c>
      <c r="C3763" s="37" t="s">
        <v>1981</v>
      </c>
      <c r="D3763" s="37"/>
      <c r="E3763" s="37" t="s">
        <v>1974</v>
      </c>
      <c r="F3763" s="37" t="b">
        <v>0</v>
      </c>
      <c r="G3763" s="37">
        <v>200</v>
      </c>
      <c r="H3763" s="37" t="b">
        <v>1</v>
      </c>
    </row>
    <row r="3764" spans="1:9" ht="30" x14ac:dyDescent="0.25">
      <c r="A3764" s="54" t="s">
        <v>667</v>
      </c>
      <c r="B3764" s="31" t="s">
        <v>582</v>
      </c>
      <c r="C3764" s="28" t="s">
        <v>1982</v>
      </c>
      <c r="D3764" s="28"/>
      <c r="E3764" s="28" t="s">
        <v>1974</v>
      </c>
      <c r="F3764" s="28" t="b">
        <v>0</v>
      </c>
      <c r="G3764" s="28">
        <v>200</v>
      </c>
      <c r="H3764" s="28" t="b">
        <v>1</v>
      </c>
      <c r="I3764" s="34"/>
    </row>
    <row r="3765" spans="1:9" ht="30" x14ac:dyDescent="0.25">
      <c r="A3765" s="54" t="s">
        <v>667</v>
      </c>
      <c r="B3765" s="43" t="s">
        <v>638</v>
      </c>
      <c r="C3765" s="37" t="s">
        <v>1983</v>
      </c>
      <c r="D3765" s="37"/>
      <c r="E3765" s="37" t="s">
        <v>1974</v>
      </c>
      <c r="F3765" s="37" t="b">
        <v>0</v>
      </c>
      <c r="G3765" s="37">
        <v>200</v>
      </c>
      <c r="H3765" s="37" t="b">
        <v>1</v>
      </c>
    </row>
    <row r="3766" spans="1:9" ht="30" x14ac:dyDescent="0.25">
      <c r="A3766" s="54" t="s">
        <v>667</v>
      </c>
      <c r="B3766" s="31" t="s">
        <v>638</v>
      </c>
      <c r="C3766" s="28" t="s">
        <v>1984</v>
      </c>
      <c r="D3766" s="28"/>
      <c r="E3766" s="28" t="s">
        <v>1974</v>
      </c>
      <c r="F3766" s="28" t="b">
        <v>0</v>
      </c>
      <c r="G3766" s="28">
        <v>200</v>
      </c>
      <c r="H3766" s="28" t="b">
        <v>1</v>
      </c>
      <c r="I3766" s="34"/>
    </row>
    <row r="3767" spans="1:9" ht="30" x14ac:dyDescent="0.25">
      <c r="A3767" s="54" t="s">
        <v>667</v>
      </c>
      <c r="B3767" s="43" t="s">
        <v>647</v>
      </c>
      <c r="C3767" s="37" t="s">
        <v>1985</v>
      </c>
      <c r="D3767" s="37"/>
      <c r="E3767" s="37" t="s">
        <v>1974</v>
      </c>
      <c r="F3767" s="37" t="b">
        <v>0</v>
      </c>
      <c r="G3767" s="37">
        <v>200</v>
      </c>
      <c r="H3767" s="37" t="b">
        <v>1</v>
      </c>
    </row>
    <row r="3768" spans="1:9" ht="30" x14ac:dyDescent="0.25">
      <c r="A3768" s="54" t="s">
        <v>667</v>
      </c>
      <c r="B3768" s="31" t="s">
        <v>503</v>
      </c>
      <c r="C3768" s="28" t="s">
        <v>1986</v>
      </c>
      <c r="D3768" s="28"/>
      <c r="E3768" s="28" t="s">
        <v>1974</v>
      </c>
      <c r="F3768" s="28" t="b">
        <v>0</v>
      </c>
      <c r="G3768" s="28">
        <v>200</v>
      </c>
      <c r="H3768" s="28" t="b">
        <v>1</v>
      </c>
      <c r="I3768" s="34"/>
    </row>
    <row r="3769" spans="1:9" ht="30" x14ac:dyDescent="0.25">
      <c r="A3769" s="54" t="s">
        <v>667</v>
      </c>
      <c r="B3769" s="43" t="s">
        <v>608</v>
      </c>
      <c r="C3769" s="37" t="s">
        <v>1987</v>
      </c>
      <c r="D3769" s="37"/>
      <c r="E3769" s="37" t="s">
        <v>1974</v>
      </c>
      <c r="F3769" s="37" t="b">
        <v>0</v>
      </c>
      <c r="G3769" s="37">
        <v>200</v>
      </c>
      <c r="H3769" s="37" t="b">
        <v>1</v>
      </c>
    </row>
    <row r="3770" spans="1:9" ht="30" x14ac:dyDescent="0.25">
      <c r="A3770" s="54" t="s">
        <v>667</v>
      </c>
      <c r="B3770" s="31" t="s">
        <v>2025</v>
      </c>
      <c r="C3770" s="28"/>
      <c r="D3770" s="28"/>
      <c r="E3770" s="28" t="s">
        <v>2012</v>
      </c>
      <c r="F3770" s="28" t="b">
        <v>0</v>
      </c>
      <c r="G3770" s="28"/>
      <c r="H3770" s="28" t="b">
        <v>1</v>
      </c>
      <c r="I3770" s="34"/>
    </row>
    <row r="3771" spans="1:9" ht="30" x14ac:dyDescent="0.25">
      <c r="A3771" s="54" t="s">
        <v>667</v>
      </c>
      <c r="B3771" s="43" t="s">
        <v>127</v>
      </c>
      <c r="C3771" s="37" t="s">
        <v>1975</v>
      </c>
      <c r="D3771" s="37"/>
      <c r="E3771" s="37" t="s">
        <v>1974</v>
      </c>
      <c r="F3771" s="37" t="b">
        <v>0</v>
      </c>
      <c r="G3771" s="37">
        <v>200</v>
      </c>
      <c r="H3771" s="37" t="b">
        <v>1</v>
      </c>
    </row>
    <row r="3772" spans="1:9" ht="30" x14ac:dyDescent="0.25">
      <c r="A3772" s="54" t="s">
        <v>667</v>
      </c>
      <c r="B3772" s="31" t="s">
        <v>135</v>
      </c>
      <c r="C3772" s="28" t="s">
        <v>1976</v>
      </c>
      <c r="D3772" s="28"/>
      <c r="E3772" s="28" t="s">
        <v>1974</v>
      </c>
      <c r="F3772" s="28" t="b">
        <v>0</v>
      </c>
      <c r="G3772" s="28">
        <v>200</v>
      </c>
      <c r="H3772" s="28" t="b">
        <v>1</v>
      </c>
      <c r="I3772" s="34"/>
    </row>
    <row r="3773" spans="1:9" ht="30" x14ac:dyDescent="0.25">
      <c r="A3773" s="54" t="s">
        <v>667</v>
      </c>
      <c r="B3773" s="43" t="s">
        <v>655</v>
      </c>
      <c r="C3773" s="37" t="s">
        <v>1977</v>
      </c>
      <c r="D3773" s="37"/>
      <c r="E3773" s="37" t="s">
        <v>1974</v>
      </c>
      <c r="F3773" s="37" t="b">
        <v>0</v>
      </c>
      <c r="G3773" s="37">
        <v>200</v>
      </c>
      <c r="H3773" s="37" t="b">
        <v>1</v>
      </c>
    </row>
    <row r="3774" spans="1:9" ht="30" x14ac:dyDescent="0.25">
      <c r="A3774" s="54" t="s">
        <v>667</v>
      </c>
      <c r="B3774" s="31" t="s">
        <v>635</v>
      </c>
      <c r="C3774" s="28" t="s">
        <v>1978</v>
      </c>
      <c r="D3774" s="28"/>
      <c r="E3774" s="28" t="s">
        <v>1974</v>
      </c>
      <c r="F3774" s="28" t="b">
        <v>0</v>
      </c>
      <c r="G3774" s="28">
        <v>200</v>
      </c>
      <c r="H3774" s="28" t="b">
        <v>1</v>
      </c>
      <c r="I3774" s="34"/>
    </row>
    <row r="3775" spans="1:9" ht="30" x14ac:dyDescent="0.25">
      <c r="A3775" s="54" t="s">
        <v>667</v>
      </c>
      <c r="B3775" s="43" t="s">
        <v>144</v>
      </c>
      <c r="C3775" s="37" t="s">
        <v>1979</v>
      </c>
      <c r="D3775" s="37"/>
      <c r="E3775" s="37" t="s">
        <v>1974</v>
      </c>
      <c r="F3775" s="37" t="b">
        <v>0</v>
      </c>
      <c r="G3775" s="37">
        <v>200</v>
      </c>
      <c r="H3775" s="37" t="b">
        <v>1</v>
      </c>
    </row>
    <row r="3776" spans="1:9" ht="30" x14ac:dyDescent="0.25">
      <c r="A3776" s="54" t="s">
        <v>667</v>
      </c>
      <c r="B3776" s="31" t="s">
        <v>618</v>
      </c>
      <c r="C3776" s="28" t="s">
        <v>1980</v>
      </c>
      <c r="D3776" s="28"/>
      <c r="E3776" s="28" t="s">
        <v>1974</v>
      </c>
      <c r="F3776" s="28" t="b">
        <v>0</v>
      </c>
      <c r="G3776" s="28">
        <v>200</v>
      </c>
      <c r="H3776" s="28" t="b">
        <v>1</v>
      </c>
      <c r="I3776" s="34"/>
    </row>
    <row r="3777" spans="1:9" ht="30" x14ac:dyDescent="0.25">
      <c r="A3777" s="54" t="s">
        <v>667</v>
      </c>
      <c r="B3777" s="43" t="s">
        <v>585</v>
      </c>
      <c r="C3777" s="37" t="s">
        <v>1981</v>
      </c>
      <c r="D3777" s="37"/>
      <c r="E3777" s="37" t="s">
        <v>1974</v>
      </c>
      <c r="F3777" s="37" t="b">
        <v>0</v>
      </c>
      <c r="G3777" s="37">
        <v>200</v>
      </c>
      <c r="H3777" s="37" t="b">
        <v>1</v>
      </c>
    </row>
    <row r="3778" spans="1:9" ht="30" x14ac:dyDescent="0.25">
      <c r="A3778" s="54" t="s">
        <v>667</v>
      </c>
      <c r="B3778" s="31" t="s">
        <v>582</v>
      </c>
      <c r="C3778" s="28" t="s">
        <v>1982</v>
      </c>
      <c r="D3778" s="28"/>
      <c r="E3778" s="28" t="s">
        <v>1974</v>
      </c>
      <c r="F3778" s="28" t="b">
        <v>0</v>
      </c>
      <c r="G3778" s="28">
        <v>200</v>
      </c>
      <c r="H3778" s="28" t="b">
        <v>1</v>
      </c>
      <c r="I3778" s="34"/>
    </row>
    <row r="3779" spans="1:9" ht="30" x14ac:dyDescent="0.25">
      <c r="A3779" s="54" t="s">
        <v>667</v>
      </c>
      <c r="B3779" s="43" t="s">
        <v>638</v>
      </c>
      <c r="C3779" s="37" t="s">
        <v>1983</v>
      </c>
      <c r="D3779" s="37"/>
      <c r="E3779" s="37" t="s">
        <v>1974</v>
      </c>
      <c r="F3779" s="37" t="b">
        <v>0</v>
      </c>
      <c r="G3779" s="37">
        <v>200</v>
      </c>
      <c r="H3779" s="37" t="b">
        <v>1</v>
      </c>
    </row>
    <row r="3780" spans="1:9" ht="30" x14ac:dyDescent="0.25">
      <c r="A3780" s="54" t="s">
        <v>667</v>
      </c>
      <c r="B3780" s="31" t="s">
        <v>638</v>
      </c>
      <c r="C3780" s="28" t="s">
        <v>1984</v>
      </c>
      <c r="D3780" s="28"/>
      <c r="E3780" s="28" t="s">
        <v>1974</v>
      </c>
      <c r="F3780" s="28" t="b">
        <v>0</v>
      </c>
      <c r="G3780" s="28">
        <v>200</v>
      </c>
      <c r="H3780" s="28" t="b">
        <v>1</v>
      </c>
      <c r="I3780" s="34"/>
    </row>
    <row r="3781" spans="1:9" ht="30" x14ac:dyDescent="0.25">
      <c r="A3781" s="54" t="s">
        <v>667</v>
      </c>
      <c r="B3781" s="43" t="s">
        <v>647</v>
      </c>
      <c r="C3781" s="37" t="s">
        <v>1985</v>
      </c>
      <c r="D3781" s="37"/>
      <c r="E3781" s="37" t="s">
        <v>1974</v>
      </c>
      <c r="F3781" s="37" t="b">
        <v>0</v>
      </c>
      <c r="G3781" s="37">
        <v>200</v>
      </c>
      <c r="H3781" s="37" t="b">
        <v>1</v>
      </c>
    </row>
    <row r="3782" spans="1:9" ht="30" x14ac:dyDescent="0.25">
      <c r="A3782" s="54" t="s">
        <v>667</v>
      </c>
      <c r="B3782" s="31" t="s">
        <v>503</v>
      </c>
      <c r="C3782" s="28" t="s">
        <v>1986</v>
      </c>
      <c r="D3782" s="28"/>
      <c r="E3782" s="28" t="s">
        <v>1974</v>
      </c>
      <c r="F3782" s="28" t="b">
        <v>0</v>
      </c>
      <c r="G3782" s="28">
        <v>200</v>
      </c>
      <c r="H3782" s="28" t="b">
        <v>1</v>
      </c>
      <c r="I3782" s="34"/>
    </row>
    <row r="3783" spans="1:9" ht="30" x14ac:dyDescent="0.25">
      <c r="A3783" s="54" t="s">
        <v>667</v>
      </c>
      <c r="B3783" s="43" t="s">
        <v>608</v>
      </c>
      <c r="C3783" s="37" t="s">
        <v>1987</v>
      </c>
      <c r="D3783" s="37"/>
      <c r="E3783" s="37" t="s">
        <v>1974</v>
      </c>
      <c r="F3783" s="37" t="b">
        <v>0</v>
      </c>
      <c r="G3783" s="37">
        <v>200</v>
      </c>
      <c r="H3783" s="37" t="b">
        <v>1</v>
      </c>
    </row>
    <row r="3784" spans="1:9" ht="30" x14ac:dyDescent="0.25">
      <c r="A3784" s="54" t="s">
        <v>667</v>
      </c>
      <c r="B3784" s="31" t="s">
        <v>127</v>
      </c>
      <c r="C3784" s="28" t="s">
        <v>1975</v>
      </c>
      <c r="D3784" s="28"/>
      <c r="E3784" s="28" t="s">
        <v>1974</v>
      </c>
      <c r="F3784" s="28" t="b">
        <v>0</v>
      </c>
      <c r="G3784" s="28">
        <v>200</v>
      </c>
      <c r="H3784" s="28" t="b">
        <v>1</v>
      </c>
      <c r="I3784" s="34"/>
    </row>
    <row r="3785" spans="1:9" ht="30" x14ac:dyDescent="0.25">
      <c r="A3785" s="54" t="s">
        <v>667</v>
      </c>
      <c r="B3785" s="43" t="s">
        <v>135</v>
      </c>
      <c r="C3785" s="37" t="s">
        <v>1976</v>
      </c>
      <c r="D3785" s="37"/>
      <c r="E3785" s="37" t="s">
        <v>1974</v>
      </c>
      <c r="F3785" s="37" t="b">
        <v>0</v>
      </c>
      <c r="G3785" s="37">
        <v>200</v>
      </c>
      <c r="H3785" s="37" t="b">
        <v>1</v>
      </c>
    </row>
    <row r="3786" spans="1:9" ht="30" x14ac:dyDescent="0.25">
      <c r="A3786" s="54" t="s">
        <v>667</v>
      </c>
      <c r="B3786" s="31" t="s">
        <v>655</v>
      </c>
      <c r="C3786" s="28" t="s">
        <v>1977</v>
      </c>
      <c r="D3786" s="28"/>
      <c r="E3786" s="28" t="s">
        <v>1974</v>
      </c>
      <c r="F3786" s="28" t="b">
        <v>0</v>
      </c>
      <c r="G3786" s="28">
        <v>200</v>
      </c>
      <c r="H3786" s="28" t="b">
        <v>1</v>
      </c>
      <c r="I3786" s="34"/>
    </row>
    <row r="3787" spans="1:9" ht="30" x14ac:dyDescent="0.25">
      <c r="A3787" s="54" t="s">
        <v>667</v>
      </c>
      <c r="B3787" s="43" t="s">
        <v>635</v>
      </c>
      <c r="C3787" s="37" t="s">
        <v>1978</v>
      </c>
      <c r="D3787" s="37"/>
      <c r="E3787" s="37" t="s">
        <v>1974</v>
      </c>
      <c r="F3787" s="37" t="b">
        <v>0</v>
      </c>
      <c r="G3787" s="37">
        <v>200</v>
      </c>
      <c r="H3787" s="37" t="b">
        <v>1</v>
      </c>
    </row>
    <row r="3788" spans="1:9" ht="30" x14ac:dyDescent="0.25">
      <c r="A3788" s="54" t="s">
        <v>667</v>
      </c>
      <c r="B3788" s="31" t="s">
        <v>144</v>
      </c>
      <c r="C3788" s="28" t="s">
        <v>1979</v>
      </c>
      <c r="D3788" s="28"/>
      <c r="E3788" s="28" t="s">
        <v>1974</v>
      </c>
      <c r="F3788" s="28" t="b">
        <v>0</v>
      </c>
      <c r="G3788" s="28">
        <v>200</v>
      </c>
      <c r="H3788" s="28" t="b">
        <v>1</v>
      </c>
      <c r="I3788" s="34"/>
    </row>
    <row r="3789" spans="1:9" ht="30" x14ac:dyDescent="0.25">
      <c r="A3789" s="54" t="s">
        <v>667</v>
      </c>
      <c r="B3789" s="43" t="s">
        <v>618</v>
      </c>
      <c r="C3789" s="37" t="s">
        <v>1980</v>
      </c>
      <c r="D3789" s="37"/>
      <c r="E3789" s="37" t="s">
        <v>1974</v>
      </c>
      <c r="F3789" s="37" t="b">
        <v>0</v>
      </c>
      <c r="G3789" s="37">
        <v>200</v>
      </c>
      <c r="H3789" s="37" t="b">
        <v>1</v>
      </c>
    </row>
    <row r="3790" spans="1:9" ht="30" x14ac:dyDescent="0.25">
      <c r="A3790" s="54" t="s">
        <v>667</v>
      </c>
      <c r="B3790" s="31" t="s">
        <v>585</v>
      </c>
      <c r="C3790" s="28" t="s">
        <v>1981</v>
      </c>
      <c r="D3790" s="28"/>
      <c r="E3790" s="28" t="s">
        <v>1974</v>
      </c>
      <c r="F3790" s="28" t="b">
        <v>0</v>
      </c>
      <c r="G3790" s="28">
        <v>200</v>
      </c>
      <c r="H3790" s="28" t="b">
        <v>1</v>
      </c>
      <c r="I3790" s="34"/>
    </row>
    <row r="3791" spans="1:9" ht="30" x14ac:dyDescent="0.25">
      <c r="A3791" s="54" t="s">
        <v>667</v>
      </c>
      <c r="B3791" s="43" t="s">
        <v>582</v>
      </c>
      <c r="C3791" s="37" t="s">
        <v>1982</v>
      </c>
      <c r="D3791" s="37"/>
      <c r="E3791" s="37" t="s">
        <v>1974</v>
      </c>
      <c r="F3791" s="37" t="b">
        <v>0</v>
      </c>
      <c r="G3791" s="37">
        <v>200</v>
      </c>
      <c r="H3791" s="37" t="b">
        <v>1</v>
      </c>
    </row>
    <row r="3792" spans="1:9" ht="30" x14ac:dyDescent="0.25">
      <c r="A3792" s="54" t="s">
        <v>667</v>
      </c>
      <c r="B3792" s="31" t="s">
        <v>638</v>
      </c>
      <c r="C3792" s="28" t="s">
        <v>1983</v>
      </c>
      <c r="D3792" s="28"/>
      <c r="E3792" s="28" t="s">
        <v>1974</v>
      </c>
      <c r="F3792" s="28" t="b">
        <v>0</v>
      </c>
      <c r="G3792" s="28">
        <v>200</v>
      </c>
      <c r="H3792" s="28" t="b">
        <v>1</v>
      </c>
      <c r="I3792" s="34"/>
    </row>
    <row r="3793" spans="1:9" ht="30" x14ac:dyDescent="0.25">
      <c r="A3793" s="54" t="s">
        <v>667</v>
      </c>
      <c r="B3793" s="43" t="s">
        <v>638</v>
      </c>
      <c r="C3793" s="37" t="s">
        <v>1984</v>
      </c>
      <c r="D3793" s="37"/>
      <c r="E3793" s="37" t="s">
        <v>1974</v>
      </c>
      <c r="F3793" s="37" t="b">
        <v>0</v>
      </c>
      <c r="G3793" s="37">
        <v>200</v>
      </c>
      <c r="H3793" s="37" t="b">
        <v>1</v>
      </c>
    </row>
    <row r="3794" spans="1:9" ht="30" x14ac:dyDescent="0.25">
      <c r="A3794" s="54" t="s">
        <v>667</v>
      </c>
      <c r="B3794" s="31" t="s">
        <v>647</v>
      </c>
      <c r="C3794" s="28" t="s">
        <v>1985</v>
      </c>
      <c r="D3794" s="28"/>
      <c r="E3794" s="28" t="s">
        <v>1974</v>
      </c>
      <c r="F3794" s="28" t="b">
        <v>0</v>
      </c>
      <c r="G3794" s="28">
        <v>200</v>
      </c>
      <c r="H3794" s="28" t="b">
        <v>1</v>
      </c>
      <c r="I3794" s="34"/>
    </row>
    <row r="3795" spans="1:9" ht="30" x14ac:dyDescent="0.25">
      <c r="A3795" s="54" t="s">
        <v>667</v>
      </c>
      <c r="B3795" s="43" t="s">
        <v>503</v>
      </c>
      <c r="C3795" s="37" t="s">
        <v>1986</v>
      </c>
      <c r="D3795" s="37"/>
      <c r="E3795" s="37" t="s">
        <v>1974</v>
      </c>
      <c r="F3795" s="37" t="b">
        <v>0</v>
      </c>
      <c r="G3795" s="37">
        <v>200</v>
      </c>
      <c r="H3795" s="37" t="b">
        <v>1</v>
      </c>
    </row>
    <row r="3796" spans="1:9" ht="30" x14ac:dyDescent="0.25">
      <c r="A3796" s="54" t="s">
        <v>667</v>
      </c>
      <c r="B3796" s="31" t="s">
        <v>608</v>
      </c>
      <c r="C3796" s="28" t="s">
        <v>1987</v>
      </c>
      <c r="D3796" s="28"/>
      <c r="E3796" s="28" t="s">
        <v>1974</v>
      </c>
      <c r="F3796" s="28" t="b">
        <v>0</v>
      </c>
      <c r="G3796" s="28">
        <v>200</v>
      </c>
      <c r="H3796" s="28" t="b">
        <v>1</v>
      </c>
      <c r="I3796" s="34"/>
    </row>
    <row r="3797" spans="1:9" ht="30" x14ac:dyDescent="0.25">
      <c r="A3797" s="54" t="s">
        <v>667</v>
      </c>
      <c r="B3797" s="43" t="s">
        <v>3016</v>
      </c>
      <c r="C3797" s="37" t="s">
        <v>3017</v>
      </c>
      <c r="D3797" s="37"/>
      <c r="E3797" s="37" t="s">
        <v>1974</v>
      </c>
      <c r="F3797" s="37" t="b">
        <v>0</v>
      </c>
      <c r="G3797" s="37">
        <v>200</v>
      </c>
      <c r="H3797" s="37" t="b">
        <v>1</v>
      </c>
    </row>
    <row r="3798" spans="1:9" ht="30" x14ac:dyDescent="0.25">
      <c r="A3798" s="54" t="s">
        <v>667</v>
      </c>
      <c r="B3798" s="31" t="s">
        <v>2894</v>
      </c>
      <c r="C3798" s="28" t="s">
        <v>226</v>
      </c>
      <c r="D3798" s="28"/>
      <c r="E3798" s="28" t="s">
        <v>1974</v>
      </c>
      <c r="F3798" s="28" t="b">
        <v>0</v>
      </c>
      <c r="G3798" s="28">
        <v>200</v>
      </c>
      <c r="H3798" s="28" t="b">
        <v>1</v>
      </c>
      <c r="I3798" s="34"/>
    </row>
    <row r="3799" spans="1:9" ht="30" x14ac:dyDescent="0.25">
      <c r="A3799" s="54" t="s">
        <v>667</v>
      </c>
      <c r="B3799" s="43" t="s">
        <v>647</v>
      </c>
      <c r="C3799" s="37" t="s">
        <v>2010</v>
      </c>
      <c r="D3799" s="37"/>
      <c r="E3799" s="37" t="s">
        <v>1974</v>
      </c>
      <c r="F3799" s="37" t="b">
        <v>0</v>
      </c>
      <c r="G3799" s="37">
        <v>200</v>
      </c>
      <c r="H3799" s="37" t="b">
        <v>1</v>
      </c>
    </row>
    <row r="3800" spans="1:9" ht="30" x14ac:dyDescent="0.25">
      <c r="A3800" s="54" t="s">
        <v>667</v>
      </c>
      <c r="B3800" s="31" t="s">
        <v>2011</v>
      </c>
      <c r="C3800" s="28"/>
      <c r="D3800" s="28"/>
      <c r="E3800" s="28" t="s">
        <v>2012</v>
      </c>
      <c r="F3800" s="28" t="b">
        <v>0</v>
      </c>
      <c r="G3800" s="28"/>
      <c r="H3800" s="28" t="b">
        <v>1</v>
      </c>
      <c r="I3800" s="34"/>
    </row>
    <row r="3801" spans="1:9" ht="30" x14ac:dyDescent="0.25">
      <c r="A3801" s="54" t="s">
        <v>667</v>
      </c>
      <c r="B3801" s="43" t="s">
        <v>2013</v>
      </c>
      <c r="C3801" s="37"/>
      <c r="D3801" s="37"/>
      <c r="E3801" s="37" t="s">
        <v>2012</v>
      </c>
      <c r="F3801" s="37" t="b">
        <v>0</v>
      </c>
      <c r="G3801" s="37"/>
      <c r="H3801" s="37" t="b">
        <v>1</v>
      </c>
    </row>
    <row r="3802" spans="1:9" ht="30" x14ac:dyDescent="0.25">
      <c r="A3802" s="54" t="s">
        <v>667</v>
      </c>
      <c r="B3802" s="31" t="s">
        <v>641</v>
      </c>
      <c r="C3802" s="28" t="s">
        <v>2014</v>
      </c>
      <c r="D3802" s="28"/>
      <c r="E3802" s="28" t="s">
        <v>1974</v>
      </c>
      <c r="F3802" s="28" t="b">
        <v>0</v>
      </c>
      <c r="G3802" s="28">
        <v>200</v>
      </c>
      <c r="H3802" s="28" t="b">
        <v>1</v>
      </c>
      <c r="I3802" s="34"/>
    </row>
    <row r="3803" spans="1:9" ht="30" x14ac:dyDescent="0.25">
      <c r="A3803" s="54" t="s">
        <v>667</v>
      </c>
      <c r="B3803" s="43" t="s">
        <v>2015</v>
      </c>
      <c r="C3803" s="37" t="s">
        <v>2016</v>
      </c>
      <c r="D3803" s="37"/>
      <c r="E3803" s="37" t="s">
        <v>1974</v>
      </c>
      <c r="F3803" s="37" t="b">
        <v>0</v>
      </c>
      <c r="G3803" s="37">
        <v>404</v>
      </c>
      <c r="H3803" s="37" t="b">
        <v>0</v>
      </c>
    </row>
    <row r="3804" spans="1:9" ht="30" x14ac:dyDescent="0.25">
      <c r="A3804" s="54" t="s">
        <v>667</v>
      </c>
      <c r="B3804" s="31" t="s">
        <v>2015</v>
      </c>
      <c r="C3804" s="28" t="s">
        <v>2017</v>
      </c>
      <c r="D3804" s="28"/>
      <c r="E3804" s="28" t="s">
        <v>1974</v>
      </c>
      <c r="F3804" s="28" t="b">
        <v>0</v>
      </c>
      <c r="G3804" s="28">
        <v>404</v>
      </c>
      <c r="H3804" s="28" t="b">
        <v>0</v>
      </c>
      <c r="I3804" s="34"/>
    </row>
    <row r="3805" spans="1:9" ht="30" x14ac:dyDescent="0.25">
      <c r="A3805" s="54" t="s">
        <v>673</v>
      </c>
      <c r="B3805" s="43" t="s">
        <v>127</v>
      </c>
      <c r="C3805" s="37"/>
      <c r="D3805" s="37"/>
      <c r="E3805" s="37" t="s">
        <v>1974</v>
      </c>
      <c r="F3805" s="37" t="b">
        <v>0</v>
      </c>
      <c r="G3805" s="37">
        <v>200</v>
      </c>
      <c r="H3805" s="37" t="b">
        <v>1</v>
      </c>
    </row>
    <row r="3806" spans="1:9" ht="30" x14ac:dyDescent="0.25">
      <c r="A3806" s="54" t="s">
        <v>673</v>
      </c>
      <c r="B3806" s="31" t="s">
        <v>127</v>
      </c>
      <c r="C3806" s="28" t="s">
        <v>1975</v>
      </c>
      <c r="D3806" s="28"/>
      <c r="E3806" s="28" t="s">
        <v>1974</v>
      </c>
      <c r="F3806" s="28" t="b">
        <v>0</v>
      </c>
      <c r="G3806" s="28">
        <v>200</v>
      </c>
      <c r="H3806" s="28" t="b">
        <v>1</v>
      </c>
      <c r="I3806" s="34"/>
    </row>
    <row r="3807" spans="1:9" ht="30" x14ac:dyDescent="0.25">
      <c r="A3807" s="54" t="s">
        <v>673</v>
      </c>
      <c r="B3807" s="43" t="s">
        <v>135</v>
      </c>
      <c r="C3807" s="37" t="s">
        <v>1976</v>
      </c>
      <c r="D3807" s="37"/>
      <c r="E3807" s="37" t="s">
        <v>1974</v>
      </c>
      <c r="F3807" s="37" t="b">
        <v>0</v>
      </c>
      <c r="G3807" s="37">
        <v>200</v>
      </c>
      <c r="H3807" s="37" t="b">
        <v>1</v>
      </c>
    </row>
    <row r="3808" spans="1:9" ht="30" x14ac:dyDescent="0.25">
      <c r="A3808" s="54" t="s">
        <v>673</v>
      </c>
      <c r="B3808" s="31" t="s">
        <v>655</v>
      </c>
      <c r="C3808" s="28" t="s">
        <v>1977</v>
      </c>
      <c r="D3808" s="28"/>
      <c r="E3808" s="28" t="s">
        <v>1974</v>
      </c>
      <c r="F3808" s="28" t="b">
        <v>0</v>
      </c>
      <c r="G3808" s="28">
        <v>200</v>
      </c>
      <c r="H3808" s="28" t="b">
        <v>1</v>
      </c>
      <c r="I3808" s="34"/>
    </row>
    <row r="3809" spans="1:9" ht="30" x14ac:dyDescent="0.25">
      <c r="A3809" s="54" t="s">
        <v>673</v>
      </c>
      <c r="B3809" s="43" t="s">
        <v>635</v>
      </c>
      <c r="C3809" s="37" t="s">
        <v>1978</v>
      </c>
      <c r="D3809" s="37"/>
      <c r="E3809" s="37" t="s">
        <v>1974</v>
      </c>
      <c r="F3809" s="37" t="b">
        <v>0</v>
      </c>
      <c r="G3809" s="37">
        <v>200</v>
      </c>
      <c r="H3809" s="37" t="b">
        <v>1</v>
      </c>
    </row>
    <row r="3810" spans="1:9" ht="30" x14ac:dyDescent="0.25">
      <c r="A3810" s="54" t="s">
        <v>673</v>
      </c>
      <c r="B3810" s="31" t="s">
        <v>144</v>
      </c>
      <c r="C3810" s="28" t="s">
        <v>1979</v>
      </c>
      <c r="D3810" s="28"/>
      <c r="E3810" s="28" t="s">
        <v>1974</v>
      </c>
      <c r="F3810" s="28" t="b">
        <v>0</v>
      </c>
      <c r="G3810" s="28">
        <v>200</v>
      </c>
      <c r="H3810" s="28" t="b">
        <v>1</v>
      </c>
      <c r="I3810" s="34"/>
    </row>
    <row r="3811" spans="1:9" ht="30" x14ac:dyDescent="0.25">
      <c r="A3811" s="54" t="s">
        <v>673</v>
      </c>
      <c r="B3811" s="43" t="s">
        <v>618</v>
      </c>
      <c r="C3811" s="37" t="s">
        <v>1980</v>
      </c>
      <c r="D3811" s="37"/>
      <c r="E3811" s="37" t="s">
        <v>1974</v>
      </c>
      <c r="F3811" s="37" t="b">
        <v>0</v>
      </c>
      <c r="G3811" s="37">
        <v>200</v>
      </c>
      <c r="H3811" s="37" t="b">
        <v>1</v>
      </c>
    </row>
    <row r="3812" spans="1:9" ht="30" x14ac:dyDescent="0.25">
      <c r="A3812" s="54" t="s">
        <v>673</v>
      </c>
      <c r="B3812" s="31" t="s">
        <v>585</v>
      </c>
      <c r="C3812" s="28" t="s">
        <v>1981</v>
      </c>
      <c r="D3812" s="28"/>
      <c r="E3812" s="28" t="s">
        <v>1974</v>
      </c>
      <c r="F3812" s="28" t="b">
        <v>0</v>
      </c>
      <c r="G3812" s="28">
        <v>200</v>
      </c>
      <c r="H3812" s="28" t="b">
        <v>1</v>
      </c>
      <c r="I3812" s="34"/>
    </row>
    <row r="3813" spans="1:9" ht="30" x14ac:dyDescent="0.25">
      <c r="A3813" s="54" t="s">
        <v>673</v>
      </c>
      <c r="B3813" s="43" t="s">
        <v>582</v>
      </c>
      <c r="C3813" s="37" t="s">
        <v>1982</v>
      </c>
      <c r="D3813" s="37"/>
      <c r="E3813" s="37" t="s">
        <v>1974</v>
      </c>
      <c r="F3813" s="37" t="b">
        <v>0</v>
      </c>
      <c r="G3813" s="37">
        <v>200</v>
      </c>
      <c r="H3813" s="37" t="b">
        <v>1</v>
      </c>
    </row>
    <row r="3814" spans="1:9" ht="30" x14ac:dyDescent="0.25">
      <c r="A3814" s="54" t="s">
        <v>673</v>
      </c>
      <c r="B3814" s="31" t="s">
        <v>638</v>
      </c>
      <c r="C3814" s="28" t="s">
        <v>1983</v>
      </c>
      <c r="D3814" s="28"/>
      <c r="E3814" s="28" t="s">
        <v>1974</v>
      </c>
      <c r="F3814" s="28" t="b">
        <v>0</v>
      </c>
      <c r="G3814" s="28">
        <v>200</v>
      </c>
      <c r="H3814" s="28" t="b">
        <v>1</v>
      </c>
      <c r="I3814" s="34"/>
    </row>
    <row r="3815" spans="1:9" ht="30" x14ac:dyDescent="0.25">
      <c r="A3815" s="54" t="s">
        <v>673</v>
      </c>
      <c r="B3815" s="43" t="s">
        <v>638</v>
      </c>
      <c r="C3815" s="37" t="s">
        <v>1984</v>
      </c>
      <c r="D3815" s="37"/>
      <c r="E3815" s="37" t="s">
        <v>1974</v>
      </c>
      <c r="F3815" s="37" t="b">
        <v>0</v>
      </c>
      <c r="G3815" s="37">
        <v>200</v>
      </c>
      <c r="H3815" s="37" t="b">
        <v>1</v>
      </c>
    </row>
    <row r="3816" spans="1:9" ht="30" x14ac:dyDescent="0.25">
      <c r="A3816" s="54" t="s">
        <v>673</v>
      </c>
      <c r="B3816" s="31" t="s">
        <v>647</v>
      </c>
      <c r="C3816" s="28" t="s">
        <v>1985</v>
      </c>
      <c r="D3816" s="28"/>
      <c r="E3816" s="28" t="s">
        <v>1974</v>
      </c>
      <c r="F3816" s="28" t="b">
        <v>0</v>
      </c>
      <c r="G3816" s="28">
        <v>200</v>
      </c>
      <c r="H3816" s="28" t="b">
        <v>1</v>
      </c>
      <c r="I3816" s="34"/>
    </row>
    <row r="3817" spans="1:9" ht="30" x14ac:dyDescent="0.25">
      <c r="A3817" s="54" t="s">
        <v>673</v>
      </c>
      <c r="B3817" s="43" t="s">
        <v>503</v>
      </c>
      <c r="C3817" s="37" t="s">
        <v>1986</v>
      </c>
      <c r="D3817" s="37"/>
      <c r="E3817" s="37" t="s">
        <v>1974</v>
      </c>
      <c r="F3817" s="37" t="b">
        <v>0</v>
      </c>
      <c r="G3817" s="37">
        <v>200</v>
      </c>
      <c r="H3817" s="37" t="b">
        <v>1</v>
      </c>
    </row>
    <row r="3818" spans="1:9" ht="30" x14ac:dyDescent="0.25">
      <c r="A3818" s="54" t="s">
        <v>673</v>
      </c>
      <c r="B3818" s="31" t="s">
        <v>608</v>
      </c>
      <c r="C3818" s="28" t="s">
        <v>1987</v>
      </c>
      <c r="D3818" s="28"/>
      <c r="E3818" s="28" t="s">
        <v>1974</v>
      </c>
      <c r="F3818" s="28" t="b">
        <v>0</v>
      </c>
      <c r="G3818" s="28">
        <v>200</v>
      </c>
      <c r="H3818" s="28" t="b">
        <v>1</v>
      </c>
      <c r="I3818" s="34"/>
    </row>
    <row r="3819" spans="1:9" ht="30" x14ac:dyDescent="0.25">
      <c r="A3819" s="54" t="s">
        <v>673</v>
      </c>
      <c r="B3819" s="43" t="s">
        <v>127</v>
      </c>
      <c r="C3819" s="37" t="s">
        <v>1975</v>
      </c>
      <c r="D3819" s="37"/>
      <c r="E3819" s="37" t="s">
        <v>1974</v>
      </c>
      <c r="F3819" s="37" t="b">
        <v>0</v>
      </c>
      <c r="G3819" s="37">
        <v>200</v>
      </c>
      <c r="H3819" s="37" t="b">
        <v>1</v>
      </c>
    </row>
    <row r="3820" spans="1:9" ht="30" x14ac:dyDescent="0.25">
      <c r="A3820" s="54" t="s">
        <v>673</v>
      </c>
      <c r="B3820" s="31" t="s">
        <v>135</v>
      </c>
      <c r="C3820" s="28" t="s">
        <v>1976</v>
      </c>
      <c r="D3820" s="28"/>
      <c r="E3820" s="28" t="s">
        <v>1974</v>
      </c>
      <c r="F3820" s="28" t="b">
        <v>0</v>
      </c>
      <c r="G3820" s="28">
        <v>200</v>
      </c>
      <c r="H3820" s="28" t="b">
        <v>1</v>
      </c>
      <c r="I3820" s="34"/>
    </row>
    <row r="3821" spans="1:9" ht="30" x14ac:dyDescent="0.25">
      <c r="A3821" s="54" t="s">
        <v>673</v>
      </c>
      <c r="B3821" s="43" t="s">
        <v>655</v>
      </c>
      <c r="C3821" s="37" t="s">
        <v>1977</v>
      </c>
      <c r="D3821" s="37"/>
      <c r="E3821" s="37" t="s">
        <v>1974</v>
      </c>
      <c r="F3821" s="37" t="b">
        <v>0</v>
      </c>
      <c r="G3821" s="37">
        <v>200</v>
      </c>
      <c r="H3821" s="37" t="b">
        <v>1</v>
      </c>
    </row>
    <row r="3822" spans="1:9" ht="30" x14ac:dyDescent="0.25">
      <c r="A3822" s="54" t="s">
        <v>673</v>
      </c>
      <c r="B3822" s="31" t="s">
        <v>635</v>
      </c>
      <c r="C3822" s="28" t="s">
        <v>1978</v>
      </c>
      <c r="D3822" s="28"/>
      <c r="E3822" s="28" t="s">
        <v>1974</v>
      </c>
      <c r="F3822" s="28" t="b">
        <v>0</v>
      </c>
      <c r="G3822" s="28">
        <v>200</v>
      </c>
      <c r="H3822" s="28" t="b">
        <v>1</v>
      </c>
      <c r="I3822" s="34"/>
    </row>
    <row r="3823" spans="1:9" ht="30" x14ac:dyDescent="0.25">
      <c r="A3823" s="54" t="s">
        <v>673</v>
      </c>
      <c r="B3823" s="43" t="s">
        <v>144</v>
      </c>
      <c r="C3823" s="37" t="s">
        <v>1979</v>
      </c>
      <c r="D3823" s="37"/>
      <c r="E3823" s="37" t="s">
        <v>1974</v>
      </c>
      <c r="F3823" s="37" t="b">
        <v>0</v>
      </c>
      <c r="G3823" s="37">
        <v>200</v>
      </c>
      <c r="H3823" s="37" t="b">
        <v>1</v>
      </c>
    </row>
    <row r="3824" spans="1:9" ht="30" x14ac:dyDescent="0.25">
      <c r="A3824" s="54" t="s">
        <v>673</v>
      </c>
      <c r="B3824" s="31" t="s">
        <v>618</v>
      </c>
      <c r="C3824" s="28" t="s">
        <v>1980</v>
      </c>
      <c r="D3824" s="28"/>
      <c r="E3824" s="28" t="s">
        <v>1974</v>
      </c>
      <c r="F3824" s="28" t="b">
        <v>0</v>
      </c>
      <c r="G3824" s="28">
        <v>200</v>
      </c>
      <c r="H3824" s="28" t="b">
        <v>1</v>
      </c>
      <c r="I3824" s="34"/>
    </row>
    <row r="3825" spans="1:9" ht="30" x14ac:dyDescent="0.25">
      <c r="A3825" s="54" t="s">
        <v>673</v>
      </c>
      <c r="B3825" s="43" t="s">
        <v>585</v>
      </c>
      <c r="C3825" s="37" t="s">
        <v>1981</v>
      </c>
      <c r="D3825" s="37"/>
      <c r="E3825" s="37" t="s">
        <v>1974</v>
      </c>
      <c r="F3825" s="37" t="b">
        <v>0</v>
      </c>
      <c r="G3825" s="37">
        <v>200</v>
      </c>
      <c r="H3825" s="37" t="b">
        <v>1</v>
      </c>
    </row>
    <row r="3826" spans="1:9" ht="30" x14ac:dyDescent="0.25">
      <c r="A3826" s="54" t="s">
        <v>673</v>
      </c>
      <c r="B3826" s="31" t="s">
        <v>582</v>
      </c>
      <c r="C3826" s="28" t="s">
        <v>1982</v>
      </c>
      <c r="D3826" s="28"/>
      <c r="E3826" s="28" t="s">
        <v>1974</v>
      </c>
      <c r="F3826" s="28" t="b">
        <v>0</v>
      </c>
      <c r="G3826" s="28">
        <v>200</v>
      </c>
      <c r="H3826" s="28" t="b">
        <v>1</v>
      </c>
      <c r="I3826" s="34"/>
    </row>
    <row r="3827" spans="1:9" ht="30" x14ac:dyDescent="0.25">
      <c r="A3827" s="54" t="s">
        <v>673</v>
      </c>
      <c r="B3827" s="43" t="s">
        <v>638</v>
      </c>
      <c r="C3827" s="37" t="s">
        <v>1983</v>
      </c>
      <c r="D3827" s="37"/>
      <c r="E3827" s="37" t="s">
        <v>1974</v>
      </c>
      <c r="F3827" s="37" t="b">
        <v>0</v>
      </c>
      <c r="G3827" s="37">
        <v>200</v>
      </c>
      <c r="H3827" s="37" t="b">
        <v>1</v>
      </c>
    </row>
    <row r="3828" spans="1:9" ht="30" x14ac:dyDescent="0.25">
      <c r="A3828" s="54" t="s">
        <v>673</v>
      </c>
      <c r="B3828" s="31" t="s">
        <v>638</v>
      </c>
      <c r="C3828" s="28" t="s">
        <v>1984</v>
      </c>
      <c r="D3828" s="28"/>
      <c r="E3828" s="28" t="s">
        <v>1974</v>
      </c>
      <c r="F3828" s="28" t="b">
        <v>0</v>
      </c>
      <c r="G3828" s="28">
        <v>200</v>
      </c>
      <c r="H3828" s="28" t="b">
        <v>1</v>
      </c>
      <c r="I3828" s="34"/>
    </row>
    <row r="3829" spans="1:9" ht="30" x14ac:dyDescent="0.25">
      <c r="A3829" s="54" t="s">
        <v>673</v>
      </c>
      <c r="B3829" s="43" t="s">
        <v>647</v>
      </c>
      <c r="C3829" s="37" t="s">
        <v>1985</v>
      </c>
      <c r="D3829" s="37"/>
      <c r="E3829" s="37" t="s">
        <v>1974</v>
      </c>
      <c r="F3829" s="37" t="b">
        <v>0</v>
      </c>
      <c r="G3829" s="37">
        <v>200</v>
      </c>
      <c r="H3829" s="37" t="b">
        <v>1</v>
      </c>
    </row>
    <row r="3830" spans="1:9" ht="30" x14ac:dyDescent="0.25">
      <c r="A3830" s="54" t="s">
        <v>673</v>
      </c>
      <c r="B3830" s="31" t="s">
        <v>503</v>
      </c>
      <c r="C3830" s="28" t="s">
        <v>1986</v>
      </c>
      <c r="D3830" s="28"/>
      <c r="E3830" s="28" t="s">
        <v>1974</v>
      </c>
      <c r="F3830" s="28" t="b">
        <v>0</v>
      </c>
      <c r="G3830" s="28">
        <v>200</v>
      </c>
      <c r="H3830" s="28" t="b">
        <v>1</v>
      </c>
      <c r="I3830" s="34"/>
    </row>
    <row r="3831" spans="1:9" ht="30" x14ac:dyDescent="0.25">
      <c r="A3831" s="54" t="s">
        <v>673</v>
      </c>
      <c r="B3831" s="43" t="s">
        <v>608</v>
      </c>
      <c r="C3831" s="37" t="s">
        <v>1987</v>
      </c>
      <c r="D3831" s="37"/>
      <c r="E3831" s="37" t="s">
        <v>1974</v>
      </c>
      <c r="F3831" s="37" t="b">
        <v>0</v>
      </c>
      <c r="G3831" s="37">
        <v>200</v>
      </c>
      <c r="H3831" s="37" t="b">
        <v>1</v>
      </c>
    </row>
    <row r="3832" spans="1:9" ht="30" x14ac:dyDescent="0.25">
      <c r="A3832" s="54" t="s">
        <v>673</v>
      </c>
      <c r="B3832" s="31" t="s">
        <v>647</v>
      </c>
      <c r="C3832" s="28" t="s">
        <v>2010</v>
      </c>
      <c r="D3832" s="28"/>
      <c r="E3832" s="28" t="s">
        <v>1974</v>
      </c>
      <c r="F3832" s="28" t="b">
        <v>0</v>
      </c>
      <c r="G3832" s="28">
        <v>200</v>
      </c>
      <c r="H3832" s="28" t="b">
        <v>1</v>
      </c>
      <c r="I3832" s="34"/>
    </row>
    <row r="3833" spans="1:9" ht="30" x14ac:dyDescent="0.25">
      <c r="A3833" s="54" t="s">
        <v>673</v>
      </c>
      <c r="B3833" s="43" t="s">
        <v>2011</v>
      </c>
      <c r="C3833" s="37"/>
      <c r="D3833" s="37"/>
      <c r="E3833" s="37" t="s">
        <v>2012</v>
      </c>
      <c r="F3833" s="37" t="b">
        <v>0</v>
      </c>
      <c r="G3833" s="37"/>
      <c r="H3833" s="37" t="b">
        <v>1</v>
      </c>
    </row>
    <row r="3834" spans="1:9" ht="30" x14ac:dyDescent="0.25">
      <c r="A3834" s="54" t="s">
        <v>673</v>
      </c>
      <c r="B3834" s="31" t="s">
        <v>2013</v>
      </c>
      <c r="C3834" s="28"/>
      <c r="D3834" s="28"/>
      <c r="E3834" s="28" t="s">
        <v>2012</v>
      </c>
      <c r="F3834" s="28" t="b">
        <v>0</v>
      </c>
      <c r="G3834" s="28"/>
      <c r="H3834" s="28" t="b">
        <v>1</v>
      </c>
      <c r="I3834" s="34"/>
    </row>
    <row r="3835" spans="1:9" ht="30" x14ac:dyDescent="0.25">
      <c r="A3835" s="54" t="s">
        <v>673</v>
      </c>
      <c r="B3835" s="43" t="s">
        <v>641</v>
      </c>
      <c r="C3835" s="37" t="s">
        <v>2014</v>
      </c>
      <c r="D3835" s="37"/>
      <c r="E3835" s="37" t="s">
        <v>1974</v>
      </c>
      <c r="F3835" s="37" t="b">
        <v>0</v>
      </c>
      <c r="G3835" s="37">
        <v>200</v>
      </c>
      <c r="H3835" s="37" t="b">
        <v>1</v>
      </c>
    </row>
    <row r="3836" spans="1:9" ht="30" x14ac:dyDescent="0.25">
      <c r="A3836" s="54" t="s">
        <v>673</v>
      </c>
      <c r="B3836" s="31" t="s">
        <v>2015</v>
      </c>
      <c r="C3836" s="28" t="s">
        <v>2016</v>
      </c>
      <c r="D3836" s="28"/>
      <c r="E3836" s="28" t="s">
        <v>1974</v>
      </c>
      <c r="F3836" s="28" t="b">
        <v>0</v>
      </c>
      <c r="G3836" s="28">
        <v>404</v>
      </c>
      <c r="H3836" s="28" t="b">
        <v>0</v>
      </c>
      <c r="I3836" s="34"/>
    </row>
    <row r="3837" spans="1:9" ht="30" x14ac:dyDescent="0.25">
      <c r="A3837" s="54" t="s">
        <v>673</v>
      </c>
      <c r="B3837" s="43" t="s">
        <v>2015</v>
      </c>
      <c r="C3837" s="37" t="s">
        <v>2017</v>
      </c>
      <c r="D3837" s="37"/>
      <c r="E3837" s="37" t="s">
        <v>1974</v>
      </c>
      <c r="F3837" s="37" t="b">
        <v>0</v>
      </c>
      <c r="G3837" s="37">
        <v>404</v>
      </c>
      <c r="H3837" s="37" t="b">
        <v>0</v>
      </c>
    </row>
    <row r="3838" spans="1:9" ht="30" x14ac:dyDescent="0.25">
      <c r="A3838" s="54" t="s">
        <v>677</v>
      </c>
      <c r="B3838" s="31" t="s">
        <v>127</v>
      </c>
      <c r="C3838" s="28"/>
      <c r="D3838" s="28"/>
      <c r="E3838" s="28" t="s">
        <v>1974</v>
      </c>
      <c r="F3838" s="28" t="b">
        <v>0</v>
      </c>
      <c r="G3838" s="28">
        <v>200</v>
      </c>
      <c r="H3838" s="28" t="b">
        <v>1</v>
      </c>
      <c r="I3838" s="34"/>
    </row>
    <row r="3839" spans="1:9" ht="30" x14ac:dyDescent="0.25">
      <c r="A3839" s="54" t="s">
        <v>677</v>
      </c>
      <c r="B3839" s="43" t="s">
        <v>127</v>
      </c>
      <c r="C3839" s="37" t="s">
        <v>1975</v>
      </c>
      <c r="D3839" s="37"/>
      <c r="E3839" s="37" t="s">
        <v>1974</v>
      </c>
      <c r="F3839" s="37" t="b">
        <v>0</v>
      </c>
      <c r="G3839" s="37">
        <v>200</v>
      </c>
      <c r="H3839" s="37" t="b">
        <v>1</v>
      </c>
    </row>
    <row r="3840" spans="1:9" ht="30" x14ac:dyDescent="0.25">
      <c r="A3840" s="54" t="s">
        <v>677</v>
      </c>
      <c r="B3840" s="31" t="s">
        <v>135</v>
      </c>
      <c r="C3840" s="28" t="s">
        <v>1976</v>
      </c>
      <c r="D3840" s="28"/>
      <c r="E3840" s="28" t="s">
        <v>1974</v>
      </c>
      <c r="F3840" s="28" t="b">
        <v>0</v>
      </c>
      <c r="G3840" s="28">
        <v>200</v>
      </c>
      <c r="H3840" s="28" t="b">
        <v>1</v>
      </c>
      <c r="I3840" s="34"/>
    </row>
    <row r="3841" spans="1:9" ht="30" x14ac:dyDescent="0.25">
      <c r="A3841" s="54" t="s">
        <v>677</v>
      </c>
      <c r="B3841" s="43" t="s">
        <v>655</v>
      </c>
      <c r="C3841" s="37" t="s">
        <v>1977</v>
      </c>
      <c r="D3841" s="37"/>
      <c r="E3841" s="37" t="s">
        <v>1974</v>
      </c>
      <c r="F3841" s="37" t="b">
        <v>0</v>
      </c>
      <c r="G3841" s="37">
        <v>200</v>
      </c>
      <c r="H3841" s="37" t="b">
        <v>1</v>
      </c>
    </row>
    <row r="3842" spans="1:9" ht="30" x14ac:dyDescent="0.25">
      <c r="A3842" s="54" t="s">
        <v>677</v>
      </c>
      <c r="B3842" s="31" t="s">
        <v>635</v>
      </c>
      <c r="C3842" s="28" t="s">
        <v>1978</v>
      </c>
      <c r="D3842" s="28"/>
      <c r="E3842" s="28" t="s">
        <v>1974</v>
      </c>
      <c r="F3842" s="28" t="b">
        <v>0</v>
      </c>
      <c r="G3842" s="28">
        <v>200</v>
      </c>
      <c r="H3842" s="28" t="b">
        <v>1</v>
      </c>
      <c r="I3842" s="34"/>
    </row>
    <row r="3843" spans="1:9" ht="30" x14ac:dyDescent="0.25">
      <c r="A3843" s="54" t="s">
        <v>677</v>
      </c>
      <c r="B3843" s="43" t="s">
        <v>144</v>
      </c>
      <c r="C3843" s="37" t="s">
        <v>1979</v>
      </c>
      <c r="D3843" s="37"/>
      <c r="E3843" s="37" t="s">
        <v>1974</v>
      </c>
      <c r="F3843" s="37" t="b">
        <v>0</v>
      </c>
      <c r="G3843" s="37">
        <v>200</v>
      </c>
      <c r="H3843" s="37" t="b">
        <v>1</v>
      </c>
    </row>
    <row r="3844" spans="1:9" ht="30" x14ac:dyDescent="0.25">
      <c r="A3844" s="54" t="s">
        <v>677</v>
      </c>
      <c r="B3844" s="31" t="s">
        <v>618</v>
      </c>
      <c r="C3844" s="28" t="s">
        <v>1980</v>
      </c>
      <c r="D3844" s="28"/>
      <c r="E3844" s="28" t="s">
        <v>1974</v>
      </c>
      <c r="F3844" s="28" t="b">
        <v>0</v>
      </c>
      <c r="G3844" s="28">
        <v>200</v>
      </c>
      <c r="H3844" s="28" t="b">
        <v>1</v>
      </c>
      <c r="I3844" s="34"/>
    </row>
    <row r="3845" spans="1:9" ht="30" x14ac:dyDescent="0.25">
      <c r="A3845" s="54" t="s">
        <v>677</v>
      </c>
      <c r="B3845" s="43" t="s">
        <v>585</v>
      </c>
      <c r="C3845" s="37" t="s">
        <v>1981</v>
      </c>
      <c r="D3845" s="37"/>
      <c r="E3845" s="37" t="s">
        <v>1974</v>
      </c>
      <c r="F3845" s="37" t="b">
        <v>0</v>
      </c>
      <c r="G3845" s="37">
        <v>200</v>
      </c>
      <c r="H3845" s="37" t="b">
        <v>1</v>
      </c>
    </row>
    <row r="3846" spans="1:9" ht="30" x14ac:dyDescent="0.25">
      <c r="A3846" s="54" t="s">
        <v>677</v>
      </c>
      <c r="B3846" s="31" t="s">
        <v>582</v>
      </c>
      <c r="C3846" s="28" t="s">
        <v>1982</v>
      </c>
      <c r="D3846" s="28"/>
      <c r="E3846" s="28" t="s">
        <v>1974</v>
      </c>
      <c r="F3846" s="28" t="b">
        <v>0</v>
      </c>
      <c r="G3846" s="28">
        <v>200</v>
      </c>
      <c r="H3846" s="28" t="b">
        <v>1</v>
      </c>
      <c r="I3846" s="34"/>
    </row>
    <row r="3847" spans="1:9" ht="30" x14ac:dyDescent="0.25">
      <c r="A3847" s="54" t="s">
        <v>677</v>
      </c>
      <c r="B3847" s="43" t="s">
        <v>638</v>
      </c>
      <c r="C3847" s="37" t="s">
        <v>1983</v>
      </c>
      <c r="D3847" s="37"/>
      <c r="E3847" s="37" t="s">
        <v>1974</v>
      </c>
      <c r="F3847" s="37" t="b">
        <v>0</v>
      </c>
      <c r="G3847" s="37">
        <v>200</v>
      </c>
      <c r="H3847" s="37" t="b">
        <v>1</v>
      </c>
    </row>
    <row r="3848" spans="1:9" ht="30" x14ac:dyDescent="0.25">
      <c r="A3848" s="54" t="s">
        <v>677</v>
      </c>
      <c r="B3848" s="31" t="s">
        <v>638</v>
      </c>
      <c r="C3848" s="28" t="s">
        <v>1984</v>
      </c>
      <c r="D3848" s="28"/>
      <c r="E3848" s="28" t="s">
        <v>1974</v>
      </c>
      <c r="F3848" s="28" t="b">
        <v>0</v>
      </c>
      <c r="G3848" s="28">
        <v>200</v>
      </c>
      <c r="H3848" s="28" t="b">
        <v>1</v>
      </c>
      <c r="I3848" s="34"/>
    </row>
    <row r="3849" spans="1:9" ht="30" x14ac:dyDescent="0.25">
      <c r="A3849" s="54" t="s">
        <v>677</v>
      </c>
      <c r="B3849" s="43" t="s">
        <v>647</v>
      </c>
      <c r="C3849" s="37" t="s">
        <v>1985</v>
      </c>
      <c r="D3849" s="37"/>
      <c r="E3849" s="37" t="s">
        <v>1974</v>
      </c>
      <c r="F3849" s="37" t="b">
        <v>0</v>
      </c>
      <c r="G3849" s="37">
        <v>200</v>
      </c>
      <c r="H3849" s="37" t="b">
        <v>1</v>
      </c>
    </row>
    <row r="3850" spans="1:9" ht="30" x14ac:dyDescent="0.25">
      <c r="A3850" s="54" t="s">
        <v>677</v>
      </c>
      <c r="B3850" s="31" t="s">
        <v>503</v>
      </c>
      <c r="C3850" s="28" t="s">
        <v>1986</v>
      </c>
      <c r="D3850" s="28"/>
      <c r="E3850" s="28" t="s">
        <v>1974</v>
      </c>
      <c r="F3850" s="28" t="b">
        <v>0</v>
      </c>
      <c r="G3850" s="28">
        <v>200</v>
      </c>
      <c r="H3850" s="28" t="b">
        <v>1</v>
      </c>
      <c r="I3850" s="34"/>
    </row>
    <row r="3851" spans="1:9" ht="30" x14ac:dyDescent="0.25">
      <c r="A3851" s="54" t="s">
        <v>677</v>
      </c>
      <c r="B3851" s="43" t="s">
        <v>608</v>
      </c>
      <c r="C3851" s="37" t="s">
        <v>1987</v>
      </c>
      <c r="D3851" s="37"/>
      <c r="E3851" s="37" t="s">
        <v>1974</v>
      </c>
      <c r="F3851" s="37" t="b">
        <v>0</v>
      </c>
      <c r="G3851" s="37">
        <v>200</v>
      </c>
      <c r="H3851" s="37" t="b">
        <v>1</v>
      </c>
    </row>
    <row r="3852" spans="1:9" ht="30" x14ac:dyDescent="0.25">
      <c r="A3852" s="54" t="s">
        <v>677</v>
      </c>
      <c r="B3852" s="31" t="s">
        <v>127</v>
      </c>
      <c r="C3852" s="28" t="s">
        <v>1975</v>
      </c>
      <c r="D3852" s="28"/>
      <c r="E3852" s="28" t="s">
        <v>1974</v>
      </c>
      <c r="F3852" s="28" t="b">
        <v>0</v>
      </c>
      <c r="G3852" s="28">
        <v>200</v>
      </c>
      <c r="H3852" s="28" t="b">
        <v>1</v>
      </c>
      <c r="I3852" s="34"/>
    </row>
    <row r="3853" spans="1:9" ht="30" x14ac:dyDescent="0.25">
      <c r="A3853" s="54" t="s">
        <v>677</v>
      </c>
      <c r="B3853" s="43" t="s">
        <v>135</v>
      </c>
      <c r="C3853" s="37" t="s">
        <v>1976</v>
      </c>
      <c r="D3853" s="37"/>
      <c r="E3853" s="37" t="s">
        <v>1974</v>
      </c>
      <c r="F3853" s="37" t="b">
        <v>0</v>
      </c>
      <c r="G3853" s="37">
        <v>200</v>
      </c>
      <c r="H3853" s="37" t="b">
        <v>1</v>
      </c>
    </row>
    <row r="3854" spans="1:9" ht="30" x14ac:dyDescent="0.25">
      <c r="A3854" s="54" t="s">
        <v>677</v>
      </c>
      <c r="B3854" s="31" t="s">
        <v>655</v>
      </c>
      <c r="C3854" s="28" t="s">
        <v>1977</v>
      </c>
      <c r="D3854" s="28"/>
      <c r="E3854" s="28" t="s">
        <v>1974</v>
      </c>
      <c r="F3854" s="28" t="b">
        <v>0</v>
      </c>
      <c r="G3854" s="28">
        <v>200</v>
      </c>
      <c r="H3854" s="28" t="b">
        <v>1</v>
      </c>
      <c r="I3854" s="34"/>
    </row>
    <row r="3855" spans="1:9" ht="30" x14ac:dyDescent="0.25">
      <c r="A3855" s="54" t="s">
        <v>677</v>
      </c>
      <c r="B3855" s="43" t="s">
        <v>635</v>
      </c>
      <c r="C3855" s="37" t="s">
        <v>1978</v>
      </c>
      <c r="D3855" s="37"/>
      <c r="E3855" s="37" t="s">
        <v>1974</v>
      </c>
      <c r="F3855" s="37" t="b">
        <v>0</v>
      </c>
      <c r="G3855" s="37">
        <v>200</v>
      </c>
      <c r="H3855" s="37" t="b">
        <v>1</v>
      </c>
    </row>
    <row r="3856" spans="1:9" ht="30" x14ac:dyDescent="0.25">
      <c r="A3856" s="54" t="s">
        <v>677</v>
      </c>
      <c r="B3856" s="31" t="s">
        <v>144</v>
      </c>
      <c r="C3856" s="28" t="s">
        <v>1979</v>
      </c>
      <c r="D3856" s="28"/>
      <c r="E3856" s="28" t="s">
        <v>1974</v>
      </c>
      <c r="F3856" s="28" t="b">
        <v>0</v>
      </c>
      <c r="G3856" s="28">
        <v>200</v>
      </c>
      <c r="H3856" s="28" t="b">
        <v>1</v>
      </c>
      <c r="I3856" s="34"/>
    </row>
    <row r="3857" spans="1:9" ht="30" x14ac:dyDescent="0.25">
      <c r="A3857" s="54" t="s">
        <v>677</v>
      </c>
      <c r="B3857" s="43" t="s">
        <v>618</v>
      </c>
      <c r="C3857" s="37" t="s">
        <v>1980</v>
      </c>
      <c r="D3857" s="37"/>
      <c r="E3857" s="37" t="s">
        <v>1974</v>
      </c>
      <c r="F3857" s="37" t="b">
        <v>0</v>
      </c>
      <c r="G3857" s="37">
        <v>200</v>
      </c>
      <c r="H3857" s="37" t="b">
        <v>1</v>
      </c>
    </row>
    <row r="3858" spans="1:9" ht="30" x14ac:dyDescent="0.25">
      <c r="A3858" s="54" t="s">
        <v>677</v>
      </c>
      <c r="B3858" s="31" t="s">
        <v>585</v>
      </c>
      <c r="C3858" s="28" t="s">
        <v>1981</v>
      </c>
      <c r="D3858" s="28"/>
      <c r="E3858" s="28" t="s">
        <v>1974</v>
      </c>
      <c r="F3858" s="28" t="b">
        <v>0</v>
      </c>
      <c r="G3858" s="28">
        <v>200</v>
      </c>
      <c r="H3858" s="28" t="b">
        <v>1</v>
      </c>
      <c r="I3858" s="34"/>
    </row>
    <row r="3859" spans="1:9" ht="30" x14ac:dyDescent="0.25">
      <c r="A3859" s="54" t="s">
        <v>677</v>
      </c>
      <c r="B3859" s="43" t="s">
        <v>582</v>
      </c>
      <c r="C3859" s="37" t="s">
        <v>1982</v>
      </c>
      <c r="D3859" s="37"/>
      <c r="E3859" s="37" t="s">
        <v>1974</v>
      </c>
      <c r="F3859" s="37" t="b">
        <v>0</v>
      </c>
      <c r="G3859" s="37">
        <v>200</v>
      </c>
      <c r="H3859" s="37" t="b">
        <v>1</v>
      </c>
    </row>
    <row r="3860" spans="1:9" ht="30" x14ac:dyDescent="0.25">
      <c r="A3860" s="54" t="s">
        <v>677</v>
      </c>
      <c r="B3860" s="31" t="s">
        <v>638</v>
      </c>
      <c r="C3860" s="28" t="s">
        <v>1983</v>
      </c>
      <c r="D3860" s="28"/>
      <c r="E3860" s="28" t="s">
        <v>1974</v>
      </c>
      <c r="F3860" s="28" t="b">
        <v>0</v>
      </c>
      <c r="G3860" s="28">
        <v>200</v>
      </c>
      <c r="H3860" s="28" t="b">
        <v>1</v>
      </c>
      <c r="I3860" s="34"/>
    </row>
    <row r="3861" spans="1:9" ht="30" x14ac:dyDescent="0.25">
      <c r="A3861" s="54" t="s">
        <v>677</v>
      </c>
      <c r="B3861" s="43" t="s">
        <v>638</v>
      </c>
      <c r="C3861" s="37" t="s">
        <v>1984</v>
      </c>
      <c r="D3861" s="37"/>
      <c r="E3861" s="37" t="s">
        <v>1974</v>
      </c>
      <c r="F3861" s="37" t="b">
        <v>0</v>
      </c>
      <c r="G3861" s="37">
        <v>200</v>
      </c>
      <c r="H3861" s="37" t="b">
        <v>1</v>
      </c>
    </row>
    <row r="3862" spans="1:9" ht="30" x14ac:dyDescent="0.25">
      <c r="A3862" s="54" t="s">
        <v>677</v>
      </c>
      <c r="B3862" s="31" t="s">
        <v>647</v>
      </c>
      <c r="C3862" s="28" t="s">
        <v>1985</v>
      </c>
      <c r="D3862" s="28"/>
      <c r="E3862" s="28" t="s">
        <v>1974</v>
      </c>
      <c r="F3862" s="28" t="b">
        <v>0</v>
      </c>
      <c r="G3862" s="28">
        <v>200</v>
      </c>
      <c r="H3862" s="28" t="b">
        <v>1</v>
      </c>
      <c r="I3862" s="34"/>
    </row>
    <row r="3863" spans="1:9" ht="30" x14ac:dyDescent="0.25">
      <c r="A3863" s="54" t="s">
        <v>677</v>
      </c>
      <c r="B3863" s="43" t="s">
        <v>503</v>
      </c>
      <c r="C3863" s="37" t="s">
        <v>1986</v>
      </c>
      <c r="D3863" s="37"/>
      <c r="E3863" s="37" t="s">
        <v>1974</v>
      </c>
      <c r="F3863" s="37" t="b">
        <v>0</v>
      </c>
      <c r="G3863" s="37">
        <v>200</v>
      </c>
      <c r="H3863" s="37" t="b">
        <v>1</v>
      </c>
    </row>
    <row r="3864" spans="1:9" ht="30" x14ac:dyDescent="0.25">
      <c r="A3864" s="54" t="s">
        <v>677</v>
      </c>
      <c r="B3864" s="31" t="s">
        <v>608</v>
      </c>
      <c r="C3864" s="28" t="s">
        <v>1987</v>
      </c>
      <c r="D3864" s="28"/>
      <c r="E3864" s="28" t="s">
        <v>1974</v>
      </c>
      <c r="F3864" s="28" t="b">
        <v>0</v>
      </c>
      <c r="G3864" s="28">
        <v>200</v>
      </c>
      <c r="H3864" s="28" t="b">
        <v>1</v>
      </c>
      <c r="I3864" s="34"/>
    </row>
    <row r="3865" spans="1:9" ht="30" x14ac:dyDescent="0.25">
      <c r="A3865" s="54" t="s">
        <v>677</v>
      </c>
      <c r="B3865" s="43" t="s">
        <v>2025</v>
      </c>
      <c r="C3865" s="37"/>
      <c r="D3865" s="37"/>
      <c r="E3865" s="37" t="s">
        <v>2012</v>
      </c>
      <c r="F3865" s="37" t="b">
        <v>0</v>
      </c>
      <c r="G3865" s="37"/>
      <c r="H3865" s="37" t="b">
        <v>1</v>
      </c>
    </row>
    <row r="3866" spans="1:9" ht="30" x14ac:dyDescent="0.25">
      <c r="A3866" s="54" t="s">
        <v>677</v>
      </c>
      <c r="B3866" s="31" t="s">
        <v>127</v>
      </c>
      <c r="C3866" s="28" t="s">
        <v>1975</v>
      </c>
      <c r="D3866" s="28"/>
      <c r="E3866" s="28" t="s">
        <v>1974</v>
      </c>
      <c r="F3866" s="28" t="b">
        <v>0</v>
      </c>
      <c r="G3866" s="28">
        <v>200</v>
      </c>
      <c r="H3866" s="28" t="b">
        <v>1</v>
      </c>
      <c r="I3866" s="34"/>
    </row>
    <row r="3867" spans="1:9" ht="30" x14ac:dyDescent="0.25">
      <c r="A3867" s="54" t="s">
        <v>677</v>
      </c>
      <c r="B3867" s="43" t="s">
        <v>135</v>
      </c>
      <c r="C3867" s="37" t="s">
        <v>1976</v>
      </c>
      <c r="D3867" s="37"/>
      <c r="E3867" s="37" t="s">
        <v>1974</v>
      </c>
      <c r="F3867" s="37" t="b">
        <v>0</v>
      </c>
      <c r="G3867" s="37">
        <v>200</v>
      </c>
      <c r="H3867" s="37" t="b">
        <v>1</v>
      </c>
    </row>
    <row r="3868" spans="1:9" ht="30" x14ac:dyDescent="0.25">
      <c r="A3868" s="54" t="s">
        <v>677</v>
      </c>
      <c r="B3868" s="31" t="s">
        <v>655</v>
      </c>
      <c r="C3868" s="28" t="s">
        <v>1977</v>
      </c>
      <c r="D3868" s="28"/>
      <c r="E3868" s="28" t="s">
        <v>1974</v>
      </c>
      <c r="F3868" s="28" t="b">
        <v>0</v>
      </c>
      <c r="G3868" s="28">
        <v>200</v>
      </c>
      <c r="H3868" s="28" t="b">
        <v>1</v>
      </c>
      <c r="I3868" s="34"/>
    </row>
    <row r="3869" spans="1:9" ht="30" x14ac:dyDescent="0.25">
      <c r="A3869" s="54" t="s">
        <v>677</v>
      </c>
      <c r="B3869" s="43" t="s">
        <v>635</v>
      </c>
      <c r="C3869" s="37" t="s">
        <v>1978</v>
      </c>
      <c r="D3869" s="37"/>
      <c r="E3869" s="37" t="s">
        <v>1974</v>
      </c>
      <c r="F3869" s="37" t="b">
        <v>0</v>
      </c>
      <c r="G3869" s="37">
        <v>200</v>
      </c>
      <c r="H3869" s="37" t="b">
        <v>1</v>
      </c>
    </row>
    <row r="3870" spans="1:9" ht="30" x14ac:dyDescent="0.25">
      <c r="A3870" s="54" t="s">
        <v>677</v>
      </c>
      <c r="B3870" s="31" t="s">
        <v>144</v>
      </c>
      <c r="C3870" s="28" t="s">
        <v>1979</v>
      </c>
      <c r="D3870" s="28"/>
      <c r="E3870" s="28" t="s">
        <v>1974</v>
      </c>
      <c r="F3870" s="28" t="b">
        <v>0</v>
      </c>
      <c r="G3870" s="28">
        <v>200</v>
      </c>
      <c r="H3870" s="28" t="b">
        <v>1</v>
      </c>
      <c r="I3870" s="34"/>
    </row>
    <row r="3871" spans="1:9" ht="30" x14ac:dyDescent="0.25">
      <c r="A3871" s="54" t="s">
        <v>677</v>
      </c>
      <c r="B3871" s="43" t="s">
        <v>618</v>
      </c>
      <c r="C3871" s="37" t="s">
        <v>1980</v>
      </c>
      <c r="D3871" s="37"/>
      <c r="E3871" s="37" t="s">
        <v>1974</v>
      </c>
      <c r="F3871" s="37" t="b">
        <v>0</v>
      </c>
      <c r="G3871" s="37">
        <v>200</v>
      </c>
      <c r="H3871" s="37" t="b">
        <v>1</v>
      </c>
    </row>
    <row r="3872" spans="1:9" ht="30" x14ac:dyDescent="0.25">
      <c r="A3872" s="54" t="s">
        <v>677</v>
      </c>
      <c r="B3872" s="31" t="s">
        <v>585</v>
      </c>
      <c r="C3872" s="28" t="s">
        <v>1981</v>
      </c>
      <c r="D3872" s="28"/>
      <c r="E3872" s="28" t="s">
        <v>1974</v>
      </c>
      <c r="F3872" s="28" t="b">
        <v>0</v>
      </c>
      <c r="G3872" s="28">
        <v>200</v>
      </c>
      <c r="H3872" s="28" t="b">
        <v>1</v>
      </c>
      <c r="I3872" s="34"/>
    </row>
    <row r="3873" spans="1:9" ht="30" x14ac:dyDescent="0.25">
      <c r="A3873" s="54" t="s">
        <v>677</v>
      </c>
      <c r="B3873" s="43" t="s">
        <v>582</v>
      </c>
      <c r="C3873" s="37" t="s">
        <v>1982</v>
      </c>
      <c r="D3873" s="37"/>
      <c r="E3873" s="37" t="s">
        <v>1974</v>
      </c>
      <c r="F3873" s="37" t="b">
        <v>0</v>
      </c>
      <c r="G3873" s="37">
        <v>200</v>
      </c>
      <c r="H3873" s="37" t="b">
        <v>1</v>
      </c>
    </row>
    <row r="3874" spans="1:9" ht="30" x14ac:dyDescent="0.25">
      <c r="A3874" s="54" t="s">
        <v>677</v>
      </c>
      <c r="B3874" s="31" t="s">
        <v>638</v>
      </c>
      <c r="C3874" s="28" t="s">
        <v>1983</v>
      </c>
      <c r="D3874" s="28"/>
      <c r="E3874" s="28" t="s">
        <v>1974</v>
      </c>
      <c r="F3874" s="28" t="b">
        <v>0</v>
      </c>
      <c r="G3874" s="28">
        <v>200</v>
      </c>
      <c r="H3874" s="28" t="b">
        <v>1</v>
      </c>
      <c r="I3874" s="34"/>
    </row>
    <row r="3875" spans="1:9" ht="30" x14ac:dyDescent="0.25">
      <c r="A3875" s="54" t="s">
        <v>677</v>
      </c>
      <c r="B3875" s="43" t="s">
        <v>638</v>
      </c>
      <c r="C3875" s="37" t="s">
        <v>1984</v>
      </c>
      <c r="D3875" s="37"/>
      <c r="E3875" s="37" t="s">
        <v>1974</v>
      </c>
      <c r="F3875" s="37" t="b">
        <v>0</v>
      </c>
      <c r="G3875" s="37">
        <v>200</v>
      </c>
      <c r="H3875" s="37" t="b">
        <v>1</v>
      </c>
    </row>
    <row r="3876" spans="1:9" ht="30" x14ac:dyDescent="0.25">
      <c r="A3876" s="54" t="s">
        <v>677</v>
      </c>
      <c r="B3876" s="31" t="s">
        <v>647</v>
      </c>
      <c r="C3876" s="28" t="s">
        <v>1985</v>
      </c>
      <c r="D3876" s="28"/>
      <c r="E3876" s="28" t="s">
        <v>1974</v>
      </c>
      <c r="F3876" s="28" t="b">
        <v>0</v>
      </c>
      <c r="G3876" s="28">
        <v>200</v>
      </c>
      <c r="H3876" s="28" t="b">
        <v>1</v>
      </c>
      <c r="I3876" s="34"/>
    </row>
    <row r="3877" spans="1:9" ht="30" x14ac:dyDescent="0.25">
      <c r="A3877" s="54" t="s">
        <v>677</v>
      </c>
      <c r="B3877" s="43" t="s">
        <v>503</v>
      </c>
      <c r="C3877" s="37" t="s">
        <v>1986</v>
      </c>
      <c r="D3877" s="37"/>
      <c r="E3877" s="37" t="s">
        <v>1974</v>
      </c>
      <c r="F3877" s="37" t="b">
        <v>0</v>
      </c>
      <c r="G3877" s="37">
        <v>200</v>
      </c>
      <c r="H3877" s="37" t="b">
        <v>1</v>
      </c>
    </row>
    <row r="3878" spans="1:9" ht="30" x14ac:dyDescent="0.25">
      <c r="A3878" s="54" t="s">
        <v>677</v>
      </c>
      <c r="B3878" s="31" t="s">
        <v>608</v>
      </c>
      <c r="C3878" s="28" t="s">
        <v>1987</v>
      </c>
      <c r="D3878" s="28"/>
      <c r="E3878" s="28" t="s">
        <v>1974</v>
      </c>
      <c r="F3878" s="28" t="b">
        <v>0</v>
      </c>
      <c r="G3878" s="28">
        <v>200</v>
      </c>
      <c r="H3878" s="28" t="b">
        <v>1</v>
      </c>
      <c r="I3878" s="34"/>
    </row>
    <row r="3879" spans="1:9" ht="30" x14ac:dyDescent="0.25">
      <c r="A3879" s="54" t="s">
        <v>677</v>
      </c>
      <c r="B3879" s="43" t="s">
        <v>127</v>
      </c>
      <c r="C3879" s="37" t="s">
        <v>1975</v>
      </c>
      <c r="D3879" s="37"/>
      <c r="E3879" s="37" t="s">
        <v>1974</v>
      </c>
      <c r="F3879" s="37" t="b">
        <v>0</v>
      </c>
      <c r="G3879" s="37">
        <v>200</v>
      </c>
      <c r="H3879" s="37" t="b">
        <v>1</v>
      </c>
    </row>
    <row r="3880" spans="1:9" ht="30" x14ac:dyDescent="0.25">
      <c r="A3880" s="54" t="s">
        <v>677</v>
      </c>
      <c r="B3880" s="31" t="s">
        <v>135</v>
      </c>
      <c r="C3880" s="28" t="s">
        <v>1976</v>
      </c>
      <c r="D3880" s="28"/>
      <c r="E3880" s="28" t="s">
        <v>1974</v>
      </c>
      <c r="F3880" s="28" t="b">
        <v>0</v>
      </c>
      <c r="G3880" s="28">
        <v>200</v>
      </c>
      <c r="H3880" s="28" t="b">
        <v>1</v>
      </c>
      <c r="I3880" s="34"/>
    </row>
    <row r="3881" spans="1:9" ht="30" x14ac:dyDescent="0.25">
      <c r="A3881" s="54" t="s">
        <v>677</v>
      </c>
      <c r="B3881" s="43" t="s">
        <v>655</v>
      </c>
      <c r="C3881" s="37" t="s">
        <v>1977</v>
      </c>
      <c r="D3881" s="37"/>
      <c r="E3881" s="37" t="s">
        <v>1974</v>
      </c>
      <c r="F3881" s="37" t="b">
        <v>0</v>
      </c>
      <c r="G3881" s="37">
        <v>200</v>
      </c>
      <c r="H3881" s="37" t="b">
        <v>1</v>
      </c>
    </row>
    <row r="3882" spans="1:9" ht="30" x14ac:dyDescent="0.25">
      <c r="A3882" s="54" t="s">
        <v>677</v>
      </c>
      <c r="B3882" s="31" t="s">
        <v>635</v>
      </c>
      <c r="C3882" s="28" t="s">
        <v>1978</v>
      </c>
      <c r="D3882" s="28"/>
      <c r="E3882" s="28" t="s">
        <v>1974</v>
      </c>
      <c r="F3882" s="28" t="b">
        <v>0</v>
      </c>
      <c r="G3882" s="28">
        <v>200</v>
      </c>
      <c r="H3882" s="28" t="b">
        <v>1</v>
      </c>
      <c r="I3882" s="34"/>
    </row>
    <row r="3883" spans="1:9" ht="30" x14ac:dyDescent="0.25">
      <c r="A3883" s="54" t="s">
        <v>677</v>
      </c>
      <c r="B3883" s="43" t="s">
        <v>144</v>
      </c>
      <c r="C3883" s="37" t="s">
        <v>1979</v>
      </c>
      <c r="D3883" s="37"/>
      <c r="E3883" s="37" t="s">
        <v>1974</v>
      </c>
      <c r="F3883" s="37" t="b">
        <v>0</v>
      </c>
      <c r="G3883" s="37">
        <v>200</v>
      </c>
      <c r="H3883" s="37" t="b">
        <v>1</v>
      </c>
    </row>
    <row r="3884" spans="1:9" ht="30" x14ac:dyDescent="0.25">
      <c r="A3884" s="54" t="s">
        <v>677</v>
      </c>
      <c r="B3884" s="31" t="s">
        <v>618</v>
      </c>
      <c r="C3884" s="28" t="s">
        <v>1980</v>
      </c>
      <c r="D3884" s="28"/>
      <c r="E3884" s="28" t="s">
        <v>1974</v>
      </c>
      <c r="F3884" s="28" t="b">
        <v>0</v>
      </c>
      <c r="G3884" s="28">
        <v>200</v>
      </c>
      <c r="H3884" s="28" t="b">
        <v>1</v>
      </c>
      <c r="I3884" s="34"/>
    </row>
    <row r="3885" spans="1:9" ht="30" x14ac:dyDescent="0.25">
      <c r="A3885" s="54" t="s">
        <v>677</v>
      </c>
      <c r="B3885" s="43" t="s">
        <v>585</v>
      </c>
      <c r="C3885" s="37" t="s">
        <v>1981</v>
      </c>
      <c r="D3885" s="37"/>
      <c r="E3885" s="37" t="s">
        <v>1974</v>
      </c>
      <c r="F3885" s="37" t="b">
        <v>0</v>
      </c>
      <c r="G3885" s="37">
        <v>200</v>
      </c>
      <c r="H3885" s="37" t="b">
        <v>1</v>
      </c>
    </row>
    <row r="3886" spans="1:9" ht="30" x14ac:dyDescent="0.25">
      <c r="A3886" s="54" t="s">
        <v>677</v>
      </c>
      <c r="B3886" s="31" t="s">
        <v>582</v>
      </c>
      <c r="C3886" s="28" t="s">
        <v>1982</v>
      </c>
      <c r="D3886" s="28"/>
      <c r="E3886" s="28" t="s">
        <v>1974</v>
      </c>
      <c r="F3886" s="28" t="b">
        <v>0</v>
      </c>
      <c r="G3886" s="28">
        <v>200</v>
      </c>
      <c r="H3886" s="28" t="b">
        <v>1</v>
      </c>
      <c r="I3886" s="34"/>
    </row>
    <row r="3887" spans="1:9" ht="30" x14ac:dyDescent="0.25">
      <c r="A3887" s="54" t="s">
        <v>677</v>
      </c>
      <c r="B3887" s="43" t="s">
        <v>638</v>
      </c>
      <c r="C3887" s="37" t="s">
        <v>1983</v>
      </c>
      <c r="D3887" s="37"/>
      <c r="E3887" s="37" t="s">
        <v>1974</v>
      </c>
      <c r="F3887" s="37" t="b">
        <v>0</v>
      </c>
      <c r="G3887" s="37">
        <v>200</v>
      </c>
      <c r="H3887" s="37" t="b">
        <v>1</v>
      </c>
    </row>
    <row r="3888" spans="1:9" ht="30" x14ac:dyDescent="0.25">
      <c r="A3888" s="54" t="s">
        <v>677</v>
      </c>
      <c r="B3888" s="31" t="s">
        <v>638</v>
      </c>
      <c r="C3888" s="28" t="s">
        <v>1984</v>
      </c>
      <c r="D3888" s="28"/>
      <c r="E3888" s="28" t="s">
        <v>1974</v>
      </c>
      <c r="F3888" s="28" t="b">
        <v>0</v>
      </c>
      <c r="G3888" s="28">
        <v>200</v>
      </c>
      <c r="H3888" s="28" t="b">
        <v>1</v>
      </c>
      <c r="I3888" s="34"/>
    </row>
    <row r="3889" spans="1:9" ht="30" x14ac:dyDescent="0.25">
      <c r="A3889" s="54" t="s">
        <v>677</v>
      </c>
      <c r="B3889" s="43" t="s">
        <v>647</v>
      </c>
      <c r="C3889" s="37" t="s">
        <v>1985</v>
      </c>
      <c r="D3889" s="37"/>
      <c r="E3889" s="37" t="s">
        <v>1974</v>
      </c>
      <c r="F3889" s="37" t="b">
        <v>0</v>
      </c>
      <c r="G3889" s="37">
        <v>200</v>
      </c>
      <c r="H3889" s="37" t="b">
        <v>1</v>
      </c>
    </row>
    <row r="3890" spans="1:9" ht="30" x14ac:dyDescent="0.25">
      <c r="A3890" s="54" t="s">
        <v>677</v>
      </c>
      <c r="B3890" s="31" t="s">
        <v>503</v>
      </c>
      <c r="C3890" s="28" t="s">
        <v>1986</v>
      </c>
      <c r="D3890" s="28"/>
      <c r="E3890" s="28" t="s">
        <v>1974</v>
      </c>
      <c r="F3890" s="28" t="b">
        <v>0</v>
      </c>
      <c r="G3890" s="28">
        <v>200</v>
      </c>
      <c r="H3890" s="28" t="b">
        <v>1</v>
      </c>
      <c r="I3890" s="34"/>
    </row>
    <row r="3891" spans="1:9" ht="30" x14ac:dyDescent="0.25">
      <c r="A3891" s="54" t="s">
        <v>677</v>
      </c>
      <c r="B3891" s="43" t="s">
        <v>608</v>
      </c>
      <c r="C3891" s="37" t="s">
        <v>1987</v>
      </c>
      <c r="D3891" s="37"/>
      <c r="E3891" s="37" t="s">
        <v>1974</v>
      </c>
      <c r="F3891" s="37" t="b">
        <v>0</v>
      </c>
      <c r="G3891" s="37">
        <v>200</v>
      </c>
      <c r="H3891" s="37" t="b">
        <v>1</v>
      </c>
    </row>
    <row r="3892" spans="1:9" ht="30" x14ac:dyDescent="0.25">
      <c r="A3892" s="54" t="s">
        <v>677</v>
      </c>
      <c r="B3892" s="31" t="s">
        <v>2897</v>
      </c>
      <c r="C3892" s="28" t="s">
        <v>2127</v>
      </c>
      <c r="D3892" s="28"/>
      <c r="E3892" s="28" t="s">
        <v>1974</v>
      </c>
      <c r="F3892" s="28" t="b">
        <v>0</v>
      </c>
      <c r="G3892" s="28">
        <v>404</v>
      </c>
      <c r="H3892" s="28" t="b">
        <v>0</v>
      </c>
      <c r="I3892" s="34"/>
    </row>
    <row r="3893" spans="1:9" ht="30" x14ac:dyDescent="0.25">
      <c r="A3893" s="54" t="s">
        <v>677</v>
      </c>
      <c r="B3893" s="43" t="s">
        <v>2898</v>
      </c>
      <c r="C3893" s="37" t="s">
        <v>2126</v>
      </c>
      <c r="D3893" s="37"/>
      <c r="E3893" s="37" t="s">
        <v>1974</v>
      </c>
      <c r="F3893" s="37" t="b">
        <v>0</v>
      </c>
      <c r="G3893" s="37">
        <v>200</v>
      </c>
      <c r="H3893" s="37" t="b">
        <v>1</v>
      </c>
    </row>
    <row r="3894" spans="1:9" ht="30" x14ac:dyDescent="0.25">
      <c r="A3894" s="54" t="s">
        <v>677</v>
      </c>
      <c r="B3894" s="31" t="s">
        <v>2860</v>
      </c>
      <c r="C3894" s="28" t="s">
        <v>2899</v>
      </c>
      <c r="D3894" s="28"/>
      <c r="E3894" s="28" t="s">
        <v>1974</v>
      </c>
      <c r="F3894" s="28" t="b">
        <v>0</v>
      </c>
      <c r="G3894" s="28">
        <v>200</v>
      </c>
      <c r="H3894" s="28" t="b">
        <v>1</v>
      </c>
      <c r="I3894" s="34"/>
    </row>
    <row r="3895" spans="1:9" ht="30" x14ac:dyDescent="0.25">
      <c r="A3895" s="54" t="s">
        <v>677</v>
      </c>
      <c r="B3895" s="43" t="s">
        <v>647</v>
      </c>
      <c r="C3895" s="37" t="s">
        <v>2010</v>
      </c>
      <c r="D3895" s="37"/>
      <c r="E3895" s="37" t="s">
        <v>1974</v>
      </c>
      <c r="F3895" s="37" t="b">
        <v>0</v>
      </c>
      <c r="G3895" s="37">
        <v>200</v>
      </c>
      <c r="H3895" s="37" t="b">
        <v>1</v>
      </c>
    </row>
    <row r="3896" spans="1:9" ht="30" x14ac:dyDescent="0.25">
      <c r="A3896" s="54" t="s">
        <v>677</v>
      </c>
      <c r="B3896" s="31" t="s">
        <v>2011</v>
      </c>
      <c r="C3896" s="28"/>
      <c r="D3896" s="28"/>
      <c r="E3896" s="28" t="s">
        <v>2012</v>
      </c>
      <c r="F3896" s="28" t="b">
        <v>0</v>
      </c>
      <c r="G3896" s="28"/>
      <c r="H3896" s="28" t="b">
        <v>1</v>
      </c>
      <c r="I3896" s="34"/>
    </row>
    <row r="3897" spans="1:9" ht="30" x14ac:dyDescent="0.25">
      <c r="A3897" s="54" t="s">
        <v>677</v>
      </c>
      <c r="B3897" s="43" t="s">
        <v>2013</v>
      </c>
      <c r="C3897" s="37"/>
      <c r="D3897" s="37"/>
      <c r="E3897" s="37" t="s">
        <v>2012</v>
      </c>
      <c r="F3897" s="37" t="b">
        <v>0</v>
      </c>
      <c r="G3897" s="37"/>
      <c r="H3897" s="37" t="b">
        <v>1</v>
      </c>
    </row>
    <row r="3898" spans="1:9" ht="30" x14ac:dyDescent="0.25">
      <c r="A3898" s="54" t="s">
        <v>677</v>
      </c>
      <c r="B3898" s="31" t="s">
        <v>641</v>
      </c>
      <c r="C3898" s="28" t="s">
        <v>2014</v>
      </c>
      <c r="D3898" s="28"/>
      <c r="E3898" s="28" t="s">
        <v>1974</v>
      </c>
      <c r="F3898" s="28" t="b">
        <v>0</v>
      </c>
      <c r="G3898" s="28">
        <v>200</v>
      </c>
      <c r="H3898" s="28" t="b">
        <v>1</v>
      </c>
      <c r="I3898" s="34"/>
    </row>
    <row r="3899" spans="1:9" ht="30" x14ac:dyDescent="0.25">
      <c r="A3899" s="54" t="s">
        <v>677</v>
      </c>
      <c r="B3899" s="43" t="s">
        <v>2015</v>
      </c>
      <c r="C3899" s="37" t="s">
        <v>2016</v>
      </c>
      <c r="D3899" s="37"/>
      <c r="E3899" s="37" t="s">
        <v>1974</v>
      </c>
      <c r="F3899" s="37" t="b">
        <v>0</v>
      </c>
      <c r="G3899" s="37">
        <v>404</v>
      </c>
      <c r="H3899" s="37" t="b">
        <v>0</v>
      </c>
    </row>
    <row r="3900" spans="1:9" ht="30" x14ac:dyDescent="0.25">
      <c r="A3900" s="54" t="s">
        <v>677</v>
      </c>
      <c r="B3900" s="31" t="s">
        <v>2015</v>
      </c>
      <c r="C3900" s="28" t="s">
        <v>2017</v>
      </c>
      <c r="D3900" s="28"/>
      <c r="E3900" s="28" t="s">
        <v>1974</v>
      </c>
      <c r="F3900" s="28" t="b">
        <v>0</v>
      </c>
      <c r="G3900" s="28">
        <v>404</v>
      </c>
      <c r="H3900" s="28" t="b">
        <v>0</v>
      </c>
      <c r="I3900" s="34"/>
    </row>
    <row r="3901" spans="1:9" ht="30" x14ac:dyDescent="0.25">
      <c r="A3901" s="54" t="s">
        <v>680</v>
      </c>
      <c r="B3901" s="43" t="s">
        <v>127</v>
      </c>
      <c r="C3901" s="37"/>
      <c r="D3901" s="37"/>
      <c r="E3901" s="37" t="s">
        <v>1974</v>
      </c>
      <c r="F3901" s="37" t="b">
        <v>0</v>
      </c>
      <c r="G3901" s="37">
        <v>200</v>
      </c>
      <c r="H3901" s="37" t="b">
        <v>1</v>
      </c>
    </row>
    <row r="3902" spans="1:9" ht="30" x14ac:dyDescent="0.25">
      <c r="A3902" s="54" t="s">
        <v>680</v>
      </c>
      <c r="B3902" s="31" t="s">
        <v>127</v>
      </c>
      <c r="C3902" s="28" t="s">
        <v>1975</v>
      </c>
      <c r="D3902" s="28"/>
      <c r="E3902" s="28" t="s">
        <v>1974</v>
      </c>
      <c r="F3902" s="28" t="b">
        <v>0</v>
      </c>
      <c r="G3902" s="28">
        <v>200</v>
      </c>
      <c r="H3902" s="28" t="b">
        <v>1</v>
      </c>
      <c r="I3902" s="34"/>
    </row>
    <row r="3903" spans="1:9" ht="30" x14ac:dyDescent="0.25">
      <c r="A3903" s="54" t="s">
        <v>680</v>
      </c>
      <c r="B3903" s="43" t="s">
        <v>135</v>
      </c>
      <c r="C3903" s="37" t="s">
        <v>1976</v>
      </c>
      <c r="D3903" s="37"/>
      <c r="E3903" s="37" t="s">
        <v>1974</v>
      </c>
      <c r="F3903" s="37" t="b">
        <v>0</v>
      </c>
      <c r="G3903" s="37">
        <v>200</v>
      </c>
      <c r="H3903" s="37" t="b">
        <v>1</v>
      </c>
    </row>
    <row r="3904" spans="1:9" ht="30" x14ac:dyDescent="0.25">
      <c r="A3904" s="54" t="s">
        <v>680</v>
      </c>
      <c r="B3904" s="31" t="s">
        <v>655</v>
      </c>
      <c r="C3904" s="28" t="s">
        <v>1977</v>
      </c>
      <c r="D3904" s="28"/>
      <c r="E3904" s="28" t="s">
        <v>1974</v>
      </c>
      <c r="F3904" s="28" t="b">
        <v>0</v>
      </c>
      <c r="G3904" s="28">
        <v>200</v>
      </c>
      <c r="H3904" s="28" t="b">
        <v>1</v>
      </c>
      <c r="I3904" s="34"/>
    </row>
    <row r="3905" spans="1:9" ht="30" x14ac:dyDescent="0.25">
      <c r="A3905" s="54" t="s">
        <v>680</v>
      </c>
      <c r="B3905" s="43" t="s">
        <v>635</v>
      </c>
      <c r="C3905" s="37" t="s">
        <v>1978</v>
      </c>
      <c r="D3905" s="37"/>
      <c r="E3905" s="37" t="s">
        <v>1974</v>
      </c>
      <c r="F3905" s="37" t="b">
        <v>0</v>
      </c>
      <c r="G3905" s="37">
        <v>200</v>
      </c>
      <c r="H3905" s="37" t="b">
        <v>1</v>
      </c>
    </row>
    <row r="3906" spans="1:9" ht="30" x14ac:dyDescent="0.25">
      <c r="A3906" s="54" t="s">
        <v>680</v>
      </c>
      <c r="B3906" s="31" t="s">
        <v>144</v>
      </c>
      <c r="C3906" s="28" t="s">
        <v>1979</v>
      </c>
      <c r="D3906" s="28"/>
      <c r="E3906" s="28" t="s">
        <v>1974</v>
      </c>
      <c r="F3906" s="28" t="b">
        <v>0</v>
      </c>
      <c r="G3906" s="28">
        <v>200</v>
      </c>
      <c r="H3906" s="28" t="b">
        <v>1</v>
      </c>
      <c r="I3906" s="34"/>
    </row>
    <row r="3907" spans="1:9" ht="30" x14ac:dyDescent="0.25">
      <c r="A3907" s="54" t="s">
        <v>680</v>
      </c>
      <c r="B3907" s="43" t="s">
        <v>618</v>
      </c>
      <c r="C3907" s="37" t="s">
        <v>1980</v>
      </c>
      <c r="D3907" s="37"/>
      <c r="E3907" s="37" t="s">
        <v>1974</v>
      </c>
      <c r="F3907" s="37" t="b">
        <v>0</v>
      </c>
      <c r="G3907" s="37">
        <v>200</v>
      </c>
      <c r="H3907" s="37" t="b">
        <v>1</v>
      </c>
    </row>
    <row r="3908" spans="1:9" ht="30" x14ac:dyDescent="0.25">
      <c r="A3908" s="54" t="s">
        <v>680</v>
      </c>
      <c r="B3908" s="31" t="s">
        <v>585</v>
      </c>
      <c r="C3908" s="28" t="s">
        <v>1981</v>
      </c>
      <c r="D3908" s="28"/>
      <c r="E3908" s="28" t="s">
        <v>1974</v>
      </c>
      <c r="F3908" s="28" t="b">
        <v>0</v>
      </c>
      <c r="G3908" s="28">
        <v>200</v>
      </c>
      <c r="H3908" s="28" t="b">
        <v>1</v>
      </c>
      <c r="I3908" s="34"/>
    </row>
    <row r="3909" spans="1:9" ht="30" x14ac:dyDescent="0.25">
      <c r="A3909" s="54" t="s">
        <v>680</v>
      </c>
      <c r="B3909" s="43" t="s">
        <v>582</v>
      </c>
      <c r="C3909" s="37" t="s">
        <v>1982</v>
      </c>
      <c r="D3909" s="37"/>
      <c r="E3909" s="37" t="s">
        <v>1974</v>
      </c>
      <c r="F3909" s="37" t="b">
        <v>0</v>
      </c>
      <c r="G3909" s="37">
        <v>200</v>
      </c>
      <c r="H3909" s="37" t="b">
        <v>1</v>
      </c>
    </row>
    <row r="3910" spans="1:9" ht="30" x14ac:dyDescent="0.25">
      <c r="A3910" s="54" t="s">
        <v>680</v>
      </c>
      <c r="B3910" s="31" t="s">
        <v>638</v>
      </c>
      <c r="C3910" s="28" t="s">
        <v>1983</v>
      </c>
      <c r="D3910" s="28"/>
      <c r="E3910" s="28" t="s">
        <v>1974</v>
      </c>
      <c r="F3910" s="28" t="b">
        <v>0</v>
      </c>
      <c r="G3910" s="28">
        <v>200</v>
      </c>
      <c r="H3910" s="28" t="b">
        <v>1</v>
      </c>
      <c r="I3910" s="34"/>
    </row>
    <row r="3911" spans="1:9" ht="30" x14ac:dyDescent="0.25">
      <c r="A3911" s="54" t="s">
        <v>680</v>
      </c>
      <c r="B3911" s="43" t="s">
        <v>638</v>
      </c>
      <c r="C3911" s="37" t="s">
        <v>1984</v>
      </c>
      <c r="D3911" s="37"/>
      <c r="E3911" s="37" t="s">
        <v>1974</v>
      </c>
      <c r="F3911" s="37" t="b">
        <v>0</v>
      </c>
      <c r="G3911" s="37">
        <v>200</v>
      </c>
      <c r="H3911" s="37" t="b">
        <v>1</v>
      </c>
    </row>
    <row r="3912" spans="1:9" ht="30" x14ac:dyDescent="0.25">
      <c r="A3912" s="54" t="s">
        <v>680</v>
      </c>
      <c r="B3912" s="31" t="s">
        <v>647</v>
      </c>
      <c r="C3912" s="28" t="s">
        <v>1985</v>
      </c>
      <c r="D3912" s="28"/>
      <c r="E3912" s="28" t="s">
        <v>1974</v>
      </c>
      <c r="F3912" s="28" t="b">
        <v>0</v>
      </c>
      <c r="G3912" s="28">
        <v>200</v>
      </c>
      <c r="H3912" s="28" t="b">
        <v>1</v>
      </c>
      <c r="I3912" s="34"/>
    </row>
    <row r="3913" spans="1:9" ht="30" x14ac:dyDescent="0.25">
      <c r="A3913" s="54" t="s">
        <v>680</v>
      </c>
      <c r="B3913" s="43" t="s">
        <v>503</v>
      </c>
      <c r="C3913" s="37" t="s">
        <v>1986</v>
      </c>
      <c r="D3913" s="37"/>
      <c r="E3913" s="37" t="s">
        <v>1974</v>
      </c>
      <c r="F3913" s="37" t="b">
        <v>0</v>
      </c>
      <c r="G3913" s="37">
        <v>200</v>
      </c>
      <c r="H3913" s="37" t="b">
        <v>1</v>
      </c>
    </row>
    <row r="3914" spans="1:9" ht="30" x14ac:dyDescent="0.25">
      <c r="A3914" s="54" t="s">
        <v>680</v>
      </c>
      <c r="B3914" s="31" t="s">
        <v>608</v>
      </c>
      <c r="C3914" s="28" t="s">
        <v>1987</v>
      </c>
      <c r="D3914" s="28"/>
      <c r="E3914" s="28" t="s">
        <v>1974</v>
      </c>
      <c r="F3914" s="28" t="b">
        <v>0</v>
      </c>
      <c r="G3914" s="28">
        <v>200</v>
      </c>
      <c r="H3914" s="28" t="b">
        <v>1</v>
      </c>
      <c r="I3914" s="34"/>
    </row>
    <row r="3915" spans="1:9" ht="30" x14ac:dyDescent="0.25">
      <c r="A3915" s="54" t="s">
        <v>680</v>
      </c>
      <c r="B3915" s="43" t="s">
        <v>127</v>
      </c>
      <c r="C3915" s="37" t="s">
        <v>1975</v>
      </c>
      <c r="D3915" s="37"/>
      <c r="E3915" s="37" t="s">
        <v>1974</v>
      </c>
      <c r="F3915" s="37" t="b">
        <v>0</v>
      </c>
      <c r="G3915" s="37">
        <v>200</v>
      </c>
      <c r="H3915" s="37" t="b">
        <v>1</v>
      </c>
    </row>
    <row r="3916" spans="1:9" ht="30" x14ac:dyDescent="0.25">
      <c r="A3916" s="54" t="s">
        <v>680</v>
      </c>
      <c r="B3916" s="31" t="s">
        <v>135</v>
      </c>
      <c r="C3916" s="28" t="s">
        <v>1976</v>
      </c>
      <c r="D3916" s="28"/>
      <c r="E3916" s="28" t="s">
        <v>1974</v>
      </c>
      <c r="F3916" s="28" t="b">
        <v>0</v>
      </c>
      <c r="G3916" s="28">
        <v>200</v>
      </c>
      <c r="H3916" s="28" t="b">
        <v>1</v>
      </c>
      <c r="I3916" s="34"/>
    </row>
    <row r="3917" spans="1:9" ht="30" x14ac:dyDescent="0.25">
      <c r="A3917" s="54" t="s">
        <v>680</v>
      </c>
      <c r="B3917" s="43" t="s">
        <v>655</v>
      </c>
      <c r="C3917" s="37" t="s">
        <v>1977</v>
      </c>
      <c r="D3917" s="37"/>
      <c r="E3917" s="37" t="s">
        <v>1974</v>
      </c>
      <c r="F3917" s="37" t="b">
        <v>0</v>
      </c>
      <c r="G3917" s="37">
        <v>200</v>
      </c>
      <c r="H3917" s="37" t="b">
        <v>1</v>
      </c>
    </row>
    <row r="3918" spans="1:9" ht="30" x14ac:dyDescent="0.25">
      <c r="A3918" s="54" t="s">
        <v>680</v>
      </c>
      <c r="B3918" s="31" t="s">
        <v>635</v>
      </c>
      <c r="C3918" s="28" t="s">
        <v>1978</v>
      </c>
      <c r="D3918" s="28"/>
      <c r="E3918" s="28" t="s">
        <v>1974</v>
      </c>
      <c r="F3918" s="28" t="b">
        <v>0</v>
      </c>
      <c r="G3918" s="28">
        <v>200</v>
      </c>
      <c r="H3918" s="28" t="b">
        <v>1</v>
      </c>
      <c r="I3918" s="34"/>
    </row>
    <row r="3919" spans="1:9" ht="30" x14ac:dyDescent="0.25">
      <c r="A3919" s="54" t="s">
        <v>680</v>
      </c>
      <c r="B3919" s="43" t="s">
        <v>144</v>
      </c>
      <c r="C3919" s="37" t="s">
        <v>1979</v>
      </c>
      <c r="D3919" s="37"/>
      <c r="E3919" s="37" t="s">
        <v>1974</v>
      </c>
      <c r="F3919" s="37" t="b">
        <v>0</v>
      </c>
      <c r="G3919" s="37">
        <v>200</v>
      </c>
      <c r="H3919" s="37" t="b">
        <v>1</v>
      </c>
    </row>
    <row r="3920" spans="1:9" ht="30" x14ac:dyDescent="0.25">
      <c r="A3920" s="54" t="s">
        <v>680</v>
      </c>
      <c r="B3920" s="31" t="s">
        <v>618</v>
      </c>
      <c r="C3920" s="28" t="s">
        <v>1980</v>
      </c>
      <c r="D3920" s="28"/>
      <c r="E3920" s="28" t="s">
        <v>1974</v>
      </c>
      <c r="F3920" s="28" t="b">
        <v>0</v>
      </c>
      <c r="G3920" s="28">
        <v>200</v>
      </c>
      <c r="H3920" s="28" t="b">
        <v>1</v>
      </c>
      <c r="I3920" s="34"/>
    </row>
    <row r="3921" spans="1:9" ht="30" x14ac:dyDescent="0.25">
      <c r="A3921" s="54" t="s">
        <v>680</v>
      </c>
      <c r="B3921" s="43" t="s">
        <v>585</v>
      </c>
      <c r="C3921" s="37" t="s">
        <v>1981</v>
      </c>
      <c r="D3921" s="37"/>
      <c r="E3921" s="37" t="s">
        <v>1974</v>
      </c>
      <c r="F3921" s="37" t="b">
        <v>0</v>
      </c>
      <c r="G3921" s="37">
        <v>200</v>
      </c>
      <c r="H3921" s="37" t="b">
        <v>1</v>
      </c>
    </row>
    <row r="3922" spans="1:9" ht="30" x14ac:dyDescent="0.25">
      <c r="A3922" s="54" t="s">
        <v>680</v>
      </c>
      <c r="B3922" s="31" t="s">
        <v>582</v>
      </c>
      <c r="C3922" s="28" t="s">
        <v>1982</v>
      </c>
      <c r="D3922" s="28"/>
      <c r="E3922" s="28" t="s">
        <v>1974</v>
      </c>
      <c r="F3922" s="28" t="b">
        <v>0</v>
      </c>
      <c r="G3922" s="28">
        <v>200</v>
      </c>
      <c r="H3922" s="28" t="b">
        <v>1</v>
      </c>
      <c r="I3922" s="34"/>
    </row>
    <row r="3923" spans="1:9" ht="30" x14ac:dyDescent="0.25">
      <c r="A3923" s="54" t="s">
        <v>680</v>
      </c>
      <c r="B3923" s="43" t="s">
        <v>638</v>
      </c>
      <c r="C3923" s="37" t="s">
        <v>1983</v>
      </c>
      <c r="D3923" s="37"/>
      <c r="E3923" s="37" t="s">
        <v>1974</v>
      </c>
      <c r="F3923" s="37" t="b">
        <v>0</v>
      </c>
      <c r="G3923" s="37">
        <v>200</v>
      </c>
      <c r="H3923" s="37" t="b">
        <v>1</v>
      </c>
    </row>
    <row r="3924" spans="1:9" ht="30" x14ac:dyDescent="0.25">
      <c r="A3924" s="54" t="s">
        <v>680</v>
      </c>
      <c r="B3924" s="31" t="s">
        <v>638</v>
      </c>
      <c r="C3924" s="28" t="s">
        <v>1984</v>
      </c>
      <c r="D3924" s="28"/>
      <c r="E3924" s="28" t="s">
        <v>1974</v>
      </c>
      <c r="F3924" s="28" t="b">
        <v>0</v>
      </c>
      <c r="G3924" s="28">
        <v>200</v>
      </c>
      <c r="H3924" s="28" t="b">
        <v>1</v>
      </c>
      <c r="I3924" s="34"/>
    </row>
    <row r="3925" spans="1:9" ht="30" x14ac:dyDescent="0.25">
      <c r="A3925" s="54" t="s">
        <v>680</v>
      </c>
      <c r="B3925" s="43" t="s">
        <v>647</v>
      </c>
      <c r="C3925" s="37" t="s">
        <v>1985</v>
      </c>
      <c r="D3925" s="37"/>
      <c r="E3925" s="37" t="s">
        <v>1974</v>
      </c>
      <c r="F3925" s="37" t="b">
        <v>0</v>
      </c>
      <c r="G3925" s="37">
        <v>200</v>
      </c>
      <c r="H3925" s="37" t="b">
        <v>1</v>
      </c>
    </row>
    <row r="3926" spans="1:9" ht="30" x14ac:dyDescent="0.25">
      <c r="A3926" s="54" t="s">
        <v>680</v>
      </c>
      <c r="B3926" s="31" t="s">
        <v>503</v>
      </c>
      <c r="C3926" s="28" t="s">
        <v>1986</v>
      </c>
      <c r="D3926" s="28"/>
      <c r="E3926" s="28" t="s">
        <v>1974</v>
      </c>
      <c r="F3926" s="28" t="b">
        <v>0</v>
      </c>
      <c r="G3926" s="28">
        <v>200</v>
      </c>
      <c r="H3926" s="28" t="b">
        <v>1</v>
      </c>
      <c r="I3926" s="34"/>
    </row>
    <row r="3927" spans="1:9" ht="30" x14ac:dyDescent="0.25">
      <c r="A3927" s="54" t="s">
        <v>680</v>
      </c>
      <c r="B3927" s="43" t="s">
        <v>608</v>
      </c>
      <c r="C3927" s="37" t="s">
        <v>1987</v>
      </c>
      <c r="D3927" s="37"/>
      <c r="E3927" s="37" t="s">
        <v>1974</v>
      </c>
      <c r="F3927" s="37" t="b">
        <v>0</v>
      </c>
      <c r="G3927" s="37">
        <v>200</v>
      </c>
      <c r="H3927" s="37" t="b">
        <v>1</v>
      </c>
    </row>
    <row r="3928" spans="1:9" ht="30" x14ac:dyDescent="0.25">
      <c r="A3928" s="54" t="s">
        <v>680</v>
      </c>
      <c r="B3928" s="31" t="s">
        <v>2897</v>
      </c>
      <c r="C3928" s="28" t="s">
        <v>2127</v>
      </c>
      <c r="D3928" s="28"/>
      <c r="E3928" s="28" t="s">
        <v>1974</v>
      </c>
      <c r="F3928" s="28" t="b">
        <v>0</v>
      </c>
      <c r="G3928" s="28">
        <v>404</v>
      </c>
      <c r="H3928" s="28" t="b">
        <v>0</v>
      </c>
      <c r="I3928" s="34"/>
    </row>
    <row r="3929" spans="1:9" ht="30" x14ac:dyDescent="0.25">
      <c r="A3929" s="54" t="s">
        <v>680</v>
      </c>
      <c r="B3929" s="43" t="s">
        <v>2898</v>
      </c>
      <c r="C3929" s="37" t="s">
        <v>2126</v>
      </c>
      <c r="D3929" s="37"/>
      <c r="E3929" s="37" t="s">
        <v>1974</v>
      </c>
      <c r="F3929" s="37" t="b">
        <v>0</v>
      </c>
      <c r="G3929" s="37">
        <v>200</v>
      </c>
      <c r="H3929" s="37" t="b">
        <v>1</v>
      </c>
    </row>
    <row r="3930" spans="1:9" ht="30" x14ac:dyDescent="0.25">
      <c r="A3930" s="54" t="s">
        <v>680</v>
      </c>
      <c r="B3930" s="31" t="s">
        <v>2860</v>
      </c>
      <c r="C3930" s="28" t="s">
        <v>2899</v>
      </c>
      <c r="D3930" s="28"/>
      <c r="E3930" s="28" t="s">
        <v>1974</v>
      </c>
      <c r="F3930" s="28" t="b">
        <v>0</v>
      </c>
      <c r="G3930" s="28">
        <v>200</v>
      </c>
      <c r="H3930" s="28" t="b">
        <v>1</v>
      </c>
      <c r="I3930" s="34"/>
    </row>
    <row r="3931" spans="1:9" ht="30" x14ac:dyDescent="0.25">
      <c r="A3931" s="54" t="s">
        <v>680</v>
      </c>
      <c r="B3931" s="43" t="s">
        <v>647</v>
      </c>
      <c r="C3931" s="37" t="s">
        <v>2010</v>
      </c>
      <c r="D3931" s="37"/>
      <c r="E3931" s="37" t="s">
        <v>1974</v>
      </c>
      <c r="F3931" s="37" t="b">
        <v>0</v>
      </c>
      <c r="G3931" s="37">
        <v>200</v>
      </c>
      <c r="H3931" s="37" t="b">
        <v>1</v>
      </c>
    </row>
    <row r="3932" spans="1:9" ht="30" x14ac:dyDescent="0.25">
      <c r="A3932" s="54" t="s">
        <v>680</v>
      </c>
      <c r="B3932" s="31" t="s">
        <v>2011</v>
      </c>
      <c r="C3932" s="28"/>
      <c r="D3932" s="28"/>
      <c r="E3932" s="28" t="s">
        <v>2012</v>
      </c>
      <c r="F3932" s="28" t="b">
        <v>0</v>
      </c>
      <c r="G3932" s="28"/>
      <c r="H3932" s="28" t="b">
        <v>1</v>
      </c>
      <c r="I3932" s="34"/>
    </row>
    <row r="3933" spans="1:9" ht="30" x14ac:dyDescent="0.25">
      <c r="A3933" s="54" t="s">
        <v>680</v>
      </c>
      <c r="B3933" s="43" t="s">
        <v>2013</v>
      </c>
      <c r="C3933" s="37"/>
      <c r="D3933" s="37"/>
      <c r="E3933" s="37" t="s">
        <v>2012</v>
      </c>
      <c r="F3933" s="37" t="b">
        <v>0</v>
      </c>
      <c r="G3933" s="37"/>
      <c r="H3933" s="37" t="b">
        <v>1</v>
      </c>
    </row>
    <row r="3934" spans="1:9" ht="30" x14ac:dyDescent="0.25">
      <c r="A3934" s="54" t="s">
        <v>680</v>
      </c>
      <c r="B3934" s="31" t="s">
        <v>641</v>
      </c>
      <c r="C3934" s="28" t="s">
        <v>2014</v>
      </c>
      <c r="D3934" s="28"/>
      <c r="E3934" s="28" t="s">
        <v>1974</v>
      </c>
      <c r="F3934" s="28" t="b">
        <v>0</v>
      </c>
      <c r="G3934" s="28">
        <v>200</v>
      </c>
      <c r="H3934" s="28" t="b">
        <v>1</v>
      </c>
      <c r="I3934" s="34"/>
    </row>
    <row r="3935" spans="1:9" ht="30" x14ac:dyDescent="0.25">
      <c r="A3935" s="54" t="s">
        <v>680</v>
      </c>
      <c r="B3935" s="43" t="s">
        <v>2015</v>
      </c>
      <c r="C3935" s="37" t="s">
        <v>2016</v>
      </c>
      <c r="D3935" s="37"/>
      <c r="E3935" s="37" t="s">
        <v>1974</v>
      </c>
      <c r="F3935" s="37" t="b">
        <v>0</v>
      </c>
      <c r="G3935" s="37">
        <v>404</v>
      </c>
      <c r="H3935" s="37" t="b">
        <v>0</v>
      </c>
    </row>
    <row r="3936" spans="1:9" ht="30" x14ac:dyDescent="0.25">
      <c r="A3936" s="54" t="s">
        <v>680</v>
      </c>
      <c r="B3936" s="31" t="s">
        <v>2015</v>
      </c>
      <c r="C3936" s="28" t="s">
        <v>2017</v>
      </c>
      <c r="D3936" s="28"/>
      <c r="E3936" s="28" t="s">
        <v>1974</v>
      </c>
      <c r="F3936" s="28" t="b">
        <v>0</v>
      </c>
      <c r="G3936" s="28">
        <v>404</v>
      </c>
      <c r="H3936" s="28" t="b">
        <v>0</v>
      </c>
      <c r="I3936" s="34"/>
    </row>
    <row r="3937" spans="1:9" x14ac:dyDescent="0.25">
      <c r="A3937" s="54" t="s">
        <v>683</v>
      </c>
      <c r="B3937" s="43" t="s">
        <v>127</v>
      </c>
      <c r="C3937" s="37"/>
      <c r="D3937" s="37"/>
      <c r="E3937" s="37" t="s">
        <v>1974</v>
      </c>
      <c r="F3937" s="37" t="b">
        <v>0</v>
      </c>
      <c r="G3937" s="37">
        <v>200</v>
      </c>
      <c r="H3937" s="37" t="b">
        <v>1</v>
      </c>
    </row>
    <row r="3938" spans="1:9" x14ac:dyDescent="0.25">
      <c r="A3938" s="54" t="s">
        <v>683</v>
      </c>
      <c r="B3938" s="31" t="s">
        <v>127</v>
      </c>
      <c r="C3938" s="28" t="s">
        <v>1975</v>
      </c>
      <c r="D3938" s="28"/>
      <c r="E3938" s="28" t="s">
        <v>1974</v>
      </c>
      <c r="F3938" s="28" t="b">
        <v>0</v>
      </c>
      <c r="G3938" s="28">
        <v>200</v>
      </c>
      <c r="H3938" s="28" t="b">
        <v>1</v>
      </c>
      <c r="I3938" s="34"/>
    </row>
    <row r="3939" spans="1:9" x14ac:dyDescent="0.25">
      <c r="A3939" s="54" t="s">
        <v>683</v>
      </c>
      <c r="B3939" s="43" t="s">
        <v>135</v>
      </c>
      <c r="C3939" s="37" t="s">
        <v>1976</v>
      </c>
      <c r="D3939" s="37"/>
      <c r="E3939" s="37" t="s">
        <v>1974</v>
      </c>
      <c r="F3939" s="37" t="b">
        <v>0</v>
      </c>
      <c r="G3939" s="37">
        <v>200</v>
      </c>
      <c r="H3939" s="37" t="b">
        <v>1</v>
      </c>
    </row>
    <row r="3940" spans="1:9" x14ac:dyDescent="0.25">
      <c r="A3940" s="54" t="s">
        <v>683</v>
      </c>
      <c r="B3940" s="31" t="s">
        <v>655</v>
      </c>
      <c r="C3940" s="28" t="s">
        <v>1977</v>
      </c>
      <c r="D3940" s="28"/>
      <c r="E3940" s="28" t="s">
        <v>1974</v>
      </c>
      <c r="F3940" s="28" t="b">
        <v>0</v>
      </c>
      <c r="G3940" s="28">
        <v>200</v>
      </c>
      <c r="H3940" s="28" t="b">
        <v>1</v>
      </c>
      <c r="I3940" s="34"/>
    </row>
    <row r="3941" spans="1:9" x14ac:dyDescent="0.25">
      <c r="A3941" s="54" t="s">
        <v>683</v>
      </c>
      <c r="B3941" s="43" t="s">
        <v>635</v>
      </c>
      <c r="C3941" s="37" t="s">
        <v>1978</v>
      </c>
      <c r="D3941" s="37"/>
      <c r="E3941" s="37" t="s">
        <v>1974</v>
      </c>
      <c r="F3941" s="37" t="b">
        <v>0</v>
      </c>
      <c r="G3941" s="37">
        <v>200</v>
      </c>
      <c r="H3941" s="37" t="b">
        <v>1</v>
      </c>
    </row>
    <row r="3942" spans="1:9" ht="30" x14ac:dyDescent="0.25">
      <c r="A3942" s="54" t="s">
        <v>683</v>
      </c>
      <c r="B3942" s="31" t="s">
        <v>144</v>
      </c>
      <c r="C3942" s="28" t="s">
        <v>1979</v>
      </c>
      <c r="D3942" s="28"/>
      <c r="E3942" s="28" t="s">
        <v>1974</v>
      </c>
      <c r="F3942" s="28" t="b">
        <v>0</v>
      </c>
      <c r="G3942" s="28">
        <v>200</v>
      </c>
      <c r="H3942" s="28" t="b">
        <v>1</v>
      </c>
      <c r="I3942" s="34"/>
    </row>
    <row r="3943" spans="1:9" x14ac:dyDescent="0.25">
      <c r="A3943" s="54" t="s">
        <v>683</v>
      </c>
      <c r="B3943" s="43" t="s">
        <v>618</v>
      </c>
      <c r="C3943" s="37" t="s">
        <v>1980</v>
      </c>
      <c r="D3943" s="37"/>
      <c r="E3943" s="37" t="s">
        <v>1974</v>
      </c>
      <c r="F3943" s="37" t="b">
        <v>0</v>
      </c>
      <c r="G3943" s="37">
        <v>200</v>
      </c>
      <c r="H3943" s="37" t="b">
        <v>1</v>
      </c>
    </row>
    <row r="3944" spans="1:9" ht="30" x14ac:dyDescent="0.25">
      <c r="A3944" s="54" t="s">
        <v>683</v>
      </c>
      <c r="B3944" s="31" t="s">
        <v>585</v>
      </c>
      <c r="C3944" s="28" t="s">
        <v>1981</v>
      </c>
      <c r="D3944" s="28"/>
      <c r="E3944" s="28" t="s">
        <v>1974</v>
      </c>
      <c r="F3944" s="28" t="b">
        <v>0</v>
      </c>
      <c r="G3944" s="28">
        <v>200</v>
      </c>
      <c r="H3944" s="28" t="b">
        <v>1</v>
      </c>
      <c r="I3944" s="34"/>
    </row>
    <row r="3945" spans="1:9" ht="30" x14ac:dyDescent="0.25">
      <c r="A3945" s="54" t="s">
        <v>683</v>
      </c>
      <c r="B3945" s="43" t="s">
        <v>582</v>
      </c>
      <c r="C3945" s="37" t="s">
        <v>1982</v>
      </c>
      <c r="D3945" s="37"/>
      <c r="E3945" s="37" t="s">
        <v>1974</v>
      </c>
      <c r="F3945" s="37" t="b">
        <v>0</v>
      </c>
      <c r="G3945" s="37">
        <v>200</v>
      </c>
      <c r="H3945" s="37" t="b">
        <v>1</v>
      </c>
    </row>
    <row r="3946" spans="1:9" x14ac:dyDescent="0.25">
      <c r="A3946" s="54" t="s">
        <v>683</v>
      </c>
      <c r="B3946" s="31" t="s">
        <v>638</v>
      </c>
      <c r="C3946" s="28" t="s">
        <v>1983</v>
      </c>
      <c r="D3946" s="28"/>
      <c r="E3946" s="28" t="s">
        <v>1974</v>
      </c>
      <c r="F3946" s="28" t="b">
        <v>0</v>
      </c>
      <c r="G3946" s="28">
        <v>200</v>
      </c>
      <c r="H3946" s="28" t="b">
        <v>1</v>
      </c>
      <c r="I3946" s="34"/>
    </row>
    <row r="3947" spans="1:9" x14ac:dyDescent="0.25">
      <c r="A3947" s="54" t="s">
        <v>683</v>
      </c>
      <c r="B3947" s="43" t="s">
        <v>638</v>
      </c>
      <c r="C3947" s="37" t="s">
        <v>1984</v>
      </c>
      <c r="D3947" s="37"/>
      <c r="E3947" s="37" t="s">
        <v>1974</v>
      </c>
      <c r="F3947" s="37" t="b">
        <v>0</v>
      </c>
      <c r="G3947" s="37">
        <v>200</v>
      </c>
      <c r="H3947" s="37" t="b">
        <v>1</v>
      </c>
    </row>
    <row r="3948" spans="1:9" x14ac:dyDescent="0.25">
      <c r="A3948" s="54" t="s">
        <v>683</v>
      </c>
      <c r="B3948" s="31" t="s">
        <v>647</v>
      </c>
      <c r="C3948" s="28" t="s">
        <v>1985</v>
      </c>
      <c r="D3948" s="28"/>
      <c r="E3948" s="28" t="s">
        <v>1974</v>
      </c>
      <c r="F3948" s="28" t="b">
        <v>0</v>
      </c>
      <c r="G3948" s="28">
        <v>200</v>
      </c>
      <c r="H3948" s="28" t="b">
        <v>1</v>
      </c>
      <c r="I3948" s="34"/>
    </row>
    <row r="3949" spans="1:9" ht="30" x14ac:dyDescent="0.25">
      <c r="A3949" s="54" t="s">
        <v>683</v>
      </c>
      <c r="B3949" s="43" t="s">
        <v>503</v>
      </c>
      <c r="C3949" s="37" t="s">
        <v>1986</v>
      </c>
      <c r="D3949" s="37"/>
      <c r="E3949" s="37" t="s">
        <v>1974</v>
      </c>
      <c r="F3949" s="37" t="b">
        <v>0</v>
      </c>
      <c r="G3949" s="37">
        <v>200</v>
      </c>
      <c r="H3949" s="37" t="b">
        <v>1</v>
      </c>
    </row>
    <row r="3950" spans="1:9" x14ac:dyDescent="0.25">
      <c r="A3950" s="54" t="s">
        <v>683</v>
      </c>
      <c r="B3950" s="31" t="s">
        <v>608</v>
      </c>
      <c r="C3950" s="28" t="s">
        <v>1987</v>
      </c>
      <c r="D3950" s="28"/>
      <c r="E3950" s="28" t="s">
        <v>1974</v>
      </c>
      <c r="F3950" s="28" t="b">
        <v>0</v>
      </c>
      <c r="G3950" s="28">
        <v>200</v>
      </c>
      <c r="H3950" s="28" t="b">
        <v>1</v>
      </c>
      <c r="I3950" s="34"/>
    </row>
    <row r="3951" spans="1:9" x14ac:dyDescent="0.25">
      <c r="A3951" s="54" t="s">
        <v>683</v>
      </c>
      <c r="B3951" s="43" t="s">
        <v>127</v>
      </c>
      <c r="C3951" s="37" t="s">
        <v>1975</v>
      </c>
      <c r="D3951" s="37"/>
      <c r="E3951" s="37" t="s">
        <v>1974</v>
      </c>
      <c r="F3951" s="37" t="b">
        <v>0</v>
      </c>
      <c r="G3951" s="37">
        <v>200</v>
      </c>
      <c r="H3951" s="37" t="b">
        <v>1</v>
      </c>
    </row>
    <row r="3952" spans="1:9" x14ac:dyDescent="0.25">
      <c r="A3952" s="54" t="s">
        <v>683</v>
      </c>
      <c r="B3952" s="31" t="s">
        <v>135</v>
      </c>
      <c r="C3952" s="28" t="s">
        <v>1976</v>
      </c>
      <c r="D3952" s="28"/>
      <c r="E3952" s="28" t="s">
        <v>1974</v>
      </c>
      <c r="F3952" s="28" t="b">
        <v>0</v>
      </c>
      <c r="G3952" s="28">
        <v>200</v>
      </c>
      <c r="H3952" s="28" t="b">
        <v>1</v>
      </c>
      <c r="I3952" s="34"/>
    </row>
    <row r="3953" spans="1:9" x14ac:dyDescent="0.25">
      <c r="A3953" s="54" t="s">
        <v>683</v>
      </c>
      <c r="B3953" s="43" t="s">
        <v>655</v>
      </c>
      <c r="C3953" s="37" t="s">
        <v>1977</v>
      </c>
      <c r="D3953" s="37"/>
      <c r="E3953" s="37" t="s">
        <v>1974</v>
      </c>
      <c r="F3953" s="37" t="b">
        <v>0</v>
      </c>
      <c r="G3953" s="37">
        <v>200</v>
      </c>
      <c r="H3953" s="37" t="b">
        <v>1</v>
      </c>
    </row>
    <row r="3954" spans="1:9" x14ac:dyDescent="0.25">
      <c r="A3954" s="54" t="s">
        <v>683</v>
      </c>
      <c r="B3954" s="31" t="s">
        <v>635</v>
      </c>
      <c r="C3954" s="28" t="s">
        <v>1978</v>
      </c>
      <c r="D3954" s="28"/>
      <c r="E3954" s="28" t="s">
        <v>1974</v>
      </c>
      <c r="F3954" s="28" t="b">
        <v>0</v>
      </c>
      <c r="G3954" s="28">
        <v>200</v>
      </c>
      <c r="H3954" s="28" t="b">
        <v>1</v>
      </c>
      <c r="I3954" s="34"/>
    </row>
    <row r="3955" spans="1:9" ht="30" x14ac:dyDescent="0.25">
      <c r="A3955" s="54" t="s">
        <v>683</v>
      </c>
      <c r="B3955" s="43" t="s">
        <v>144</v>
      </c>
      <c r="C3955" s="37" t="s">
        <v>1979</v>
      </c>
      <c r="D3955" s="37"/>
      <c r="E3955" s="37" t="s">
        <v>1974</v>
      </c>
      <c r="F3955" s="37" t="b">
        <v>0</v>
      </c>
      <c r="G3955" s="37">
        <v>200</v>
      </c>
      <c r="H3955" s="37" t="b">
        <v>1</v>
      </c>
    </row>
    <row r="3956" spans="1:9" x14ac:dyDescent="0.25">
      <c r="A3956" s="54" t="s">
        <v>683</v>
      </c>
      <c r="B3956" s="31" t="s">
        <v>618</v>
      </c>
      <c r="C3956" s="28" t="s">
        <v>1980</v>
      </c>
      <c r="D3956" s="28"/>
      <c r="E3956" s="28" t="s">
        <v>1974</v>
      </c>
      <c r="F3956" s="28" t="b">
        <v>0</v>
      </c>
      <c r="G3956" s="28">
        <v>200</v>
      </c>
      <c r="H3956" s="28" t="b">
        <v>1</v>
      </c>
      <c r="I3956" s="34"/>
    </row>
    <row r="3957" spans="1:9" ht="30" x14ac:dyDescent="0.25">
      <c r="A3957" s="54" t="s">
        <v>683</v>
      </c>
      <c r="B3957" s="43" t="s">
        <v>585</v>
      </c>
      <c r="C3957" s="37" t="s">
        <v>1981</v>
      </c>
      <c r="D3957" s="37"/>
      <c r="E3957" s="37" t="s">
        <v>1974</v>
      </c>
      <c r="F3957" s="37" t="b">
        <v>0</v>
      </c>
      <c r="G3957" s="37">
        <v>200</v>
      </c>
      <c r="H3957" s="37" t="b">
        <v>1</v>
      </c>
    </row>
    <row r="3958" spans="1:9" ht="30" x14ac:dyDescent="0.25">
      <c r="A3958" s="54" t="s">
        <v>683</v>
      </c>
      <c r="B3958" s="31" t="s">
        <v>582</v>
      </c>
      <c r="C3958" s="28" t="s">
        <v>1982</v>
      </c>
      <c r="D3958" s="28"/>
      <c r="E3958" s="28" t="s">
        <v>1974</v>
      </c>
      <c r="F3958" s="28" t="b">
        <v>0</v>
      </c>
      <c r="G3958" s="28">
        <v>200</v>
      </c>
      <c r="H3958" s="28" t="b">
        <v>1</v>
      </c>
      <c r="I3958" s="34"/>
    </row>
    <row r="3959" spans="1:9" x14ac:dyDescent="0.25">
      <c r="A3959" s="54" t="s">
        <v>683</v>
      </c>
      <c r="B3959" s="43" t="s">
        <v>638</v>
      </c>
      <c r="C3959" s="37" t="s">
        <v>1983</v>
      </c>
      <c r="D3959" s="37"/>
      <c r="E3959" s="37" t="s">
        <v>1974</v>
      </c>
      <c r="F3959" s="37" t="b">
        <v>0</v>
      </c>
      <c r="G3959" s="37">
        <v>200</v>
      </c>
      <c r="H3959" s="37" t="b">
        <v>1</v>
      </c>
    </row>
    <row r="3960" spans="1:9" x14ac:dyDescent="0.25">
      <c r="A3960" s="54" t="s">
        <v>683</v>
      </c>
      <c r="B3960" s="31" t="s">
        <v>638</v>
      </c>
      <c r="C3960" s="28" t="s">
        <v>1984</v>
      </c>
      <c r="D3960" s="28"/>
      <c r="E3960" s="28" t="s">
        <v>1974</v>
      </c>
      <c r="F3960" s="28" t="b">
        <v>0</v>
      </c>
      <c r="G3960" s="28">
        <v>200</v>
      </c>
      <c r="H3960" s="28" t="b">
        <v>1</v>
      </c>
      <c r="I3960" s="34"/>
    </row>
    <row r="3961" spans="1:9" x14ac:dyDescent="0.25">
      <c r="A3961" s="54" t="s">
        <v>683</v>
      </c>
      <c r="B3961" s="43" t="s">
        <v>647</v>
      </c>
      <c r="C3961" s="37" t="s">
        <v>1985</v>
      </c>
      <c r="D3961" s="37"/>
      <c r="E3961" s="37" t="s">
        <v>1974</v>
      </c>
      <c r="F3961" s="37" t="b">
        <v>0</v>
      </c>
      <c r="G3961" s="37">
        <v>200</v>
      </c>
      <c r="H3961" s="37" t="b">
        <v>1</v>
      </c>
    </row>
    <row r="3962" spans="1:9" ht="30" x14ac:dyDescent="0.25">
      <c r="A3962" s="54" t="s">
        <v>683</v>
      </c>
      <c r="B3962" s="31" t="s">
        <v>503</v>
      </c>
      <c r="C3962" s="28" t="s">
        <v>1986</v>
      </c>
      <c r="D3962" s="28"/>
      <c r="E3962" s="28" t="s">
        <v>1974</v>
      </c>
      <c r="F3962" s="28" t="b">
        <v>0</v>
      </c>
      <c r="G3962" s="28">
        <v>200</v>
      </c>
      <c r="H3962" s="28" t="b">
        <v>1</v>
      </c>
      <c r="I3962" s="34"/>
    </row>
    <row r="3963" spans="1:9" x14ac:dyDescent="0.25">
      <c r="A3963" s="54" t="s">
        <v>683</v>
      </c>
      <c r="B3963" s="43" t="s">
        <v>608</v>
      </c>
      <c r="C3963" s="37" t="s">
        <v>1987</v>
      </c>
      <c r="D3963" s="37"/>
      <c r="E3963" s="37" t="s">
        <v>1974</v>
      </c>
      <c r="F3963" s="37" t="b">
        <v>0</v>
      </c>
      <c r="G3963" s="37">
        <v>200</v>
      </c>
      <c r="H3963" s="37" t="b">
        <v>1</v>
      </c>
    </row>
    <row r="3964" spans="1:9" x14ac:dyDescent="0.25">
      <c r="A3964" s="54" t="s">
        <v>683</v>
      </c>
      <c r="B3964" s="31" t="s">
        <v>3018</v>
      </c>
      <c r="C3964" s="28" t="s">
        <v>3019</v>
      </c>
      <c r="D3964" s="28"/>
      <c r="E3964" s="28" t="s">
        <v>2012</v>
      </c>
      <c r="F3964" s="28" t="b">
        <v>0</v>
      </c>
      <c r="G3964" s="28"/>
      <c r="H3964" s="28" t="b">
        <v>1</v>
      </c>
      <c r="I3964" s="34"/>
    </row>
    <row r="3965" spans="1:9" x14ac:dyDescent="0.25">
      <c r="A3965" s="54" t="s">
        <v>683</v>
      </c>
      <c r="B3965" s="43" t="s">
        <v>658</v>
      </c>
      <c r="C3965" s="37" t="s">
        <v>1995</v>
      </c>
      <c r="D3965" s="37"/>
      <c r="E3965" s="37" t="s">
        <v>1974</v>
      </c>
      <c r="F3965" s="37" t="b">
        <v>0</v>
      </c>
      <c r="G3965" s="37">
        <v>200</v>
      </c>
      <c r="H3965" s="37" t="b">
        <v>1</v>
      </c>
    </row>
    <row r="3966" spans="1:9" x14ac:dyDescent="0.25">
      <c r="A3966" s="54" t="s">
        <v>683</v>
      </c>
      <c r="B3966" s="31" t="s">
        <v>647</v>
      </c>
      <c r="C3966" s="28" t="s">
        <v>2010</v>
      </c>
      <c r="D3966" s="28"/>
      <c r="E3966" s="28" t="s">
        <v>1974</v>
      </c>
      <c r="F3966" s="28" t="b">
        <v>0</v>
      </c>
      <c r="G3966" s="28">
        <v>200</v>
      </c>
      <c r="H3966" s="28" t="b">
        <v>1</v>
      </c>
      <c r="I3966" s="34"/>
    </row>
    <row r="3967" spans="1:9" ht="30" x14ac:dyDescent="0.25">
      <c r="A3967" s="54" t="s">
        <v>683</v>
      </c>
      <c r="B3967" s="43" t="s">
        <v>2011</v>
      </c>
      <c r="C3967" s="37"/>
      <c r="D3967" s="37"/>
      <c r="E3967" s="37" t="s">
        <v>2012</v>
      </c>
      <c r="F3967" s="37" t="b">
        <v>0</v>
      </c>
      <c r="G3967" s="37"/>
      <c r="H3967" s="37" t="b">
        <v>1</v>
      </c>
    </row>
    <row r="3968" spans="1:9" ht="30" x14ac:dyDescent="0.25">
      <c r="A3968" s="54" t="s">
        <v>683</v>
      </c>
      <c r="B3968" s="31" t="s">
        <v>2013</v>
      </c>
      <c r="C3968" s="28"/>
      <c r="D3968" s="28"/>
      <c r="E3968" s="28" t="s">
        <v>2012</v>
      </c>
      <c r="F3968" s="28" t="b">
        <v>0</v>
      </c>
      <c r="G3968" s="28"/>
      <c r="H3968" s="28" t="b">
        <v>1</v>
      </c>
      <c r="I3968" s="34"/>
    </row>
    <row r="3969" spans="1:9" x14ac:dyDescent="0.25">
      <c r="A3969" s="54" t="s">
        <v>683</v>
      </c>
      <c r="B3969" s="43" t="s">
        <v>641</v>
      </c>
      <c r="C3969" s="37" t="s">
        <v>2014</v>
      </c>
      <c r="D3969" s="37"/>
      <c r="E3969" s="37" t="s">
        <v>1974</v>
      </c>
      <c r="F3969" s="37" t="b">
        <v>0</v>
      </c>
      <c r="G3969" s="37">
        <v>200</v>
      </c>
      <c r="H3969" s="37" t="b">
        <v>1</v>
      </c>
    </row>
    <row r="3970" spans="1:9" ht="30" x14ac:dyDescent="0.25">
      <c r="A3970" s="54" t="s">
        <v>683</v>
      </c>
      <c r="B3970" s="31" t="s">
        <v>2015</v>
      </c>
      <c r="C3970" s="28" t="s">
        <v>2016</v>
      </c>
      <c r="D3970" s="28"/>
      <c r="E3970" s="28" t="s">
        <v>1974</v>
      </c>
      <c r="F3970" s="28" t="b">
        <v>0</v>
      </c>
      <c r="G3970" s="28">
        <v>404</v>
      </c>
      <c r="H3970" s="28" t="b">
        <v>0</v>
      </c>
      <c r="I3970" s="34"/>
    </row>
    <row r="3971" spans="1:9" ht="30" x14ac:dyDescent="0.25">
      <c r="A3971" s="54" t="s">
        <v>683</v>
      </c>
      <c r="B3971" s="43" t="s">
        <v>2015</v>
      </c>
      <c r="C3971" s="37" t="s">
        <v>2017</v>
      </c>
      <c r="D3971" s="37"/>
      <c r="E3971" s="37" t="s">
        <v>1974</v>
      </c>
      <c r="F3971" s="37" t="b">
        <v>0</v>
      </c>
      <c r="G3971" s="37">
        <v>404</v>
      </c>
      <c r="H3971" s="37" t="b">
        <v>0</v>
      </c>
    </row>
    <row r="3972" spans="1:9" x14ac:dyDescent="0.25">
      <c r="A3972" s="54" t="s">
        <v>686</v>
      </c>
      <c r="B3972" s="31" t="s">
        <v>127</v>
      </c>
      <c r="C3972" s="28"/>
      <c r="D3972" s="28"/>
      <c r="E3972" s="28" t="s">
        <v>1974</v>
      </c>
      <c r="F3972" s="28" t="b">
        <v>0</v>
      </c>
      <c r="G3972" s="28">
        <v>200</v>
      </c>
      <c r="H3972" s="28" t="b">
        <v>1</v>
      </c>
      <c r="I3972" s="34"/>
    </row>
    <row r="3973" spans="1:9" x14ac:dyDescent="0.25">
      <c r="A3973" s="54" t="s">
        <v>686</v>
      </c>
      <c r="B3973" s="43" t="s">
        <v>127</v>
      </c>
      <c r="C3973" s="37" t="s">
        <v>1975</v>
      </c>
      <c r="D3973" s="37"/>
      <c r="E3973" s="37" t="s">
        <v>1974</v>
      </c>
      <c r="F3973" s="37" t="b">
        <v>0</v>
      </c>
      <c r="G3973" s="37">
        <v>200</v>
      </c>
      <c r="H3973" s="37" t="b">
        <v>1</v>
      </c>
    </row>
    <row r="3974" spans="1:9" x14ac:dyDescent="0.25">
      <c r="A3974" s="54" t="s">
        <v>686</v>
      </c>
      <c r="B3974" s="31" t="s">
        <v>135</v>
      </c>
      <c r="C3974" s="28" t="s">
        <v>1976</v>
      </c>
      <c r="D3974" s="28"/>
      <c r="E3974" s="28" t="s">
        <v>1974</v>
      </c>
      <c r="F3974" s="28" t="b">
        <v>0</v>
      </c>
      <c r="G3974" s="28">
        <v>200</v>
      </c>
      <c r="H3974" s="28" t="b">
        <v>1</v>
      </c>
      <c r="I3974" s="34"/>
    </row>
    <row r="3975" spans="1:9" x14ac:dyDescent="0.25">
      <c r="A3975" s="54" t="s">
        <v>686</v>
      </c>
      <c r="B3975" s="43" t="s">
        <v>655</v>
      </c>
      <c r="C3975" s="37" t="s">
        <v>1977</v>
      </c>
      <c r="D3975" s="37"/>
      <c r="E3975" s="37" t="s">
        <v>1974</v>
      </c>
      <c r="F3975" s="37" t="b">
        <v>0</v>
      </c>
      <c r="G3975" s="37">
        <v>200</v>
      </c>
      <c r="H3975" s="37" t="b">
        <v>1</v>
      </c>
    </row>
    <row r="3976" spans="1:9" x14ac:dyDescent="0.25">
      <c r="A3976" s="54" t="s">
        <v>686</v>
      </c>
      <c r="B3976" s="31" t="s">
        <v>635</v>
      </c>
      <c r="C3976" s="28" t="s">
        <v>1978</v>
      </c>
      <c r="D3976" s="28"/>
      <c r="E3976" s="28" t="s">
        <v>1974</v>
      </c>
      <c r="F3976" s="28" t="b">
        <v>0</v>
      </c>
      <c r="G3976" s="28">
        <v>200</v>
      </c>
      <c r="H3976" s="28" t="b">
        <v>1</v>
      </c>
      <c r="I3976" s="34"/>
    </row>
    <row r="3977" spans="1:9" ht="30" x14ac:dyDescent="0.25">
      <c r="A3977" s="54" t="s">
        <v>686</v>
      </c>
      <c r="B3977" s="43" t="s">
        <v>144</v>
      </c>
      <c r="C3977" s="37" t="s">
        <v>1979</v>
      </c>
      <c r="D3977" s="37"/>
      <c r="E3977" s="37" t="s">
        <v>1974</v>
      </c>
      <c r="F3977" s="37" t="b">
        <v>0</v>
      </c>
      <c r="G3977" s="37">
        <v>200</v>
      </c>
      <c r="H3977" s="37" t="b">
        <v>1</v>
      </c>
    </row>
    <row r="3978" spans="1:9" x14ac:dyDescent="0.25">
      <c r="A3978" s="54" t="s">
        <v>686</v>
      </c>
      <c r="B3978" s="31" t="s">
        <v>618</v>
      </c>
      <c r="C3978" s="28" t="s">
        <v>1980</v>
      </c>
      <c r="D3978" s="28"/>
      <c r="E3978" s="28" t="s">
        <v>1974</v>
      </c>
      <c r="F3978" s="28" t="b">
        <v>0</v>
      </c>
      <c r="G3978" s="28">
        <v>200</v>
      </c>
      <c r="H3978" s="28" t="b">
        <v>1</v>
      </c>
      <c r="I3978" s="34"/>
    </row>
    <row r="3979" spans="1:9" ht="30" x14ac:dyDescent="0.25">
      <c r="A3979" s="54" t="s">
        <v>686</v>
      </c>
      <c r="B3979" s="43" t="s">
        <v>585</v>
      </c>
      <c r="C3979" s="37" t="s">
        <v>1981</v>
      </c>
      <c r="D3979" s="37"/>
      <c r="E3979" s="37" t="s">
        <v>1974</v>
      </c>
      <c r="F3979" s="37" t="b">
        <v>0</v>
      </c>
      <c r="G3979" s="37">
        <v>200</v>
      </c>
      <c r="H3979" s="37" t="b">
        <v>1</v>
      </c>
    </row>
    <row r="3980" spans="1:9" ht="30" x14ac:dyDescent="0.25">
      <c r="A3980" s="54" t="s">
        <v>686</v>
      </c>
      <c r="B3980" s="31" t="s">
        <v>582</v>
      </c>
      <c r="C3980" s="28" t="s">
        <v>1982</v>
      </c>
      <c r="D3980" s="28"/>
      <c r="E3980" s="28" t="s">
        <v>1974</v>
      </c>
      <c r="F3980" s="28" t="b">
        <v>0</v>
      </c>
      <c r="G3980" s="28">
        <v>200</v>
      </c>
      <c r="H3980" s="28" t="b">
        <v>1</v>
      </c>
      <c r="I3980" s="34"/>
    </row>
    <row r="3981" spans="1:9" x14ac:dyDescent="0.25">
      <c r="A3981" s="54" t="s">
        <v>686</v>
      </c>
      <c r="B3981" s="43" t="s">
        <v>638</v>
      </c>
      <c r="C3981" s="37" t="s">
        <v>1983</v>
      </c>
      <c r="D3981" s="37"/>
      <c r="E3981" s="37" t="s">
        <v>1974</v>
      </c>
      <c r="F3981" s="37" t="b">
        <v>0</v>
      </c>
      <c r="G3981" s="37">
        <v>200</v>
      </c>
      <c r="H3981" s="37" t="b">
        <v>1</v>
      </c>
    </row>
    <row r="3982" spans="1:9" x14ac:dyDescent="0.25">
      <c r="A3982" s="54" t="s">
        <v>686</v>
      </c>
      <c r="B3982" s="31" t="s">
        <v>638</v>
      </c>
      <c r="C3982" s="28" t="s">
        <v>1984</v>
      </c>
      <c r="D3982" s="28"/>
      <c r="E3982" s="28" t="s">
        <v>1974</v>
      </c>
      <c r="F3982" s="28" t="b">
        <v>0</v>
      </c>
      <c r="G3982" s="28">
        <v>200</v>
      </c>
      <c r="H3982" s="28" t="b">
        <v>1</v>
      </c>
      <c r="I3982" s="34"/>
    </row>
    <row r="3983" spans="1:9" x14ac:dyDescent="0.25">
      <c r="A3983" s="54" t="s">
        <v>686</v>
      </c>
      <c r="B3983" s="43" t="s">
        <v>647</v>
      </c>
      <c r="C3983" s="37" t="s">
        <v>1985</v>
      </c>
      <c r="D3983" s="37"/>
      <c r="E3983" s="37" t="s">
        <v>1974</v>
      </c>
      <c r="F3983" s="37" t="b">
        <v>0</v>
      </c>
      <c r="G3983" s="37">
        <v>200</v>
      </c>
      <c r="H3983" s="37" t="b">
        <v>1</v>
      </c>
    </row>
    <row r="3984" spans="1:9" ht="30" x14ac:dyDescent="0.25">
      <c r="A3984" s="54" t="s">
        <v>686</v>
      </c>
      <c r="B3984" s="31" t="s">
        <v>503</v>
      </c>
      <c r="C3984" s="28" t="s">
        <v>1986</v>
      </c>
      <c r="D3984" s="28"/>
      <c r="E3984" s="28" t="s">
        <v>1974</v>
      </c>
      <c r="F3984" s="28" t="b">
        <v>0</v>
      </c>
      <c r="G3984" s="28">
        <v>200</v>
      </c>
      <c r="H3984" s="28" t="b">
        <v>1</v>
      </c>
      <c r="I3984" s="34"/>
    </row>
    <row r="3985" spans="1:9" x14ac:dyDescent="0.25">
      <c r="A3985" s="54" t="s">
        <v>686</v>
      </c>
      <c r="B3985" s="43" t="s">
        <v>608</v>
      </c>
      <c r="C3985" s="37" t="s">
        <v>1987</v>
      </c>
      <c r="D3985" s="37"/>
      <c r="E3985" s="37" t="s">
        <v>1974</v>
      </c>
      <c r="F3985" s="37" t="b">
        <v>0</v>
      </c>
      <c r="G3985" s="37">
        <v>200</v>
      </c>
      <c r="H3985" s="37" t="b">
        <v>1</v>
      </c>
    </row>
    <row r="3986" spans="1:9" x14ac:dyDescent="0.25">
      <c r="A3986" s="54" t="s">
        <v>686</v>
      </c>
      <c r="B3986" s="31" t="s">
        <v>127</v>
      </c>
      <c r="C3986" s="28" t="s">
        <v>1975</v>
      </c>
      <c r="D3986" s="28"/>
      <c r="E3986" s="28" t="s">
        <v>1974</v>
      </c>
      <c r="F3986" s="28" t="b">
        <v>0</v>
      </c>
      <c r="G3986" s="28">
        <v>200</v>
      </c>
      <c r="H3986" s="28" t="b">
        <v>1</v>
      </c>
      <c r="I3986" s="34"/>
    </row>
    <row r="3987" spans="1:9" x14ac:dyDescent="0.25">
      <c r="A3987" s="54" t="s">
        <v>686</v>
      </c>
      <c r="B3987" s="43" t="s">
        <v>135</v>
      </c>
      <c r="C3987" s="37" t="s">
        <v>1976</v>
      </c>
      <c r="D3987" s="37"/>
      <c r="E3987" s="37" t="s">
        <v>1974</v>
      </c>
      <c r="F3987" s="37" t="b">
        <v>0</v>
      </c>
      <c r="G3987" s="37">
        <v>200</v>
      </c>
      <c r="H3987" s="37" t="b">
        <v>1</v>
      </c>
    </row>
    <row r="3988" spans="1:9" x14ac:dyDescent="0.25">
      <c r="A3988" s="54" t="s">
        <v>686</v>
      </c>
      <c r="B3988" s="31" t="s">
        <v>655</v>
      </c>
      <c r="C3988" s="28" t="s">
        <v>1977</v>
      </c>
      <c r="D3988" s="28"/>
      <c r="E3988" s="28" t="s">
        <v>1974</v>
      </c>
      <c r="F3988" s="28" t="b">
        <v>0</v>
      </c>
      <c r="G3988" s="28">
        <v>200</v>
      </c>
      <c r="H3988" s="28" t="b">
        <v>1</v>
      </c>
      <c r="I3988" s="34"/>
    </row>
    <row r="3989" spans="1:9" x14ac:dyDescent="0.25">
      <c r="A3989" s="54" t="s">
        <v>686</v>
      </c>
      <c r="B3989" s="43" t="s">
        <v>635</v>
      </c>
      <c r="C3989" s="37" t="s">
        <v>1978</v>
      </c>
      <c r="D3989" s="37"/>
      <c r="E3989" s="37" t="s">
        <v>1974</v>
      </c>
      <c r="F3989" s="37" t="b">
        <v>0</v>
      </c>
      <c r="G3989" s="37">
        <v>200</v>
      </c>
      <c r="H3989" s="37" t="b">
        <v>1</v>
      </c>
    </row>
    <row r="3990" spans="1:9" ht="30" x14ac:dyDescent="0.25">
      <c r="A3990" s="54" t="s">
        <v>686</v>
      </c>
      <c r="B3990" s="31" t="s">
        <v>144</v>
      </c>
      <c r="C3990" s="28" t="s">
        <v>1979</v>
      </c>
      <c r="D3990" s="28"/>
      <c r="E3990" s="28" t="s">
        <v>1974</v>
      </c>
      <c r="F3990" s="28" t="b">
        <v>0</v>
      </c>
      <c r="G3990" s="28">
        <v>200</v>
      </c>
      <c r="H3990" s="28" t="b">
        <v>1</v>
      </c>
      <c r="I3990" s="34"/>
    </row>
    <row r="3991" spans="1:9" x14ac:dyDescent="0.25">
      <c r="A3991" s="54" t="s">
        <v>686</v>
      </c>
      <c r="B3991" s="43" t="s">
        <v>618</v>
      </c>
      <c r="C3991" s="37" t="s">
        <v>1980</v>
      </c>
      <c r="D3991" s="37"/>
      <c r="E3991" s="37" t="s">
        <v>1974</v>
      </c>
      <c r="F3991" s="37" t="b">
        <v>0</v>
      </c>
      <c r="G3991" s="37">
        <v>200</v>
      </c>
      <c r="H3991" s="37" t="b">
        <v>1</v>
      </c>
    </row>
    <row r="3992" spans="1:9" ht="30" x14ac:dyDescent="0.25">
      <c r="A3992" s="54" t="s">
        <v>686</v>
      </c>
      <c r="B3992" s="31" t="s">
        <v>585</v>
      </c>
      <c r="C3992" s="28" t="s">
        <v>1981</v>
      </c>
      <c r="D3992" s="28"/>
      <c r="E3992" s="28" t="s">
        <v>1974</v>
      </c>
      <c r="F3992" s="28" t="b">
        <v>0</v>
      </c>
      <c r="G3992" s="28">
        <v>200</v>
      </c>
      <c r="H3992" s="28" t="b">
        <v>1</v>
      </c>
      <c r="I3992" s="34"/>
    </row>
    <row r="3993" spans="1:9" ht="30" x14ac:dyDescent="0.25">
      <c r="A3993" s="54" t="s">
        <v>686</v>
      </c>
      <c r="B3993" s="43" t="s">
        <v>582</v>
      </c>
      <c r="C3993" s="37" t="s">
        <v>1982</v>
      </c>
      <c r="D3993" s="37"/>
      <c r="E3993" s="37" t="s">
        <v>1974</v>
      </c>
      <c r="F3993" s="37" t="b">
        <v>0</v>
      </c>
      <c r="G3993" s="37">
        <v>200</v>
      </c>
      <c r="H3993" s="37" t="b">
        <v>1</v>
      </c>
    </row>
    <row r="3994" spans="1:9" x14ac:dyDescent="0.25">
      <c r="A3994" s="54" t="s">
        <v>686</v>
      </c>
      <c r="B3994" s="31" t="s">
        <v>638</v>
      </c>
      <c r="C3994" s="28" t="s">
        <v>1983</v>
      </c>
      <c r="D3994" s="28"/>
      <c r="E3994" s="28" t="s">
        <v>1974</v>
      </c>
      <c r="F3994" s="28" t="b">
        <v>0</v>
      </c>
      <c r="G3994" s="28">
        <v>200</v>
      </c>
      <c r="H3994" s="28" t="b">
        <v>1</v>
      </c>
      <c r="I3994" s="34"/>
    </row>
    <row r="3995" spans="1:9" x14ac:dyDescent="0.25">
      <c r="A3995" s="54" t="s">
        <v>686</v>
      </c>
      <c r="B3995" s="43" t="s">
        <v>638</v>
      </c>
      <c r="C3995" s="37" t="s">
        <v>1984</v>
      </c>
      <c r="D3995" s="37"/>
      <c r="E3995" s="37" t="s">
        <v>1974</v>
      </c>
      <c r="F3995" s="37" t="b">
        <v>0</v>
      </c>
      <c r="G3995" s="37">
        <v>200</v>
      </c>
      <c r="H3995" s="37" t="b">
        <v>1</v>
      </c>
    </row>
    <row r="3996" spans="1:9" x14ac:dyDescent="0.25">
      <c r="A3996" s="54" t="s">
        <v>686</v>
      </c>
      <c r="B3996" s="31" t="s">
        <v>647</v>
      </c>
      <c r="C3996" s="28" t="s">
        <v>1985</v>
      </c>
      <c r="D3996" s="28"/>
      <c r="E3996" s="28" t="s">
        <v>1974</v>
      </c>
      <c r="F3996" s="28" t="b">
        <v>0</v>
      </c>
      <c r="G3996" s="28">
        <v>200</v>
      </c>
      <c r="H3996" s="28" t="b">
        <v>1</v>
      </c>
      <c r="I3996" s="34"/>
    </row>
    <row r="3997" spans="1:9" ht="30" x14ac:dyDescent="0.25">
      <c r="A3997" s="54" t="s">
        <v>686</v>
      </c>
      <c r="B3997" s="43" t="s">
        <v>503</v>
      </c>
      <c r="C3997" s="37" t="s">
        <v>1986</v>
      </c>
      <c r="D3997" s="37"/>
      <c r="E3997" s="37" t="s">
        <v>1974</v>
      </c>
      <c r="F3997" s="37" t="b">
        <v>0</v>
      </c>
      <c r="G3997" s="37">
        <v>200</v>
      </c>
      <c r="H3997" s="37" t="b">
        <v>1</v>
      </c>
    </row>
    <row r="3998" spans="1:9" x14ac:dyDescent="0.25">
      <c r="A3998" s="54" t="s">
        <v>686</v>
      </c>
      <c r="B3998" s="31" t="s">
        <v>608</v>
      </c>
      <c r="C3998" s="28" t="s">
        <v>1987</v>
      </c>
      <c r="D3998" s="28"/>
      <c r="E3998" s="28" t="s">
        <v>1974</v>
      </c>
      <c r="F3998" s="28" t="b">
        <v>0</v>
      </c>
      <c r="G3998" s="28">
        <v>200</v>
      </c>
      <c r="H3998" s="28" t="b">
        <v>1</v>
      </c>
      <c r="I3998" s="34"/>
    </row>
    <row r="3999" spans="1:9" x14ac:dyDescent="0.25">
      <c r="A3999" s="54" t="s">
        <v>686</v>
      </c>
      <c r="B3999" s="43" t="s">
        <v>2035</v>
      </c>
      <c r="C3999" s="37" t="s">
        <v>2036</v>
      </c>
      <c r="D3999" s="37"/>
      <c r="E3999" s="37" t="s">
        <v>2012</v>
      </c>
      <c r="F3999" s="37" t="b">
        <v>0</v>
      </c>
      <c r="G3999" s="37"/>
      <c r="H3999" s="37" t="b">
        <v>1</v>
      </c>
    </row>
    <row r="4000" spans="1:9" x14ac:dyDescent="0.25">
      <c r="A4000" s="54" t="s">
        <v>686</v>
      </c>
      <c r="B4000" s="31" t="s">
        <v>2035</v>
      </c>
      <c r="C4000" s="28" t="s">
        <v>2036</v>
      </c>
      <c r="D4000" s="28"/>
      <c r="E4000" s="28" t="s">
        <v>2012</v>
      </c>
      <c r="F4000" s="28" t="b">
        <v>0</v>
      </c>
      <c r="G4000" s="28"/>
      <c r="H4000" s="28" t="b">
        <v>1</v>
      </c>
      <c r="I4000" s="34"/>
    </row>
    <row r="4001" spans="1:9" x14ac:dyDescent="0.25">
      <c r="A4001" s="54" t="s">
        <v>686</v>
      </c>
      <c r="B4001" s="43" t="s">
        <v>647</v>
      </c>
      <c r="C4001" s="37" t="s">
        <v>2010</v>
      </c>
      <c r="D4001" s="37"/>
      <c r="E4001" s="37" t="s">
        <v>1974</v>
      </c>
      <c r="F4001" s="37" t="b">
        <v>0</v>
      </c>
      <c r="G4001" s="37">
        <v>200</v>
      </c>
      <c r="H4001" s="37" t="b">
        <v>1</v>
      </c>
    </row>
    <row r="4002" spans="1:9" ht="30" x14ac:dyDescent="0.25">
      <c r="A4002" s="54" t="s">
        <v>686</v>
      </c>
      <c r="B4002" s="31" t="s">
        <v>2011</v>
      </c>
      <c r="C4002" s="28"/>
      <c r="D4002" s="28"/>
      <c r="E4002" s="28" t="s">
        <v>2012</v>
      </c>
      <c r="F4002" s="28" t="b">
        <v>0</v>
      </c>
      <c r="G4002" s="28"/>
      <c r="H4002" s="28" t="b">
        <v>1</v>
      </c>
      <c r="I4002" s="34"/>
    </row>
    <row r="4003" spans="1:9" ht="30" x14ac:dyDescent="0.25">
      <c r="A4003" s="54" t="s">
        <v>686</v>
      </c>
      <c r="B4003" s="43" t="s">
        <v>2013</v>
      </c>
      <c r="C4003" s="37"/>
      <c r="D4003" s="37"/>
      <c r="E4003" s="37" t="s">
        <v>2012</v>
      </c>
      <c r="F4003" s="37" t="b">
        <v>0</v>
      </c>
      <c r="G4003" s="37"/>
      <c r="H4003" s="37" t="b">
        <v>1</v>
      </c>
    </row>
    <row r="4004" spans="1:9" x14ac:dyDescent="0.25">
      <c r="A4004" s="54" t="s">
        <v>686</v>
      </c>
      <c r="B4004" s="31" t="s">
        <v>641</v>
      </c>
      <c r="C4004" s="28" t="s">
        <v>2014</v>
      </c>
      <c r="D4004" s="28"/>
      <c r="E4004" s="28" t="s">
        <v>1974</v>
      </c>
      <c r="F4004" s="28" t="b">
        <v>0</v>
      </c>
      <c r="G4004" s="28">
        <v>200</v>
      </c>
      <c r="H4004" s="28" t="b">
        <v>1</v>
      </c>
      <c r="I4004" s="34"/>
    </row>
    <row r="4005" spans="1:9" ht="30" x14ac:dyDescent="0.25">
      <c r="A4005" s="54" t="s">
        <v>686</v>
      </c>
      <c r="B4005" s="43" t="s">
        <v>2015</v>
      </c>
      <c r="C4005" s="37" t="s">
        <v>2016</v>
      </c>
      <c r="D4005" s="37"/>
      <c r="E4005" s="37" t="s">
        <v>1974</v>
      </c>
      <c r="F4005" s="37" t="b">
        <v>0</v>
      </c>
      <c r="G4005" s="37">
        <v>404</v>
      </c>
      <c r="H4005" s="37" t="b">
        <v>0</v>
      </c>
    </row>
    <row r="4006" spans="1:9" ht="30" x14ac:dyDescent="0.25">
      <c r="A4006" s="54" t="s">
        <v>686</v>
      </c>
      <c r="B4006" s="31" t="s">
        <v>2015</v>
      </c>
      <c r="C4006" s="28" t="s">
        <v>2017</v>
      </c>
      <c r="D4006" s="28"/>
      <c r="E4006" s="28" t="s">
        <v>1974</v>
      </c>
      <c r="F4006" s="28" t="b">
        <v>0</v>
      </c>
      <c r="G4006" s="28">
        <v>404</v>
      </c>
      <c r="H4006" s="28" t="b">
        <v>0</v>
      </c>
      <c r="I4006" s="34"/>
    </row>
  </sheetData>
  <autoFilter ref="A1:I4006" xr:uid="{00000000-0009-0000-0000-000011000000}"/>
  <conditionalFormatting sqref="G2:G4006">
    <cfRule type="cellIs" dxfId="17" priority="1" operator="equal">
      <formula>200</formula>
    </cfRule>
    <cfRule type="cellIs" dxfId="16" priority="2" operator="between">
      <formula>300</formula>
      <formula>399</formula>
    </cfRule>
    <cfRule type="cellIs" dxfId="15" priority="3" operator="greaterThanOrEqual">
      <formula>400</formula>
    </cfRule>
  </conditionalFormatting>
  <dataValidations count="9">
    <dataValidation type="custom" allowBlank="1" showInputMessage="1" promptTitle="Source URL" prompt="Source URL. Use this URL to inspect the page directly or jump to related tabs." sqref="A1" xr:uid="{00000000-0002-0000-1100-000000000000}">
      <formula1>TRUE</formula1>
    </dataValidation>
    <dataValidation type="custom" allowBlank="1" showInputMessage="1" promptTitle="Target URL" prompt="Target URL. Use this URL to inspect the page directly or jump to related tabs." sqref="B1" xr:uid="{00000000-0002-0000-1100-000001000000}">
      <formula1>TRUE</formula1>
    </dataValidation>
    <dataValidation type="custom" allowBlank="1" showInputMessage="1" promptTitle="Anchor Text" prompt="Link quality and crawl-path metric. Fix: repair broken links and improve internal linking relevance." sqref="C1" xr:uid="{00000000-0002-0000-1100-000002000000}">
      <formula1>TRUE</formula1>
    </dataValidation>
    <dataValidation type="custom" allowBlank="1" showInputMessage="1" promptTitle="Rel" prompt="Rel. Review this metric to identify risk, then use linked tabs for details and remediation." sqref="D1" xr:uid="{00000000-0002-0000-1100-000003000000}">
      <formula1>TRUE</formula1>
    </dataValidation>
    <dataValidation type="custom" allowBlank="1" showInputMessage="1" promptTitle="Link Type" prompt="Link quality and crawl-path metric. Fix: repair broken links and improve internal linking relevance." sqref="E1" xr:uid="{00000000-0002-0000-1100-000004000000}">
      <formula1>TRUE</formula1>
    </dataValidation>
    <dataValidation type="custom" allowBlank="1" showInputMessage="1" promptTitle="Nofollow" prompt="Nofollow. Review this metric to identify risk, then use linked tabs for details and remediation." sqref="F1" xr:uid="{00000000-0002-0000-1100-000005000000}">
      <formula1>TRUE</formula1>
    </dataValidation>
    <dataValidation type="custom" allowBlank="1" showInputMessage="1" promptTitle="Target Status (if crawled)" prompt="Target Status (if crawled). Review this metric to identify risk, then use linked tabs for details and remediation." sqref="G1" xr:uid="{00000000-0002-0000-1100-000006000000}">
      <formula1>TRUE</formula1>
    </dataValidation>
    <dataValidation type="custom" allowBlank="1" showInputMessage="1" promptTitle="Crawlable" prompt="Crawlable. Review this metric to identify risk, then use linked tabs for details and remediation." sqref="H1" xr:uid="{00000000-0002-0000-1100-000007000000}">
      <formula1>TRUE</formula1>
    </dataValidation>
    <dataValidation type="custom" allowBlank="1" showInputMessage="1" promptTitle="BACK TO DASHBOARD" prompt="BACK TO DASHBOARD. Review this metric to identify risk, then use linked tabs for details and remediation." sqref="I1" xr:uid="{00000000-0002-0000-1100-000008000000}">
      <formula1>TRUE</formula1>
    </dataValidation>
  </dataValidations>
  <hyperlinks>
    <hyperlink ref="I1" location="Dashboard!A1" display="BACK TO DASHBOARD" xr:uid="{00000000-0004-0000-1100-000000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3" width="60" customWidth="1"/>
    <col min="4" max="4" width="20" customWidth="1"/>
    <col min="5" max="5" width="24" customWidth="1"/>
    <col min="6" max="6" width="46" customWidth="1"/>
    <col min="7" max="7" width="26" customWidth="1"/>
    <col min="8" max="9" width="31" customWidth="1"/>
    <col min="10" max="10" width="24" customWidth="1"/>
  </cols>
  <sheetData>
    <row r="1" spans="1:12" ht="45" x14ac:dyDescent="0.25">
      <c r="A1" s="27" t="s">
        <v>102</v>
      </c>
      <c r="B1" s="27" t="s">
        <v>3020</v>
      </c>
      <c r="C1" s="27" t="s">
        <v>3021</v>
      </c>
      <c r="D1" s="27" t="s">
        <v>3022</v>
      </c>
      <c r="E1" s="27" t="s">
        <v>1257</v>
      </c>
      <c r="F1" s="27" t="s">
        <v>3023</v>
      </c>
      <c r="G1" s="27" t="s">
        <v>3024</v>
      </c>
      <c r="H1" s="27" t="s">
        <v>396</v>
      </c>
      <c r="I1" s="27" t="s">
        <v>3025</v>
      </c>
      <c r="J1" s="27" t="s">
        <v>3026</v>
      </c>
      <c r="K1" s="27" t="s">
        <v>122</v>
      </c>
      <c r="L1" s="36" t="s">
        <v>251</v>
      </c>
    </row>
    <row r="2" spans="1:12" ht="409.5" x14ac:dyDescent="0.25">
      <c r="A2" s="33" t="s">
        <v>127</v>
      </c>
      <c r="B2" s="28">
        <v>62</v>
      </c>
      <c r="C2" s="31" t="s">
        <v>3027</v>
      </c>
      <c r="D2" s="28">
        <v>13</v>
      </c>
      <c r="E2" s="60">
        <v>79.03</v>
      </c>
      <c r="F2" s="28" t="s">
        <v>3028</v>
      </c>
      <c r="G2" s="28">
        <v>0</v>
      </c>
      <c r="H2" s="35">
        <v>0</v>
      </c>
      <c r="I2" s="61"/>
      <c r="J2" s="35" t="b">
        <v>0</v>
      </c>
      <c r="K2" s="34" t="str">
        <f>IFERROR(HYPERLINK("#Main!A"&amp;MATCH(A2,Main!A:A,0),"Open"),HYPERLINK("#Main!A1","Open"))</f>
        <v>Open</v>
      </c>
      <c r="L2" s="34"/>
    </row>
    <row r="3" spans="1:12" ht="30" customHeight="1" x14ac:dyDescent="0.25">
      <c r="A3" s="30" t="s">
        <v>135</v>
      </c>
      <c r="B3" s="37">
        <v>44</v>
      </c>
      <c r="C3" s="43" t="s">
        <v>3029</v>
      </c>
      <c r="D3" s="37">
        <v>12</v>
      </c>
      <c r="E3" s="60">
        <v>72.73</v>
      </c>
      <c r="F3" s="37" t="s">
        <v>3030</v>
      </c>
      <c r="G3" s="37">
        <v>0</v>
      </c>
      <c r="H3" s="35">
        <v>0</v>
      </c>
      <c r="I3" s="62"/>
      <c r="J3" s="35" t="b">
        <v>0</v>
      </c>
      <c r="K3" t="str">
        <f>IFERROR(HYPERLINK("#Main!A"&amp;MATCH(A3,Main!A:A,0),"Open"),HYPERLINK("#Main!A1","Open"))</f>
        <v>Open</v>
      </c>
    </row>
    <row r="4" spans="1:12" ht="30" customHeight="1" x14ac:dyDescent="0.25">
      <c r="A4" s="33" t="s">
        <v>144</v>
      </c>
      <c r="B4" s="28">
        <v>48</v>
      </c>
      <c r="C4" s="31" t="s">
        <v>3031</v>
      </c>
      <c r="D4" s="28">
        <v>9</v>
      </c>
      <c r="E4" s="63">
        <v>81.25</v>
      </c>
      <c r="F4" s="28" t="s">
        <v>3032</v>
      </c>
      <c r="G4" s="28">
        <v>0</v>
      </c>
      <c r="H4" s="35">
        <v>0</v>
      </c>
      <c r="I4" s="61"/>
      <c r="J4" s="35" t="b">
        <v>0</v>
      </c>
      <c r="K4" s="34" t="str">
        <f>IFERROR(HYPERLINK("#Main!A"&amp;MATCH(A4,Main!A:A,0),"Open"),HYPERLINK("#Main!A1","Open"))</f>
        <v>Open</v>
      </c>
      <c r="L4" s="34"/>
    </row>
    <row r="5" spans="1:12" ht="30" customHeight="1" x14ac:dyDescent="0.25">
      <c r="A5" s="30" t="s">
        <v>152</v>
      </c>
      <c r="B5" s="37">
        <v>93</v>
      </c>
      <c r="C5" s="43" t="s">
        <v>3033</v>
      </c>
      <c r="D5" s="37">
        <v>25</v>
      </c>
      <c r="E5" s="60">
        <v>73.12</v>
      </c>
      <c r="F5" s="37" t="s">
        <v>3034</v>
      </c>
      <c r="G5" s="37">
        <v>0</v>
      </c>
      <c r="H5" s="35">
        <v>0</v>
      </c>
      <c r="I5" s="62"/>
      <c r="J5" s="35" t="b">
        <v>0</v>
      </c>
      <c r="K5" t="str">
        <f>IFERROR(HYPERLINK("#Main!A"&amp;MATCH(A5,Main!A:A,0),"Open"),HYPERLINK("#Main!A1","Open"))</f>
        <v>Open</v>
      </c>
    </row>
    <row r="6" spans="1:12" ht="30" customHeight="1" x14ac:dyDescent="0.25">
      <c r="A6" s="33" t="s">
        <v>169</v>
      </c>
      <c r="B6" s="28">
        <v>23</v>
      </c>
      <c r="C6" s="31" t="s">
        <v>3035</v>
      </c>
      <c r="D6" s="28">
        <v>8</v>
      </c>
      <c r="E6" s="60">
        <v>65.22</v>
      </c>
      <c r="F6" s="28" t="s">
        <v>3036</v>
      </c>
      <c r="G6" s="28">
        <v>0</v>
      </c>
      <c r="H6" s="35">
        <v>0</v>
      </c>
      <c r="I6" s="61"/>
      <c r="J6" s="35" t="b">
        <v>0</v>
      </c>
      <c r="K6" s="34" t="str">
        <f>IFERROR(HYPERLINK("#Main!A"&amp;MATCH(A6,Main!A:A,0),"Open"),HYPERLINK("#Main!A1","Open"))</f>
        <v>Open</v>
      </c>
      <c r="L6" s="34"/>
    </row>
    <row r="7" spans="1:12" ht="30" customHeight="1" x14ac:dyDescent="0.25">
      <c r="A7" s="30" t="s">
        <v>177</v>
      </c>
      <c r="B7" s="37">
        <v>30</v>
      </c>
      <c r="C7" s="43" t="s">
        <v>3037</v>
      </c>
      <c r="D7" s="37">
        <v>15</v>
      </c>
      <c r="E7" s="60">
        <v>50</v>
      </c>
      <c r="F7" s="37" t="s">
        <v>3038</v>
      </c>
      <c r="G7" s="37">
        <v>0</v>
      </c>
      <c r="H7" s="35">
        <v>0</v>
      </c>
      <c r="I7" s="62"/>
      <c r="J7" s="35" t="b">
        <v>0</v>
      </c>
      <c r="K7" t="str">
        <f>IFERROR(HYPERLINK("#Main!A"&amp;MATCH(A7,Main!A:A,0),"Open"),HYPERLINK("#Main!A1","Open"))</f>
        <v>Open</v>
      </c>
    </row>
    <row r="8" spans="1:12" ht="30" customHeight="1" x14ac:dyDescent="0.25">
      <c r="A8" s="33" t="s">
        <v>161</v>
      </c>
      <c r="B8" s="28">
        <v>28</v>
      </c>
      <c r="C8" s="31" t="s">
        <v>3039</v>
      </c>
      <c r="D8" s="28">
        <v>13</v>
      </c>
      <c r="E8" s="60">
        <v>53.57</v>
      </c>
      <c r="F8" s="28" t="s">
        <v>3040</v>
      </c>
      <c r="G8" s="28">
        <v>0</v>
      </c>
      <c r="H8" s="35">
        <v>0</v>
      </c>
      <c r="I8" s="61"/>
      <c r="J8" s="35" t="b">
        <v>0</v>
      </c>
      <c r="K8" s="34" t="str">
        <f>IFERROR(HYPERLINK("#Main!A"&amp;MATCH(A8,Main!A:A,0),"Open"),HYPERLINK("#Main!A1","Open"))</f>
        <v>Open</v>
      </c>
      <c r="L8" s="34"/>
    </row>
    <row r="9" spans="1:12" ht="30" customHeight="1" x14ac:dyDescent="0.25">
      <c r="A9" s="30" t="s">
        <v>185</v>
      </c>
      <c r="B9" s="37">
        <v>56</v>
      </c>
      <c r="C9" s="43" t="s">
        <v>3041</v>
      </c>
      <c r="D9" s="37">
        <v>37</v>
      </c>
      <c r="E9" s="60">
        <v>33.93</v>
      </c>
      <c r="F9" s="37" t="s">
        <v>3042</v>
      </c>
      <c r="G9" s="37">
        <v>0</v>
      </c>
      <c r="H9" s="35">
        <v>0</v>
      </c>
      <c r="I9" s="62"/>
      <c r="J9" s="35" t="b">
        <v>0</v>
      </c>
      <c r="K9" t="str">
        <f>IFERROR(HYPERLINK("#Main!A"&amp;MATCH(A9,Main!A:A,0),"Open"),HYPERLINK("#Main!A1","Open"))</f>
        <v>Open</v>
      </c>
    </row>
    <row r="10" spans="1:12" ht="30" customHeight="1" x14ac:dyDescent="0.25">
      <c r="A10" s="33" t="s">
        <v>201</v>
      </c>
      <c r="B10" s="28">
        <v>20</v>
      </c>
      <c r="C10" s="31" t="s">
        <v>3043</v>
      </c>
      <c r="D10" s="28">
        <v>5</v>
      </c>
      <c r="E10" s="60">
        <v>75</v>
      </c>
      <c r="F10" s="28" t="s">
        <v>3044</v>
      </c>
      <c r="G10" s="28">
        <v>0</v>
      </c>
      <c r="H10" s="35">
        <v>0</v>
      </c>
      <c r="I10" s="61"/>
      <c r="J10" s="35" t="b">
        <v>0</v>
      </c>
      <c r="K10" s="34" t="str">
        <f>IFERROR(HYPERLINK("#Main!A"&amp;MATCH(A10,Main!A:A,0),"Open"),HYPERLINK("#Main!A1","Open"))</f>
        <v>Open</v>
      </c>
      <c r="L10" s="34"/>
    </row>
    <row r="11" spans="1:12" ht="30" customHeight="1" x14ac:dyDescent="0.25">
      <c r="A11" s="30" t="s">
        <v>193</v>
      </c>
      <c r="B11" s="37">
        <v>25</v>
      </c>
      <c r="C11" s="43" t="s">
        <v>3045</v>
      </c>
      <c r="D11" s="37">
        <v>7</v>
      </c>
      <c r="E11" s="60">
        <v>72</v>
      </c>
      <c r="F11" s="37" t="s">
        <v>3046</v>
      </c>
      <c r="G11" s="37">
        <v>0</v>
      </c>
      <c r="H11" s="35">
        <v>0</v>
      </c>
      <c r="I11" s="62"/>
      <c r="J11" s="35" t="b">
        <v>0</v>
      </c>
      <c r="K11" t="str">
        <f>IFERROR(HYPERLINK("#Main!A"&amp;MATCH(A11,Main!A:A,0),"Open"),HYPERLINK("#Main!A1","Open"))</f>
        <v>Open</v>
      </c>
    </row>
    <row r="12" spans="1:12" ht="30" customHeight="1" x14ac:dyDescent="0.25">
      <c r="A12" s="33" t="s">
        <v>216</v>
      </c>
      <c r="B12" s="28">
        <v>17</v>
      </c>
      <c r="C12" s="31" t="s">
        <v>3047</v>
      </c>
      <c r="D12" s="28">
        <v>2</v>
      </c>
      <c r="E12" s="63">
        <v>88.24</v>
      </c>
      <c r="F12" s="28" t="s">
        <v>3048</v>
      </c>
      <c r="G12" s="28">
        <v>0</v>
      </c>
      <c r="H12" s="35">
        <v>0</v>
      </c>
      <c r="I12" s="61"/>
      <c r="J12" s="35" t="b">
        <v>0</v>
      </c>
      <c r="K12" s="34" t="str">
        <f>IFERROR(HYPERLINK("#Main!A"&amp;MATCH(A12,Main!A:A,0),"Open"),HYPERLINK("#Main!A1","Open"))</f>
        <v>Open</v>
      </c>
      <c r="L12" s="34"/>
    </row>
    <row r="13" spans="1:12" ht="30" customHeight="1" x14ac:dyDescent="0.25">
      <c r="A13" s="30" t="s">
        <v>208</v>
      </c>
      <c r="B13" s="37">
        <v>20</v>
      </c>
      <c r="C13" s="43" t="s">
        <v>3049</v>
      </c>
      <c r="D13" s="37">
        <v>5</v>
      </c>
      <c r="E13" s="60">
        <v>75</v>
      </c>
      <c r="F13" s="37" t="s">
        <v>3044</v>
      </c>
      <c r="G13" s="37">
        <v>0</v>
      </c>
      <c r="H13" s="35">
        <v>0</v>
      </c>
      <c r="I13" s="62"/>
      <c r="J13" s="35" t="b">
        <v>0</v>
      </c>
      <c r="K13" t="str">
        <f>IFERROR(HYPERLINK("#Main!A"&amp;MATCH(A13,Main!A:A,0),"Open"),HYPERLINK("#Main!A1","Open"))</f>
        <v>Open</v>
      </c>
    </row>
    <row r="14" spans="1:12" ht="30" customHeight="1" x14ac:dyDescent="0.25">
      <c r="A14" s="33" t="s">
        <v>224</v>
      </c>
      <c r="B14" s="28">
        <v>22</v>
      </c>
      <c r="C14" s="31" t="s">
        <v>3050</v>
      </c>
      <c r="D14" s="28">
        <v>6</v>
      </c>
      <c r="E14" s="60">
        <v>72.73</v>
      </c>
      <c r="F14" s="28" t="s">
        <v>3051</v>
      </c>
      <c r="G14" s="28">
        <v>0</v>
      </c>
      <c r="H14" s="35">
        <v>0</v>
      </c>
      <c r="I14" s="61"/>
      <c r="J14" s="35" t="b">
        <v>0</v>
      </c>
      <c r="K14" s="34" t="str">
        <f>IFERROR(HYPERLINK("#Main!A"&amp;MATCH(A14,Main!A:A,0),"Open"),HYPERLINK("#Main!A1","Open"))</f>
        <v>Open</v>
      </c>
      <c r="L14" s="34"/>
    </row>
    <row r="15" spans="1:12" ht="30" customHeight="1" x14ac:dyDescent="0.25">
      <c r="A15" s="30" t="s">
        <v>233</v>
      </c>
      <c r="B15" s="37">
        <v>20</v>
      </c>
      <c r="C15" s="43" t="s">
        <v>3052</v>
      </c>
      <c r="D15" s="37">
        <v>5</v>
      </c>
      <c r="E15" s="60">
        <v>75</v>
      </c>
      <c r="F15" s="37" t="s">
        <v>3044</v>
      </c>
      <c r="G15" s="37">
        <v>0</v>
      </c>
      <c r="H15" s="35">
        <v>0</v>
      </c>
      <c r="I15" s="62"/>
      <c r="J15" s="35" t="b">
        <v>0</v>
      </c>
      <c r="K15" t="str">
        <f>IFERROR(HYPERLINK("#Main!A"&amp;MATCH(A15,Main!A:A,0),"Open"),HYPERLINK("#Main!A1","Open"))</f>
        <v>Open</v>
      </c>
    </row>
    <row r="16" spans="1:12" ht="30" customHeight="1" x14ac:dyDescent="0.25">
      <c r="A16" s="33" t="s">
        <v>241</v>
      </c>
      <c r="B16" s="28">
        <v>44</v>
      </c>
      <c r="C16" s="31" t="s">
        <v>3053</v>
      </c>
      <c r="D16" s="28">
        <v>15</v>
      </c>
      <c r="E16" s="60">
        <v>65.91</v>
      </c>
      <c r="F16" s="28" t="s">
        <v>3054</v>
      </c>
      <c r="G16" s="28">
        <v>0</v>
      </c>
      <c r="H16" s="35">
        <v>0</v>
      </c>
      <c r="I16" s="61"/>
      <c r="J16" s="35" t="b">
        <v>0</v>
      </c>
      <c r="K16" s="34" t="str">
        <f>IFERROR(HYPERLINK("#Main!A"&amp;MATCH(A16,Main!A:A,0),"Open"),HYPERLINK("#Main!A1","Open"))</f>
        <v>Open</v>
      </c>
      <c r="L16" s="34"/>
    </row>
    <row r="17" spans="1:12" ht="30" customHeight="1" x14ac:dyDescent="0.25">
      <c r="A17" s="30" t="s">
        <v>485</v>
      </c>
      <c r="B17" s="37">
        <v>20</v>
      </c>
      <c r="C17" s="43" t="s">
        <v>3055</v>
      </c>
      <c r="D17" s="37">
        <v>5</v>
      </c>
      <c r="E17" s="60">
        <v>75</v>
      </c>
      <c r="F17" s="37" t="s">
        <v>3044</v>
      </c>
      <c r="G17" s="37">
        <v>0</v>
      </c>
      <c r="H17" s="35">
        <v>0</v>
      </c>
      <c r="I17" s="62"/>
      <c r="J17" s="35" t="b">
        <v>0</v>
      </c>
      <c r="K17" t="str">
        <f>IFERROR(HYPERLINK("#Main!A"&amp;MATCH(A17,Main!A:A,0),"Open"),HYPERLINK("#Main!A1","Open"))</f>
        <v>Open</v>
      </c>
    </row>
    <row r="18" spans="1:12" ht="30" customHeight="1" x14ac:dyDescent="0.25">
      <c r="A18" s="33" t="s">
        <v>491</v>
      </c>
      <c r="B18" s="28">
        <v>86</v>
      </c>
      <c r="C18" s="31" t="s">
        <v>3056</v>
      </c>
      <c r="D18" s="28">
        <v>15</v>
      </c>
      <c r="E18" s="63">
        <v>82.56</v>
      </c>
      <c r="F18" s="28" t="s">
        <v>3057</v>
      </c>
      <c r="G18" s="28">
        <v>0</v>
      </c>
      <c r="H18" s="35">
        <v>0</v>
      </c>
      <c r="I18" s="61"/>
      <c r="J18" s="35" t="b">
        <v>0</v>
      </c>
      <c r="K18" s="34" t="str">
        <f>IFERROR(HYPERLINK("#Main!A"&amp;MATCH(A18,Main!A:A,0),"Open"),HYPERLINK("#Main!A1","Open"))</f>
        <v>Open</v>
      </c>
      <c r="L18" s="34"/>
    </row>
    <row r="19" spans="1:12" ht="30" customHeight="1" x14ac:dyDescent="0.25">
      <c r="A19" s="30" t="s">
        <v>488</v>
      </c>
      <c r="B19" s="37">
        <v>33</v>
      </c>
      <c r="C19" s="43" t="s">
        <v>3058</v>
      </c>
      <c r="D19" s="37">
        <v>5</v>
      </c>
      <c r="E19" s="63">
        <v>84.85</v>
      </c>
      <c r="F19" s="37" t="s">
        <v>3059</v>
      </c>
      <c r="G19" s="37">
        <v>0</v>
      </c>
      <c r="H19" s="35">
        <v>0</v>
      </c>
      <c r="I19" s="62"/>
      <c r="J19" s="35" t="b">
        <v>0</v>
      </c>
      <c r="K19" t="str">
        <f>IFERROR(HYPERLINK("#Main!A"&amp;MATCH(A19,Main!A:A,0),"Open"),HYPERLINK("#Main!A1","Open"))</f>
        <v>Open</v>
      </c>
    </row>
    <row r="20" spans="1:12" ht="30" customHeight="1" x14ac:dyDescent="0.25">
      <c r="A20" s="33" t="s">
        <v>494</v>
      </c>
      <c r="B20" s="28">
        <v>49</v>
      </c>
      <c r="C20" s="31" t="s">
        <v>3060</v>
      </c>
      <c r="D20" s="28">
        <v>10</v>
      </c>
      <c r="E20" s="60">
        <v>79.59</v>
      </c>
      <c r="F20" s="28" t="s">
        <v>3061</v>
      </c>
      <c r="G20" s="28">
        <v>0</v>
      </c>
      <c r="H20" s="35">
        <v>0</v>
      </c>
      <c r="I20" s="61"/>
      <c r="J20" s="35" t="b">
        <v>0</v>
      </c>
      <c r="K20" s="34" t="str">
        <f>IFERROR(HYPERLINK("#Main!A"&amp;MATCH(A20,Main!A:A,0),"Open"),HYPERLINK("#Main!A1","Open"))</f>
        <v>Open</v>
      </c>
      <c r="L20" s="34"/>
    </row>
    <row r="21" spans="1:12" ht="30" customHeight="1" x14ac:dyDescent="0.25">
      <c r="A21" s="30" t="s">
        <v>500</v>
      </c>
      <c r="B21" s="37">
        <v>109</v>
      </c>
      <c r="C21" s="43" t="s">
        <v>3062</v>
      </c>
      <c r="D21" s="37">
        <v>94</v>
      </c>
      <c r="E21" s="60">
        <v>13.76</v>
      </c>
      <c r="F21" s="37" t="s">
        <v>3063</v>
      </c>
      <c r="G21" s="37">
        <v>0</v>
      </c>
      <c r="H21" s="29">
        <v>6</v>
      </c>
      <c r="I21" s="62"/>
      <c r="J21" s="35" t="b">
        <v>0</v>
      </c>
      <c r="K21" t="str">
        <f>IFERROR(HYPERLINK("#Main!A"&amp;MATCH(A21,Main!A:A,0),"Open"),HYPERLINK("#Main!A1","Open"))</f>
        <v>Open</v>
      </c>
    </row>
    <row r="22" spans="1:12" ht="30" customHeight="1" x14ac:dyDescent="0.25">
      <c r="A22" s="33" t="s">
        <v>497</v>
      </c>
      <c r="B22" s="28">
        <v>74</v>
      </c>
      <c r="C22" s="31" t="s">
        <v>3064</v>
      </c>
      <c r="D22" s="28">
        <v>35</v>
      </c>
      <c r="E22" s="60">
        <v>52.7</v>
      </c>
      <c r="F22" s="28" t="s">
        <v>3065</v>
      </c>
      <c r="G22" s="28">
        <v>0</v>
      </c>
      <c r="H22" s="35">
        <v>0</v>
      </c>
      <c r="I22" s="61"/>
      <c r="J22" s="35" t="b">
        <v>0</v>
      </c>
      <c r="K22" s="34" t="str">
        <f>IFERROR(HYPERLINK("#Main!A"&amp;MATCH(A22,Main!A:A,0),"Open"),HYPERLINK("#Main!A1","Open"))</f>
        <v>Open</v>
      </c>
      <c r="L22" s="34"/>
    </row>
    <row r="23" spans="1:12" ht="30" customHeight="1" x14ac:dyDescent="0.25">
      <c r="A23" s="30" t="s">
        <v>506</v>
      </c>
      <c r="B23" s="37">
        <v>40</v>
      </c>
      <c r="C23" s="43" t="s">
        <v>3066</v>
      </c>
      <c r="D23" s="37">
        <v>10</v>
      </c>
      <c r="E23" s="60">
        <v>75</v>
      </c>
      <c r="F23" s="37" t="s">
        <v>3067</v>
      </c>
      <c r="G23" s="37">
        <v>0</v>
      </c>
      <c r="H23" s="35">
        <v>0</v>
      </c>
      <c r="I23" s="62"/>
      <c r="J23" s="35" t="b">
        <v>0</v>
      </c>
      <c r="K23" t="str">
        <f>IFERROR(HYPERLINK("#Main!A"&amp;MATCH(A23,Main!A:A,0),"Open"),HYPERLINK("#Main!A1","Open"))</f>
        <v>Open</v>
      </c>
    </row>
    <row r="24" spans="1:12" ht="30" customHeight="1" x14ac:dyDescent="0.25">
      <c r="A24" s="33" t="s">
        <v>509</v>
      </c>
      <c r="B24" s="28">
        <v>40</v>
      </c>
      <c r="C24" s="31" t="s">
        <v>3068</v>
      </c>
      <c r="D24" s="28">
        <v>10</v>
      </c>
      <c r="E24" s="60">
        <v>75</v>
      </c>
      <c r="F24" s="28" t="s">
        <v>3067</v>
      </c>
      <c r="G24" s="28">
        <v>0</v>
      </c>
      <c r="H24" s="35">
        <v>0</v>
      </c>
      <c r="I24" s="61"/>
      <c r="J24" s="35" t="b">
        <v>0</v>
      </c>
      <c r="K24" s="34" t="str">
        <f>IFERROR(HYPERLINK("#Main!A"&amp;MATCH(A24,Main!A:A,0),"Open"),HYPERLINK("#Main!A1","Open"))</f>
        <v>Open</v>
      </c>
      <c r="L24" s="34"/>
    </row>
    <row r="25" spans="1:12" ht="30" customHeight="1" x14ac:dyDescent="0.25">
      <c r="A25" s="30" t="s">
        <v>503</v>
      </c>
      <c r="B25" s="37">
        <v>51</v>
      </c>
      <c r="C25" s="43" t="s">
        <v>3069</v>
      </c>
      <c r="D25" s="37">
        <v>17</v>
      </c>
      <c r="E25" s="60">
        <v>66.67</v>
      </c>
      <c r="F25" s="37" t="s">
        <v>3070</v>
      </c>
      <c r="G25" s="37">
        <v>0</v>
      </c>
      <c r="H25" s="29">
        <v>4</v>
      </c>
      <c r="I25" s="62"/>
      <c r="J25" s="35" t="b">
        <v>0</v>
      </c>
      <c r="K25" t="str">
        <f>IFERROR(HYPERLINK("#Main!A"&amp;MATCH(A25,Main!A:A,0),"Open"),HYPERLINK("#Main!A1","Open"))</f>
        <v>Open</v>
      </c>
    </row>
    <row r="26" spans="1:12" ht="30" customHeight="1" x14ac:dyDescent="0.25">
      <c r="A26" s="33" t="s">
        <v>476</v>
      </c>
      <c r="B26" s="28">
        <v>0</v>
      </c>
      <c r="C26" s="31"/>
      <c r="D26" s="28">
        <v>0</v>
      </c>
      <c r="E26" s="61"/>
      <c r="F26" s="28"/>
      <c r="G26" s="28">
        <v>0</v>
      </c>
      <c r="H26" s="35">
        <v>0</v>
      </c>
      <c r="I26" s="61"/>
      <c r="J26" s="35" t="b">
        <v>0</v>
      </c>
      <c r="K26" s="34" t="str">
        <f>IFERROR(HYPERLINK("#Main!A"&amp;MATCH(A26,Main!A:A,0),"Open"),HYPERLINK("#Main!A1","Open"))</f>
        <v>Open</v>
      </c>
      <c r="L26" s="34"/>
    </row>
    <row r="27" spans="1:12" ht="30" customHeight="1" x14ac:dyDescent="0.25">
      <c r="A27" s="30" t="s">
        <v>512</v>
      </c>
      <c r="B27" s="37">
        <v>20</v>
      </c>
      <c r="C27" s="43" t="s">
        <v>3071</v>
      </c>
      <c r="D27" s="37">
        <v>5</v>
      </c>
      <c r="E27" s="60">
        <v>75</v>
      </c>
      <c r="F27" s="37" t="s">
        <v>3044</v>
      </c>
      <c r="G27" s="37">
        <v>0</v>
      </c>
      <c r="H27" s="35">
        <v>0</v>
      </c>
      <c r="I27" s="62"/>
      <c r="J27" s="35" t="b">
        <v>0</v>
      </c>
      <c r="K27" t="str">
        <f>IFERROR(HYPERLINK("#Main!A"&amp;MATCH(A27,Main!A:A,0),"Open"),HYPERLINK("#Main!A1","Open"))</f>
        <v>Open</v>
      </c>
    </row>
    <row r="28" spans="1:12" ht="30" customHeight="1" x14ac:dyDescent="0.25">
      <c r="A28" s="33" t="s">
        <v>515</v>
      </c>
      <c r="B28" s="28">
        <v>33</v>
      </c>
      <c r="C28" s="31" t="s">
        <v>3072</v>
      </c>
      <c r="D28" s="28">
        <v>18</v>
      </c>
      <c r="E28" s="60">
        <v>45.45</v>
      </c>
      <c r="F28" s="28" t="s">
        <v>3073</v>
      </c>
      <c r="G28" s="28">
        <v>0</v>
      </c>
      <c r="H28" s="35">
        <v>0</v>
      </c>
      <c r="I28" s="61"/>
      <c r="J28" s="35" t="b">
        <v>0</v>
      </c>
      <c r="K28" s="34" t="str">
        <f>IFERROR(HYPERLINK("#Main!A"&amp;MATCH(A28,Main!A:A,0),"Open"),HYPERLINK("#Main!A1","Open"))</f>
        <v>Open</v>
      </c>
      <c r="L28" s="34"/>
    </row>
    <row r="29" spans="1:12" ht="30" customHeight="1" x14ac:dyDescent="0.25">
      <c r="A29" s="30" t="s">
        <v>518</v>
      </c>
      <c r="B29" s="37">
        <v>116</v>
      </c>
      <c r="C29" s="43" t="s">
        <v>3074</v>
      </c>
      <c r="D29" s="37">
        <v>15</v>
      </c>
      <c r="E29" s="63">
        <v>87.07</v>
      </c>
      <c r="F29" s="37" t="s">
        <v>3075</v>
      </c>
      <c r="G29" s="37">
        <v>0</v>
      </c>
      <c r="H29" s="35">
        <v>0</v>
      </c>
      <c r="I29" s="62"/>
      <c r="J29" s="35" t="b">
        <v>0</v>
      </c>
      <c r="K29" t="str">
        <f>IFERROR(HYPERLINK("#Main!A"&amp;MATCH(A29,Main!A:A,0),"Open"),HYPERLINK("#Main!A1","Open"))</f>
        <v>Open</v>
      </c>
    </row>
    <row r="30" spans="1:12" ht="30" customHeight="1" x14ac:dyDescent="0.25">
      <c r="A30" s="33" t="s">
        <v>521</v>
      </c>
      <c r="B30" s="28">
        <v>45</v>
      </c>
      <c r="C30" s="31" t="s">
        <v>3076</v>
      </c>
      <c r="D30" s="28">
        <v>6</v>
      </c>
      <c r="E30" s="63">
        <v>86.67</v>
      </c>
      <c r="F30" s="28" t="s">
        <v>3077</v>
      </c>
      <c r="G30" s="28">
        <v>0</v>
      </c>
      <c r="H30" s="35">
        <v>0</v>
      </c>
      <c r="I30" s="61"/>
      <c r="J30" s="35" t="b">
        <v>0</v>
      </c>
      <c r="K30" s="34" t="str">
        <f>IFERROR(HYPERLINK("#Main!A"&amp;MATCH(A30,Main!A:A,0),"Open"),HYPERLINK("#Main!A1","Open"))</f>
        <v>Open</v>
      </c>
      <c r="L30" s="34"/>
    </row>
    <row r="31" spans="1:12" ht="30" customHeight="1" x14ac:dyDescent="0.25">
      <c r="A31" s="30" t="s">
        <v>524</v>
      </c>
      <c r="B31" s="37">
        <v>40</v>
      </c>
      <c r="C31" s="43" t="s">
        <v>3078</v>
      </c>
      <c r="D31" s="37">
        <v>10</v>
      </c>
      <c r="E31" s="60">
        <v>75</v>
      </c>
      <c r="F31" s="37" t="s">
        <v>3067</v>
      </c>
      <c r="G31" s="37">
        <v>0</v>
      </c>
      <c r="H31" s="35">
        <v>0</v>
      </c>
      <c r="I31" s="62"/>
      <c r="J31" s="35" t="b">
        <v>0</v>
      </c>
      <c r="K31" t="str">
        <f>IFERROR(HYPERLINK("#Main!A"&amp;MATCH(A31,Main!A:A,0),"Open"),HYPERLINK("#Main!A1","Open"))</f>
        <v>Open</v>
      </c>
    </row>
    <row r="32" spans="1:12" ht="30" customHeight="1" x14ac:dyDescent="0.25">
      <c r="A32" s="33" t="s">
        <v>527</v>
      </c>
      <c r="B32" s="28">
        <v>79</v>
      </c>
      <c r="C32" s="31" t="s">
        <v>3079</v>
      </c>
      <c r="D32" s="28">
        <v>15</v>
      </c>
      <c r="E32" s="63">
        <v>81.010000000000005</v>
      </c>
      <c r="F32" s="28" t="s">
        <v>3080</v>
      </c>
      <c r="G32" s="28">
        <v>0</v>
      </c>
      <c r="H32" s="35">
        <v>0</v>
      </c>
      <c r="I32" s="61"/>
      <c r="J32" s="35" t="b">
        <v>0</v>
      </c>
      <c r="K32" s="34" t="str">
        <f>IFERROR(HYPERLINK("#Main!A"&amp;MATCH(A32,Main!A:A,0),"Open"),HYPERLINK("#Main!A1","Open"))</f>
        <v>Open</v>
      </c>
      <c r="L32" s="34"/>
    </row>
    <row r="33" spans="1:12" ht="45" customHeight="1" x14ac:dyDescent="0.25">
      <c r="A33" s="30" t="s">
        <v>528</v>
      </c>
      <c r="B33" s="37">
        <v>36</v>
      </c>
      <c r="C33" s="43" t="s">
        <v>3081</v>
      </c>
      <c r="D33" s="37">
        <v>6</v>
      </c>
      <c r="E33" s="63">
        <v>83.33</v>
      </c>
      <c r="F33" s="37" t="s">
        <v>3082</v>
      </c>
      <c r="G33" s="37">
        <v>0</v>
      </c>
      <c r="H33" s="35">
        <v>0</v>
      </c>
      <c r="I33" s="62"/>
      <c r="J33" s="35" t="b">
        <v>0</v>
      </c>
      <c r="K33" t="str">
        <f>IFERROR(HYPERLINK("#Main!A"&amp;MATCH(A33,Main!A:A,0),"Open"),HYPERLINK("#Main!A1","Open"))</f>
        <v>Open</v>
      </c>
    </row>
    <row r="34" spans="1:12" ht="30" customHeight="1" x14ac:dyDescent="0.25">
      <c r="A34" s="33" t="s">
        <v>531</v>
      </c>
      <c r="B34" s="28">
        <v>58</v>
      </c>
      <c r="C34" s="31" t="s">
        <v>3083</v>
      </c>
      <c r="D34" s="28">
        <v>7</v>
      </c>
      <c r="E34" s="63">
        <v>87.93</v>
      </c>
      <c r="F34" s="28" t="s">
        <v>3084</v>
      </c>
      <c r="G34" s="28">
        <v>0</v>
      </c>
      <c r="H34" s="35">
        <v>0</v>
      </c>
      <c r="I34" s="61"/>
      <c r="J34" s="35" t="b">
        <v>0</v>
      </c>
      <c r="K34" s="34" t="str">
        <f>IFERROR(HYPERLINK("#Main!A"&amp;MATCH(A34,Main!A:A,0),"Open"),HYPERLINK("#Main!A1","Open"))</f>
        <v>Open</v>
      </c>
      <c r="L34" s="34"/>
    </row>
    <row r="35" spans="1:12" ht="30" customHeight="1" x14ac:dyDescent="0.25">
      <c r="A35" s="30" t="s">
        <v>534</v>
      </c>
      <c r="B35" s="37">
        <v>57</v>
      </c>
      <c r="C35" s="43" t="s">
        <v>3085</v>
      </c>
      <c r="D35" s="37">
        <v>6</v>
      </c>
      <c r="E35" s="63">
        <v>89.47</v>
      </c>
      <c r="F35" s="37" t="s">
        <v>3086</v>
      </c>
      <c r="G35" s="37">
        <v>0</v>
      </c>
      <c r="H35" s="35">
        <v>0</v>
      </c>
      <c r="I35" s="62"/>
      <c r="J35" s="35" t="b">
        <v>0</v>
      </c>
      <c r="K35" t="str">
        <f>IFERROR(HYPERLINK("#Main!A"&amp;MATCH(A35,Main!A:A,0),"Open"),HYPERLINK("#Main!A1","Open"))</f>
        <v>Open</v>
      </c>
    </row>
    <row r="36" spans="1:12" ht="30" customHeight="1" x14ac:dyDescent="0.25">
      <c r="A36" s="33" t="s">
        <v>537</v>
      </c>
      <c r="B36" s="28">
        <v>21</v>
      </c>
      <c r="C36" s="31" t="s">
        <v>3087</v>
      </c>
      <c r="D36" s="28">
        <v>6</v>
      </c>
      <c r="E36" s="60">
        <v>71.430000000000007</v>
      </c>
      <c r="F36" s="28" t="s">
        <v>3082</v>
      </c>
      <c r="G36" s="28">
        <v>0</v>
      </c>
      <c r="H36" s="35">
        <v>0</v>
      </c>
      <c r="I36" s="61"/>
      <c r="J36" s="35" t="b">
        <v>0</v>
      </c>
      <c r="K36" s="34" t="str">
        <f>IFERROR(HYPERLINK("#Main!A"&amp;MATCH(A36,Main!A:A,0),"Open"),HYPERLINK("#Main!A1","Open"))</f>
        <v>Open</v>
      </c>
      <c r="L36" s="34"/>
    </row>
    <row r="37" spans="1:12" ht="45" customHeight="1" x14ac:dyDescent="0.25">
      <c r="A37" s="30" t="s">
        <v>540</v>
      </c>
      <c r="B37" s="37">
        <v>36</v>
      </c>
      <c r="C37" s="43" t="s">
        <v>3088</v>
      </c>
      <c r="D37" s="37">
        <v>6</v>
      </c>
      <c r="E37" s="63">
        <v>83.33</v>
      </c>
      <c r="F37" s="37" t="s">
        <v>3082</v>
      </c>
      <c r="G37" s="37">
        <v>0</v>
      </c>
      <c r="H37" s="35">
        <v>0</v>
      </c>
      <c r="I37" s="62"/>
      <c r="J37" s="35" t="b">
        <v>0</v>
      </c>
      <c r="K37" t="str">
        <f>IFERROR(HYPERLINK("#Main!A"&amp;MATCH(A37,Main!A:A,0),"Open"),HYPERLINK("#Main!A1","Open"))</f>
        <v>Open</v>
      </c>
    </row>
    <row r="38" spans="1:12" ht="30" customHeight="1" x14ac:dyDescent="0.25">
      <c r="A38" s="33" t="s">
        <v>543</v>
      </c>
      <c r="B38" s="28">
        <v>43</v>
      </c>
      <c r="C38" s="31" t="s">
        <v>3089</v>
      </c>
      <c r="D38" s="28">
        <v>28</v>
      </c>
      <c r="E38" s="60">
        <v>34.880000000000003</v>
      </c>
      <c r="F38" s="28" t="s">
        <v>3090</v>
      </c>
      <c r="G38" s="28">
        <v>0</v>
      </c>
      <c r="H38" s="35">
        <v>0</v>
      </c>
      <c r="I38" s="61"/>
      <c r="J38" s="35" t="b">
        <v>0</v>
      </c>
      <c r="K38" s="34" t="str">
        <f>IFERROR(HYPERLINK("#Main!A"&amp;MATCH(A38,Main!A:A,0),"Open"),HYPERLINK("#Main!A1","Open"))</f>
        <v>Open</v>
      </c>
      <c r="L38" s="34"/>
    </row>
    <row r="39" spans="1:12" ht="30" customHeight="1" x14ac:dyDescent="0.25">
      <c r="A39" s="30" t="s">
        <v>483</v>
      </c>
      <c r="B39" s="37">
        <v>0</v>
      </c>
      <c r="C39" s="43"/>
      <c r="D39" s="37">
        <v>0</v>
      </c>
      <c r="E39" s="62"/>
      <c r="F39" s="37"/>
      <c r="G39" s="37">
        <v>0</v>
      </c>
      <c r="H39" s="35">
        <v>0</v>
      </c>
      <c r="I39" s="62"/>
      <c r="J39" s="35" t="b">
        <v>0</v>
      </c>
      <c r="K39" t="str">
        <f>IFERROR(HYPERLINK("#Main!A"&amp;MATCH(A39,Main!A:A,0),"Open"),HYPERLINK("#Main!A1","Open"))</f>
        <v>Open</v>
      </c>
    </row>
    <row r="40" spans="1:12" ht="30" customHeight="1" x14ac:dyDescent="0.25">
      <c r="A40" s="33" t="s">
        <v>546</v>
      </c>
      <c r="B40" s="28">
        <v>44</v>
      </c>
      <c r="C40" s="31" t="s">
        <v>3091</v>
      </c>
      <c r="D40" s="28">
        <v>8</v>
      </c>
      <c r="E40" s="63">
        <v>81.819999999999993</v>
      </c>
      <c r="F40" s="28" t="s">
        <v>3092</v>
      </c>
      <c r="G40" s="28">
        <v>0</v>
      </c>
      <c r="H40" s="35">
        <v>0</v>
      </c>
      <c r="I40" s="61"/>
      <c r="J40" s="35" t="b">
        <v>0</v>
      </c>
      <c r="K40" s="34" t="str">
        <f>IFERROR(HYPERLINK("#Main!A"&amp;MATCH(A40,Main!A:A,0),"Open"),HYPERLINK("#Main!A1","Open"))</f>
        <v>Open</v>
      </c>
      <c r="L40" s="34"/>
    </row>
    <row r="41" spans="1:12" ht="30" customHeight="1" x14ac:dyDescent="0.25">
      <c r="A41" s="30" t="s">
        <v>549</v>
      </c>
      <c r="B41" s="37">
        <v>38</v>
      </c>
      <c r="C41" s="43" t="s">
        <v>3093</v>
      </c>
      <c r="D41" s="37">
        <v>8</v>
      </c>
      <c r="E41" s="60">
        <v>78.95</v>
      </c>
      <c r="F41" s="37" t="s">
        <v>3051</v>
      </c>
      <c r="G41" s="37">
        <v>0</v>
      </c>
      <c r="H41" s="35">
        <v>0</v>
      </c>
      <c r="I41" s="62"/>
      <c r="J41" s="35" t="b">
        <v>0</v>
      </c>
      <c r="K41" t="str">
        <f>IFERROR(HYPERLINK("#Main!A"&amp;MATCH(A41,Main!A:A,0),"Open"),HYPERLINK("#Main!A1","Open"))</f>
        <v>Open</v>
      </c>
    </row>
    <row r="42" spans="1:12" ht="30" customHeight="1" x14ac:dyDescent="0.25">
      <c r="A42" s="33" t="s">
        <v>555</v>
      </c>
      <c r="B42" s="28">
        <v>20</v>
      </c>
      <c r="C42" s="31" t="s">
        <v>3094</v>
      </c>
      <c r="D42" s="28">
        <v>5</v>
      </c>
      <c r="E42" s="60">
        <v>75</v>
      </c>
      <c r="F42" s="28" t="s">
        <v>3044</v>
      </c>
      <c r="G42" s="28">
        <v>0</v>
      </c>
      <c r="H42" s="35">
        <v>0</v>
      </c>
      <c r="I42" s="61"/>
      <c r="J42" s="35" t="b">
        <v>0</v>
      </c>
      <c r="K42" s="34" t="str">
        <f>IFERROR(HYPERLINK("#Main!A"&amp;MATCH(A42,Main!A:A,0),"Open"),HYPERLINK("#Main!A1","Open"))</f>
        <v>Open</v>
      </c>
      <c r="L42" s="34"/>
    </row>
    <row r="43" spans="1:12" ht="30" customHeight="1" x14ac:dyDescent="0.25">
      <c r="A43" s="30" t="s">
        <v>557</v>
      </c>
      <c r="B43" s="37">
        <v>17</v>
      </c>
      <c r="C43" s="43" t="s">
        <v>3095</v>
      </c>
      <c r="D43" s="37">
        <v>2</v>
      </c>
      <c r="E43" s="63">
        <v>88.24</v>
      </c>
      <c r="F43" s="37" t="s">
        <v>3048</v>
      </c>
      <c r="G43" s="37">
        <v>0</v>
      </c>
      <c r="H43" s="35">
        <v>0</v>
      </c>
      <c r="I43" s="62"/>
      <c r="J43" s="35" t="b">
        <v>0</v>
      </c>
      <c r="K43" t="str">
        <f>IFERROR(HYPERLINK("#Main!A"&amp;MATCH(A43,Main!A:A,0),"Open"),HYPERLINK("#Main!A1","Open"))</f>
        <v>Open</v>
      </c>
    </row>
    <row r="44" spans="1:12" ht="30" customHeight="1" x14ac:dyDescent="0.25">
      <c r="A44" s="33" t="s">
        <v>552</v>
      </c>
      <c r="B44" s="28">
        <v>21</v>
      </c>
      <c r="C44" s="31" t="s">
        <v>3096</v>
      </c>
      <c r="D44" s="28">
        <v>5</v>
      </c>
      <c r="E44" s="60">
        <v>76.19</v>
      </c>
      <c r="F44" s="28" t="s">
        <v>3097</v>
      </c>
      <c r="G44" s="28">
        <v>0</v>
      </c>
      <c r="H44" s="35">
        <v>0</v>
      </c>
      <c r="I44" s="61"/>
      <c r="J44" s="35" t="b">
        <v>0</v>
      </c>
      <c r="K44" s="34" t="str">
        <f>IFERROR(HYPERLINK("#Main!A"&amp;MATCH(A44,Main!A:A,0),"Open"),HYPERLINK("#Main!A1","Open"))</f>
        <v>Open</v>
      </c>
      <c r="L44" s="34"/>
    </row>
    <row r="45" spans="1:12" ht="30" customHeight="1" x14ac:dyDescent="0.25">
      <c r="A45" s="30" t="s">
        <v>560</v>
      </c>
      <c r="B45" s="37">
        <v>47</v>
      </c>
      <c r="C45" s="43" t="s">
        <v>3098</v>
      </c>
      <c r="D45" s="37">
        <v>6</v>
      </c>
      <c r="E45" s="63">
        <v>87.23</v>
      </c>
      <c r="F45" s="37" t="s">
        <v>3099</v>
      </c>
      <c r="G45" s="37">
        <v>0</v>
      </c>
      <c r="H45" s="35">
        <v>0</v>
      </c>
      <c r="I45" s="62"/>
      <c r="J45" s="35" t="b">
        <v>0</v>
      </c>
      <c r="K45" t="str">
        <f>IFERROR(HYPERLINK("#Main!A"&amp;MATCH(A45,Main!A:A,0),"Open"),HYPERLINK("#Main!A1","Open"))</f>
        <v>Open</v>
      </c>
    </row>
    <row r="46" spans="1:12" ht="30" customHeight="1" x14ac:dyDescent="0.25">
      <c r="A46" s="33" t="s">
        <v>563</v>
      </c>
      <c r="B46" s="28">
        <v>21</v>
      </c>
      <c r="C46" s="31" t="s">
        <v>3100</v>
      </c>
      <c r="D46" s="28">
        <v>6</v>
      </c>
      <c r="E46" s="60">
        <v>71.430000000000007</v>
      </c>
      <c r="F46" s="28" t="s">
        <v>3082</v>
      </c>
      <c r="G46" s="28">
        <v>0</v>
      </c>
      <c r="H46" s="35">
        <v>0</v>
      </c>
      <c r="I46" s="61"/>
      <c r="J46" s="35" t="b">
        <v>0</v>
      </c>
      <c r="K46" s="34" t="str">
        <f>IFERROR(HYPERLINK("#Main!A"&amp;MATCH(A46,Main!A:A,0),"Open"),HYPERLINK("#Main!A1","Open"))</f>
        <v>Open</v>
      </c>
      <c r="L46" s="34"/>
    </row>
    <row r="47" spans="1:12" ht="30" customHeight="1" x14ac:dyDescent="0.25">
      <c r="A47" s="30" t="s">
        <v>566</v>
      </c>
      <c r="B47" s="37">
        <v>67</v>
      </c>
      <c r="C47" s="43" t="s">
        <v>3101</v>
      </c>
      <c r="D47" s="37">
        <v>28</v>
      </c>
      <c r="E47" s="60">
        <v>58.21</v>
      </c>
      <c r="F47" s="37" t="s">
        <v>3102</v>
      </c>
      <c r="G47" s="37">
        <v>0</v>
      </c>
      <c r="H47" s="35">
        <v>0</v>
      </c>
      <c r="I47" s="62"/>
      <c r="J47" s="35" t="b">
        <v>0</v>
      </c>
      <c r="K47" t="str">
        <f>IFERROR(HYPERLINK("#Main!A"&amp;MATCH(A47,Main!A:A,0),"Open"),HYPERLINK("#Main!A1","Open"))</f>
        <v>Open</v>
      </c>
    </row>
    <row r="48" spans="1:12" ht="30" customHeight="1" x14ac:dyDescent="0.25">
      <c r="A48" s="33" t="s">
        <v>570</v>
      </c>
      <c r="B48" s="28">
        <v>21</v>
      </c>
      <c r="C48" s="31" t="s">
        <v>3103</v>
      </c>
      <c r="D48" s="28">
        <v>6</v>
      </c>
      <c r="E48" s="60">
        <v>71.430000000000007</v>
      </c>
      <c r="F48" s="28" t="s">
        <v>3082</v>
      </c>
      <c r="G48" s="28">
        <v>0</v>
      </c>
      <c r="H48" s="35">
        <v>0</v>
      </c>
      <c r="I48" s="61"/>
      <c r="J48" s="35" t="b">
        <v>0</v>
      </c>
      <c r="K48" s="34" t="str">
        <f>IFERROR(HYPERLINK("#Main!A"&amp;MATCH(A48,Main!A:A,0),"Open"),HYPERLINK("#Main!A1","Open"))</f>
        <v>Open</v>
      </c>
      <c r="L48" s="34"/>
    </row>
    <row r="49" spans="1:12" ht="30" customHeight="1" x14ac:dyDescent="0.25">
      <c r="A49" s="30" t="s">
        <v>577</v>
      </c>
      <c r="B49" s="37">
        <v>36</v>
      </c>
      <c r="C49" s="43" t="s">
        <v>3104</v>
      </c>
      <c r="D49" s="37">
        <v>21</v>
      </c>
      <c r="E49" s="60">
        <v>41.67</v>
      </c>
      <c r="F49" s="37" t="s">
        <v>3105</v>
      </c>
      <c r="G49" s="37">
        <v>0</v>
      </c>
      <c r="H49" s="35">
        <v>0</v>
      </c>
      <c r="I49" s="62"/>
      <c r="J49" s="35" t="b">
        <v>0</v>
      </c>
      <c r="K49" t="str">
        <f>IFERROR(HYPERLINK("#Main!A"&amp;MATCH(A49,Main!A:A,0),"Open"),HYPERLINK("#Main!A1","Open"))</f>
        <v>Open</v>
      </c>
    </row>
    <row r="50" spans="1:12" ht="30" customHeight="1" x14ac:dyDescent="0.25">
      <c r="A50" s="33" t="s">
        <v>579</v>
      </c>
      <c r="B50" s="28">
        <v>39</v>
      </c>
      <c r="C50" s="31" t="s">
        <v>3106</v>
      </c>
      <c r="D50" s="28">
        <v>24</v>
      </c>
      <c r="E50" s="60">
        <v>38.46</v>
      </c>
      <c r="F50" s="28" t="s">
        <v>3107</v>
      </c>
      <c r="G50" s="28">
        <v>0</v>
      </c>
      <c r="H50" s="35">
        <v>0</v>
      </c>
      <c r="I50" s="61"/>
      <c r="J50" s="35" t="b">
        <v>0</v>
      </c>
      <c r="K50" s="34" t="str">
        <f>IFERROR(HYPERLINK("#Main!A"&amp;MATCH(A50,Main!A:A,0),"Open"),HYPERLINK("#Main!A1","Open"))</f>
        <v>Open</v>
      </c>
      <c r="L50" s="34"/>
    </row>
    <row r="51" spans="1:12" ht="30" customHeight="1" x14ac:dyDescent="0.25">
      <c r="A51" s="30" t="s">
        <v>573</v>
      </c>
      <c r="B51" s="37">
        <v>35</v>
      </c>
      <c r="C51" s="43" t="s">
        <v>3108</v>
      </c>
      <c r="D51" s="37">
        <v>20</v>
      </c>
      <c r="E51" s="60">
        <v>42.86</v>
      </c>
      <c r="F51" s="37" t="s">
        <v>3109</v>
      </c>
      <c r="G51" s="37">
        <v>0</v>
      </c>
      <c r="H51" s="35">
        <v>0</v>
      </c>
      <c r="I51" s="62"/>
      <c r="J51" s="35" t="b">
        <v>0</v>
      </c>
      <c r="K51" t="str">
        <f>IFERROR(HYPERLINK("#Main!A"&amp;MATCH(A51,Main!A:A,0),"Open"),HYPERLINK("#Main!A1","Open"))</f>
        <v>Open</v>
      </c>
    </row>
    <row r="52" spans="1:12" ht="30" customHeight="1" x14ac:dyDescent="0.25">
      <c r="A52" s="33" t="s">
        <v>582</v>
      </c>
      <c r="B52" s="28">
        <v>21</v>
      </c>
      <c r="C52" s="31" t="s">
        <v>3110</v>
      </c>
      <c r="D52" s="28">
        <v>6</v>
      </c>
      <c r="E52" s="60">
        <v>71.430000000000007</v>
      </c>
      <c r="F52" s="28" t="s">
        <v>3097</v>
      </c>
      <c r="G52" s="28">
        <v>0</v>
      </c>
      <c r="H52" s="35">
        <v>0</v>
      </c>
      <c r="I52" s="61"/>
      <c r="J52" s="35" t="b">
        <v>0</v>
      </c>
      <c r="K52" s="34" t="str">
        <f>IFERROR(HYPERLINK("#Main!A"&amp;MATCH(A52,Main!A:A,0),"Open"),HYPERLINK("#Main!A1","Open"))</f>
        <v>Open</v>
      </c>
      <c r="L52" s="34"/>
    </row>
    <row r="53" spans="1:12" ht="30" customHeight="1" x14ac:dyDescent="0.25">
      <c r="A53" s="30" t="s">
        <v>588</v>
      </c>
      <c r="B53" s="37">
        <v>37</v>
      </c>
      <c r="C53" s="43" t="s">
        <v>3111</v>
      </c>
      <c r="D53" s="37">
        <v>6</v>
      </c>
      <c r="E53" s="63">
        <v>83.78</v>
      </c>
      <c r="F53" s="37" t="s">
        <v>3112</v>
      </c>
      <c r="G53" s="37">
        <v>0</v>
      </c>
      <c r="H53" s="35">
        <v>0</v>
      </c>
      <c r="I53" s="62"/>
      <c r="J53" s="35" t="b">
        <v>0</v>
      </c>
      <c r="K53" t="str">
        <f>IFERROR(HYPERLINK("#Main!A"&amp;MATCH(A53,Main!A:A,0),"Open"),HYPERLINK("#Main!A1","Open"))</f>
        <v>Open</v>
      </c>
    </row>
    <row r="54" spans="1:12" ht="30" customHeight="1" x14ac:dyDescent="0.25">
      <c r="A54" s="33" t="s">
        <v>591</v>
      </c>
      <c r="B54" s="28">
        <v>37</v>
      </c>
      <c r="C54" s="31" t="s">
        <v>3113</v>
      </c>
      <c r="D54" s="28">
        <v>6</v>
      </c>
      <c r="E54" s="63">
        <v>83.78</v>
      </c>
      <c r="F54" s="28" t="s">
        <v>3112</v>
      </c>
      <c r="G54" s="28">
        <v>0</v>
      </c>
      <c r="H54" s="35">
        <v>0</v>
      </c>
      <c r="I54" s="61"/>
      <c r="J54" s="35" t="b">
        <v>0</v>
      </c>
      <c r="K54" s="34" t="str">
        <f>IFERROR(HYPERLINK("#Main!A"&amp;MATCH(A54,Main!A:A,0),"Open"),HYPERLINK("#Main!A1","Open"))</f>
        <v>Open</v>
      </c>
      <c r="L54" s="34"/>
    </row>
    <row r="55" spans="1:12" ht="30" customHeight="1" x14ac:dyDescent="0.25">
      <c r="A55" s="30" t="s">
        <v>594</v>
      </c>
      <c r="B55" s="37">
        <v>21</v>
      </c>
      <c r="C55" s="43" t="s">
        <v>3114</v>
      </c>
      <c r="D55" s="37">
        <v>5</v>
      </c>
      <c r="E55" s="60">
        <v>76.19</v>
      </c>
      <c r="F55" s="37" t="s">
        <v>3097</v>
      </c>
      <c r="G55" s="37">
        <v>0</v>
      </c>
      <c r="H55" s="35">
        <v>0</v>
      </c>
      <c r="I55" s="62"/>
      <c r="J55" s="35" t="b">
        <v>0</v>
      </c>
      <c r="K55" t="str">
        <f>IFERROR(HYPERLINK("#Main!A"&amp;MATCH(A55,Main!A:A,0),"Open"),HYPERLINK("#Main!A1","Open"))</f>
        <v>Open</v>
      </c>
    </row>
    <row r="56" spans="1:12" ht="30" customHeight="1" x14ac:dyDescent="0.25">
      <c r="A56" s="33" t="s">
        <v>585</v>
      </c>
      <c r="B56" s="28">
        <v>21</v>
      </c>
      <c r="C56" s="31" t="s">
        <v>3115</v>
      </c>
      <c r="D56" s="28">
        <v>5</v>
      </c>
      <c r="E56" s="60">
        <v>76.19</v>
      </c>
      <c r="F56" s="28" t="s">
        <v>3097</v>
      </c>
      <c r="G56" s="28">
        <v>0</v>
      </c>
      <c r="H56" s="35">
        <v>0</v>
      </c>
      <c r="I56" s="61"/>
      <c r="J56" s="35" t="b">
        <v>0</v>
      </c>
      <c r="K56" s="34" t="str">
        <f>IFERROR(HYPERLINK("#Main!A"&amp;MATCH(A56,Main!A:A,0),"Open"),HYPERLINK("#Main!A1","Open"))</f>
        <v>Open</v>
      </c>
      <c r="L56" s="34"/>
    </row>
    <row r="57" spans="1:12" ht="30" customHeight="1" x14ac:dyDescent="0.25">
      <c r="A57" s="30" t="s">
        <v>597</v>
      </c>
      <c r="B57" s="37">
        <v>22</v>
      </c>
      <c r="C57" s="43" t="s">
        <v>3116</v>
      </c>
      <c r="D57" s="37">
        <v>6</v>
      </c>
      <c r="E57" s="60">
        <v>72.73</v>
      </c>
      <c r="F57" s="37" t="s">
        <v>3117</v>
      </c>
      <c r="G57" s="37">
        <v>0</v>
      </c>
      <c r="H57" s="35">
        <v>0</v>
      </c>
      <c r="I57" s="62"/>
      <c r="J57" s="35" t="b">
        <v>0</v>
      </c>
      <c r="K57" t="str">
        <f>IFERROR(HYPERLINK("#Main!A"&amp;MATCH(A57,Main!A:A,0),"Open"),HYPERLINK("#Main!A1","Open"))</f>
        <v>Open</v>
      </c>
    </row>
    <row r="58" spans="1:12" ht="30" customHeight="1" x14ac:dyDescent="0.25">
      <c r="A58" s="33" t="s">
        <v>601</v>
      </c>
      <c r="B58" s="28">
        <v>46</v>
      </c>
      <c r="C58" s="31" t="s">
        <v>3118</v>
      </c>
      <c r="D58" s="28">
        <v>7</v>
      </c>
      <c r="E58" s="63">
        <v>84.78</v>
      </c>
      <c r="F58" s="28" t="s">
        <v>3119</v>
      </c>
      <c r="G58" s="28">
        <v>0</v>
      </c>
      <c r="H58" s="35">
        <v>0</v>
      </c>
      <c r="I58" s="61"/>
      <c r="J58" s="35" t="b">
        <v>0</v>
      </c>
      <c r="K58" s="34" t="str">
        <f>IFERROR(HYPERLINK("#Main!A"&amp;MATCH(A58,Main!A:A,0),"Open"),HYPERLINK("#Main!A1","Open"))</f>
        <v>Open</v>
      </c>
      <c r="L58" s="34"/>
    </row>
    <row r="59" spans="1:12" ht="30" customHeight="1" x14ac:dyDescent="0.25">
      <c r="A59" s="30" t="s">
        <v>604</v>
      </c>
      <c r="B59" s="37">
        <v>22</v>
      </c>
      <c r="C59" s="43" t="s">
        <v>3120</v>
      </c>
      <c r="D59" s="37">
        <v>7</v>
      </c>
      <c r="E59" s="60">
        <v>68.180000000000007</v>
      </c>
      <c r="F59" s="37" t="s">
        <v>3112</v>
      </c>
      <c r="G59" s="37">
        <v>0</v>
      </c>
      <c r="H59" s="35">
        <v>0</v>
      </c>
      <c r="I59" s="62"/>
      <c r="J59" s="35" t="b">
        <v>0</v>
      </c>
      <c r="K59" t="str">
        <f>IFERROR(HYPERLINK("#Main!A"&amp;MATCH(A59,Main!A:A,0),"Open"),HYPERLINK("#Main!A1","Open"))</f>
        <v>Open</v>
      </c>
    </row>
    <row r="60" spans="1:12" ht="30" customHeight="1" x14ac:dyDescent="0.25">
      <c r="A60" s="33" t="s">
        <v>608</v>
      </c>
      <c r="B60" s="28">
        <v>21</v>
      </c>
      <c r="C60" s="31" t="s">
        <v>3121</v>
      </c>
      <c r="D60" s="28">
        <v>6</v>
      </c>
      <c r="E60" s="60">
        <v>71.430000000000007</v>
      </c>
      <c r="F60" s="28" t="s">
        <v>3122</v>
      </c>
      <c r="G60" s="28">
        <v>0</v>
      </c>
      <c r="H60" s="35">
        <v>0</v>
      </c>
      <c r="I60" s="61"/>
      <c r="J60" s="35" t="b">
        <v>0</v>
      </c>
      <c r="K60" s="34" t="str">
        <f>IFERROR(HYPERLINK("#Main!A"&amp;MATCH(A60,Main!A:A,0),"Open"),HYPERLINK("#Main!A1","Open"))</f>
        <v>Open</v>
      </c>
      <c r="L60" s="34"/>
    </row>
    <row r="61" spans="1:12" ht="30" customHeight="1" x14ac:dyDescent="0.25">
      <c r="A61" s="30" t="s">
        <v>611</v>
      </c>
      <c r="B61" s="37">
        <v>21</v>
      </c>
      <c r="C61" s="43" t="s">
        <v>3123</v>
      </c>
      <c r="D61" s="37">
        <v>6</v>
      </c>
      <c r="E61" s="60">
        <v>71.430000000000007</v>
      </c>
      <c r="F61" s="37" t="s">
        <v>3097</v>
      </c>
      <c r="G61" s="37">
        <v>0</v>
      </c>
      <c r="H61" s="35">
        <v>0</v>
      </c>
      <c r="I61" s="62"/>
      <c r="J61" s="35" t="b">
        <v>0</v>
      </c>
      <c r="K61" t="str">
        <f>IFERROR(HYPERLINK("#Main!A"&amp;MATCH(A61,Main!A:A,0),"Open"),HYPERLINK("#Main!A1","Open"))</f>
        <v>Open</v>
      </c>
    </row>
    <row r="62" spans="1:12" ht="30" customHeight="1" x14ac:dyDescent="0.25">
      <c r="A62" s="33" t="s">
        <v>615</v>
      </c>
      <c r="B62" s="28">
        <v>21</v>
      </c>
      <c r="C62" s="31" t="s">
        <v>3124</v>
      </c>
      <c r="D62" s="28">
        <v>6</v>
      </c>
      <c r="E62" s="60">
        <v>71.430000000000007</v>
      </c>
      <c r="F62" s="28" t="s">
        <v>3097</v>
      </c>
      <c r="G62" s="28">
        <v>0</v>
      </c>
      <c r="H62" s="35">
        <v>0</v>
      </c>
      <c r="I62" s="61"/>
      <c r="J62" s="35" t="b">
        <v>0</v>
      </c>
      <c r="K62" s="34" t="str">
        <f>IFERROR(HYPERLINK("#Main!A"&amp;MATCH(A62,Main!A:A,0),"Open"),HYPERLINK("#Main!A1","Open"))</f>
        <v>Open</v>
      </c>
      <c r="L62" s="34"/>
    </row>
    <row r="63" spans="1:12" ht="30" customHeight="1" x14ac:dyDescent="0.25">
      <c r="A63" s="30" t="s">
        <v>618</v>
      </c>
      <c r="B63" s="37">
        <v>21</v>
      </c>
      <c r="C63" s="43" t="s">
        <v>3125</v>
      </c>
      <c r="D63" s="37">
        <v>5</v>
      </c>
      <c r="E63" s="60">
        <v>76.19</v>
      </c>
      <c r="F63" s="37" t="s">
        <v>3097</v>
      </c>
      <c r="G63" s="37">
        <v>0</v>
      </c>
      <c r="H63" s="35">
        <v>0</v>
      </c>
      <c r="I63" s="62"/>
      <c r="J63" s="35" t="b">
        <v>0</v>
      </c>
      <c r="K63" t="str">
        <f>IFERROR(HYPERLINK("#Main!A"&amp;MATCH(A63,Main!A:A,0),"Open"),HYPERLINK("#Main!A1","Open"))</f>
        <v>Open</v>
      </c>
    </row>
    <row r="64" spans="1:12" ht="30" customHeight="1" x14ac:dyDescent="0.25">
      <c r="A64" s="33" t="s">
        <v>621</v>
      </c>
      <c r="B64" s="28">
        <v>21</v>
      </c>
      <c r="C64" s="31" t="s">
        <v>3126</v>
      </c>
      <c r="D64" s="28">
        <v>6</v>
      </c>
      <c r="E64" s="60">
        <v>71.430000000000007</v>
      </c>
      <c r="F64" s="28" t="s">
        <v>3097</v>
      </c>
      <c r="G64" s="28">
        <v>0</v>
      </c>
      <c r="H64" s="35">
        <v>0</v>
      </c>
      <c r="I64" s="61"/>
      <c r="J64" s="35" t="b">
        <v>0</v>
      </c>
      <c r="K64" s="34" t="str">
        <f>IFERROR(HYPERLINK("#Main!A"&amp;MATCH(A64,Main!A:A,0),"Open"),HYPERLINK("#Main!A1","Open"))</f>
        <v>Open</v>
      </c>
      <c r="L64" s="34"/>
    </row>
    <row r="65" spans="1:12" ht="30" customHeight="1" x14ac:dyDescent="0.25">
      <c r="A65" s="30" t="s">
        <v>624</v>
      </c>
      <c r="B65" s="37">
        <v>25</v>
      </c>
      <c r="C65" s="43" t="s">
        <v>3127</v>
      </c>
      <c r="D65" s="37">
        <v>10</v>
      </c>
      <c r="E65" s="60">
        <v>60</v>
      </c>
      <c r="F65" s="37" t="s">
        <v>3128</v>
      </c>
      <c r="G65" s="37">
        <v>0</v>
      </c>
      <c r="H65" s="35">
        <v>0</v>
      </c>
      <c r="I65" s="62"/>
      <c r="J65" s="35" t="b">
        <v>0</v>
      </c>
      <c r="K65" t="str">
        <f>IFERROR(HYPERLINK("#Main!A"&amp;MATCH(A65,Main!A:A,0),"Open"),HYPERLINK("#Main!A1","Open"))</f>
        <v>Open</v>
      </c>
    </row>
    <row r="66" spans="1:12" ht="30" customHeight="1" x14ac:dyDescent="0.25">
      <c r="A66" s="33" t="s">
        <v>626</v>
      </c>
      <c r="B66" s="28">
        <v>47</v>
      </c>
      <c r="C66" s="31" t="s">
        <v>3129</v>
      </c>
      <c r="D66" s="28">
        <v>12</v>
      </c>
      <c r="E66" s="60">
        <v>74.47</v>
      </c>
      <c r="F66" s="28" t="s">
        <v>3130</v>
      </c>
      <c r="G66" s="28">
        <v>0</v>
      </c>
      <c r="H66" s="35">
        <v>0</v>
      </c>
      <c r="I66" s="61"/>
      <c r="J66" s="35" t="b">
        <v>0</v>
      </c>
      <c r="K66" s="34" t="str">
        <f>IFERROR(HYPERLINK("#Main!A"&amp;MATCH(A66,Main!A:A,0),"Open"),HYPERLINK("#Main!A1","Open"))</f>
        <v>Open</v>
      </c>
      <c r="L66" s="34"/>
    </row>
    <row r="67" spans="1:12" ht="30" customHeight="1" x14ac:dyDescent="0.25">
      <c r="A67" s="30" t="s">
        <v>629</v>
      </c>
      <c r="B67" s="37">
        <v>20</v>
      </c>
      <c r="C67" s="43" t="s">
        <v>3131</v>
      </c>
      <c r="D67" s="37">
        <v>5</v>
      </c>
      <c r="E67" s="60">
        <v>75</v>
      </c>
      <c r="F67" s="37" t="s">
        <v>3044</v>
      </c>
      <c r="G67" s="37">
        <v>0</v>
      </c>
      <c r="H67" s="35">
        <v>0</v>
      </c>
      <c r="I67" s="62"/>
      <c r="J67" s="35" t="b">
        <v>0</v>
      </c>
      <c r="K67" t="str">
        <f>IFERROR(HYPERLINK("#Main!A"&amp;MATCH(A67,Main!A:A,0),"Open"),HYPERLINK("#Main!A1","Open"))</f>
        <v>Open</v>
      </c>
    </row>
    <row r="68" spans="1:12" ht="30" customHeight="1" x14ac:dyDescent="0.25">
      <c r="A68" s="33" t="s">
        <v>632</v>
      </c>
      <c r="B68" s="28">
        <v>24</v>
      </c>
      <c r="C68" s="31" t="s">
        <v>3132</v>
      </c>
      <c r="D68" s="28">
        <v>9</v>
      </c>
      <c r="E68" s="60">
        <v>62.5</v>
      </c>
      <c r="F68" s="28" t="s">
        <v>3133</v>
      </c>
      <c r="G68" s="28">
        <v>0</v>
      </c>
      <c r="H68" s="35">
        <v>0</v>
      </c>
      <c r="I68" s="61"/>
      <c r="J68" s="35" t="b">
        <v>0</v>
      </c>
      <c r="K68" s="34" t="str">
        <f>IFERROR(HYPERLINK("#Main!A"&amp;MATCH(A68,Main!A:A,0),"Open"),HYPERLINK("#Main!A1","Open"))</f>
        <v>Open</v>
      </c>
      <c r="L68" s="34"/>
    </row>
    <row r="69" spans="1:12" ht="409.5" x14ac:dyDescent="0.25">
      <c r="A69" s="30" t="s">
        <v>635</v>
      </c>
      <c r="B69" s="37">
        <v>38</v>
      </c>
      <c r="C69" s="43" t="s">
        <v>3134</v>
      </c>
      <c r="D69" s="37">
        <v>21</v>
      </c>
      <c r="E69" s="60">
        <v>44.74</v>
      </c>
      <c r="F69" s="37" t="s">
        <v>3135</v>
      </c>
      <c r="G69" s="37">
        <v>0</v>
      </c>
      <c r="H69" s="35">
        <v>0</v>
      </c>
      <c r="I69" s="62"/>
      <c r="J69" s="35" t="b">
        <v>0</v>
      </c>
      <c r="K69" t="str">
        <f>IFERROR(HYPERLINK("#Main!A"&amp;MATCH(A69,Main!A:A,0),"Open"),HYPERLINK("#Main!A1","Open"))</f>
        <v>Open</v>
      </c>
    </row>
    <row r="70" spans="1:12" ht="30" customHeight="1" x14ac:dyDescent="0.25">
      <c r="A70" s="33" t="s">
        <v>638</v>
      </c>
      <c r="B70" s="28">
        <v>34</v>
      </c>
      <c r="C70" s="31" t="s">
        <v>3136</v>
      </c>
      <c r="D70" s="28">
        <v>5</v>
      </c>
      <c r="E70" s="63">
        <v>85.29</v>
      </c>
      <c r="F70" s="28" t="s">
        <v>3137</v>
      </c>
      <c r="G70" s="28">
        <v>0</v>
      </c>
      <c r="H70" s="35">
        <v>0</v>
      </c>
      <c r="I70" s="61"/>
      <c r="J70" s="35" t="b">
        <v>0</v>
      </c>
      <c r="K70" s="34" t="str">
        <f>IFERROR(HYPERLINK("#Main!A"&amp;MATCH(A70,Main!A:A,0),"Open"),HYPERLINK("#Main!A1","Open"))</f>
        <v>Open</v>
      </c>
      <c r="L70" s="34"/>
    </row>
    <row r="71" spans="1:12" ht="30" customHeight="1" x14ac:dyDescent="0.25">
      <c r="A71" s="30" t="s">
        <v>641</v>
      </c>
      <c r="B71" s="37">
        <v>20</v>
      </c>
      <c r="C71" s="43" t="s">
        <v>3138</v>
      </c>
      <c r="D71" s="37">
        <v>5</v>
      </c>
      <c r="E71" s="60">
        <v>75</v>
      </c>
      <c r="F71" s="37" t="s">
        <v>3044</v>
      </c>
      <c r="G71" s="37">
        <v>0</v>
      </c>
      <c r="H71" s="35">
        <v>0</v>
      </c>
      <c r="I71" s="62"/>
      <c r="J71" s="35" t="b">
        <v>0</v>
      </c>
      <c r="K71" t="str">
        <f>IFERROR(HYPERLINK("#Main!A"&amp;MATCH(A71,Main!A:A,0),"Open"),HYPERLINK("#Main!A1","Open"))</f>
        <v>Open</v>
      </c>
    </row>
    <row r="72" spans="1:12" ht="30" customHeight="1" x14ac:dyDescent="0.25">
      <c r="A72" s="33" t="s">
        <v>644</v>
      </c>
      <c r="B72" s="28">
        <v>39</v>
      </c>
      <c r="C72" s="31" t="s">
        <v>3139</v>
      </c>
      <c r="D72" s="28">
        <v>19</v>
      </c>
      <c r="E72" s="60">
        <v>51.28</v>
      </c>
      <c r="F72" s="28" t="s">
        <v>3140</v>
      </c>
      <c r="G72" s="28">
        <v>0</v>
      </c>
      <c r="H72" s="35">
        <v>0</v>
      </c>
      <c r="I72" s="61"/>
      <c r="J72" s="35" t="b">
        <v>0</v>
      </c>
      <c r="K72" s="34" t="str">
        <f>IFERROR(HYPERLINK("#Main!A"&amp;MATCH(A72,Main!A:A,0),"Open"),HYPERLINK("#Main!A1","Open"))</f>
        <v>Open</v>
      </c>
      <c r="L72" s="34"/>
    </row>
    <row r="73" spans="1:12" ht="30" customHeight="1" x14ac:dyDescent="0.25">
      <c r="A73" s="30" t="s">
        <v>647</v>
      </c>
      <c r="B73" s="37">
        <v>20</v>
      </c>
      <c r="C73" s="43" t="s">
        <v>3141</v>
      </c>
      <c r="D73" s="37">
        <v>5</v>
      </c>
      <c r="E73" s="60">
        <v>75</v>
      </c>
      <c r="F73" s="37" t="s">
        <v>3044</v>
      </c>
      <c r="G73" s="37">
        <v>0</v>
      </c>
      <c r="H73" s="35">
        <v>0</v>
      </c>
      <c r="I73" s="62"/>
      <c r="J73" s="35" t="b">
        <v>0</v>
      </c>
      <c r="K73" t="str">
        <f>IFERROR(HYPERLINK("#Main!A"&amp;MATCH(A73,Main!A:A,0),"Open"),HYPERLINK("#Main!A1","Open"))</f>
        <v>Open</v>
      </c>
    </row>
    <row r="74" spans="1:12" ht="30" customHeight="1" x14ac:dyDescent="0.25">
      <c r="A74" s="33" t="s">
        <v>652</v>
      </c>
      <c r="B74" s="28">
        <v>61</v>
      </c>
      <c r="C74" s="31" t="s">
        <v>3142</v>
      </c>
      <c r="D74" s="28">
        <v>46</v>
      </c>
      <c r="E74" s="60">
        <v>24.59</v>
      </c>
      <c r="F74" s="28" t="s">
        <v>3143</v>
      </c>
      <c r="G74" s="28">
        <v>0</v>
      </c>
      <c r="H74" s="35">
        <v>0</v>
      </c>
      <c r="I74" s="61"/>
      <c r="J74" s="35" t="b">
        <v>0</v>
      </c>
      <c r="K74" s="34" t="str">
        <f>IFERROR(HYPERLINK("#Main!A"&amp;MATCH(A74,Main!A:A,0),"Open"),HYPERLINK("#Main!A1","Open"))</f>
        <v>Open</v>
      </c>
      <c r="L74" s="34"/>
    </row>
    <row r="75" spans="1:12" ht="30" customHeight="1" x14ac:dyDescent="0.25">
      <c r="A75" s="30" t="s">
        <v>650</v>
      </c>
      <c r="B75" s="37">
        <v>33</v>
      </c>
      <c r="C75" s="43" t="s">
        <v>3144</v>
      </c>
      <c r="D75" s="37">
        <v>8</v>
      </c>
      <c r="E75" s="60">
        <v>75.760000000000005</v>
      </c>
      <c r="F75" s="37" t="s">
        <v>3145</v>
      </c>
      <c r="G75" s="37">
        <v>0</v>
      </c>
      <c r="H75" s="35">
        <v>0</v>
      </c>
      <c r="I75" s="62"/>
      <c r="J75" s="35" t="b">
        <v>0</v>
      </c>
      <c r="K75" t="str">
        <f>IFERROR(HYPERLINK("#Main!A"&amp;MATCH(A75,Main!A:A,0),"Open"),HYPERLINK("#Main!A1","Open"))</f>
        <v>Open</v>
      </c>
    </row>
    <row r="76" spans="1:12" ht="30" customHeight="1" x14ac:dyDescent="0.25">
      <c r="A76" s="33" t="s">
        <v>655</v>
      </c>
      <c r="B76" s="28">
        <v>21</v>
      </c>
      <c r="C76" s="31" t="s">
        <v>3146</v>
      </c>
      <c r="D76" s="28">
        <v>6</v>
      </c>
      <c r="E76" s="60">
        <v>71.430000000000007</v>
      </c>
      <c r="F76" s="28" t="s">
        <v>3097</v>
      </c>
      <c r="G76" s="28">
        <v>0</v>
      </c>
      <c r="H76" s="35">
        <v>0</v>
      </c>
      <c r="I76" s="61"/>
      <c r="J76" s="35" t="b">
        <v>0</v>
      </c>
      <c r="K76" s="34" t="str">
        <f>IFERROR(HYPERLINK("#Main!A"&amp;MATCH(A76,Main!A:A,0),"Open"),HYPERLINK("#Main!A1","Open"))</f>
        <v>Open</v>
      </c>
      <c r="L76" s="34"/>
    </row>
    <row r="77" spans="1:12" ht="30" customHeight="1" x14ac:dyDescent="0.25">
      <c r="A77" s="30" t="s">
        <v>658</v>
      </c>
      <c r="B77" s="37">
        <v>20</v>
      </c>
      <c r="C77" s="43" t="s">
        <v>3147</v>
      </c>
      <c r="D77" s="37">
        <v>5</v>
      </c>
      <c r="E77" s="60">
        <v>75</v>
      </c>
      <c r="F77" s="37" t="s">
        <v>3044</v>
      </c>
      <c r="G77" s="37">
        <v>0</v>
      </c>
      <c r="H77" s="35">
        <v>0</v>
      </c>
      <c r="I77" s="62"/>
      <c r="J77" s="35" t="b">
        <v>0</v>
      </c>
      <c r="K77" t="str">
        <f>IFERROR(HYPERLINK("#Main!A"&amp;MATCH(A77,Main!A:A,0),"Open"),HYPERLINK("#Main!A1","Open"))</f>
        <v>Open</v>
      </c>
    </row>
    <row r="78" spans="1:12" ht="30" customHeight="1" x14ac:dyDescent="0.25">
      <c r="A78" s="33" t="s">
        <v>661</v>
      </c>
      <c r="B78" s="28">
        <v>26</v>
      </c>
      <c r="C78" s="31" t="s">
        <v>3148</v>
      </c>
      <c r="D78" s="28">
        <v>5</v>
      </c>
      <c r="E78" s="63">
        <v>80.77</v>
      </c>
      <c r="F78" s="28" t="s">
        <v>3097</v>
      </c>
      <c r="G78" s="28">
        <v>0</v>
      </c>
      <c r="H78" s="35">
        <v>0</v>
      </c>
      <c r="I78" s="61"/>
      <c r="J78" s="35" t="b">
        <v>0</v>
      </c>
      <c r="K78" s="34" t="str">
        <f>IFERROR(HYPERLINK("#Main!A"&amp;MATCH(A78,Main!A:A,0),"Open"),HYPERLINK("#Main!A1","Open"))</f>
        <v>Open</v>
      </c>
      <c r="L78" s="34"/>
    </row>
    <row r="79" spans="1:12" ht="30" customHeight="1" x14ac:dyDescent="0.25">
      <c r="A79" s="30" t="s">
        <v>664</v>
      </c>
      <c r="B79" s="37">
        <v>24</v>
      </c>
      <c r="C79" s="43" t="s">
        <v>3149</v>
      </c>
      <c r="D79" s="37">
        <v>9</v>
      </c>
      <c r="E79" s="60">
        <v>62.5</v>
      </c>
      <c r="F79" s="37" t="s">
        <v>3150</v>
      </c>
      <c r="G79" s="37">
        <v>0</v>
      </c>
      <c r="H79" s="35">
        <v>0</v>
      </c>
      <c r="I79" s="62"/>
      <c r="J79" s="35" t="b">
        <v>0</v>
      </c>
      <c r="K79" t="str">
        <f>IFERROR(HYPERLINK("#Main!A"&amp;MATCH(A79,Main!A:A,0),"Open"),HYPERLINK("#Main!A1","Open"))</f>
        <v>Open</v>
      </c>
    </row>
    <row r="80" spans="1:12" ht="30" customHeight="1" x14ac:dyDescent="0.25">
      <c r="A80" s="33" t="s">
        <v>670</v>
      </c>
      <c r="B80" s="28">
        <v>37</v>
      </c>
      <c r="C80" s="31" t="s">
        <v>3151</v>
      </c>
      <c r="D80" s="28">
        <v>7</v>
      </c>
      <c r="E80" s="63">
        <v>81.08</v>
      </c>
      <c r="F80" s="28" t="s">
        <v>3112</v>
      </c>
      <c r="G80" s="28">
        <v>0</v>
      </c>
      <c r="H80" s="35">
        <v>0</v>
      </c>
      <c r="I80" s="61"/>
      <c r="J80" s="35" t="b">
        <v>0</v>
      </c>
      <c r="K80" s="34" t="str">
        <f>IFERROR(HYPERLINK("#Main!A"&amp;MATCH(A80,Main!A:A,0),"Open"),HYPERLINK("#Main!A1","Open"))</f>
        <v>Open</v>
      </c>
      <c r="L80" s="34"/>
    </row>
    <row r="81" spans="1:12" ht="30" customHeight="1" x14ac:dyDescent="0.25">
      <c r="A81" s="30" t="s">
        <v>667</v>
      </c>
      <c r="B81" s="37">
        <v>37</v>
      </c>
      <c r="C81" s="43" t="s">
        <v>3152</v>
      </c>
      <c r="D81" s="37">
        <v>7</v>
      </c>
      <c r="E81" s="63">
        <v>81.08</v>
      </c>
      <c r="F81" s="37" t="s">
        <v>3112</v>
      </c>
      <c r="G81" s="37">
        <v>0</v>
      </c>
      <c r="H81" s="35">
        <v>0</v>
      </c>
      <c r="I81" s="62"/>
      <c r="J81" s="35" t="b">
        <v>0</v>
      </c>
      <c r="K81" t="str">
        <f>IFERROR(HYPERLINK("#Main!A"&amp;MATCH(A81,Main!A:A,0),"Open"),HYPERLINK("#Main!A1","Open"))</f>
        <v>Open</v>
      </c>
    </row>
    <row r="82" spans="1:12" ht="30" customHeight="1" x14ac:dyDescent="0.25">
      <c r="A82" s="33" t="s">
        <v>673</v>
      </c>
      <c r="B82" s="28">
        <v>24</v>
      </c>
      <c r="C82" s="31" t="s">
        <v>3153</v>
      </c>
      <c r="D82" s="28">
        <v>9</v>
      </c>
      <c r="E82" s="60">
        <v>62.5</v>
      </c>
      <c r="F82" s="28" t="s">
        <v>3150</v>
      </c>
      <c r="G82" s="28">
        <v>0</v>
      </c>
      <c r="H82" s="35">
        <v>0</v>
      </c>
      <c r="I82" s="61"/>
      <c r="J82" s="35" t="b">
        <v>0</v>
      </c>
      <c r="K82" s="34" t="str">
        <f>IFERROR(HYPERLINK("#Main!A"&amp;MATCH(A82,Main!A:A,0),"Open"),HYPERLINK("#Main!A1","Open"))</f>
        <v>Open</v>
      </c>
      <c r="L82" s="34"/>
    </row>
    <row r="83" spans="1:12" ht="30" customHeight="1" x14ac:dyDescent="0.25">
      <c r="A83" s="30" t="s">
        <v>677</v>
      </c>
      <c r="B83" s="37">
        <v>37</v>
      </c>
      <c r="C83" s="43" t="s">
        <v>3154</v>
      </c>
      <c r="D83" s="37">
        <v>7</v>
      </c>
      <c r="E83" s="63">
        <v>81.08</v>
      </c>
      <c r="F83" s="37" t="s">
        <v>3112</v>
      </c>
      <c r="G83" s="37">
        <v>0</v>
      </c>
      <c r="H83" s="35">
        <v>0</v>
      </c>
      <c r="I83" s="62"/>
      <c r="J83" s="35" t="b">
        <v>0</v>
      </c>
      <c r="K83" t="str">
        <f>IFERROR(HYPERLINK("#Main!A"&amp;MATCH(A83,Main!A:A,0),"Open"),HYPERLINK("#Main!A1","Open"))</f>
        <v>Open</v>
      </c>
    </row>
    <row r="84" spans="1:12" ht="30" customHeight="1" x14ac:dyDescent="0.25">
      <c r="A84" s="33" t="s">
        <v>680</v>
      </c>
      <c r="B84" s="28">
        <v>21</v>
      </c>
      <c r="C84" s="31" t="s">
        <v>3155</v>
      </c>
      <c r="D84" s="28">
        <v>6</v>
      </c>
      <c r="E84" s="60">
        <v>71.430000000000007</v>
      </c>
      <c r="F84" s="28" t="s">
        <v>3097</v>
      </c>
      <c r="G84" s="28">
        <v>0</v>
      </c>
      <c r="H84" s="35">
        <v>0</v>
      </c>
      <c r="I84" s="61"/>
      <c r="J84" s="35" t="b">
        <v>0</v>
      </c>
      <c r="K84" s="34" t="str">
        <f>IFERROR(HYPERLINK("#Main!A"&amp;MATCH(A84,Main!A:A,0),"Open"),HYPERLINK("#Main!A1","Open"))</f>
        <v>Open</v>
      </c>
      <c r="L84" s="34"/>
    </row>
    <row r="85" spans="1:12" ht="30" customHeight="1" x14ac:dyDescent="0.25">
      <c r="A85" s="30" t="s">
        <v>683</v>
      </c>
      <c r="B85" s="37">
        <v>20</v>
      </c>
      <c r="C85" s="43" t="s">
        <v>3156</v>
      </c>
      <c r="D85" s="37">
        <v>5</v>
      </c>
      <c r="E85" s="60">
        <v>75</v>
      </c>
      <c r="F85" s="37" t="s">
        <v>3044</v>
      </c>
      <c r="G85" s="37">
        <v>0</v>
      </c>
      <c r="H85" s="35">
        <v>0</v>
      </c>
      <c r="I85" s="62"/>
      <c r="J85" s="35" t="b">
        <v>0</v>
      </c>
      <c r="K85" t="str">
        <f>IFERROR(HYPERLINK("#Main!A"&amp;MATCH(A85,Main!A:A,0),"Open"),HYPERLINK("#Main!A1","Open"))</f>
        <v>Open</v>
      </c>
    </row>
    <row r="86" spans="1:12" ht="30" customHeight="1" x14ac:dyDescent="0.25">
      <c r="A86" s="33" t="s">
        <v>686</v>
      </c>
      <c r="B86" s="28">
        <v>20</v>
      </c>
      <c r="C86" s="31" t="s">
        <v>3157</v>
      </c>
      <c r="D86" s="28">
        <v>5</v>
      </c>
      <c r="E86" s="60">
        <v>75</v>
      </c>
      <c r="F86" s="28" t="s">
        <v>3044</v>
      </c>
      <c r="G86" s="28">
        <v>0</v>
      </c>
      <c r="H86" s="35">
        <v>0</v>
      </c>
      <c r="I86" s="61"/>
      <c r="J86" s="35" t="b">
        <v>0</v>
      </c>
      <c r="K86" s="34" t="str">
        <f>IFERROR(HYPERLINK("#Main!A"&amp;MATCH(A86,Main!A:A,0),"Open"),HYPERLINK("#Main!A1","Open"))</f>
        <v>Open</v>
      </c>
      <c r="L86" s="34"/>
    </row>
  </sheetData>
  <autoFilter ref="A1:L86" xr:uid="{00000000-0009-0000-0000-000012000000}"/>
  <dataValidations count="12">
    <dataValidation type="custom" allowBlank="1" showInputMessage="1" promptTitle="URL" prompt="URL. Use this URL to inspect the page directly or jump to related tabs." sqref="A1" xr:uid="{00000000-0002-0000-1200-000000000000}">
      <formula1>TRUE</formula1>
    </dataValidation>
    <dataValidation type="custom" allowBlank="1" showInputMessage="1" promptTitle="Image Count" prompt="Image Count. Review this metric to identify risk, then use linked tabs for details and remediation." sqref="B1" xr:uid="{00000000-0002-0000-1200-000001000000}">
      <formula1>TRUE</formula1>
    </dataValidation>
    <dataValidation type="custom" allowBlank="1" showInputMessage="1" promptTitle="Images" prompt="Images. Review this metric to identify risk, then use linked tabs for details and remediation." sqref="C1" xr:uid="{00000000-0002-0000-1200-000002000000}">
      <formula1>TRUE</formula1>
    </dataValidation>
    <dataValidation type="custom" allowBlank="1" showInputMessage="1" promptTitle="Images Missing Alt" prompt="Images Missing Alt. Review this metric to identify risk, then use linked tabs for details and remediation." sqref="D1" xr:uid="{00000000-0002-0000-1200-000003000000}">
      <formula1>TRUE</formula1>
    </dataValidation>
    <dataValidation type="custom" allowBlank="1" showInputMessage="1" promptTitle="Image Alt Coverage (%)" prompt="Image Alt Coverage (%). Review this metric to identify risk, then use linked tabs for details and remediation." sqref="E1" xr:uid="{00000000-0002-0000-1200-000004000000}">
      <formula1>TRUE</formula1>
    </dataValidation>
    <dataValidation type="custom" allowBlank="1" showInputMessage="1" promptTitle="Image Extension Distribution" prompt="Image Extension Distribution. Review this metric to identify risk, then use linked tabs for details and remediation." sqref="F1" xr:uid="{00000000-0002-0000-1200-000005000000}">
      <formula1>TRUE</formula1>
    </dataValidation>
    <dataValidation type="custom" allowBlank="1" showInputMessage="1" promptTitle="Likely Large Image Count" prompt="Likely Large Image Count. Review this metric to identify risk, then use linked tabs for details and remediation." sqref="G1" xr:uid="{00000000-0002-0000-1200-000006000000}">
      <formula1>TRUE</formula1>
    </dataValidation>
    <dataValidation type="custom" allowBlank="1" showInputMessage="1" promptTitle="Image Filename Quality Issues" prompt="Image Filename Quality Issues. Review this metric to identify risk, then use linked tabs for details and remediation." sqref="H1" xr:uid="{00000000-0002-0000-1200-000007000000}">
      <formula1>TRUE</formula1>
    </dataValidation>
    <dataValidation type="custom" allowBlank="1" showInputMessage="1" promptTitle="Image On Canonical Domain (%)" prompt="Indexing/canonicalization signal. Fix: ensure indexable pages use correct canonicals and non-conflicting directives." sqref="I1" xr:uid="{00000000-0002-0000-1200-000008000000}">
      <formula1>TRUE</formula1>
    </dataValidation>
    <dataValidation type="custom" allowBlank="1" showInputMessage="1" promptTitle="Mixed Content Detected" prompt="Mixed Content Detected. Review this metric to identify risk, then use linked tabs for details and remediation." sqref="J1" xr:uid="{00000000-0002-0000-1200-000009000000}">
      <formula1>TRUE</formula1>
    </dataValidation>
    <dataValidation type="custom" allowBlank="1" showInputMessage="1" promptTitle="Open in Main" prompt="Navigation helper. Click to jump directly to the related record in another tab." sqref="K1" xr:uid="{00000000-0002-0000-1200-00000A000000}">
      <formula1>TRUE</formula1>
    </dataValidation>
    <dataValidation type="custom" allowBlank="1" showInputMessage="1" promptTitle="BACK TO DASHBOARD" prompt="BACK TO DASHBOARD. Review this metric to identify risk, then use linked tabs for details and remediation." sqref="L1" xr:uid="{00000000-0002-0000-1200-00000B000000}">
      <formula1>TRUE</formula1>
    </dataValidation>
  </dataValidations>
  <hyperlinks>
    <hyperlink ref="L1" location="Dashboard!A1" display="BACK TO DASHBOARD" xr:uid="{00000000-0004-0000-1200-000000000000}"/>
    <hyperlink ref="A2" r:id="rId1" xr:uid="{00000000-0004-0000-1200-000001000000}"/>
    <hyperlink ref="A3" r:id="rId2" xr:uid="{00000000-0004-0000-1200-000002000000}"/>
    <hyperlink ref="A4" r:id="rId3" xr:uid="{00000000-0004-0000-1200-000003000000}"/>
    <hyperlink ref="A5" r:id="rId4" xr:uid="{00000000-0004-0000-1200-000004000000}"/>
    <hyperlink ref="A6" r:id="rId5" xr:uid="{00000000-0004-0000-1200-000005000000}"/>
    <hyperlink ref="A7" r:id="rId6" xr:uid="{00000000-0004-0000-1200-000006000000}"/>
    <hyperlink ref="A8" r:id="rId7" xr:uid="{00000000-0004-0000-1200-000007000000}"/>
    <hyperlink ref="A9" r:id="rId8" xr:uid="{00000000-0004-0000-1200-000008000000}"/>
    <hyperlink ref="A10" r:id="rId9" xr:uid="{00000000-0004-0000-1200-000009000000}"/>
    <hyperlink ref="A11" r:id="rId10" xr:uid="{00000000-0004-0000-1200-00000A000000}"/>
    <hyperlink ref="A12" r:id="rId11" xr:uid="{00000000-0004-0000-1200-00000B000000}"/>
    <hyperlink ref="A13" r:id="rId12" xr:uid="{00000000-0004-0000-1200-00000C000000}"/>
    <hyperlink ref="A14" r:id="rId13" xr:uid="{00000000-0004-0000-1200-00000D000000}"/>
    <hyperlink ref="A15" r:id="rId14" xr:uid="{00000000-0004-0000-1200-00000E000000}"/>
    <hyperlink ref="A16" r:id="rId15" xr:uid="{00000000-0004-0000-1200-00000F000000}"/>
    <hyperlink ref="A17" r:id="rId16" xr:uid="{00000000-0004-0000-1200-000010000000}"/>
    <hyperlink ref="A18" r:id="rId17" xr:uid="{00000000-0004-0000-1200-000011000000}"/>
    <hyperlink ref="A19" r:id="rId18" xr:uid="{00000000-0004-0000-1200-000012000000}"/>
    <hyperlink ref="A20" r:id="rId19" xr:uid="{00000000-0004-0000-1200-000013000000}"/>
    <hyperlink ref="A21" r:id="rId20" xr:uid="{00000000-0004-0000-1200-000014000000}"/>
    <hyperlink ref="A22" r:id="rId21" xr:uid="{00000000-0004-0000-1200-000015000000}"/>
    <hyperlink ref="A23" r:id="rId22" xr:uid="{00000000-0004-0000-1200-000016000000}"/>
    <hyperlink ref="A24" r:id="rId23" xr:uid="{00000000-0004-0000-1200-000017000000}"/>
    <hyperlink ref="A25" r:id="rId24" xr:uid="{00000000-0004-0000-1200-000018000000}"/>
    <hyperlink ref="A26" r:id="rId25" xr:uid="{00000000-0004-0000-1200-000019000000}"/>
    <hyperlink ref="A27" r:id="rId26" xr:uid="{00000000-0004-0000-1200-00001A000000}"/>
    <hyperlink ref="A28" r:id="rId27" xr:uid="{00000000-0004-0000-1200-00001B000000}"/>
    <hyperlink ref="A29" r:id="rId28" xr:uid="{00000000-0004-0000-1200-00001C000000}"/>
    <hyperlink ref="A30" r:id="rId29" xr:uid="{00000000-0004-0000-1200-00001D000000}"/>
    <hyperlink ref="A31" r:id="rId30" xr:uid="{00000000-0004-0000-1200-00001E000000}"/>
    <hyperlink ref="A32" r:id="rId31" xr:uid="{00000000-0004-0000-1200-00001F000000}"/>
    <hyperlink ref="A33" r:id="rId32" xr:uid="{00000000-0004-0000-1200-000020000000}"/>
    <hyperlink ref="A34" r:id="rId33" xr:uid="{00000000-0004-0000-1200-000021000000}"/>
    <hyperlink ref="A35" r:id="rId34" xr:uid="{00000000-0004-0000-1200-000022000000}"/>
    <hyperlink ref="A36" r:id="rId35" xr:uid="{00000000-0004-0000-1200-000023000000}"/>
    <hyperlink ref="A37" r:id="rId36" xr:uid="{00000000-0004-0000-1200-000024000000}"/>
    <hyperlink ref="A38" r:id="rId37" xr:uid="{00000000-0004-0000-1200-000025000000}"/>
    <hyperlink ref="A39" r:id="rId38" xr:uid="{00000000-0004-0000-1200-000026000000}"/>
    <hyperlink ref="A40" r:id="rId39" xr:uid="{00000000-0004-0000-1200-000027000000}"/>
    <hyperlink ref="A41" r:id="rId40" xr:uid="{00000000-0004-0000-1200-000028000000}"/>
    <hyperlink ref="A42" r:id="rId41" xr:uid="{00000000-0004-0000-1200-000029000000}"/>
    <hyperlink ref="A43" r:id="rId42" xr:uid="{00000000-0004-0000-1200-00002A000000}"/>
    <hyperlink ref="A44" r:id="rId43" xr:uid="{00000000-0004-0000-1200-00002B000000}"/>
    <hyperlink ref="A45" r:id="rId44" xr:uid="{00000000-0004-0000-1200-00002C000000}"/>
    <hyperlink ref="A46" r:id="rId45" xr:uid="{00000000-0004-0000-1200-00002D000000}"/>
    <hyperlink ref="A47" r:id="rId46" xr:uid="{00000000-0004-0000-1200-00002E000000}"/>
    <hyperlink ref="A48" r:id="rId47" xr:uid="{00000000-0004-0000-1200-00002F000000}"/>
    <hyperlink ref="A49" r:id="rId48" xr:uid="{00000000-0004-0000-1200-000030000000}"/>
    <hyperlink ref="A50" r:id="rId49" xr:uid="{00000000-0004-0000-1200-000031000000}"/>
    <hyperlink ref="A51" r:id="rId50" xr:uid="{00000000-0004-0000-1200-000032000000}"/>
    <hyperlink ref="A52" r:id="rId51" xr:uid="{00000000-0004-0000-1200-000033000000}"/>
    <hyperlink ref="A53" r:id="rId52" xr:uid="{00000000-0004-0000-1200-000034000000}"/>
    <hyperlink ref="A54" r:id="rId53" xr:uid="{00000000-0004-0000-1200-000035000000}"/>
    <hyperlink ref="A55" r:id="rId54" xr:uid="{00000000-0004-0000-1200-000036000000}"/>
    <hyperlink ref="A56" r:id="rId55" xr:uid="{00000000-0004-0000-1200-000037000000}"/>
    <hyperlink ref="A57" r:id="rId56" xr:uid="{00000000-0004-0000-1200-000038000000}"/>
    <hyperlink ref="A58" r:id="rId57" xr:uid="{00000000-0004-0000-1200-000039000000}"/>
    <hyperlink ref="A59" r:id="rId58" xr:uid="{00000000-0004-0000-1200-00003A000000}"/>
    <hyperlink ref="A60" r:id="rId59" xr:uid="{00000000-0004-0000-1200-00003B000000}"/>
    <hyperlink ref="A61" r:id="rId60" xr:uid="{00000000-0004-0000-1200-00003C000000}"/>
    <hyperlink ref="A62" r:id="rId61" xr:uid="{00000000-0004-0000-1200-00003D000000}"/>
    <hyperlink ref="A63" r:id="rId62" xr:uid="{00000000-0004-0000-1200-00003E000000}"/>
    <hyperlink ref="A64" r:id="rId63" xr:uid="{00000000-0004-0000-1200-00003F000000}"/>
    <hyperlink ref="A65" r:id="rId64" xr:uid="{00000000-0004-0000-1200-000040000000}"/>
    <hyperlink ref="A66" r:id="rId65" xr:uid="{00000000-0004-0000-1200-000041000000}"/>
    <hyperlink ref="A67" r:id="rId66" xr:uid="{00000000-0004-0000-1200-000042000000}"/>
    <hyperlink ref="A68" r:id="rId67" xr:uid="{00000000-0004-0000-1200-000043000000}"/>
    <hyperlink ref="A69" r:id="rId68" xr:uid="{00000000-0004-0000-1200-000044000000}"/>
    <hyperlink ref="A70" r:id="rId69" xr:uid="{00000000-0004-0000-1200-000045000000}"/>
    <hyperlink ref="A71" r:id="rId70" xr:uid="{00000000-0004-0000-1200-000046000000}"/>
    <hyperlink ref="A72" r:id="rId71" xr:uid="{00000000-0004-0000-1200-000047000000}"/>
    <hyperlink ref="A73" r:id="rId72" xr:uid="{00000000-0004-0000-1200-000048000000}"/>
    <hyperlink ref="A74" r:id="rId73" xr:uid="{00000000-0004-0000-1200-000049000000}"/>
    <hyperlink ref="A75" r:id="rId74" xr:uid="{00000000-0004-0000-1200-00004A000000}"/>
    <hyperlink ref="A76" r:id="rId75" xr:uid="{00000000-0004-0000-1200-00004B000000}"/>
    <hyperlink ref="A77" r:id="rId76" xr:uid="{00000000-0004-0000-1200-00004C000000}"/>
    <hyperlink ref="A78" r:id="rId77" xr:uid="{00000000-0004-0000-1200-00004D000000}"/>
    <hyperlink ref="A79" r:id="rId78" xr:uid="{00000000-0004-0000-1200-00004E000000}"/>
    <hyperlink ref="A80" r:id="rId79" xr:uid="{00000000-0004-0000-1200-00004F000000}"/>
    <hyperlink ref="A81" r:id="rId80" xr:uid="{00000000-0004-0000-1200-000050000000}"/>
    <hyperlink ref="A82" r:id="rId81" xr:uid="{00000000-0004-0000-1200-000051000000}"/>
    <hyperlink ref="A83" r:id="rId82" xr:uid="{00000000-0004-0000-1200-000052000000}"/>
    <hyperlink ref="A84" r:id="rId83" xr:uid="{00000000-0004-0000-1200-000053000000}"/>
    <hyperlink ref="A85" r:id="rId84" xr:uid="{00000000-0004-0000-1200-000054000000}"/>
    <hyperlink ref="A86" r:id="rId85" xr:uid="{00000000-0004-0000-1200-000055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34" customWidth="1"/>
    <col min="4" max="5" width="60" customWidth="1"/>
  </cols>
  <sheetData>
    <row r="1" spans="1:7" ht="45" x14ac:dyDescent="0.25">
      <c r="A1" s="27" t="s">
        <v>102</v>
      </c>
      <c r="B1" s="27" t="s">
        <v>3158</v>
      </c>
      <c r="C1" s="27" t="s">
        <v>3159</v>
      </c>
      <c r="D1" s="27" t="s">
        <v>3160</v>
      </c>
      <c r="E1" s="27" t="s">
        <v>3161</v>
      </c>
      <c r="F1" s="27" t="s">
        <v>122</v>
      </c>
      <c r="G1" s="36" t="s">
        <v>251</v>
      </c>
    </row>
    <row r="2" spans="1:7" ht="15.75" x14ac:dyDescent="0.25">
      <c r="A2" s="33" t="s">
        <v>127</v>
      </c>
      <c r="B2" s="28">
        <v>1</v>
      </c>
      <c r="C2" s="28">
        <v>1</v>
      </c>
      <c r="D2" s="31"/>
      <c r="E2" s="31"/>
      <c r="F2" s="34" t="str">
        <f>IFERROR(HYPERLINK("#Main!A"&amp;MATCH(A2,Main!A:A,0),"Open"),HYPERLINK("#Main!A1","Open"))</f>
        <v>Open</v>
      </c>
      <c r="G2" s="34"/>
    </row>
    <row r="3" spans="1:7" ht="30" customHeight="1" x14ac:dyDescent="0.25">
      <c r="A3" s="30" t="s">
        <v>135</v>
      </c>
      <c r="B3" s="37">
        <v>1</v>
      </c>
      <c r="C3" s="37">
        <v>1</v>
      </c>
      <c r="D3" s="43"/>
      <c r="E3" s="43"/>
      <c r="F3" t="str">
        <f>IFERROR(HYPERLINK("#Main!A"&amp;MATCH(A3,Main!A:A,0),"Open"),HYPERLINK("#Main!A1","Open"))</f>
        <v>Open</v>
      </c>
    </row>
    <row r="4" spans="1:7" ht="30" customHeight="1" x14ac:dyDescent="0.25">
      <c r="A4" s="33" t="s">
        <v>144</v>
      </c>
      <c r="B4" s="28">
        <v>1</v>
      </c>
      <c r="C4" s="28">
        <v>1</v>
      </c>
      <c r="D4" s="31"/>
      <c r="E4" s="31"/>
      <c r="F4" s="34" t="str">
        <f>IFERROR(HYPERLINK("#Main!A"&amp;MATCH(A4,Main!A:A,0),"Open"),HYPERLINK("#Main!A1","Open"))</f>
        <v>Open</v>
      </c>
      <c r="G4" s="34"/>
    </row>
    <row r="5" spans="1:7" ht="30" customHeight="1" x14ac:dyDescent="0.25">
      <c r="A5" s="30" t="s">
        <v>152</v>
      </c>
      <c r="B5" s="37">
        <v>1</v>
      </c>
      <c r="C5" s="37">
        <v>1</v>
      </c>
      <c r="D5" s="43"/>
      <c r="E5" s="43"/>
      <c r="F5" t="str">
        <f>IFERROR(HYPERLINK("#Main!A"&amp;MATCH(A5,Main!A:A,0),"Open"),HYPERLINK("#Main!A1","Open"))</f>
        <v>Open</v>
      </c>
    </row>
    <row r="6" spans="1:7" ht="30" customHeight="1" x14ac:dyDescent="0.25">
      <c r="A6" s="33" t="s">
        <v>169</v>
      </c>
      <c r="B6" s="28">
        <v>1</v>
      </c>
      <c r="C6" s="28">
        <v>1</v>
      </c>
      <c r="D6" s="31"/>
      <c r="E6" s="31"/>
      <c r="F6" s="34" t="str">
        <f>IFERROR(HYPERLINK("#Main!A"&amp;MATCH(A6,Main!A:A,0),"Open"),HYPERLINK("#Main!A1","Open"))</f>
        <v>Open</v>
      </c>
      <c r="G6" s="34"/>
    </row>
    <row r="7" spans="1:7" ht="30" customHeight="1" x14ac:dyDescent="0.25">
      <c r="A7" s="30" t="s">
        <v>177</v>
      </c>
      <c r="B7" s="37">
        <v>1</v>
      </c>
      <c r="C7" s="37">
        <v>1</v>
      </c>
      <c r="D7" s="43"/>
      <c r="E7" s="43"/>
      <c r="F7" t="str">
        <f>IFERROR(HYPERLINK("#Main!A"&amp;MATCH(A7,Main!A:A,0),"Open"),HYPERLINK("#Main!A1","Open"))</f>
        <v>Open</v>
      </c>
    </row>
    <row r="8" spans="1:7" ht="30" customHeight="1" x14ac:dyDescent="0.25">
      <c r="A8" s="33" t="s">
        <v>161</v>
      </c>
      <c r="B8" s="28">
        <v>1</v>
      </c>
      <c r="C8" s="28">
        <v>1</v>
      </c>
      <c r="D8" s="31"/>
      <c r="E8" s="31"/>
      <c r="F8" s="34" t="str">
        <f>IFERROR(HYPERLINK("#Main!A"&amp;MATCH(A8,Main!A:A,0),"Open"),HYPERLINK("#Main!A1","Open"))</f>
        <v>Open</v>
      </c>
      <c r="G8" s="34"/>
    </row>
    <row r="9" spans="1:7" ht="30" customHeight="1" x14ac:dyDescent="0.25">
      <c r="A9" s="30" t="s">
        <v>185</v>
      </c>
      <c r="B9" s="37">
        <v>1</v>
      </c>
      <c r="C9" s="37">
        <v>1</v>
      </c>
      <c r="D9" s="43"/>
      <c r="E9" s="43"/>
      <c r="F9" t="str">
        <f>IFERROR(HYPERLINK("#Main!A"&amp;MATCH(A9,Main!A:A,0),"Open"),HYPERLINK("#Main!A1","Open"))</f>
        <v>Open</v>
      </c>
    </row>
    <row r="10" spans="1:7" ht="30" customHeight="1" x14ac:dyDescent="0.25">
      <c r="A10" s="33" t="s">
        <v>201</v>
      </c>
      <c r="B10" s="28">
        <v>1</v>
      </c>
      <c r="C10" s="28">
        <v>0</v>
      </c>
      <c r="D10" s="31"/>
      <c r="E10" s="31"/>
      <c r="F10" s="34" t="str">
        <f>IFERROR(HYPERLINK("#Main!A"&amp;MATCH(A10,Main!A:A,0),"Open"),HYPERLINK("#Main!A1","Open"))</f>
        <v>Open</v>
      </c>
      <c r="G10" s="34"/>
    </row>
    <row r="11" spans="1:7" ht="30" customHeight="1" x14ac:dyDescent="0.25">
      <c r="A11" s="30" t="s">
        <v>193</v>
      </c>
      <c r="B11" s="37">
        <v>1</v>
      </c>
      <c r="C11" s="37">
        <v>1</v>
      </c>
      <c r="D11" s="43"/>
      <c r="E11" s="43"/>
      <c r="F11" t="str">
        <f>IFERROR(HYPERLINK("#Main!A"&amp;MATCH(A11,Main!A:A,0),"Open"),HYPERLINK("#Main!A1","Open"))</f>
        <v>Open</v>
      </c>
    </row>
    <row r="12" spans="1:7" ht="30" customHeight="1" x14ac:dyDescent="0.25">
      <c r="A12" s="33" t="s">
        <v>216</v>
      </c>
      <c r="B12" s="28">
        <v>1</v>
      </c>
      <c r="C12" s="28">
        <v>1</v>
      </c>
      <c r="D12" s="31"/>
      <c r="E12" s="31"/>
      <c r="F12" s="34" t="str">
        <f>IFERROR(HYPERLINK("#Main!A"&amp;MATCH(A12,Main!A:A,0),"Open"),HYPERLINK("#Main!A1","Open"))</f>
        <v>Open</v>
      </c>
      <c r="G12" s="34"/>
    </row>
    <row r="13" spans="1:7" ht="30" customHeight="1" x14ac:dyDescent="0.25">
      <c r="A13" s="30" t="s">
        <v>208</v>
      </c>
      <c r="B13" s="37">
        <v>1</v>
      </c>
      <c r="C13" s="37">
        <v>1</v>
      </c>
      <c r="D13" s="43"/>
      <c r="E13" s="43"/>
      <c r="F13" t="str">
        <f>IFERROR(HYPERLINK("#Main!A"&amp;MATCH(A13,Main!A:A,0),"Open"),HYPERLINK("#Main!A1","Open"))</f>
        <v>Open</v>
      </c>
    </row>
    <row r="14" spans="1:7" ht="30" customHeight="1" x14ac:dyDescent="0.25">
      <c r="A14" s="33" t="s">
        <v>224</v>
      </c>
      <c r="B14" s="28">
        <v>1</v>
      </c>
      <c r="C14" s="28">
        <v>1</v>
      </c>
      <c r="D14" s="31"/>
      <c r="E14" s="31"/>
      <c r="F14" s="34" t="str">
        <f>IFERROR(HYPERLINK("#Main!A"&amp;MATCH(A14,Main!A:A,0),"Open"),HYPERLINK("#Main!A1","Open"))</f>
        <v>Open</v>
      </c>
      <c r="G14" s="34"/>
    </row>
    <row r="15" spans="1:7" ht="30" customHeight="1" x14ac:dyDescent="0.25">
      <c r="A15" s="30" t="s">
        <v>233</v>
      </c>
      <c r="B15" s="37">
        <v>1</v>
      </c>
      <c r="C15" s="37">
        <v>1</v>
      </c>
      <c r="D15" s="43"/>
      <c r="E15" s="43"/>
      <c r="F15" t="str">
        <f>IFERROR(HYPERLINK("#Main!A"&amp;MATCH(A15,Main!A:A,0),"Open"),HYPERLINK("#Main!A1","Open"))</f>
        <v>Open</v>
      </c>
    </row>
    <row r="16" spans="1:7" ht="30" customHeight="1" x14ac:dyDescent="0.25">
      <c r="A16" s="33" t="s">
        <v>241</v>
      </c>
      <c r="B16" s="28">
        <v>1</v>
      </c>
      <c r="C16" s="28">
        <v>1</v>
      </c>
      <c r="D16" s="31"/>
      <c r="E16" s="31"/>
      <c r="F16" s="34" t="str">
        <f>IFERROR(HYPERLINK("#Main!A"&amp;MATCH(A16,Main!A:A,0),"Open"),HYPERLINK("#Main!A1","Open"))</f>
        <v>Open</v>
      </c>
      <c r="G16" s="34"/>
    </row>
    <row r="17" spans="1:7" ht="30" customHeight="1" x14ac:dyDescent="0.25">
      <c r="A17" s="30" t="s">
        <v>485</v>
      </c>
      <c r="B17" s="37">
        <v>1</v>
      </c>
      <c r="C17" s="37">
        <v>1</v>
      </c>
      <c r="D17" s="43"/>
      <c r="E17" s="43"/>
      <c r="F17" t="str">
        <f>IFERROR(HYPERLINK("#Main!A"&amp;MATCH(A17,Main!A:A,0),"Open"),HYPERLINK("#Main!A1","Open"))</f>
        <v>Open</v>
      </c>
    </row>
    <row r="18" spans="1:7" ht="30" customHeight="1" x14ac:dyDescent="0.25">
      <c r="A18" s="33" t="s">
        <v>491</v>
      </c>
      <c r="B18" s="28">
        <v>1</v>
      </c>
      <c r="C18" s="28">
        <v>1</v>
      </c>
      <c r="D18" s="31"/>
      <c r="E18" s="31"/>
      <c r="F18" s="34" t="str">
        <f>IFERROR(HYPERLINK("#Main!A"&amp;MATCH(A18,Main!A:A,0),"Open"),HYPERLINK("#Main!A1","Open"))</f>
        <v>Open</v>
      </c>
      <c r="G18" s="34"/>
    </row>
    <row r="19" spans="1:7" ht="30" customHeight="1" x14ac:dyDescent="0.25">
      <c r="A19" s="30" t="s">
        <v>488</v>
      </c>
      <c r="B19" s="37">
        <v>2</v>
      </c>
      <c r="C19" s="37">
        <v>1</v>
      </c>
      <c r="D19" s="43" t="s">
        <v>3162</v>
      </c>
      <c r="E19" s="43"/>
      <c r="F19" t="str">
        <f>IFERROR(HYPERLINK("#Main!A"&amp;MATCH(A19,Main!A:A,0),"Open"),HYPERLINK("#Main!A1","Open"))</f>
        <v>Open</v>
      </c>
    </row>
    <row r="20" spans="1:7" ht="30" customHeight="1" x14ac:dyDescent="0.25">
      <c r="A20" s="33" t="s">
        <v>494</v>
      </c>
      <c r="B20" s="28">
        <v>1</v>
      </c>
      <c r="C20" s="28">
        <v>1</v>
      </c>
      <c r="D20" s="31"/>
      <c r="E20" s="31"/>
      <c r="F20" s="34" t="str">
        <f>IFERROR(HYPERLINK("#Main!A"&amp;MATCH(A20,Main!A:A,0),"Open"),HYPERLINK("#Main!A1","Open"))</f>
        <v>Open</v>
      </c>
      <c r="G20" s="34"/>
    </row>
    <row r="21" spans="1:7" ht="30" customHeight="1" x14ac:dyDescent="0.25">
      <c r="A21" s="30" t="s">
        <v>500</v>
      </c>
      <c r="B21" s="37">
        <v>1</v>
      </c>
      <c r="C21" s="37">
        <v>1</v>
      </c>
      <c r="D21" s="43"/>
      <c r="E21" s="43"/>
      <c r="F21" t="str">
        <f>IFERROR(HYPERLINK("#Main!A"&amp;MATCH(A21,Main!A:A,0),"Open"),HYPERLINK("#Main!A1","Open"))</f>
        <v>Open</v>
      </c>
    </row>
    <row r="22" spans="1:7" ht="30" customHeight="1" x14ac:dyDescent="0.25">
      <c r="A22" s="33" t="s">
        <v>497</v>
      </c>
      <c r="B22" s="28">
        <v>1</v>
      </c>
      <c r="C22" s="28">
        <v>1</v>
      </c>
      <c r="D22" s="31"/>
      <c r="E22" s="31"/>
      <c r="F22" s="34" t="str">
        <f>IFERROR(HYPERLINK("#Main!A"&amp;MATCH(A22,Main!A:A,0),"Open"),HYPERLINK("#Main!A1","Open"))</f>
        <v>Open</v>
      </c>
      <c r="G22" s="34"/>
    </row>
    <row r="23" spans="1:7" ht="30" customHeight="1" x14ac:dyDescent="0.25">
      <c r="A23" s="30" t="s">
        <v>506</v>
      </c>
      <c r="B23" s="37">
        <v>1</v>
      </c>
      <c r="C23" s="37">
        <v>1</v>
      </c>
      <c r="D23" s="43"/>
      <c r="E23" s="43"/>
      <c r="F23" t="str">
        <f>IFERROR(HYPERLINK("#Main!A"&amp;MATCH(A23,Main!A:A,0),"Open"),HYPERLINK("#Main!A1","Open"))</f>
        <v>Open</v>
      </c>
    </row>
    <row r="24" spans="1:7" ht="30" customHeight="1" x14ac:dyDescent="0.25">
      <c r="A24" s="33" t="s">
        <v>509</v>
      </c>
      <c r="B24" s="28">
        <v>1</v>
      </c>
      <c r="C24" s="28">
        <v>1</v>
      </c>
      <c r="D24" s="31"/>
      <c r="E24" s="31"/>
      <c r="F24" s="34" t="str">
        <f>IFERROR(HYPERLINK("#Main!A"&amp;MATCH(A24,Main!A:A,0),"Open"),HYPERLINK("#Main!A1","Open"))</f>
        <v>Open</v>
      </c>
      <c r="G24" s="34"/>
    </row>
    <row r="25" spans="1:7" ht="30" customHeight="1" x14ac:dyDescent="0.25">
      <c r="A25" s="30" t="s">
        <v>503</v>
      </c>
      <c r="B25" s="37">
        <v>1</v>
      </c>
      <c r="C25" s="37">
        <v>1</v>
      </c>
      <c r="D25" s="43"/>
      <c r="E25" s="43"/>
      <c r="F25" t="str">
        <f>IFERROR(HYPERLINK("#Main!A"&amp;MATCH(A25,Main!A:A,0),"Open"),HYPERLINK("#Main!A1","Open"))</f>
        <v>Open</v>
      </c>
    </row>
    <row r="26" spans="1:7" ht="30" customHeight="1" x14ac:dyDescent="0.25">
      <c r="A26" s="33" t="s">
        <v>476</v>
      </c>
      <c r="B26" s="28">
        <v>0</v>
      </c>
      <c r="C26" s="28">
        <v>0</v>
      </c>
      <c r="D26" s="31"/>
      <c r="E26" s="31"/>
      <c r="F26" s="34" t="str">
        <f>IFERROR(HYPERLINK("#Main!A"&amp;MATCH(A26,Main!A:A,0),"Open"),HYPERLINK("#Main!A1","Open"))</f>
        <v>Open</v>
      </c>
      <c r="G26" s="34"/>
    </row>
    <row r="27" spans="1:7" ht="30" customHeight="1" x14ac:dyDescent="0.25">
      <c r="A27" s="30" t="s">
        <v>512</v>
      </c>
      <c r="B27" s="37">
        <v>1</v>
      </c>
      <c r="C27" s="37">
        <v>1</v>
      </c>
      <c r="D27" s="43"/>
      <c r="E27" s="43"/>
      <c r="F27" t="str">
        <f>IFERROR(HYPERLINK("#Main!A"&amp;MATCH(A27,Main!A:A,0),"Open"),HYPERLINK("#Main!A1","Open"))</f>
        <v>Open</v>
      </c>
    </row>
    <row r="28" spans="1:7" ht="30" customHeight="1" x14ac:dyDescent="0.25">
      <c r="A28" s="33" t="s">
        <v>515</v>
      </c>
      <c r="B28" s="28">
        <v>1</v>
      </c>
      <c r="C28" s="28">
        <v>1</v>
      </c>
      <c r="D28" s="31"/>
      <c r="E28" s="31"/>
      <c r="F28" s="34" t="str">
        <f>IFERROR(HYPERLINK("#Main!A"&amp;MATCH(A28,Main!A:A,0),"Open"),HYPERLINK("#Main!A1","Open"))</f>
        <v>Open</v>
      </c>
      <c r="G28" s="34"/>
    </row>
    <row r="29" spans="1:7" ht="30" customHeight="1" x14ac:dyDescent="0.25">
      <c r="A29" s="30" t="s">
        <v>518</v>
      </c>
      <c r="B29" s="37">
        <v>2</v>
      </c>
      <c r="C29" s="37">
        <v>2</v>
      </c>
      <c r="D29" s="43" t="s">
        <v>3163</v>
      </c>
      <c r="E29" s="43" t="s">
        <v>3163</v>
      </c>
      <c r="F29" t="str">
        <f>IFERROR(HYPERLINK("#Main!A"&amp;MATCH(A29,Main!A:A,0),"Open"),HYPERLINK("#Main!A1","Open"))</f>
        <v>Open</v>
      </c>
    </row>
    <row r="30" spans="1:7" ht="30" customHeight="1" x14ac:dyDescent="0.25">
      <c r="A30" s="33" t="s">
        <v>521</v>
      </c>
      <c r="B30" s="28">
        <v>1</v>
      </c>
      <c r="C30" s="28">
        <v>1</v>
      </c>
      <c r="D30" s="31"/>
      <c r="E30" s="31"/>
      <c r="F30" s="34" t="str">
        <f>IFERROR(HYPERLINK("#Main!A"&amp;MATCH(A30,Main!A:A,0),"Open"),HYPERLINK("#Main!A1","Open"))</f>
        <v>Open</v>
      </c>
      <c r="G30" s="34"/>
    </row>
    <row r="31" spans="1:7" ht="30" customHeight="1" x14ac:dyDescent="0.25">
      <c r="A31" s="30" t="s">
        <v>524</v>
      </c>
      <c r="B31" s="37">
        <v>1</v>
      </c>
      <c r="C31" s="37">
        <v>1</v>
      </c>
      <c r="D31" s="43"/>
      <c r="E31" s="43"/>
      <c r="F31" t="str">
        <f>IFERROR(HYPERLINK("#Main!A"&amp;MATCH(A31,Main!A:A,0),"Open"),HYPERLINK("#Main!A1","Open"))</f>
        <v>Open</v>
      </c>
    </row>
    <row r="32" spans="1:7" ht="30" customHeight="1" x14ac:dyDescent="0.25">
      <c r="A32" s="33" t="s">
        <v>527</v>
      </c>
      <c r="B32" s="28">
        <v>2</v>
      </c>
      <c r="C32" s="28">
        <v>2</v>
      </c>
      <c r="D32" s="31" t="s">
        <v>3163</v>
      </c>
      <c r="E32" s="31" t="s">
        <v>3163</v>
      </c>
      <c r="F32" s="34" t="str">
        <f>IFERROR(HYPERLINK("#Main!A"&amp;MATCH(A32,Main!A:A,0),"Open"),HYPERLINK("#Main!A1","Open"))</f>
        <v>Open</v>
      </c>
      <c r="G32" s="34"/>
    </row>
    <row r="33" spans="1:7" ht="45" customHeight="1" x14ac:dyDescent="0.25">
      <c r="A33" s="30" t="s">
        <v>528</v>
      </c>
      <c r="B33" s="37">
        <v>1</v>
      </c>
      <c r="C33" s="37">
        <v>1</v>
      </c>
      <c r="D33" s="43"/>
      <c r="E33" s="43"/>
      <c r="F33" t="str">
        <f>IFERROR(HYPERLINK("#Main!A"&amp;MATCH(A33,Main!A:A,0),"Open"),HYPERLINK("#Main!A1","Open"))</f>
        <v>Open</v>
      </c>
    </row>
    <row r="34" spans="1:7" ht="30" customHeight="1" x14ac:dyDescent="0.25">
      <c r="A34" s="33" t="s">
        <v>531</v>
      </c>
      <c r="B34" s="28">
        <v>1</v>
      </c>
      <c r="C34" s="28">
        <v>1</v>
      </c>
      <c r="D34" s="31"/>
      <c r="E34" s="31"/>
      <c r="F34" s="34" t="str">
        <f>IFERROR(HYPERLINK("#Main!A"&amp;MATCH(A34,Main!A:A,0),"Open"),HYPERLINK("#Main!A1","Open"))</f>
        <v>Open</v>
      </c>
      <c r="G34" s="34"/>
    </row>
    <row r="35" spans="1:7" ht="30" customHeight="1" x14ac:dyDescent="0.25">
      <c r="A35" s="30" t="s">
        <v>534</v>
      </c>
      <c r="B35" s="37">
        <v>1</v>
      </c>
      <c r="C35" s="37">
        <v>1</v>
      </c>
      <c r="D35" s="43"/>
      <c r="E35" s="43"/>
      <c r="F35" t="str">
        <f>IFERROR(HYPERLINK("#Main!A"&amp;MATCH(A35,Main!A:A,0),"Open"),HYPERLINK("#Main!A1","Open"))</f>
        <v>Open</v>
      </c>
    </row>
    <row r="36" spans="1:7" ht="30" customHeight="1" x14ac:dyDescent="0.25">
      <c r="A36" s="33" t="s">
        <v>537</v>
      </c>
      <c r="B36" s="28">
        <v>1</v>
      </c>
      <c r="C36" s="28">
        <v>1</v>
      </c>
      <c r="D36" s="31"/>
      <c r="E36" s="31"/>
      <c r="F36" s="34" t="str">
        <f>IFERROR(HYPERLINK("#Main!A"&amp;MATCH(A36,Main!A:A,0),"Open"),HYPERLINK("#Main!A1","Open"))</f>
        <v>Open</v>
      </c>
      <c r="G36" s="34"/>
    </row>
    <row r="37" spans="1:7" ht="45" customHeight="1" x14ac:dyDescent="0.25">
      <c r="A37" s="30" t="s">
        <v>540</v>
      </c>
      <c r="B37" s="37">
        <v>1</v>
      </c>
      <c r="C37" s="37">
        <v>1</v>
      </c>
      <c r="D37" s="43"/>
      <c r="E37" s="43"/>
      <c r="F37" t="str">
        <f>IFERROR(HYPERLINK("#Main!A"&amp;MATCH(A37,Main!A:A,0),"Open"),HYPERLINK("#Main!A1","Open"))</f>
        <v>Open</v>
      </c>
    </row>
    <row r="38" spans="1:7" ht="30" customHeight="1" x14ac:dyDescent="0.25">
      <c r="A38" s="33" t="s">
        <v>543</v>
      </c>
      <c r="B38" s="28">
        <v>1</v>
      </c>
      <c r="C38" s="28">
        <v>1</v>
      </c>
      <c r="D38" s="31"/>
      <c r="E38" s="31"/>
      <c r="F38" s="34" t="str">
        <f>IFERROR(HYPERLINK("#Main!A"&amp;MATCH(A38,Main!A:A,0),"Open"),HYPERLINK("#Main!A1","Open"))</f>
        <v>Open</v>
      </c>
      <c r="G38" s="34"/>
    </row>
    <row r="39" spans="1:7" ht="30" customHeight="1" x14ac:dyDescent="0.25">
      <c r="A39" s="30" t="s">
        <v>483</v>
      </c>
      <c r="B39" s="37">
        <v>0</v>
      </c>
      <c r="C39" s="37">
        <v>0</v>
      </c>
      <c r="D39" s="43"/>
      <c r="E39" s="43"/>
      <c r="F39" t="str">
        <f>IFERROR(HYPERLINK("#Main!A"&amp;MATCH(A39,Main!A:A,0),"Open"),HYPERLINK("#Main!A1","Open"))</f>
        <v>Open</v>
      </c>
    </row>
    <row r="40" spans="1:7" ht="30" customHeight="1" x14ac:dyDescent="0.25">
      <c r="A40" s="33" t="s">
        <v>546</v>
      </c>
      <c r="B40" s="28">
        <v>1</v>
      </c>
      <c r="C40" s="28">
        <v>1</v>
      </c>
      <c r="D40" s="31"/>
      <c r="E40" s="31"/>
      <c r="F40" s="34" t="str">
        <f>IFERROR(HYPERLINK("#Main!A"&amp;MATCH(A40,Main!A:A,0),"Open"),HYPERLINK("#Main!A1","Open"))</f>
        <v>Open</v>
      </c>
      <c r="G40" s="34"/>
    </row>
    <row r="41" spans="1:7" ht="30" customHeight="1" x14ac:dyDescent="0.25">
      <c r="A41" s="30" t="s">
        <v>549</v>
      </c>
      <c r="B41" s="37">
        <v>1</v>
      </c>
      <c r="C41" s="37">
        <v>1</v>
      </c>
      <c r="D41" s="43"/>
      <c r="E41" s="43"/>
      <c r="F41" t="str">
        <f>IFERROR(HYPERLINK("#Main!A"&amp;MATCH(A41,Main!A:A,0),"Open"),HYPERLINK("#Main!A1","Open"))</f>
        <v>Open</v>
      </c>
    </row>
    <row r="42" spans="1:7" ht="30" customHeight="1" x14ac:dyDescent="0.25">
      <c r="A42" s="33" t="s">
        <v>555</v>
      </c>
      <c r="B42" s="28">
        <v>1</v>
      </c>
      <c r="C42" s="28">
        <v>0</v>
      </c>
      <c r="D42" s="31"/>
      <c r="E42" s="31"/>
      <c r="F42" s="34" t="str">
        <f>IFERROR(HYPERLINK("#Main!A"&amp;MATCH(A42,Main!A:A,0),"Open"),HYPERLINK("#Main!A1","Open"))</f>
        <v>Open</v>
      </c>
      <c r="G42" s="34"/>
    </row>
    <row r="43" spans="1:7" ht="30" customHeight="1" x14ac:dyDescent="0.25">
      <c r="A43" s="30" t="s">
        <v>557</v>
      </c>
      <c r="B43" s="37">
        <v>1</v>
      </c>
      <c r="C43" s="37">
        <v>1</v>
      </c>
      <c r="D43" s="43"/>
      <c r="E43" s="43"/>
      <c r="F43" t="str">
        <f>IFERROR(HYPERLINK("#Main!A"&amp;MATCH(A43,Main!A:A,0),"Open"),HYPERLINK("#Main!A1","Open"))</f>
        <v>Open</v>
      </c>
    </row>
    <row r="44" spans="1:7" ht="30" customHeight="1" x14ac:dyDescent="0.25">
      <c r="A44" s="33" t="s">
        <v>552</v>
      </c>
      <c r="B44" s="28">
        <v>1</v>
      </c>
      <c r="C44" s="28">
        <v>1</v>
      </c>
      <c r="D44" s="31"/>
      <c r="E44" s="31"/>
      <c r="F44" s="34" t="str">
        <f>IFERROR(HYPERLINK("#Main!A"&amp;MATCH(A44,Main!A:A,0),"Open"),HYPERLINK("#Main!A1","Open"))</f>
        <v>Open</v>
      </c>
      <c r="G44" s="34"/>
    </row>
    <row r="45" spans="1:7" ht="30" customHeight="1" x14ac:dyDescent="0.25">
      <c r="A45" s="30" t="s">
        <v>560</v>
      </c>
      <c r="B45" s="37">
        <v>1</v>
      </c>
      <c r="C45" s="37">
        <v>1</v>
      </c>
      <c r="D45" s="43"/>
      <c r="E45" s="43"/>
      <c r="F45" t="str">
        <f>IFERROR(HYPERLINK("#Main!A"&amp;MATCH(A45,Main!A:A,0),"Open"),HYPERLINK("#Main!A1","Open"))</f>
        <v>Open</v>
      </c>
    </row>
    <row r="46" spans="1:7" ht="30" customHeight="1" x14ac:dyDescent="0.25">
      <c r="A46" s="33" t="s">
        <v>563</v>
      </c>
      <c r="B46" s="28">
        <v>1</v>
      </c>
      <c r="C46" s="28">
        <v>1</v>
      </c>
      <c r="D46" s="31"/>
      <c r="E46" s="31"/>
      <c r="F46" s="34" t="str">
        <f>IFERROR(HYPERLINK("#Main!A"&amp;MATCH(A46,Main!A:A,0),"Open"),HYPERLINK("#Main!A1","Open"))</f>
        <v>Open</v>
      </c>
      <c r="G46" s="34"/>
    </row>
    <row r="47" spans="1:7" ht="30" customHeight="1" x14ac:dyDescent="0.25">
      <c r="A47" s="30" t="s">
        <v>566</v>
      </c>
      <c r="B47" s="37">
        <v>1</v>
      </c>
      <c r="C47" s="37">
        <v>1</v>
      </c>
      <c r="D47" s="43"/>
      <c r="E47" s="43"/>
      <c r="F47" t="str">
        <f>IFERROR(HYPERLINK("#Main!A"&amp;MATCH(A47,Main!A:A,0),"Open"),HYPERLINK("#Main!A1","Open"))</f>
        <v>Open</v>
      </c>
    </row>
    <row r="48" spans="1:7" ht="30" customHeight="1" x14ac:dyDescent="0.25">
      <c r="A48" s="33" t="s">
        <v>570</v>
      </c>
      <c r="B48" s="28">
        <v>1</v>
      </c>
      <c r="C48" s="28">
        <v>1</v>
      </c>
      <c r="D48" s="31"/>
      <c r="E48" s="31"/>
      <c r="F48" s="34" t="str">
        <f>IFERROR(HYPERLINK("#Main!A"&amp;MATCH(A48,Main!A:A,0),"Open"),HYPERLINK("#Main!A1","Open"))</f>
        <v>Open</v>
      </c>
      <c r="G48" s="34"/>
    </row>
    <row r="49" spans="1:7" ht="30" customHeight="1" x14ac:dyDescent="0.25">
      <c r="A49" s="30" t="s">
        <v>577</v>
      </c>
      <c r="B49" s="37">
        <v>1</v>
      </c>
      <c r="C49" s="37">
        <v>2</v>
      </c>
      <c r="D49" s="43"/>
      <c r="E49" s="43" t="s">
        <v>3164</v>
      </c>
      <c r="F49" t="str">
        <f>IFERROR(HYPERLINK("#Main!A"&amp;MATCH(A49,Main!A:A,0),"Open"),HYPERLINK("#Main!A1","Open"))</f>
        <v>Open</v>
      </c>
    </row>
    <row r="50" spans="1:7" ht="30" customHeight="1" x14ac:dyDescent="0.25">
      <c r="A50" s="33" t="s">
        <v>579</v>
      </c>
      <c r="B50" s="28">
        <v>1</v>
      </c>
      <c r="C50" s="28">
        <v>1</v>
      </c>
      <c r="D50" s="31"/>
      <c r="E50" s="31"/>
      <c r="F50" s="34" t="str">
        <f>IFERROR(HYPERLINK("#Main!A"&amp;MATCH(A50,Main!A:A,0),"Open"),HYPERLINK("#Main!A1","Open"))</f>
        <v>Open</v>
      </c>
      <c r="G50" s="34"/>
    </row>
    <row r="51" spans="1:7" ht="30" customHeight="1" x14ac:dyDescent="0.25">
      <c r="A51" s="30" t="s">
        <v>573</v>
      </c>
      <c r="B51" s="37">
        <v>1</v>
      </c>
      <c r="C51" s="37">
        <v>2</v>
      </c>
      <c r="D51" s="43"/>
      <c r="E51" s="43" t="s">
        <v>3164</v>
      </c>
      <c r="F51" t="str">
        <f>IFERROR(HYPERLINK("#Main!A"&amp;MATCH(A51,Main!A:A,0),"Open"),HYPERLINK("#Main!A1","Open"))</f>
        <v>Open</v>
      </c>
    </row>
    <row r="52" spans="1:7" ht="30" customHeight="1" x14ac:dyDescent="0.25">
      <c r="A52" s="33" t="s">
        <v>582</v>
      </c>
      <c r="B52" s="28">
        <v>1</v>
      </c>
      <c r="C52" s="28">
        <v>1</v>
      </c>
      <c r="D52" s="31"/>
      <c r="E52" s="31"/>
      <c r="F52" s="34" t="str">
        <f>IFERROR(HYPERLINK("#Main!A"&amp;MATCH(A52,Main!A:A,0),"Open"),HYPERLINK("#Main!A1","Open"))</f>
        <v>Open</v>
      </c>
      <c r="G52" s="34"/>
    </row>
    <row r="53" spans="1:7" ht="30" customHeight="1" x14ac:dyDescent="0.25">
      <c r="A53" s="30" t="s">
        <v>588</v>
      </c>
      <c r="B53" s="37">
        <v>1</v>
      </c>
      <c r="C53" s="37">
        <v>1</v>
      </c>
      <c r="D53" s="43"/>
      <c r="E53" s="43"/>
      <c r="F53" t="str">
        <f>IFERROR(HYPERLINK("#Main!A"&amp;MATCH(A53,Main!A:A,0),"Open"),HYPERLINK("#Main!A1","Open"))</f>
        <v>Open</v>
      </c>
    </row>
    <row r="54" spans="1:7" ht="30" customHeight="1" x14ac:dyDescent="0.25">
      <c r="A54" s="33" t="s">
        <v>591</v>
      </c>
      <c r="B54" s="28">
        <v>1</v>
      </c>
      <c r="C54" s="28">
        <v>1</v>
      </c>
      <c r="D54" s="31"/>
      <c r="E54" s="31"/>
      <c r="F54" s="34" t="str">
        <f>IFERROR(HYPERLINK("#Main!A"&amp;MATCH(A54,Main!A:A,0),"Open"),HYPERLINK("#Main!A1","Open"))</f>
        <v>Open</v>
      </c>
      <c r="G54" s="34"/>
    </row>
    <row r="55" spans="1:7" ht="30" customHeight="1" x14ac:dyDescent="0.25">
      <c r="A55" s="30" t="s">
        <v>594</v>
      </c>
      <c r="B55" s="37">
        <v>1</v>
      </c>
      <c r="C55" s="37">
        <v>1</v>
      </c>
      <c r="D55" s="43"/>
      <c r="E55" s="43"/>
      <c r="F55" t="str">
        <f>IFERROR(HYPERLINK("#Main!A"&amp;MATCH(A55,Main!A:A,0),"Open"),HYPERLINK("#Main!A1","Open"))</f>
        <v>Open</v>
      </c>
    </row>
    <row r="56" spans="1:7" ht="30" customHeight="1" x14ac:dyDescent="0.25">
      <c r="A56" s="33" t="s">
        <v>585</v>
      </c>
      <c r="B56" s="28">
        <v>1</v>
      </c>
      <c r="C56" s="28">
        <v>1</v>
      </c>
      <c r="D56" s="31"/>
      <c r="E56" s="31"/>
      <c r="F56" s="34" t="str">
        <f>IFERROR(HYPERLINK("#Main!A"&amp;MATCH(A56,Main!A:A,0),"Open"),HYPERLINK("#Main!A1","Open"))</f>
        <v>Open</v>
      </c>
      <c r="G56" s="34"/>
    </row>
    <row r="57" spans="1:7" ht="30" customHeight="1" x14ac:dyDescent="0.25">
      <c r="A57" s="30" t="s">
        <v>597</v>
      </c>
      <c r="B57" s="37">
        <v>1</v>
      </c>
      <c r="C57" s="37">
        <v>1</v>
      </c>
      <c r="D57" s="43"/>
      <c r="E57" s="43"/>
      <c r="F57" t="str">
        <f>IFERROR(HYPERLINK("#Main!A"&amp;MATCH(A57,Main!A:A,0),"Open"),HYPERLINK("#Main!A1","Open"))</f>
        <v>Open</v>
      </c>
    </row>
    <row r="58" spans="1:7" ht="30" customHeight="1" x14ac:dyDescent="0.25">
      <c r="A58" s="33" t="s">
        <v>601</v>
      </c>
      <c r="B58" s="28">
        <v>1</v>
      </c>
      <c r="C58" s="28">
        <v>1</v>
      </c>
      <c r="D58" s="31"/>
      <c r="E58" s="31"/>
      <c r="F58" s="34" t="str">
        <f>IFERROR(HYPERLINK("#Main!A"&amp;MATCH(A58,Main!A:A,0),"Open"),HYPERLINK("#Main!A1","Open"))</f>
        <v>Open</v>
      </c>
      <c r="G58" s="34"/>
    </row>
    <row r="59" spans="1:7" ht="30" customHeight="1" x14ac:dyDescent="0.25">
      <c r="A59" s="30" t="s">
        <v>604</v>
      </c>
      <c r="B59" s="37">
        <v>1</v>
      </c>
      <c r="C59" s="37">
        <v>1</v>
      </c>
      <c r="D59" s="43"/>
      <c r="E59" s="43"/>
      <c r="F59" t="str">
        <f>IFERROR(HYPERLINK("#Main!A"&amp;MATCH(A59,Main!A:A,0),"Open"),HYPERLINK("#Main!A1","Open"))</f>
        <v>Open</v>
      </c>
    </row>
    <row r="60" spans="1:7" ht="30" customHeight="1" x14ac:dyDescent="0.25">
      <c r="A60" s="33" t="s">
        <v>608</v>
      </c>
      <c r="B60" s="28">
        <v>1</v>
      </c>
      <c r="C60" s="28">
        <v>1</v>
      </c>
      <c r="D60" s="31"/>
      <c r="E60" s="31"/>
      <c r="F60" s="34" t="str">
        <f>IFERROR(HYPERLINK("#Main!A"&amp;MATCH(A60,Main!A:A,0),"Open"),HYPERLINK("#Main!A1","Open"))</f>
        <v>Open</v>
      </c>
      <c r="G60" s="34"/>
    </row>
    <row r="61" spans="1:7" ht="30" customHeight="1" x14ac:dyDescent="0.25">
      <c r="A61" s="30" t="s">
        <v>611</v>
      </c>
      <c r="B61" s="37">
        <v>1</v>
      </c>
      <c r="C61" s="37">
        <v>1</v>
      </c>
      <c r="D61" s="43"/>
      <c r="E61" s="43"/>
      <c r="F61" t="str">
        <f>IFERROR(HYPERLINK("#Main!A"&amp;MATCH(A61,Main!A:A,0),"Open"),HYPERLINK("#Main!A1","Open"))</f>
        <v>Open</v>
      </c>
    </row>
    <row r="62" spans="1:7" ht="30" customHeight="1" x14ac:dyDescent="0.25">
      <c r="A62" s="33" t="s">
        <v>615</v>
      </c>
      <c r="B62" s="28">
        <v>1</v>
      </c>
      <c r="C62" s="28">
        <v>1</v>
      </c>
      <c r="D62" s="31"/>
      <c r="E62" s="31"/>
      <c r="F62" s="34" t="str">
        <f>IFERROR(HYPERLINK("#Main!A"&amp;MATCH(A62,Main!A:A,0),"Open"),HYPERLINK("#Main!A1","Open"))</f>
        <v>Open</v>
      </c>
      <c r="G62" s="34"/>
    </row>
    <row r="63" spans="1:7" ht="30" customHeight="1" x14ac:dyDescent="0.25">
      <c r="A63" s="30" t="s">
        <v>618</v>
      </c>
      <c r="B63" s="37">
        <v>1</v>
      </c>
      <c r="C63" s="37">
        <v>1</v>
      </c>
      <c r="D63" s="43"/>
      <c r="E63" s="43"/>
      <c r="F63" t="str">
        <f>IFERROR(HYPERLINK("#Main!A"&amp;MATCH(A63,Main!A:A,0),"Open"),HYPERLINK("#Main!A1","Open"))</f>
        <v>Open</v>
      </c>
    </row>
    <row r="64" spans="1:7" ht="30" customHeight="1" x14ac:dyDescent="0.25">
      <c r="A64" s="33" t="s">
        <v>621</v>
      </c>
      <c r="B64" s="28">
        <v>1</v>
      </c>
      <c r="C64" s="28">
        <v>1</v>
      </c>
      <c r="D64" s="31"/>
      <c r="E64" s="31"/>
      <c r="F64" s="34" t="str">
        <f>IFERROR(HYPERLINK("#Main!A"&amp;MATCH(A64,Main!A:A,0),"Open"),HYPERLINK("#Main!A1","Open"))</f>
        <v>Open</v>
      </c>
      <c r="G64" s="34"/>
    </row>
    <row r="65" spans="1:7" ht="30" customHeight="1" x14ac:dyDescent="0.25">
      <c r="A65" s="30" t="s">
        <v>624</v>
      </c>
      <c r="B65" s="37">
        <v>1</v>
      </c>
      <c r="C65" s="37">
        <v>0</v>
      </c>
      <c r="D65" s="43"/>
      <c r="E65" s="43"/>
      <c r="F65" t="str">
        <f>IFERROR(HYPERLINK("#Main!A"&amp;MATCH(A65,Main!A:A,0),"Open"),HYPERLINK("#Main!A1","Open"))</f>
        <v>Open</v>
      </c>
    </row>
    <row r="66" spans="1:7" ht="30" customHeight="1" x14ac:dyDescent="0.25">
      <c r="A66" s="33" t="s">
        <v>626</v>
      </c>
      <c r="B66" s="28">
        <v>1</v>
      </c>
      <c r="C66" s="28">
        <v>1</v>
      </c>
      <c r="D66" s="31"/>
      <c r="E66" s="31"/>
      <c r="F66" s="34" t="str">
        <f>IFERROR(HYPERLINK("#Main!A"&amp;MATCH(A66,Main!A:A,0),"Open"),HYPERLINK("#Main!A1","Open"))</f>
        <v>Open</v>
      </c>
      <c r="G66" s="34"/>
    </row>
    <row r="67" spans="1:7" ht="30" customHeight="1" x14ac:dyDescent="0.25">
      <c r="A67" s="30" t="s">
        <v>629</v>
      </c>
      <c r="B67" s="37">
        <v>1</v>
      </c>
      <c r="C67" s="37">
        <v>1</v>
      </c>
      <c r="D67" s="43"/>
      <c r="E67" s="43"/>
      <c r="F67" t="str">
        <f>IFERROR(HYPERLINK("#Main!A"&amp;MATCH(A67,Main!A:A,0),"Open"),HYPERLINK("#Main!A1","Open"))</f>
        <v>Open</v>
      </c>
    </row>
    <row r="68" spans="1:7" ht="30" customHeight="1" x14ac:dyDescent="0.25">
      <c r="A68" s="33" t="s">
        <v>632</v>
      </c>
      <c r="B68" s="28">
        <v>1</v>
      </c>
      <c r="C68" s="28">
        <v>1</v>
      </c>
      <c r="D68" s="31"/>
      <c r="E68" s="31"/>
      <c r="F68" s="34" t="str">
        <f>IFERROR(HYPERLINK("#Main!A"&amp;MATCH(A68,Main!A:A,0),"Open"),HYPERLINK("#Main!A1","Open"))</f>
        <v>Open</v>
      </c>
      <c r="G68" s="34"/>
    </row>
    <row r="69" spans="1:7" ht="31.5" x14ac:dyDescent="0.25">
      <c r="A69" s="30" t="s">
        <v>635</v>
      </c>
      <c r="B69" s="37">
        <v>1</v>
      </c>
      <c r="C69" s="37">
        <v>1</v>
      </c>
      <c r="D69" s="43"/>
      <c r="E69" s="43"/>
      <c r="F69" t="str">
        <f>IFERROR(HYPERLINK("#Main!A"&amp;MATCH(A69,Main!A:A,0),"Open"),HYPERLINK("#Main!A1","Open"))</f>
        <v>Open</v>
      </c>
    </row>
    <row r="70" spans="1:7" ht="30" customHeight="1" x14ac:dyDescent="0.25">
      <c r="A70" s="33" t="s">
        <v>638</v>
      </c>
      <c r="B70" s="28">
        <v>1</v>
      </c>
      <c r="C70" s="28">
        <v>1</v>
      </c>
      <c r="D70" s="31"/>
      <c r="E70" s="31"/>
      <c r="F70" s="34" t="str">
        <f>IFERROR(HYPERLINK("#Main!A"&amp;MATCH(A70,Main!A:A,0),"Open"),HYPERLINK("#Main!A1","Open"))</f>
        <v>Open</v>
      </c>
      <c r="G70" s="34"/>
    </row>
    <row r="71" spans="1:7" ht="30" customHeight="1" x14ac:dyDescent="0.25">
      <c r="A71" s="30" t="s">
        <v>641</v>
      </c>
      <c r="B71" s="37">
        <v>1</v>
      </c>
      <c r="C71" s="37">
        <v>1</v>
      </c>
      <c r="D71" s="43"/>
      <c r="E71" s="43"/>
      <c r="F71" t="str">
        <f>IFERROR(HYPERLINK("#Main!A"&amp;MATCH(A71,Main!A:A,0),"Open"),HYPERLINK("#Main!A1","Open"))</f>
        <v>Open</v>
      </c>
    </row>
    <row r="72" spans="1:7" ht="30" customHeight="1" x14ac:dyDescent="0.25">
      <c r="A72" s="33" t="s">
        <v>644</v>
      </c>
      <c r="B72" s="28">
        <v>1</v>
      </c>
      <c r="C72" s="28">
        <v>1</v>
      </c>
      <c r="D72" s="31"/>
      <c r="E72" s="31"/>
      <c r="F72" s="34" t="str">
        <f>IFERROR(HYPERLINK("#Main!A"&amp;MATCH(A72,Main!A:A,0),"Open"),HYPERLINK("#Main!A1","Open"))</f>
        <v>Open</v>
      </c>
      <c r="G72" s="34"/>
    </row>
    <row r="73" spans="1:7" ht="30" customHeight="1" x14ac:dyDescent="0.25">
      <c r="A73" s="30" t="s">
        <v>647</v>
      </c>
      <c r="B73" s="37">
        <v>1</v>
      </c>
      <c r="C73" s="37">
        <v>1</v>
      </c>
      <c r="D73" s="43"/>
      <c r="E73" s="43"/>
      <c r="F73" t="str">
        <f>IFERROR(HYPERLINK("#Main!A"&amp;MATCH(A73,Main!A:A,0),"Open"),HYPERLINK("#Main!A1","Open"))</f>
        <v>Open</v>
      </c>
    </row>
    <row r="74" spans="1:7" ht="30" customHeight="1" x14ac:dyDescent="0.25">
      <c r="A74" s="33" t="s">
        <v>652</v>
      </c>
      <c r="B74" s="28">
        <v>1</v>
      </c>
      <c r="C74" s="28">
        <v>1</v>
      </c>
      <c r="D74" s="31"/>
      <c r="E74" s="31"/>
      <c r="F74" s="34" t="str">
        <f>IFERROR(HYPERLINK("#Main!A"&amp;MATCH(A74,Main!A:A,0),"Open"),HYPERLINK("#Main!A1","Open"))</f>
        <v>Open</v>
      </c>
      <c r="G74" s="34"/>
    </row>
    <row r="75" spans="1:7" ht="30" customHeight="1" x14ac:dyDescent="0.25">
      <c r="A75" s="30" t="s">
        <v>650</v>
      </c>
      <c r="B75" s="37">
        <v>2</v>
      </c>
      <c r="C75" s="37">
        <v>1</v>
      </c>
      <c r="D75" s="43" t="s">
        <v>3162</v>
      </c>
      <c r="E75" s="43"/>
      <c r="F75" t="str">
        <f>IFERROR(HYPERLINK("#Main!A"&amp;MATCH(A75,Main!A:A,0),"Open"),HYPERLINK("#Main!A1","Open"))</f>
        <v>Open</v>
      </c>
    </row>
    <row r="76" spans="1:7" ht="30" customHeight="1" x14ac:dyDescent="0.25">
      <c r="A76" s="33" t="s">
        <v>655</v>
      </c>
      <c r="B76" s="28">
        <v>1</v>
      </c>
      <c r="C76" s="28">
        <v>1</v>
      </c>
      <c r="D76" s="31"/>
      <c r="E76" s="31"/>
      <c r="F76" s="34" t="str">
        <f>IFERROR(HYPERLINK("#Main!A"&amp;MATCH(A76,Main!A:A,0),"Open"),HYPERLINK("#Main!A1","Open"))</f>
        <v>Open</v>
      </c>
      <c r="G76" s="34"/>
    </row>
    <row r="77" spans="1:7" ht="30" customHeight="1" x14ac:dyDescent="0.25">
      <c r="A77" s="30" t="s">
        <v>658</v>
      </c>
      <c r="B77" s="37">
        <v>1</v>
      </c>
      <c r="C77" s="37">
        <v>1</v>
      </c>
      <c r="D77" s="43"/>
      <c r="E77" s="43"/>
      <c r="F77" t="str">
        <f>IFERROR(HYPERLINK("#Main!A"&amp;MATCH(A77,Main!A:A,0),"Open"),HYPERLINK("#Main!A1","Open"))</f>
        <v>Open</v>
      </c>
    </row>
    <row r="78" spans="1:7" ht="30" customHeight="1" x14ac:dyDescent="0.25">
      <c r="A78" s="33" t="s">
        <v>661</v>
      </c>
      <c r="B78" s="28">
        <v>1</v>
      </c>
      <c r="C78" s="28">
        <v>1</v>
      </c>
      <c r="D78" s="31"/>
      <c r="E78" s="31"/>
      <c r="F78" s="34" t="str">
        <f>IFERROR(HYPERLINK("#Main!A"&amp;MATCH(A78,Main!A:A,0),"Open"),HYPERLINK("#Main!A1","Open"))</f>
        <v>Open</v>
      </c>
      <c r="G78" s="34"/>
    </row>
    <row r="79" spans="1:7" ht="30" customHeight="1" x14ac:dyDescent="0.25">
      <c r="A79" s="30" t="s">
        <v>664</v>
      </c>
      <c r="B79" s="37">
        <v>1</v>
      </c>
      <c r="C79" s="37">
        <v>1</v>
      </c>
      <c r="D79" s="43"/>
      <c r="E79" s="43"/>
      <c r="F79" t="str">
        <f>IFERROR(HYPERLINK("#Main!A"&amp;MATCH(A79,Main!A:A,0),"Open"),HYPERLINK("#Main!A1","Open"))</f>
        <v>Open</v>
      </c>
    </row>
    <row r="80" spans="1:7" ht="30" customHeight="1" x14ac:dyDescent="0.25">
      <c r="A80" s="33" t="s">
        <v>670</v>
      </c>
      <c r="B80" s="28">
        <v>1</v>
      </c>
      <c r="C80" s="28">
        <v>1</v>
      </c>
      <c r="D80" s="31"/>
      <c r="E80" s="31"/>
      <c r="F80" s="34" t="str">
        <f>IFERROR(HYPERLINK("#Main!A"&amp;MATCH(A80,Main!A:A,0),"Open"),HYPERLINK("#Main!A1","Open"))</f>
        <v>Open</v>
      </c>
      <c r="G80" s="34"/>
    </row>
    <row r="81" spans="1:7" ht="30" customHeight="1" x14ac:dyDescent="0.25">
      <c r="A81" s="30" t="s">
        <v>667</v>
      </c>
      <c r="B81" s="37">
        <v>1</v>
      </c>
      <c r="C81" s="37">
        <v>1</v>
      </c>
      <c r="D81" s="43"/>
      <c r="E81" s="43"/>
      <c r="F81" t="str">
        <f>IFERROR(HYPERLINK("#Main!A"&amp;MATCH(A81,Main!A:A,0),"Open"),HYPERLINK("#Main!A1","Open"))</f>
        <v>Open</v>
      </c>
    </row>
    <row r="82" spans="1:7" ht="30" customHeight="1" x14ac:dyDescent="0.25">
      <c r="A82" s="33" t="s">
        <v>673</v>
      </c>
      <c r="B82" s="28">
        <v>1</v>
      </c>
      <c r="C82" s="28">
        <v>1</v>
      </c>
      <c r="D82" s="31"/>
      <c r="E82" s="31"/>
      <c r="F82" s="34" t="str">
        <f>IFERROR(HYPERLINK("#Main!A"&amp;MATCH(A82,Main!A:A,0),"Open"),HYPERLINK("#Main!A1","Open"))</f>
        <v>Open</v>
      </c>
      <c r="G82" s="34"/>
    </row>
    <row r="83" spans="1:7" ht="30" customHeight="1" x14ac:dyDescent="0.25">
      <c r="A83" s="30" t="s">
        <v>677</v>
      </c>
      <c r="B83" s="37">
        <v>1</v>
      </c>
      <c r="C83" s="37">
        <v>1</v>
      </c>
      <c r="D83" s="43"/>
      <c r="E83" s="43"/>
      <c r="F83" t="str">
        <f>IFERROR(HYPERLINK("#Main!A"&amp;MATCH(A83,Main!A:A,0),"Open"),HYPERLINK("#Main!A1","Open"))</f>
        <v>Open</v>
      </c>
    </row>
    <row r="84" spans="1:7" ht="30" customHeight="1" x14ac:dyDescent="0.25">
      <c r="A84" s="33" t="s">
        <v>680</v>
      </c>
      <c r="B84" s="28">
        <v>1</v>
      </c>
      <c r="C84" s="28">
        <v>1</v>
      </c>
      <c r="D84" s="31"/>
      <c r="E84" s="31"/>
      <c r="F84" s="34" t="str">
        <f>IFERROR(HYPERLINK("#Main!A"&amp;MATCH(A84,Main!A:A,0),"Open"),HYPERLINK("#Main!A1","Open"))</f>
        <v>Open</v>
      </c>
      <c r="G84" s="34"/>
    </row>
    <row r="85" spans="1:7" ht="30" customHeight="1" x14ac:dyDescent="0.25">
      <c r="A85" s="30" t="s">
        <v>683</v>
      </c>
      <c r="B85" s="37">
        <v>1</v>
      </c>
      <c r="C85" s="37">
        <v>1</v>
      </c>
      <c r="D85" s="43"/>
      <c r="E85" s="43"/>
      <c r="F85" t="str">
        <f>IFERROR(HYPERLINK("#Main!A"&amp;MATCH(A85,Main!A:A,0),"Open"),HYPERLINK("#Main!A1","Open"))</f>
        <v>Open</v>
      </c>
    </row>
    <row r="86" spans="1:7" ht="30" customHeight="1" x14ac:dyDescent="0.25">
      <c r="A86" s="33" t="s">
        <v>686</v>
      </c>
      <c r="B86" s="28">
        <v>1</v>
      </c>
      <c r="C86" s="28">
        <v>1</v>
      </c>
      <c r="D86" s="31"/>
      <c r="E86" s="31"/>
      <c r="F86" s="34" t="str">
        <f>IFERROR(HYPERLINK("#Main!A"&amp;MATCH(A86,Main!A:A,0),"Open"),HYPERLINK("#Main!A1","Open"))</f>
        <v>Open</v>
      </c>
      <c r="G86" s="34"/>
    </row>
  </sheetData>
  <autoFilter ref="A1:G86" xr:uid="{00000000-0009-0000-0000-000013000000}"/>
  <dataValidations count="7">
    <dataValidation type="custom" allowBlank="1" showInputMessage="1" promptTitle="URL" prompt="URL. Use this URL to inspect the page directly or jump to related tabs." sqref="A1" xr:uid="{00000000-0002-0000-1300-000000000000}">
      <formula1>TRUE</formula1>
    </dataValidation>
    <dataValidation type="custom" allowBlank="1" showInputMessage="1" promptTitle="Title Duplicate Count" prompt="Title Duplicate Count. Review this metric to identify risk, then use linked tabs for details and remediation." sqref="B1" xr:uid="{00000000-0002-0000-1300-000001000000}">
      <formula1>TRUE</formula1>
    </dataValidation>
    <dataValidation type="custom" allowBlank="1" showInputMessage="1" promptTitle="Meta Description Duplicate Count" prompt="Meta Description Duplicate Count. Review this metric to identify risk, then use linked tabs for details and remediation." sqref="C1" xr:uid="{00000000-0002-0000-1300-000002000000}">
      <formula1>TRUE</formula1>
    </dataValidation>
    <dataValidation type="custom" allowBlank="1" showInputMessage="1" promptTitle="Title Duplicate URLs" prompt="Title Duplicate URLs. Use this URL to inspect the page directly or jump to related tabs." sqref="D1" xr:uid="{00000000-0002-0000-1300-000003000000}">
      <formula1>TRUE</formula1>
    </dataValidation>
    <dataValidation type="custom" allowBlank="1" showInputMessage="1" promptTitle="Meta Duplicate URLs" prompt="Meta Duplicate URLs. Use this URL to inspect the page directly or jump to related tabs." sqref="E1" xr:uid="{00000000-0002-0000-1300-000004000000}">
      <formula1>TRUE</formula1>
    </dataValidation>
    <dataValidation type="custom" allowBlank="1" showInputMessage="1" promptTitle="Open in Main" prompt="Navigation helper. Click to jump directly to the related record in another tab." sqref="F1" xr:uid="{00000000-0002-0000-1300-000005000000}">
      <formula1>TRUE</formula1>
    </dataValidation>
    <dataValidation type="custom" allowBlank="1" showInputMessage="1" promptTitle="BACK TO DASHBOARD" prompt="BACK TO DASHBOARD. Review this metric to identify risk, then use linked tabs for details and remediation." sqref="G1" xr:uid="{00000000-0002-0000-1300-000006000000}">
      <formula1>TRUE</formula1>
    </dataValidation>
  </dataValidations>
  <hyperlinks>
    <hyperlink ref="G1" location="Dashboard!A1" display="BACK TO DASHBOARD" xr:uid="{00000000-0004-0000-1300-000000000000}"/>
    <hyperlink ref="A2" r:id="rId1" xr:uid="{00000000-0004-0000-1300-000001000000}"/>
    <hyperlink ref="A3" r:id="rId2" xr:uid="{00000000-0004-0000-1300-000002000000}"/>
    <hyperlink ref="A4" r:id="rId3" xr:uid="{00000000-0004-0000-1300-000003000000}"/>
    <hyperlink ref="A5" r:id="rId4" xr:uid="{00000000-0004-0000-1300-000004000000}"/>
    <hyperlink ref="A6" r:id="rId5" xr:uid="{00000000-0004-0000-1300-000005000000}"/>
    <hyperlink ref="A7" r:id="rId6" xr:uid="{00000000-0004-0000-1300-000006000000}"/>
    <hyperlink ref="A8" r:id="rId7" xr:uid="{00000000-0004-0000-1300-000007000000}"/>
    <hyperlink ref="A9" r:id="rId8" xr:uid="{00000000-0004-0000-1300-000008000000}"/>
    <hyperlink ref="A10" r:id="rId9" xr:uid="{00000000-0004-0000-1300-000009000000}"/>
    <hyperlink ref="A11" r:id="rId10" xr:uid="{00000000-0004-0000-1300-00000A000000}"/>
    <hyperlink ref="A12" r:id="rId11" xr:uid="{00000000-0004-0000-1300-00000B000000}"/>
    <hyperlink ref="A13" r:id="rId12" xr:uid="{00000000-0004-0000-1300-00000C000000}"/>
    <hyperlink ref="A14" r:id="rId13" xr:uid="{00000000-0004-0000-1300-00000D000000}"/>
    <hyperlink ref="A15" r:id="rId14" xr:uid="{00000000-0004-0000-1300-00000E000000}"/>
    <hyperlink ref="A16" r:id="rId15" xr:uid="{00000000-0004-0000-1300-00000F000000}"/>
    <hyperlink ref="A17" r:id="rId16" xr:uid="{00000000-0004-0000-1300-000010000000}"/>
    <hyperlink ref="A18" r:id="rId17" xr:uid="{00000000-0004-0000-1300-000011000000}"/>
    <hyperlink ref="A19" r:id="rId18" xr:uid="{00000000-0004-0000-1300-000012000000}"/>
    <hyperlink ref="A20" r:id="rId19" xr:uid="{00000000-0004-0000-1300-000013000000}"/>
    <hyperlink ref="A21" r:id="rId20" xr:uid="{00000000-0004-0000-1300-000014000000}"/>
    <hyperlink ref="A22" r:id="rId21" xr:uid="{00000000-0004-0000-1300-000015000000}"/>
    <hyperlink ref="A23" r:id="rId22" xr:uid="{00000000-0004-0000-1300-000016000000}"/>
    <hyperlink ref="A24" r:id="rId23" xr:uid="{00000000-0004-0000-1300-000017000000}"/>
    <hyperlink ref="A25" r:id="rId24" xr:uid="{00000000-0004-0000-1300-000018000000}"/>
    <hyperlink ref="A26" r:id="rId25" xr:uid="{00000000-0004-0000-1300-000019000000}"/>
    <hyperlink ref="A27" r:id="rId26" xr:uid="{00000000-0004-0000-1300-00001A000000}"/>
    <hyperlink ref="A28" r:id="rId27" xr:uid="{00000000-0004-0000-1300-00001B000000}"/>
    <hyperlink ref="A29" r:id="rId28" xr:uid="{00000000-0004-0000-1300-00001C000000}"/>
    <hyperlink ref="A30" r:id="rId29" xr:uid="{00000000-0004-0000-1300-00001D000000}"/>
    <hyperlink ref="A31" r:id="rId30" xr:uid="{00000000-0004-0000-1300-00001E000000}"/>
    <hyperlink ref="A32" r:id="rId31" xr:uid="{00000000-0004-0000-1300-00001F000000}"/>
    <hyperlink ref="A33" r:id="rId32" xr:uid="{00000000-0004-0000-1300-000020000000}"/>
    <hyperlink ref="A34" r:id="rId33" xr:uid="{00000000-0004-0000-1300-000021000000}"/>
    <hyperlink ref="A35" r:id="rId34" xr:uid="{00000000-0004-0000-1300-000022000000}"/>
    <hyperlink ref="A36" r:id="rId35" xr:uid="{00000000-0004-0000-1300-000023000000}"/>
    <hyperlink ref="A37" r:id="rId36" xr:uid="{00000000-0004-0000-1300-000024000000}"/>
    <hyperlink ref="A38" r:id="rId37" xr:uid="{00000000-0004-0000-1300-000025000000}"/>
    <hyperlink ref="A39" r:id="rId38" xr:uid="{00000000-0004-0000-1300-000026000000}"/>
    <hyperlink ref="A40" r:id="rId39" xr:uid="{00000000-0004-0000-1300-000027000000}"/>
    <hyperlink ref="A41" r:id="rId40" xr:uid="{00000000-0004-0000-1300-000028000000}"/>
    <hyperlink ref="A42" r:id="rId41" xr:uid="{00000000-0004-0000-1300-000029000000}"/>
    <hyperlink ref="A43" r:id="rId42" xr:uid="{00000000-0004-0000-1300-00002A000000}"/>
    <hyperlink ref="A44" r:id="rId43" xr:uid="{00000000-0004-0000-1300-00002B000000}"/>
    <hyperlink ref="A45" r:id="rId44" xr:uid="{00000000-0004-0000-1300-00002C000000}"/>
    <hyperlink ref="A46" r:id="rId45" xr:uid="{00000000-0004-0000-1300-00002D000000}"/>
    <hyperlink ref="A47" r:id="rId46" xr:uid="{00000000-0004-0000-1300-00002E000000}"/>
    <hyperlink ref="A48" r:id="rId47" xr:uid="{00000000-0004-0000-1300-00002F000000}"/>
    <hyperlink ref="A49" r:id="rId48" xr:uid="{00000000-0004-0000-1300-000030000000}"/>
    <hyperlink ref="A50" r:id="rId49" xr:uid="{00000000-0004-0000-1300-000031000000}"/>
    <hyperlink ref="A51" r:id="rId50" xr:uid="{00000000-0004-0000-1300-000032000000}"/>
    <hyperlink ref="A52" r:id="rId51" xr:uid="{00000000-0004-0000-1300-000033000000}"/>
    <hyperlink ref="A53" r:id="rId52" xr:uid="{00000000-0004-0000-1300-000034000000}"/>
    <hyperlink ref="A54" r:id="rId53" xr:uid="{00000000-0004-0000-1300-000035000000}"/>
    <hyperlink ref="A55" r:id="rId54" xr:uid="{00000000-0004-0000-1300-000036000000}"/>
    <hyperlink ref="A56" r:id="rId55" xr:uid="{00000000-0004-0000-1300-000037000000}"/>
    <hyperlink ref="A57" r:id="rId56" xr:uid="{00000000-0004-0000-1300-000038000000}"/>
    <hyperlink ref="A58" r:id="rId57" xr:uid="{00000000-0004-0000-1300-000039000000}"/>
    <hyperlink ref="A59" r:id="rId58" xr:uid="{00000000-0004-0000-1300-00003A000000}"/>
    <hyperlink ref="A60" r:id="rId59" xr:uid="{00000000-0004-0000-1300-00003B000000}"/>
    <hyperlink ref="A61" r:id="rId60" xr:uid="{00000000-0004-0000-1300-00003C000000}"/>
    <hyperlink ref="A62" r:id="rId61" xr:uid="{00000000-0004-0000-1300-00003D000000}"/>
    <hyperlink ref="A63" r:id="rId62" xr:uid="{00000000-0004-0000-1300-00003E000000}"/>
    <hyperlink ref="A64" r:id="rId63" xr:uid="{00000000-0004-0000-1300-00003F000000}"/>
    <hyperlink ref="A65" r:id="rId64" xr:uid="{00000000-0004-0000-1300-000040000000}"/>
    <hyperlink ref="A66" r:id="rId65" xr:uid="{00000000-0004-0000-1300-000041000000}"/>
    <hyperlink ref="A67" r:id="rId66" xr:uid="{00000000-0004-0000-1300-000042000000}"/>
    <hyperlink ref="A68" r:id="rId67" xr:uid="{00000000-0004-0000-1300-000043000000}"/>
    <hyperlink ref="A69" r:id="rId68" xr:uid="{00000000-0004-0000-1300-000044000000}"/>
    <hyperlink ref="A70" r:id="rId69" xr:uid="{00000000-0004-0000-1300-000045000000}"/>
    <hyperlink ref="A71" r:id="rId70" xr:uid="{00000000-0004-0000-1300-000046000000}"/>
    <hyperlink ref="A72" r:id="rId71" xr:uid="{00000000-0004-0000-1300-000047000000}"/>
    <hyperlink ref="A73" r:id="rId72" xr:uid="{00000000-0004-0000-1300-000048000000}"/>
    <hyperlink ref="A74" r:id="rId73" xr:uid="{00000000-0004-0000-1300-000049000000}"/>
    <hyperlink ref="A75" r:id="rId74" xr:uid="{00000000-0004-0000-1300-00004A000000}"/>
    <hyperlink ref="A76" r:id="rId75" xr:uid="{00000000-0004-0000-1300-00004B000000}"/>
    <hyperlink ref="A77" r:id="rId76" xr:uid="{00000000-0004-0000-1300-00004C000000}"/>
    <hyperlink ref="A78" r:id="rId77" xr:uid="{00000000-0004-0000-1300-00004D000000}"/>
    <hyperlink ref="A79" r:id="rId78" xr:uid="{00000000-0004-0000-1300-00004E000000}"/>
    <hyperlink ref="A80" r:id="rId79" xr:uid="{00000000-0004-0000-1300-00004F000000}"/>
    <hyperlink ref="A81" r:id="rId80" xr:uid="{00000000-0004-0000-1300-000050000000}"/>
    <hyperlink ref="A82" r:id="rId81" xr:uid="{00000000-0004-0000-1300-000051000000}"/>
    <hyperlink ref="A83" r:id="rId82" xr:uid="{00000000-0004-0000-1300-000052000000}"/>
    <hyperlink ref="A84" r:id="rId83" xr:uid="{00000000-0004-0000-1300-000053000000}"/>
    <hyperlink ref="A85" r:id="rId84" xr:uid="{00000000-0004-0000-1300-000054000000}"/>
    <hyperlink ref="A86" r:id="rId85" xr:uid="{00000000-0004-0000-1300-000055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4"/>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11" customWidth="1"/>
    <col min="3" max="3" width="43" customWidth="1"/>
    <col min="4" max="4" width="16" customWidth="1"/>
    <col min="5" max="5" width="60" customWidth="1"/>
  </cols>
  <sheetData>
    <row r="1" spans="1:6" ht="45" x14ac:dyDescent="0.25">
      <c r="A1" s="27" t="s">
        <v>3165</v>
      </c>
      <c r="B1" s="27" t="s">
        <v>3166</v>
      </c>
      <c r="C1" s="27" t="s">
        <v>3167</v>
      </c>
      <c r="D1" s="27" t="s">
        <v>3168</v>
      </c>
      <c r="E1" s="27" t="s">
        <v>3169</v>
      </c>
      <c r="F1" s="36" t="s">
        <v>251</v>
      </c>
    </row>
    <row r="2" spans="1:6" x14ac:dyDescent="0.25">
      <c r="A2" s="35" t="s">
        <v>3170</v>
      </c>
      <c r="B2" s="28" t="s">
        <v>3171</v>
      </c>
      <c r="C2" s="28" t="s">
        <v>3172</v>
      </c>
      <c r="D2" s="28" t="s">
        <v>3173</v>
      </c>
      <c r="E2" s="28" t="s">
        <v>313</v>
      </c>
      <c r="F2" s="34"/>
    </row>
    <row r="3" spans="1:6" x14ac:dyDescent="0.25">
      <c r="A3" s="35" t="s">
        <v>3174</v>
      </c>
      <c r="B3" s="37">
        <v>1</v>
      </c>
      <c r="C3" s="37" t="s">
        <v>3175</v>
      </c>
      <c r="D3" s="37">
        <v>100</v>
      </c>
      <c r="E3" s="37" t="s">
        <v>3176</v>
      </c>
    </row>
    <row r="4" spans="1:6" x14ac:dyDescent="0.25">
      <c r="A4" s="35" t="s">
        <v>3177</v>
      </c>
      <c r="B4" s="28">
        <v>1</v>
      </c>
      <c r="C4" s="28" t="s">
        <v>3175</v>
      </c>
      <c r="D4" s="28">
        <v>100</v>
      </c>
      <c r="E4" s="28" t="s">
        <v>3176</v>
      </c>
      <c r="F4" s="34"/>
    </row>
    <row r="5" spans="1:6" x14ac:dyDescent="0.25">
      <c r="A5" s="35" t="s">
        <v>3178</v>
      </c>
      <c r="B5" s="37">
        <v>1</v>
      </c>
      <c r="C5" s="37" t="s">
        <v>3175</v>
      </c>
      <c r="D5" s="37">
        <v>100</v>
      </c>
      <c r="E5" s="37" t="s">
        <v>3176</v>
      </c>
    </row>
    <row r="6" spans="1:6" x14ac:dyDescent="0.25">
      <c r="A6" s="35" t="s">
        <v>3179</v>
      </c>
      <c r="B6" s="28">
        <v>1</v>
      </c>
      <c r="C6" s="28" t="s">
        <v>3180</v>
      </c>
      <c r="D6" s="28">
        <v>100</v>
      </c>
      <c r="E6" s="28" t="s">
        <v>3181</v>
      </c>
      <c r="F6" s="34"/>
    </row>
    <row r="7" spans="1:6" x14ac:dyDescent="0.25">
      <c r="A7" s="35" t="s">
        <v>3182</v>
      </c>
      <c r="B7" s="37">
        <v>1</v>
      </c>
      <c r="C7" s="37" t="s">
        <v>3175</v>
      </c>
      <c r="D7" s="37">
        <v>100</v>
      </c>
      <c r="E7" s="37" t="s">
        <v>3176</v>
      </c>
    </row>
    <row r="8" spans="1:6" x14ac:dyDescent="0.25">
      <c r="A8" s="35" t="s">
        <v>3183</v>
      </c>
      <c r="B8" s="28">
        <v>1</v>
      </c>
      <c r="C8" s="28" t="s">
        <v>3175</v>
      </c>
      <c r="D8" s="28">
        <v>100</v>
      </c>
      <c r="E8" s="28" t="s">
        <v>3176</v>
      </c>
      <c r="F8" s="34"/>
    </row>
    <row r="9" spans="1:6" x14ac:dyDescent="0.25">
      <c r="A9" s="35" t="s">
        <v>3184</v>
      </c>
      <c r="B9" s="37">
        <v>1</v>
      </c>
      <c r="C9" s="37" t="s">
        <v>3180</v>
      </c>
      <c r="D9" s="37">
        <v>100</v>
      </c>
      <c r="E9" s="37" t="s">
        <v>3181</v>
      </c>
    </row>
    <row r="10" spans="1:6" x14ac:dyDescent="0.25">
      <c r="A10" s="35" t="s">
        <v>3185</v>
      </c>
      <c r="B10" s="28">
        <v>1</v>
      </c>
      <c r="C10" s="28" t="s">
        <v>3175</v>
      </c>
      <c r="D10" s="28">
        <v>100</v>
      </c>
      <c r="E10" s="28" t="s">
        <v>3176</v>
      </c>
      <c r="F10" s="34"/>
    </row>
    <row r="11" spans="1:6" x14ac:dyDescent="0.25">
      <c r="A11" s="35" t="s">
        <v>3186</v>
      </c>
      <c r="B11" s="37">
        <v>1</v>
      </c>
      <c r="C11" s="37" t="s">
        <v>3175</v>
      </c>
      <c r="D11" s="37">
        <v>100</v>
      </c>
      <c r="E11" s="37" t="s">
        <v>3176</v>
      </c>
    </row>
    <row r="12" spans="1:6" x14ac:dyDescent="0.25">
      <c r="A12" s="35" t="s">
        <v>3187</v>
      </c>
      <c r="B12" s="28">
        <v>1</v>
      </c>
      <c r="C12" s="28" t="s">
        <v>3175</v>
      </c>
      <c r="D12" s="28">
        <v>100</v>
      </c>
      <c r="E12" s="28" t="s">
        <v>3176</v>
      </c>
      <c r="F12" s="34"/>
    </row>
    <row r="13" spans="1:6" x14ac:dyDescent="0.25">
      <c r="A13" s="35" t="s">
        <v>3188</v>
      </c>
      <c r="B13" s="37">
        <v>1</v>
      </c>
      <c r="C13" s="37" t="s">
        <v>3175</v>
      </c>
      <c r="D13" s="37">
        <v>100</v>
      </c>
      <c r="E13" s="37" t="s">
        <v>3176</v>
      </c>
    </row>
    <row r="14" spans="1:6" x14ac:dyDescent="0.25">
      <c r="A14" s="35" t="s">
        <v>3189</v>
      </c>
      <c r="B14" s="28">
        <v>1</v>
      </c>
      <c r="C14" s="28" t="s">
        <v>3175</v>
      </c>
      <c r="D14" s="28">
        <v>100</v>
      </c>
      <c r="E14" s="28" t="s">
        <v>3176</v>
      </c>
      <c r="F14" s="34"/>
    </row>
    <row r="15" spans="1:6" x14ac:dyDescent="0.25">
      <c r="A15" s="35" t="s">
        <v>3190</v>
      </c>
      <c r="B15" s="37">
        <v>1</v>
      </c>
      <c r="C15" s="37" t="s">
        <v>3175</v>
      </c>
      <c r="D15" s="37">
        <v>100</v>
      </c>
      <c r="E15" s="37" t="s">
        <v>3176</v>
      </c>
    </row>
    <row r="16" spans="1:6" x14ac:dyDescent="0.25">
      <c r="A16" s="35" t="s">
        <v>3191</v>
      </c>
      <c r="B16" s="28">
        <v>1</v>
      </c>
      <c r="C16" s="28" t="s">
        <v>3175</v>
      </c>
      <c r="D16" s="28">
        <v>100</v>
      </c>
      <c r="E16" s="28" t="s">
        <v>3176</v>
      </c>
      <c r="F16" s="34"/>
    </row>
    <row r="17" spans="1:6" x14ac:dyDescent="0.25">
      <c r="A17" s="35" t="s">
        <v>3192</v>
      </c>
      <c r="B17" s="37">
        <v>1</v>
      </c>
      <c r="C17" s="37" t="s">
        <v>3175</v>
      </c>
      <c r="D17" s="37">
        <v>100</v>
      </c>
      <c r="E17" s="37" t="s">
        <v>3176</v>
      </c>
    </row>
    <row r="18" spans="1:6" x14ac:dyDescent="0.25">
      <c r="A18" s="35" t="s">
        <v>3193</v>
      </c>
      <c r="B18" s="28">
        <v>1</v>
      </c>
      <c r="C18" s="28" t="s">
        <v>3175</v>
      </c>
      <c r="D18" s="28">
        <v>100</v>
      </c>
      <c r="E18" s="28" t="s">
        <v>3176</v>
      </c>
      <c r="F18" s="34"/>
    </row>
    <row r="19" spans="1:6" x14ac:dyDescent="0.25">
      <c r="A19" s="35" t="s">
        <v>3194</v>
      </c>
      <c r="B19" s="37">
        <v>1</v>
      </c>
      <c r="C19" s="37" t="s">
        <v>3175</v>
      </c>
      <c r="D19" s="37">
        <v>100</v>
      </c>
      <c r="E19" s="37" t="s">
        <v>3176</v>
      </c>
    </row>
    <row r="20" spans="1:6" x14ac:dyDescent="0.25">
      <c r="A20" s="35" t="s">
        <v>3195</v>
      </c>
      <c r="B20" s="28">
        <v>1</v>
      </c>
      <c r="C20" s="28" t="s">
        <v>3175</v>
      </c>
      <c r="D20" s="28">
        <v>100</v>
      </c>
      <c r="E20" s="28" t="s">
        <v>3176</v>
      </c>
      <c r="F20" s="34"/>
    </row>
    <row r="21" spans="1:6" x14ac:dyDescent="0.25">
      <c r="A21" s="35" t="s">
        <v>3196</v>
      </c>
      <c r="B21" s="37">
        <v>1</v>
      </c>
      <c r="C21" s="37" t="s">
        <v>3175</v>
      </c>
      <c r="D21" s="37">
        <v>100</v>
      </c>
      <c r="E21" s="37" t="s">
        <v>3176</v>
      </c>
    </row>
    <row r="22" spans="1:6" x14ac:dyDescent="0.25">
      <c r="A22" s="35" t="s">
        <v>3197</v>
      </c>
      <c r="B22" s="28">
        <v>1</v>
      </c>
      <c r="C22" s="28" t="s">
        <v>3175</v>
      </c>
      <c r="D22" s="28">
        <v>100</v>
      </c>
      <c r="E22" s="28" t="s">
        <v>3176</v>
      </c>
      <c r="F22" s="34"/>
    </row>
    <row r="23" spans="1:6" x14ac:dyDescent="0.25">
      <c r="A23" s="35" t="s">
        <v>3198</v>
      </c>
      <c r="B23" s="37">
        <v>1</v>
      </c>
      <c r="C23" s="37" t="s">
        <v>3175</v>
      </c>
      <c r="D23" s="37">
        <v>100</v>
      </c>
      <c r="E23" s="37" t="s">
        <v>3176</v>
      </c>
    </row>
    <row r="24" spans="1:6" x14ac:dyDescent="0.25">
      <c r="A24" s="35" t="s">
        <v>3199</v>
      </c>
      <c r="B24" s="28">
        <v>1</v>
      </c>
      <c r="C24" s="28" t="s">
        <v>3175</v>
      </c>
      <c r="D24" s="28">
        <v>100</v>
      </c>
      <c r="E24" s="28" t="s">
        <v>3176</v>
      </c>
      <c r="F24" s="34"/>
    </row>
    <row r="25" spans="1:6" x14ac:dyDescent="0.25">
      <c r="A25" s="35" t="s">
        <v>3200</v>
      </c>
      <c r="B25" s="37">
        <v>1</v>
      </c>
      <c r="C25" s="37" t="s">
        <v>3175</v>
      </c>
      <c r="D25" s="37">
        <v>100</v>
      </c>
      <c r="E25" s="37" t="s">
        <v>3176</v>
      </c>
    </row>
    <row r="26" spans="1:6" x14ac:dyDescent="0.25">
      <c r="A26" s="35" t="s">
        <v>3201</v>
      </c>
      <c r="B26" s="28">
        <v>1</v>
      </c>
      <c r="C26" s="28" t="s">
        <v>3175</v>
      </c>
      <c r="D26" s="28">
        <v>100</v>
      </c>
      <c r="E26" s="28" t="s">
        <v>3176</v>
      </c>
      <c r="F26" s="34"/>
    </row>
    <row r="27" spans="1:6" x14ac:dyDescent="0.25">
      <c r="A27" s="35" t="s">
        <v>3202</v>
      </c>
      <c r="B27" s="37">
        <v>1</v>
      </c>
      <c r="C27" s="37" t="s">
        <v>3175</v>
      </c>
      <c r="D27" s="37">
        <v>100</v>
      </c>
      <c r="E27" s="37" t="s">
        <v>3176</v>
      </c>
    </row>
    <row r="28" spans="1:6" x14ac:dyDescent="0.25">
      <c r="A28" s="35" t="s">
        <v>3203</v>
      </c>
      <c r="B28" s="28">
        <v>1</v>
      </c>
      <c r="C28" s="28" t="s">
        <v>3175</v>
      </c>
      <c r="D28" s="28">
        <v>100</v>
      </c>
      <c r="E28" s="28" t="s">
        <v>3176</v>
      </c>
      <c r="F28" s="34"/>
    </row>
    <row r="29" spans="1:6" x14ac:dyDescent="0.25">
      <c r="A29" s="35" t="s">
        <v>3204</v>
      </c>
      <c r="B29" s="37">
        <v>1</v>
      </c>
      <c r="C29" s="37" t="s">
        <v>3175</v>
      </c>
      <c r="D29" s="37">
        <v>100</v>
      </c>
      <c r="E29" s="37" t="s">
        <v>3176</v>
      </c>
    </row>
    <row r="30" spans="1:6" x14ac:dyDescent="0.25">
      <c r="A30" s="35" t="s">
        <v>3205</v>
      </c>
      <c r="B30" s="28">
        <v>1</v>
      </c>
      <c r="C30" s="28" t="s">
        <v>3175</v>
      </c>
      <c r="D30" s="28">
        <v>100</v>
      </c>
      <c r="E30" s="28" t="s">
        <v>3176</v>
      </c>
      <c r="F30" s="34"/>
    </row>
    <row r="31" spans="1:6" x14ac:dyDescent="0.25">
      <c r="A31" s="35" t="s">
        <v>3206</v>
      </c>
      <c r="B31" s="37">
        <v>1</v>
      </c>
      <c r="C31" s="37" t="s">
        <v>3175</v>
      </c>
      <c r="D31" s="37">
        <v>100</v>
      </c>
      <c r="E31" s="37" t="s">
        <v>3176</v>
      </c>
    </row>
    <row r="32" spans="1:6" x14ac:dyDescent="0.25">
      <c r="A32" s="35" t="s">
        <v>3207</v>
      </c>
      <c r="B32" s="28">
        <v>1</v>
      </c>
      <c r="C32" s="28" t="s">
        <v>3175</v>
      </c>
      <c r="D32" s="28">
        <v>100</v>
      </c>
      <c r="E32" s="28" t="s">
        <v>3176</v>
      </c>
      <c r="F32" s="34"/>
    </row>
    <row r="33" spans="1:6" x14ac:dyDescent="0.25">
      <c r="A33" s="35" t="s">
        <v>3208</v>
      </c>
      <c r="B33" s="37">
        <v>1</v>
      </c>
      <c r="C33" s="37" t="s">
        <v>3175</v>
      </c>
      <c r="D33" s="37">
        <v>100</v>
      </c>
      <c r="E33" s="37" t="s">
        <v>3176</v>
      </c>
    </row>
    <row r="34" spans="1:6" x14ac:dyDescent="0.25">
      <c r="A34" s="35" t="s">
        <v>3209</v>
      </c>
      <c r="B34" s="28">
        <v>1</v>
      </c>
      <c r="C34" s="28" t="s">
        <v>3175</v>
      </c>
      <c r="D34" s="28">
        <v>100</v>
      </c>
      <c r="E34" s="28" t="s">
        <v>3176</v>
      </c>
      <c r="F34" s="34"/>
    </row>
  </sheetData>
  <autoFilter ref="A1:F34" xr:uid="{00000000-0009-0000-0000-000014000000}"/>
  <dataValidations count="2">
    <dataValidation type="custom" allowBlank="1" showInputMessage="1" promptTitle="WHAT IS THIS? This tab detects s" prompt="WHAT IS THIS? This tab detects structural flaws coded into your page templates. Fixing one template here can instantly fix hundreds of pages.. Review this metric to identify risk, then use linked tabs for details and remediation." sqref="A1" xr:uid="{00000000-0002-0000-1400-000000000000}">
      <formula1>TRUE</formula1>
    </dataValidation>
    <dataValidation type="custom" allowBlank="1" showInputMessage="1" promptTitle="BACK TO DASHBOARD" prompt="BACK TO DASHBOARD. Review this metric to identify risk, then use linked tabs for details and remediation." sqref="F1" xr:uid="{00000000-0002-0000-1400-000001000000}">
      <formula1>TRUE</formula1>
    </dataValidation>
  </dataValidations>
  <hyperlinks>
    <hyperlink ref="F1" location="Dashboard!A1" display="BACK TO DASHBOARD" xr:uid="{00000000-0004-0000-1400-000000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5" customWidth="1"/>
    <col min="3" max="3" width="14" customWidth="1"/>
    <col min="4" max="5" width="12" customWidth="1"/>
    <col min="6" max="6" width="13" customWidth="1"/>
  </cols>
  <sheetData>
    <row r="1" spans="1:8" ht="45" x14ac:dyDescent="0.25">
      <c r="A1" s="27" t="s">
        <v>102</v>
      </c>
      <c r="B1" s="27" t="s">
        <v>3210</v>
      </c>
      <c r="C1" s="27" t="s">
        <v>3211</v>
      </c>
      <c r="D1" s="27" t="s">
        <v>3212</v>
      </c>
      <c r="E1" s="27" t="s">
        <v>462</v>
      </c>
      <c r="F1" s="27" t="s">
        <v>3213</v>
      </c>
      <c r="G1" s="27" t="s">
        <v>122</v>
      </c>
      <c r="H1" s="36" t="s">
        <v>251</v>
      </c>
    </row>
    <row r="2" spans="1:8" ht="15.75" x14ac:dyDescent="0.25">
      <c r="A2" s="33" t="s">
        <v>127</v>
      </c>
      <c r="B2" s="28">
        <v>51</v>
      </c>
      <c r="C2" s="28">
        <v>0</v>
      </c>
      <c r="D2" s="28">
        <v>0</v>
      </c>
      <c r="E2" s="28">
        <v>0</v>
      </c>
      <c r="F2" s="28">
        <v>0</v>
      </c>
      <c r="G2" s="34" t="str">
        <f>IFERROR(HYPERLINK("#Main!A"&amp;MATCH(A2,Main!A:A,0),"Open"),HYPERLINK("#Main!A1","Open"))</f>
        <v>Open</v>
      </c>
      <c r="H2" s="34"/>
    </row>
    <row r="3" spans="1:8" ht="30" customHeight="1" x14ac:dyDescent="0.25">
      <c r="A3" s="30" t="s">
        <v>135</v>
      </c>
      <c r="B3" s="37">
        <v>64</v>
      </c>
      <c r="C3" s="37">
        <v>37</v>
      </c>
      <c r="D3" s="37">
        <v>6.3280000000000003</v>
      </c>
      <c r="E3" s="37">
        <v>2E-3</v>
      </c>
      <c r="F3" s="37">
        <v>0.20699999999999999</v>
      </c>
      <c r="G3" t="str">
        <f>IFERROR(HYPERLINK("#Main!A"&amp;MATCH(A3,Main!A:A,0),"Open"),HYPERLINK("#Main!A1","Open"))</f>
        <v>Open</v>
      </c>
    </row>
    <row r="4" spans="1:8" ht="30" customHeight="1" x14ac:dyDescent="0.25">
      <c r="A4" s="33" t="s">
        <v>144</v>
      </c>
      <c r="B4" s="28">
        <v>43</v>
      </c>
      <c r="C4" s="28">
        <v>32</v>
      </c>
      <c r="D4" s="28">
        <v>29.553000000000001</v>
      </c>
      <c r="E4" s="28">
        <v>0.115</v>
      </c>
      <c r="F4" s="28">
        <v>6.0000000000000001E-3</v>
      </c>
      <c r="G4" s="34" t="str">
        <f>IFERROR(HYPERLINK("#Main!A"&amp;MATCH(A4,Main!A:A,0),"Open"),HYPERLINK("#Main!A1","Open"))</f>
        <v>Open</v>
      </c>
      <c r="H4" s="34"/>
    </row>
    <row r="5" spans="1:8" ht="30" customHeight="1" x14ac:dyDescent="0.25">
      <c r="A5" s="30" t="s">
        <v>152</v>
      </c>
      <c r="B5" s="37">
        <v>0</v>
      </c>
      <c r="C5" s="37">
        <v>33</v>
      </c>
      <c r="D5" s="37">
        <v>17.635999999999999</v>
      </c>
      <c r="E5" s="37">
        <v>1.2E-2</v>
      </c>
      <c r="F5" s="37">
        <v>7.0000000000000001E-3</v>
      </c>
      <c r="G5" t="str">
        <f>IFERROR(HYPERLINK("#Main!A"&amp;MATCH(A5,Main!A:A,0),"Open"),HYPERLINK("#Main!A1","Open"))</f>
        <v>Open</v>
      </c>
    </row>
    <row r="6" spans="1:8" ht="30" customHeight="1" x14ac:dyDescent="0.25">
      <c r="A6" s="33" t="s">
        <v>169</v>
      </c>
      <c r="B6" s="28">
        <v>42</v>
      </c>
      <c r="C6" s="28">
        <v>33</v>
      </c>
      <c r="D6" s="28">
        <v>13.146000000000001</v>
      </c>
      <c r="E6" s="28">
        <v>1.2E-2</v>
      </c>
      <c r="F6" s="28">
        <v>0.20100000000000001</v>
      </c>
      <c r="G6" s="34" t="str">
        <f>IFERROR(HYPERLINK("#Main!A"&amp;MATCH(A6,Main!A:A,0),"Open"),HYPERLINK("#Main!A1","Open"))</f>
        <v>Open</v>
      </c>
      <c r="H6" s="34"/>
    </row>
    <row r="7" spans="1:8" ht="30" customHeight="1" x14ac:dyDescent="0.25">
      <c r="A7" s="30" t="s">
        <v>177</v>
      </c>
      <c r="B7" s="37">
        <v>43</v>
      </c>
      <c r="C7" s="37">
        <v>48</v>
      </c>
      <c r="D7" s="37">
        <v>13.589</v>
      </c>
      <c r="E7" s="37">
        <v>1.2E-2</v>
      </c>
      <c r="F7" s="37">
        <v>0.17399999999999999</v>
      </c>
      <c r="G7" t="str">
        <f>IFERROR(HYPERLINK("#Main!A"&amp;MATCH(A7,Main!A:A,0),"Open"),HYPERLINK("#Main!A1","Open"))</f>
        <v>Open</v>
      </c>
    </row>
    <row r="8" spans="1:8" ht="30" customHeight="1" x14ac:dyDescent="0.25">
      <c r="A8" s="33" t="s">
        <v>161</v>
      </c>
      <c r="B8" s="28">
        <v>58</v>
      </c>
      <c r="C8" s="28">
        <v>39</v>
      </c>
      <c r="D8" s="28">
        <v>7.2409999999999997</v>
      </c>
      <c r="E8" s="28">
        <v>8.9999999999999993E-3</v>
      </c>
      <c r="F8" s="28">
        <v>0.16700000000000001</v>
      </c>
      <c r="G8" s="34" t="str">
        <f>IFERROR(HYPERLINK("#Main!A"&amp;MATCH(A8,Main!A:A,0),"Open"),HYPERLINK("#Main!A1","Open"))</f>
        <v>Open</v>
      </c>
      <c r="H8" s="34"/>
    </row>
    <row r="9" spans="1:8" ht="30" customHeight="1" x14ac:dyDescent="0.25">
      <c r="A9" s="30" t="s">
        <v>185</v>
      </c>
      <c r="B9" s="37">
        <v>57</v>
      </c>
      <c r="C9" s="37">
        <v>39</v>
      </c>
      <c r="D9" s="37">
        <v>15.727</v>
      </c>
      <c r="E9" s="37">
        <v>0</v>
      </c>
      <c r="F9" s="37">
        <v>7.0000000000000001E-3</v>
      </c>
      <c r="G9" t="str">
        <f>IFERROR(HYPERLINK("#Main!A"&amp;MATCH(A9,Main!A:A,0),"Open"),HYPERLINK("#Main!A1","Open"))</f>
        <v>Open</v>
      </c>
    </row>
    <row r="10" spans="1:8" ht="30" customHeight="1" x14ac:dyDescent="0.25">
      <c r="A10" s="33" t="s">
        <v>201</v>
      </c>
      <c r="B10" s="28">
        <v>54</v>
      </c>
      <c r="C10" s="28">
        <v>0</v>
      </c>
      <c r="D10" s="28">
        <v>0</v>
      </c>
      <c r="E10" s="28">
        <v>0</v>
      </c>
      <c r="F10" s="28">
        <v>0</v>
      </c>
      <c r="G10" s="34" t="str">
        <f>IFERROR(HYPERLINK("#Main!A"&amp;MATCH(A10,Main!A:A,0),"Open"),HYPERLINK("#Main!A1","Open"))</f>
        <v>Open</v>
      </c>
      <c r="H10" s="34"/>
    </row>
    <row r="11" spans="1:8" ht="30" customHeight="1" x14ac:dyDescent="0.25">
      <c r="A11" s="30" t="s">
        <v>193</v>
      </c>
      <c r="B11" s="37">
        <v>48</v>
      </c>
      <c r="C11" s="37">
        <v>49</v>
      </c>
      <c r="D11" s="37">
        <v>16.596</v>
      </c>
      <c r="E11" s="37">
        <v>0</v>
      </c>
      <c r="F11" s="37">
        <v>0.17199999999999999</v>
      </c>
      <c r="G11" t="str">
        <f>IFERROR(HYPERLINK("#Main!A"&amp;MATCH(A11,Main!A:A,0),"Open"),HYPERLINK("#Main!A1","Open"))</f>
        <v>Open</v>
      </c>
    </row>
    <row r="12" spans="1:8" ht="30" customHeight="1" x14ac:dyDescent="0.25">
      <c r="A12" s="33" t="s">
        <v>216</v>
      </c>
      <c r="B12" s="28">
        <v>60</v>
      </c>
      <c r="C12" s="28">
        <v>40</v>
      </c>
      <c r="D12" s="28">
        <v>5.242</v>
      </c>
      <c r="E12" s="28">
        <v>0</v>
      </c>
      <c r="F12" s="28">
        <v>5.0000000000000001E-3</v>
      </c>
      <c r="G12" s="34" t="str">
        <f>IFERROR(HYPERLINK("#Main!A"&amp;MATCH(A12,Main!A:A,0),"Open"),HYPERLINK("#Main!A1","Open"))</f>
        <v>Open</v>
      </c>
      <c r="H12" s="34"/>
    </row>
    <row r="13" spans="1:8" ht="30" customHeight="1" x14ac:dyDescent="0.25">
      <c r="A13" s="30" t="s">
        <v>208</v>
      </c>
      <c r="B13" s="37">
        <v>40</v>
      </c>
      <c r="C13" s="37">
        <v>27</v>
      </c>
      <c r="D13" s="37">
        <v>11.249000000000001</v>
      </c>
      <c r="E13" s="37">
        <v>7.0000000000000001E-3</v>
      </c>
      <c r="F13" s="37">
        <v>0.17</v>
      </c>
      <c r="G13" t="str">
        <f>IFERROR(HYPERLINK("#Main!A"&amp;MATCH(A13,Main!A:A,0),"Open"),HYPERLINK("#Main!A1","Open"))</f>
        <v>Open</v>
      </c>
    </row>
    <row r="14" spans="1:8" ht="30" customHeight="1" x14ac:dyDescent="0.25">
      <c r="A14" s="33" t="s">
        <v>224</v>
      </c>
      <c r="B14" s="28">
        <v>46</v>
      </c>
      <c r="C14" s="28">
        <v>32</v>
      </c>
      <c r="D14" s="28">
        <v>13.336</v>
      </c>
      <c r="E14" s="28">
        <v>1E-3</v>
      </c>
      <c r="F14" s="28">
        <v>0.17</v>
      </c>
      <c r="G14" s="34" t="str">
        <f>IFERROR(HYPERLINK("#Main!A"&amp;MATCH(A14,Main!A:A,0),"Open"),HYPERLINK("#Main!A1","Open"))</f>
        <v>Open</v>
      </c>
      <c r="H14" s="34"/>
    </row>
    <row r="15" spans="1:8" ht="30" customHeight="1" x14ac:dyDescent="0.25">
      <c r="A15" s="30" t="s">
        <v>233</v>
      </c>
      <c r="B15" s="37">
        <v>15</v>
      </c>
      <c r="C15" s="37">
        <v>0</v>
      </c>
      <c r="D15" s="37">
        <v>0</v>
      </c>
      <c r="E15" s="37">
        <v>0</v>
      </c>
      <c r="F15" s="37">
        <v>0</v>
      </c>
      <c r="G15" t="str">
        <f>IFERROR(HYPERLINK("#Main!A"&amp;MATCH(A15,Main!A:A,0),"Open"),HYPERLINK("#Main!A1","Open"))</f>
        <v>Open</v>
      </c>
    </row>
    <row r="16" spans="1:8" ht="30" customHeight="1" x14ac:dyDescent="0.25">
      <c r="A16" s="33" t="s">
        <v>241</v>
      </c>
      <c r="B16" s="28">
        <v>46</v>
      </c>
      <c r="C16" s="28">
        <v>42</v>
      </c>
      <c r="D16" s="28">
        <v>12.036</v>
      </c>
      <c r="E16" s="28">
        <v>0</v>
      </c>
      <c r="F16" s="28">
        <v>0.17100000000000001</v>
      </c>
      <c r="G16" s="34" t="str">
        <f>IFERROR(HYPERLINK("#Main!A"&amp;MATCH(A16,Main!A:A,0),"Open"),HYPERLINK("#Main!A1","Open"))</f>
        <v>Open</v>
      </c>
      <c r="H16" s="34"/>
    </row>
    <row r="17" spans="1:8" ht="30" customHeight="1" x14ac:dyDescent="0.25">
      <c r="A17" s="30" t="s">
        <v>485</v>
      </c>
      <c r="B17" s="37">
        <v>61</v>
      </c>
      <c r="C17" s="37">
        <v>25</v>
      </c>
      <c r="D17" s="37">
        <v>9.7149999999999999</v>
      </c>
      <c r="E17" s="37">
        <v>0</v>
      </c>
      <c r="F17" s="37">
        <v>0.17299999999999999</v>
      </c>
      <c r="G17" t="str">
        <f>IFERROR(HYPERLINK("#Main!A"&amp;MATCH(A17,Main!A:A,0),"Open"),HYPERLINK("#Main!A1","Open"))</f>
        <v>Open</v>
      </c>
    </row>
    <row r="18" spans="1:8" ht="30" customHeight="1" x14ac:dyDescent="0.25">
      <c r="A18" s="33" t="s">
        <v>491</v>
      </c>
      <c r="B18" s="28">
        <v>34</v>
      </c>
      <c r="C18" s="28">
        <v>36</v>
      </c>
      <c r="D18" s="28">
        <v>12.696</v>
      </c>
      <c r="E18" s="28">
        <v>0</v>
      </c>
      <c r="F18" s="28">
        <v>0.17</v>
      </c>
      <c r="G18" s="34" t="str">
        <f>IFERROR(HYPERLINK("#Main!A"&amp;MATCH(A18,Main!A:A,0),"Open"),HYPERLINK("#Main!A1","Open"))</f>
        <v>Open</v>
      </c>
      <c r="H18" s="34"/>
    </row>
    <row r="19" spans="1:8" ht="30" customHeight="1" x14ac:dyDescent="0.25">
      <c r="A19" s="30" t="s">
        <v>488</v>
      </c>
      <c r="B19" s="37">
        <v>41</v>
      </c>
      <c r="C19" s="37">
        <v>41</v>
      </c>
      <c r="D19" s="37">
        <v>15.101000000000001</v>
      </c>
      <c r="E19" s="37">
        <v>0</v>
      </c>
      <c r="F19" s="37">
        <v>0.17299999999999999</v>
      </c>
      <c r="G19" t="str">
        <f>IFERROR(HYPERLINK("#Main!A"&amp;MATCH(A19,Main!A:A,0),"Open"),HYPERLINK("#Main!A1","Open"))</f>
        <v>Open</v>
      </c>
    </row>
    <row r="20" spans="1:8" ht="30" customHeight="1" x14ac:dyDescent="0.25">
      <c r="A20" s="33" t="s">
        <v>494</v>
      </c>
      <c r="B20" s="28">
        <v>37</v>
      </c>
      <c r="C20" s="28">
        <v>35</v>
      </c>
      <c r="D20" s="28">
        <v>34.636000000000003</v>
      </c>
      <c r="E20" s="28">
        <v>0.10299999999999999</v>
      </c>
      <c r="F20" s="28">
        <v>0.17299999999999999</v>
      </c>
      <c r="G20" s="34" t="str">
        <f>IFERROR(HYPERLINK("#Main!A"&amp;MATCH(A20,Main!A:A,0),"Open"),HYPERLINK("#Main!A1","Open"))</f>
        <v>Open</v>
      </c>
      <c r="H20" s="34"/>
    </row>
    <row r="21" spans="1:8" ht="30" customHeight="1" x14ac:dyDescent="0.25">
      <c r="A21" s="30" t="s">
        <v>500</v>
      </c>
      <c r="B21" s="37">
        <v>70</v>
      </c>
      <c r="C21" s="37">
        <v>37</v>
      </c>
      <c r="D21" s="37">
        <v>21.213999999999999</v>
      </c>
      <c r="E21" s="37">
        <v>0</v>
      </c>
      <c r="F21" s="37">
        <v>0.219</v>
      </c>
      <c r="G21" t="str">
        <f>IFERROR(HYPERLINK("#Main!A"&amp;MATCH(A21,Main!A:A,0),"Open"),HYPERLINK("#Main!A1","Open"))</f>
        <v>Open</v>
      </c>
    </row>
    <row r="22" spans="1:8" ht="30" customHeight="1" x14ac:dyDescent="0.25">
      <c r="A22" s="33" t="s">
        <v>497</v>
      </c>
      <c r="B22" s="28">
        <v>34</v>
      </c>
      <c r="C22" s="28">
        <v>33</v>
      </c>
      <c r="D22" s="28">
        <v>27.324999999999999</v>
      </c>
      <c r="E22" s="28">
        <v>2E-3</v>
      </c>
      <c r="F22" s="28">
        <v>0.23</v>
      </c>
      <c r="G22" s="34" t="str">
        <f>IFERROR(HYPERLINK("#Main!A"&amp;MATCH(A22,Main!A:A,0),"Open"),HYPERLINK("#Main!A1","Open"))</f>
        <v>Open</v>
      </c>
      <c r="H22" s="34"/>
    </row>
    <row r="23" spans="1:8" ht="30" customHeight="1" x14ac:dyDescent="0.25">
      <c r="A23" s="30" t="s">
        <v>506</v>
      </c>
      <c r="B23" s="37">
        <v>39</v>
      </c>
      <c r="C23" s="37">
        <v>36</v>
      </c>
      <c r="D23" s="37">
        <v>19.992000000000001</v>
      </c>
      <c r="E23" s="37">
        <v>8.9999999999999993E-3</v>
      </c>
      <c r="F23" s="37">
        <v>0.20499999999999999</v>
      </c>
      <c r="G23" t="str">
        <f>IFERROR(HYPERLINK("#Main!A"&amp;MATCH(A23,Main!A:A,0),"Open"),HYPERLINK("#Main!A1","Open"))</f>
        <v>Open</v>
      </c>
    </row>
    <row r="24" spans="1:8" ht="30" customHeight="1" x14ac:dyDescent="0.25">
      <c r="A24" s="33" t="s">
        <v>509</v>
      </c>
      <c r="B24" s="28">
        <v>50</v>
      </c>
      <c r="C24" s="28">
        <v>43</v>
      </c>
      <c r="D24" s="28">
        <v>14.993</v>
      </c>
      <c r="E24" s="28">
        <v>4.0000000000000001E-3</v>
      </c>
      <c r="F24" s="28">
        <v>0.16900000000000001</v>
      </c>
      <c r="G24" s="34" t="str">
        <f>IFERROR(HYPERLINK("#Main!A"&amp;MATCH(A24,Main!A:A,0),"Open"),HYPERLINK("#Main!A1","Open"))</f>
        <v>Open</v>
      </c>
      <c r="H24" s="34"/>
    </row>
    <row r="25" spans="1:8" ht="30" customHeight="1" x14ac:dyDescent="0.25">
      <c r="A25" s="30" t="s">
        <v>503</v>
      </c>
      <c r="B25" s="37">
        <v>34</v>
      </c>
      <c r="C25" s="37">
        <v>0</v>
      </c>
      <c r="D25" s="37">
        <v>0</v>
      </c>
      <c r="E25" s="37">
        <v>0</v>
      </c>
      <c r="F25" s="37">
        <v>0</v>
      </c>
      <c r="G25" t="str">
        <f>IFERROR(HYPERLINK("#Main!A"&amp;MATCH(A25,Main!A:A,0),"Open"),HYPERLINK("#Main!A1","Open"))</f>
        <v>Open</v>
      </c>
    </row>
    <row r="26" spans="1:8" ht="30" customHeight="1" x14ac:dyDescent="0.25">
      <c r="A26" s="33" t="s">
        <v>476</v>
      </c>
      <c r="B26" s="28">
        <v>0</v>
      </c>
      <c r="C26" s="28">
        <v>0</v>
      </c>
      <c r="D26" s="28">
        <v>0</v>
      </c>
      <c r="E26" s="28">
        <v>0</v>
      </c>
      <c r="F26" s="28">
        <v>0</v>
      </c>
      <c r="G26" s="34" t="str">
        <f>IFERROR(HYPERLINK("#Main!A"&amp;MATCH(A26,Main!A:A,0),"Open"),HYPERLINK("#Main!A1","Open"))</f>
        <v>Open</v>
      </c>
      <c r="H26" s="34"/>
    </row>
    <row r="27" spans="1:8" ht="30" customHeight="1" x14ac:dyDescent="0.25">
      <c r="A27" s="30" t="s">
        <v>512</v>
      </c>
      <c r="B27" s="37">
        <v>54</v>
      </c>
      <c r="C27" s="37">
        <v>33</v>
      </c>
      <c r="D27" s="37">
        <v>8.5329999999999995</v>
      </c>
      <c r="E27" s="37">
        <v>6.4000000000000001E-2</v>
      </c>
      <c r="F27" s="37">
        <v>0.17699999999999999</v>
      </c>
      <c r="G27" t="str">
        <f>IFERROR(HYPERLINK("#Main!A"&amp;MATCH(A27,Main!A:A,0),"Open"),HYPERLINK("#Main!A1","Open"))</f>
        <v>Open</v>
      </c>
    </row>
    <row r="28" spans="1:8" ht="30" customHeight="1" x14ac:dyDescent="0.25">
      <c r="A28" s="33" t="s">
        <v>515</v>
      </c>
      <c r="B28" s="28">
        <v>58</v>
      </c>
      <c r="C28" s="28">
        <v>36</v>
      </c>
      <c r="D28" s="28">
        <v>13.090999999999999</v>
      </c>
      <c r="E28" s="28">
        <v>0</v>
      </c>
      <c r="F28" s="28">
        <v>0.20100000000000001</v>
      </c>
      <c r="G28" s="34" t="str">
        <f>IFERROR(HYPERLINK("#Main!A"&amp;MATCH(A28,Main!A:A,0),"Open"),HYPERLINK("#Main!A1","Open"))</f>
        <v>Open</v>
      </c>
      <c r="H28" s="34"/>
    </row>
    <row r="29" spans="1:8" ht="30" customHeight="1" x14ac:dyDescent="0.25">
      <c r="A29" s="30" t="s">
        <v>518</v>
      </c>
      <c r="B29" s="37">
        <v>30</v>
      </c>
      <c r="C29" s="37">
        <v>0</v>
      </c>
      <c r="D29" s="37">
        <v>0</v>
      </c>
      <c r="E29" s="37">
        <v>0</v>
      </c>
      <c r="F29" s="37">
        <v>0</v>
      </c>
      <c r="G29" t="str">
        <f>IFERROR(HYPERLINK("#Main!A"&amp;MATCH(A29,Main!A:A,0),"Open"),HYPERLINK("#Main!A1","Open"))</f>
        <v>Open</v>
      </c>
    </row>
    <row r="30" spans="1:8" ht="30" customHeight="1" x14ac:dyDescent="0.25">
      <c r="A30" s="33" t="s">
        <v>521</v>
      </c>
      <c r="B30" s="28">
        <v>68</v>
      </c>
      <c r="C30" s="28">
        <v>29</v>
      </c>
      <c r="D30" s="28">
        <v>12.282999999999999</v>
      </c>
      <c r="E30" s="28">
        <v>0.02</v>
      </c>
      <c r="F30" s="28">
        <v>0.20300000000000001</v>
      </c>
      <c r="G30" s="34" t="str">
        <f>IFERROR(HYPERLINK("#Main!A"&amp;MATCH(A30,Main!A:A,0),"Open"),HYPERLINK("#Main!A1","Open"))</f>
        <v>Open</v>
      </c>
      <c r="H30" s="34"/>
    </row>
    <row r="31" spans="1:8" ht="30" customHeight="1" x14ac:dyDescent="0.25">
      <c r="A31" s="30" t="s">
        <v>524</v>
      </c>
      <c r="B31" s="37">
        <v>34</v>
      </c>
      <c r="C31" s="37">
        <v>36</v>
      </c>
      <c r="D31" s="37">
        <v>22.667000000000002</v>
      </c>
      <c r="E31" s="37">
        <v>4.2000000000000003E-2</v>
      </c>
      <c r="F31" s="37">
        <v>0.17199999999999999</v>
      </c>
      <c r="G31" t="str">
        <f>IFERROR(HYPERLINK("#Main!A"&amp;MATCH(A31,Main!A:A,0),"Open"),HYPERLINK("#Main!A1","Open"))</f>
        <v>Open</v>
      </c>
    </row>
    <row r="32" spans="1:8" ht="30" customHeight="1" x14ac:dyDescent="0.25">
      <c r="A32" s="33" t="s">
        <v>527</v>
      </c>
      <c r="B32" s="28">
        <v>30</v>
      </c>
      <c r="C32" s="28">
        <v>0</v>
      </c>
      <c r="D32" s="28">
        <v>0</v>
      </c>
      <c r="E32" s="28">
        <v>0</v>
      </c>
      <c r="F32" s="28">
        <v>0</v>
      </c>
      <c r="G32" s="34" t="str">
        <f>IFERROR(HYPERLINK("#Main!A"&amp;MATCH(A32,Main!A:A,0),"Open"),HYPERLINK("#Main!A1","Open"))</f>
        <v>Open</v>
      </c>
      <c r="H32" s="34"/>
    </row>
    <row r="33" spans="1:8" ht="45" customHeight="1" x14ac:dyDescent="0.25">
      <c r="A33" s="30" t="s">
        <v>528</v>
      </c>
      <c r="B33" s="37">
        <v>48</v>
      </c>
      <c r="C33" s="37">
        <v>49</v>
      </c>
      <c r="D33" s="37">
        <v>19.97</v>
      </c>
      <c r="E33" s="37">
        <v>3.0000000000000001E-3</v>
      </c>
      <c r="F33" s="37">
        <v>0.17</v>
      </c>
      <c r="G33" t="str">
        <f>IFERROR(HYPERLINK("#Main!A"&amp;MATCH(A33,Main!A:A,0),"Open"),HYPERLINK("#Main!A1","Open"))</f>
        <v>Open</v>
      </c>
    </row>
    <row r="34" spans="1:8" ht="30" customHeight="1" x14ac:dyDescent="0.25">
      <c r="A34" s="33" t="s">
        <v>531</v>
      </c>
      <c r="B34" s="28">
        <v>40</v>
      </c>
      <c r="C34" s="28">
        <v>27</v>
      </c>
      <c r="D34" s="28">
        <v>25.164000000000001</v>
      </c>
      <c r="E34" s="28">
        <v>1E-3</v>
      </c>
      <c r="F34" s="28">
        <v>0.17699999999999999</v>
      </c>
      <c r="G34" s="34" t="str">
        <f>IFERROR(HYPERLINK("#Main!A"&amp;MATCH(A34,Main!A:A,0),"Open"),HYPERLINK("#Main!A1","Open"))</f>
        <v>Open</v>
      </c>
      <c r="H34" s="34"/>
    </row>
    <row r="35" spans="1:8" ht="30" customHeight="1" x14ac:dyDescent="0.25">
      <c r="A35" s="30" t="s">
        <v>534</v>
      </c>
      <c r="B35" s="37">
        <v>27</v>
      </c>
      <c r="C35" s="37">
        <v>35</v>
      </c>
      <c r="D35" s="37">
        <v>18.577999999999999</v>
      </c>
      <c r="E35" s="37">
        <v>7.0000000000000001E-3</v>
      </c>
      <c r="F35" s="37">
        <v>0.17299999999999999</v>
      </c>
      <c r="G35" t="str">
        <f>IFERROR(HYPERLINK("#Main!A"&amp;MATCH(A35,Main!A:A,0),"Open"),HYPERLINK("#Main!A1","Open"))</f>
        <v>Open</v>
      </c>
    </row>
    <row r="36" spans="1:8" ht="30" customHeight="1" x14ac:dyDescent="0.25">
      <c r="A36" s="33" t="s">
        <v>537</v>
      </c>
      <c r="B36" s="28">
        <v>45</v>
      </c>
      <c r="C36" s="28">
        <v>29</v>
      </c>
      <c r="D36" s="28">
        <v>12.06</v>
      </c>
      <c r="E36" s="28">
        <v>3.0000000000000001E-3</v>
      </c>
      <c r="F36" s="28">
        <v>0.17499999999999999</v>
      </c>
      <c r="G36" s="34" t="str">
        <f>IFERROR(HYPERLINK("#Main!A"&amp;MATCH(A36,Main!A:A,0),"Open"),HYPERLINK("#Main!A1","Open"))</f>
        <v>Open</v>
      </c>
      <c r="H36" s="34"/>
    </row>
    <row r="37" spans="1:8" ht="45" customHeight="1" x14ac:dyDescent="0.25">
      <c r="A37" s="30" t="s">
        <v>540</v>
      </c>
      <c r="B37" s="37">
        <v>32</v>
      </c>
      <c r="C37" s="37">
        <v>28</v>
      </c>
      <c r="D37" s="37">
        <v>123.768</v>
      </c>
      <c r="E37" s="37">
        <v>3.0000000000000001E-3</v>
      </c>
      <c r="F37" s="37">
        <v>0.17599999999999999</v>
      </c>
      <c r="G37" t="str">
        <f>IFERROR(HYPERLINK("#Main!A"&amp;MATCH(A37,Main!A:A,0),"Open"),HYPERLINK("#Main!A1","Open"))</f>
        <v>Open</v>
      </c>
    </row>
    <row r="38" spans="1:8" ht="30" customHeight="1" x14ac:dyDescent="0.25">
      <c r="A38" s="33" t="s">
        <v>543</v>
      </c>
      <c r="B38" s="28">
        <v>17</v>
      </c>
      <c r="C38" s="28">
        <v>46</v>
      </c>
      <c r="D38" s="28">
        <v>24.268999999999998</v>
      </c>
      <c r="E38" s="28">
        <v>1E-3</v>
      </c>
      <c r="F38" s="28">
        <v>0.17699999999999999</v>
      </c>
      <c r="G38" s="34" t="str">
        <f>IFERROR(HYPERLINK("#Main!A"&amp;MATCH(A38,Main!A:A,0),"Open"),HYPERLINK("#Main!A1","Open"))</f>
        <v>Open</v>
      </c>
      <c r="H38" s="34"/>
    </row>
    <row r="39" spans="1:8" ht="30" customHeight="1" x14ac:dyDescent="0.25">
      <c r="A39" s="30" t="s">
        <v>483</v>
      </c>
      <c r="B39" s="37">
        <v>0</v>
      </c>
      <c r="C39" s="37">
        <v>0</v>
      </c>
      <c r="D39" s="37">
        <v>0</v>
      </c>
      <c r="E39" s="37">
        <v>0</v>
      </c>
      <c r="F39" s="37">
        <v>0</v>
      </c>
      <c r="G39" t="str">
        <f>IFERROR(HYPERLINK("#Main!A"&amp;MATCH(A39,Main!A:A,0),"Open"),HYPERLINK("#Main!A1","Open"))</f>
        <v>Open</v>
      </c>
    </row>
    <row r="40" spans="1:8" ht="30" customHeight="1" x14ac:dyDescent="0.25">
      <c r="A40" s="33" t="s">
        <v>546</v>
      </c>
      <c r="B40" s="28">
        <v>34</v>
      </c>
      <c r="C40" s="28">
        <v>29</v>
      </c>
      <c r="D40" s="28">
        <v>20.7</v>
      </c>
      <c r="E40" s="28">
        <v>0</v>
      </c>
      <c r="F40" s="28">
        <v>0.17100000000000001</v>
      </c>
      <c r="G40" s="34" t="str">
        <f>IFERROR(HYPERLINK("#Main!A"&amp;MATCH(A40,Main!A:A,0),"Open"),HYPERLINK("#Main!A1","Open"))</f>
        <v>Open</v>
      </c>
      <c r="H40" s="34"/>
    </row>
    <row r="41" spans="1:8" ht="30" customHeight="1" x14ac:dyDescent="0.25">
      <c r="A41" s="30" t="s">
        <v>549</v>
      </c>
      <c r="B41" s="37">
        <v>30</v>
      </c>
      <c r="C41" s="37">
        <v>39</v>
      </c>
      <c r="D41" s="37">
        <v>16.286999999999999</v>
      </c>
      <c r="E41" s="37">
        <v>0</v>
      </c>
      <c r="F41" s="37">
        <v>0.34499999999999997</v>
      </c>
      <c r="G41" t="str">
        <f>IFERROR(HYPERLINK("#Main!A"&amp;MATCH(A41,Main!A:A,0),"Open"),HYPERLINK("#Main!A1","Open"))</f>
        <v>Open</v>
      </c>
    </row>
    <row r="42" spans="1:8" ht="30" customHeight="1" x14ac:dyDescent="0.25">
      <c r="A42" s="33" t="s">
        <v>555</v>
      </c>
      <c r="B42" s="28">
        <v>55</v>
      </c>
      <c r="C42" s="28">
        <v>33</v>
      </c>
      <c r="D42" s="28">
        <v>4.9669999999999996</v>
      </c>
      <c r="E42" s="28">
        <v>5.6000000000000001E-2</v>
      </c>
      <c r="F42" s="28">
        <v>0.16800000000000001</v>
      </c>
      <c r="G42" s="34" t="str">
        <f>IFERROR(HYPERLINK("#Main!A"&amp;MATCH(A42,Main!A:A,0),"Open"),HYPERLINK("#Main!A1","Open"))</f>
        <v>Open</v>
      </c>
      <c r="H42" s="34"/>
    </row>
    <row r="43" spans="1:8" ht="30" customHeight="1" x14ac:dyDescent="0.25">
      <c r="A43" s="30" t="s">
        <v>557</v>
      </c>
      <c r="B43" s="37">
        <v>60</v>
      </c>
      <c r="C43" s="37">
        <v>41</v>
      </c>
      <c r="D43" s="37">
        <v>8.9659999999999993</v>
      </c>
      <c r="E43" s="37">
        <v>0</v>
      </c>
      <c r="F43" s="37">
        <v>8.9999999999999993E-3</v>
      </c>
      <c r="G43" t="str">
        <f>IFERROR(HYPERLINK("#Main!A"&amp;MATCH(A43,Main!A:A,0),"Open"),HYPERLINK("#Main!A1","Open"))</f>
        <v>Open</v>
      </c>
    </row>
    <row r="44" spans="1:8" ht="30" customHeight="1" x14ac:dyDescent="0.25">
      <c r="A44" s="33" t="s">
        <v>552</v>
      </c>
      <c r="B44" s="28">
        <v>51</v>
      </c>
      <c r="C44" s="28">
        <v>33</v>
      </c>
      <c r="D44" s="28">
        <v>10.269</v>
      </c>
      <c r="E44" s="28">
        <v>0.10100000000000001</v>
      </c>
      <c r="F44" s="28">
        <v>0.17399999999999999</v>
      </c>
      <c r="G44" s="34" t="str">
        <f>IFERROR(HYPERLINK("#Main!A"&amp;MATCH(A44,Main!A:A,0),"Open"),HYPERLINK("#Main!A1","Open"))</f>
        <v>Open</v>
      </c>
      <c r="H44" s="34"/>
    </row>
    <row r="45" spans="1:8" ht="30" customHeight="1" x14ac:dyDescent="0.25">
      <c r="A45" s="30" t="s">
        <v>560</v>
      </c>
      <c r="B45" s="37">
        <v>46</v>
      </c>
      <c r="C45" s="37">
        <v>28</v>
      </c>
      <c r="D45" s="37">
        <v>10.125999999999999</v>
      </c>
      <c r="E45" s="37">
        <v>6.2E-2</v>
      </c>
      <c r="F45" s="37">
        <v>0.17699999999999999</v>
      </c>
      <c r="G45" t="str">
        <f>IFERROR(HYPERLINK("#Main!A"&amp;MATCH(A45,Main!A:A,0),"Open"),HYPERLINK("#Main!A1","Open"))</f>
        <v>Open</v>
      </c>
    </row>
    <row r="46" spans="1:8" ht="30" customHeight="1" x14ac:dyDescent="0.25">
      <c r="A46" s="33" t="s">
        <v>563</v>
      </c>
      <c r="B46" s="28">
        <v>24</v>
      </c>
      <c r="C46" s="28">
        <v>18</v>
      </c>
      <c r="D46" s="28">
        <v>10.48</v>
      </c>
      <c r="E46" s="28">
        <v>0.56899999999999995</v>
      </c>
      <c r="F46" s="28">
        <v>0.20300000000000001</v>
      </c>
      <c r="G46" s="34" t="str">
        <f>IFERROR(HYPERLINK("#Main!A"&amp;MATCH(A46,Main!A:A,0),"Open"),HYPERLINK("#Main!A1","Open"))</f>
        <v>Open</v>
      </c>
      <c r="H46" s="34"/>
    </row>
    <row r="47" spans="1:8" ht="30" customHeight="1" x14ac:dyDescent="0.25">
      <c r="A47" s="30" t="s">
        <v>566</v>
      </c>
      <c r="B47" s="37">
        <v>32</v>
      </c>
      <c r="C47" s="37">
        <v>27</v>
      </c>
      <c r="D47" s="37">
        <v>21.818999999999999</v>
      </c>
      <c r="E47" s="37">
        <v>0</v>
      </c>
      <c r="F47" s="37">
        <v>0.17299999999999999</v>
      </c>
      <c r="G47" t="str">
        <f>IFERROR(HYPERLINK("#Main!A"&amp;MATCH(A47,Main!A:A,0),"Open"),HYPERLINK("#Main!A1","Open"))</f>
        <v>Open</v>
      </c>
    </row>
    <row r="48" spans="1:8" ht="30" customHeight="1" x14ac:dyDescent="0.25">
      <c r="A48" s="33" t="s">
        <v>570</v>
      </c>
      <c r="B48" s="28">
        <v>27</v>
      </c>
      <c r="C48" s="28">
        <v>12</v>
      </c>
      <c r="D48" s="28">
        <v>8.9429999999999996</v>
      </c>
      <c r="E48" s="28">
        <v>0.54</v>
      </c>
      <c r="F48" s="28">
        <v>0.02</v>
      </c>
      <c r="G48" s="34" t="str">
        <f>IFERROR(HYPERLINK("#Main!A"&amp;MATCH(A48,Main!A:A,0),"Open"),HYPERLINK("#Main!A1","Open"))</f>
        <v>Open</v>
      </c>
      <c r="H48" s="34"/>
    </row>
    <row r="49" spans="1:8" ht="30" customHeight="1" x14ac:dyDescent="0.25">
      <c r="A49" s="30" t="s">
        <v>577</v>
      </c>
      <c r="B49" s="37">
        <v>40</v>
      </c>
      <c r="C49" s="37">
        <v>39</v>
      </c>
      <c r="D49" s="37">
        <v>10.68</v>
      </c>
      <c r="E49" s="37">
        <v>1E-3</v>
      </c>
      <c r="F49" s="37">
        <v>0.17100000000000001</v>
      </c>
      <c r="G49" t="str">
        <f>IFERROR(HYPERLINK("#Main!A"&amp;MATCH(A49,Main!A:A,0),"Open"),HYPERLINK("#Main!A1","Open"))</f>
        <v>Open</v>
      </c>
    </row>
    <row r="50" spans="1:8" ht="30" customHeight="1" x14ac:dyDescent="0.25">
      <c r="A50" s="33" t="s">
        <v>579</v>
      </c>
      <c r="B50" s="28">
        <v>51</v>
      </c>
      <c r="C50" s="28">
        <v>40</v>
      </c>
      <c r="D50" s="28">
        <v>8.2409999999999997</v>
      </c>
      <c r="E50" s="28">
        <v>1E-3</v>
      </c>
      <c r="F50" s="28">
        <v>0.23400000000000001</v>
      </c>
      <c r="G50" s="34" t="str">
        <f>IFERROR(HYPERLINK("#Main!A"&amp;MATCH(A50,Main!A:A,0),"Open"),HYPERLINK("#Main!A1","Open"))</f>
        <v>Open</v>
      </c>
      <c r="H50" s="34"/>
    </row>
    <row r="51" spans="1:8" ht="30" customHeight="1" x14ac:dyDescent="0.25">
      <c r="A51" s="30" t="s">
        <v>573</v>
      </c>
      <c r="B51" s="37">
        <v>49</v>
      </c>
      <c r="C51" s="37">
        <v>26</v>
      </c>
      <c r="D51" s="37">
        <v>9.2100000000000009</v>
      </c>
      <c r="E51" s="37">
        <v>1E-3</v>
      </c>
      <c r="F51" s="37">
        <v>8.0000000000000002E-3</v>
      </c>
      <c r="G51" t="str">
        <f>IFERROR(HYPERLINK("#Main!A"&amp;MATCH(A51,Main!A:A,0),"Open"),HYPERLINK("#Main!A1","Open"))</f>
        <v>Open</v>
      </c>
    </row>
    <row r="52" spans="1:8" ht="30" customHeight="1" x14ac:dyDescent="0.25">
      <c r="A52" s="33" t="s">
        <v>582</v>
      </c>
      <c r="B52" s="28">
        <v>50</v>
      </c>
      <c r="C52" s="28">
        <v>30</v>
      </c>
      <c r="D52" s="28">
        <v>7.1580000000000004</v>
      </c>
      <c r="E52" s="28">
        <v>1E-3</v>
      </c>
      <c r="F52" s="28">
        <v>0.17399999999999999</v>
      </c>
      <c r="G52" s="34" t="str">
        <f>IFERROR(HYPERLINK("#Main!A"&amp;MATCH(A52,Main!A:A,0),"Open"),HYPERLINK("#Main!A1","Open"))</f>
        <v>Open</v>
      </c>
      <c r="H52" s="34"/>
    </row>
    <row r="53" spans="1:8" ht="30" customHeight="1" x14ac:dyDescent="0.25">
      <c r="A53" s="30" t="s">
        <v>588</v>
      </c>
      <c r="B53" s="37">
        <v>51</v>
      </c>
      <c r="C53" s="37">
        <v>45</v>
      </c>
      <c r="D53" s="37">
        <v>14.959</v>
      </c>
      <c r="E53" s="37">
        <v>1E-3</v>
      </c>
      <c r="F53" s="37">
        <v>0.17</v>
      </c>
      <c r="G53" t="str">
        <f>IFERROR(HYPERLINK("#Main!A"&amp;MATCH(A53,Main!A:A,0),"Open"),HYPERLINK("#Main!A1","Open"))</f>
        <v>Open</v>
      </c>
    </row>
    <row r="54" spans="1:8" ht="30" customHeight="1" x14ac:dyDescent="0.25">
      <c r="A54" s="33" t="s">
        <v>591</v>
      </c>
      <c r="B54" s="28">
        <v>44</v>
      </c>
      <c r="C54" s="28">
        <v>45</v>
      </c>
      <c r="D54" s="28">
        <v>13.657</v>
      </c>
      <c r="E54" s="28">
        <v>1E-3</v>
      </c>
      <c r="F54" s="28">
        <v>0.17199999999999999</v>
      </c>
      <c r="G54" s="34" t="str">
        <f>IFERROR(HYPERLINK("#Main!A"&amp;MATCH(A54,Main!A:A,0),"Open"),HYPERLINK("#Main!A1","Open"))</f>
        <v>Open</v>
      </c>
      <c r="H54" s="34"/>
    </row>
    <row r="55" spans="1:8" ht="30" customHeight="1" x14ac:dyDescent="0.25">
      <c r="A55" s="30" t="s">
        <v>594</v>
      </c>
      <c r="B55" s="37">
        <v>57</v>
      </c>
      <c r="C55" s="37">
        <v>42</v>
      </c>
      <c r="D55" s="37">
        <v>5.6020000000000003</v>
      </c>
      <c r="E55" s="37">
        <v>2E-3</v>
      </c>
      <c r="F55" s="37">
        <v>0.20499999999999999</v>
      </c>
      <c r="G55" t="str">
        <f>IFERROR(HYPERLINK("#Main!A"&amp;MATCH(A55,Main!A:A,0),"Open"),HYPERLINK("#Main!A1","Open"))</f>
        <v>Open</v>
      </c>
    </row>
    <row r="56" spans="1:8" ht="30" customHeight="1" x14ac:dyDescent="0.25">
      <c r="A56" s="33" t="s">
        <v>585</v>
      </c>
      <c r="B56" s="28">
        <v>53</v>
      </c>
      <c r="C56" s="28">
        <v>44</v>
      </c>
      <c r="D56" s="28">
        <v>7.26</v>
      </c>
      <c r="E56" s="28">
        <v>1E-3</v>
      </c>
      <c r="F56" s="28">
        <v>6.0000000000000001E-3</v>
      </c>
      <c r="G56" s="34" t="str">
        <f>IFERROR(HYPERLINK("#Main!A"&amp;MATCH(A56,Main!A:A,0),"Open"),HYPERLINK("#Main!A1","Open"))</f>
        <v>Open</v>
      </c>
      <c r="H56" s="34"/>
    </row>
    <row r="57" spans="1:8" ht="30" customHeight="1" x14ac:dyDescent="0.25">
      <c r="A57" s="30" t="s">
        <v>597</v>
      </c>
      <c r="B57" s="37">
        <v>0</v>
      </c>
      <c r="C57" s="37">
        <v>0</v>
      </c>
      <c r="D57" s="37">
        <v>0</v>
      </c>
      <c r="E57" s="37">
        <v>0</v>
      </c>
      <c r="F57" s="37">
        <v>0</v>
      </c>
      <c r="G57" t="str">
        <f>IFERROR(HYPERLINK("#Main!A"&amp;MATCH(A57,Main!A:A,0),"Open"),HYPERLINK("#Main!A1","Open"))</f>
        <v>Open</v>
      </c>
    </row>
    <row r="58" spans="1:8" ht="30" customHeight="1" x14ac:dyDescent="0.25">
      <c r="A58" s="33" t="s">
        <v>601</v>
      </c>
      <c r="B58" s="28">
        <v>37</v>
      </c>
      <c r="C58" s="28">
        <v>37</v>
      </c>
      <c r="D58" s="28">
        <v>24.283999999999999</v>
      </c>
      <c r="E58" s="28">
        <v>6.5000000000000002E-2</v>
      </c>
      <c r="F58" s="28">
        <v>0.17299999999999999</v>
      </c>
      <c r="G58" s="34" t="str">
        <f>IFERROR(HYPERLINK("#Main!A"&amp;MATCH(A58,Main!A:A,0),"Open"),HYPERLINK("#Main!A1","Open"))</f>
        <v>Open</v>
      </c>
      <c r="H58" s="34"/>
    </row>
    <row r="59" spans="1:8" ht="30" customHeight="1" x14ac:dyDescent="0.25">
      <c r="A59" s="30" t="s">
        <v>604</v>
      </c>
      <c r="B59" s="37">
        <v>46</v>
      </c>
      <c r="C59" s="37">
        <v>29</v>
      </c>
      <c r="D59" s="37">
        <v>11.528</v>
      </c>
      <c r="E59" s="37">
        <v>2.3E-2</v>
      </c>
      <c r="F59" s="37">
        <v>0.17299999999999999</v>
      </c>
      <c r="G59" t="str">
        <f>IFERROR(HYPERLINK("#Main!A"&amp;MATCH(A59,Main!A:A,0),"Open"),HYPERLINK("#Main!A1","Open"))</f>
        <v>Open</v>
      </c>
    </row>
    <row r="60" spans="1:8" ht="30" customHeight="1" x14ac:dyDescent="0.25">
      <c r="A60" s="33" t="s">
        <v>608</v>
      </c>
      <c r="B60" s="28">
        <v>61</v>
      </c>
      <c r="C60" s="28">
        <v>36</v>
      </c>
      <c r="D60" s="28">
        <v>5.407</v>
      </c>
      <c r="E60" s="28">
        <v>3.0000000000000001E-3</v>
      </c>
      <c r="F60" s="28">
        <v>0.59499999999999997</v>
      </c>
      <c r="G60" s="34" t="str">
        <f>IFERROR(HYPERLINK("#Main!A"&amp;MATCH(A60,Main!A:A,0),"Open"),HYPERLINK("#Main!A1","Open"))</f>
        <v>Open</v>
      </c>
      <c r="H60" s="34"/>
    </row>
    <row r="61" spans="1:8" ht="30" customHeight="1" x14ac:dyDescent="0.25">
      <c r="A61" s="30" t="s">
        <v>611</v>
      </c>
      <c r="B61" s="37">
        <v>53</v>
      </c>
      <c r="C61" s="37">
        <v>33</v>
      </c>
      <c r="D61" s="37">
        <v>9.2460000000000004</v>
      </c>
      <c r="E61" s="37">
        <v>1E-3</v>
      </c>
      <c r="F61" s="37">
        <v>0.20200000000000001</v>
      </c>
      <c r="G61" t="str">
        <f>IFERROR(HYPERLINK("#Main!A"&amp;MATCH(A61,Main!A:A,0),"Open"),HYPERLINK("#Main!A1","Open"))</f>
        <v>Open</v>
      </c>
    </row>
    <row r="62" spans="1:8" ht="30" customHeight="1" x14ac:dyDescent="0.25">
      <c r="A62" s="33" t="s">
        <v>615</v>
      </c>
      <c r="B62" s="28">
        <v>63</v>
      </c>
      <c r="C62" s="28">
        <v>39</v>
      </c>
      <c r="D62" s="28">
        <v>11.297000000000001</v>
      </c>
      <c r="E62" s="28">
        <v>2E-3</v>
      </c>
      <c r="F62" s="28">
        <v>0.16900000000000001</v>
      </c>
      <c r="G62" s="34" t="str">
        <f>IFERROR(HYPERLINK("#Main!A"&amp;MATCH(A62,Main!A:A,0),"Open"),HYPERLINK("#Main!A1","Open"))</f>
        <v>Open</v>
      </c>
      <c r="H62" s="34"/>
    </row>
    <row r="63" spans="1:8" ht="30" customHeight="1" x14ac:dyDescent="0.25">
      <c r="A63" s="30" t="s">
        <v>618</v>
      </c>
      <c r="B63" s="37">
        <v>49</v>
      </c>
      <c r="C63" s="37">
        <v>31</v>
      </c>
      <c r="D63" s="37">
        <v>7.42</v>
      </c>
      <c r="E63" s="37">
        <v>1E-3</v>
      </c>
      <c r="F63" s="37">
        <v>0.17399999999999999</v>
      </c>
      <c r="G63" t="str">
        <f>IFERROR(HYPERLINK("#Main!A"&amp;MATCH(A63,Main!A:A,0),"Open"),HYPERLINK("#Main!A1","Open"))</f>
        <v>Open</v>
      </c>
    </row>
    <row r="64" spans="1:8" ht="30" customHeight="1" x14ac:dyDescent="0.25">
      <c r="A64" s="33" t="s">
        <v>621</v>
      </c>
      <c r="B64" s="28">
        <v>64</v>
      </c>
      <c r="C64" s="28">
        <v>30</v>
      </c>
      <c r="D64" s="28">
        <v>8.3059999999999992</v>
      </c>
      <c r="E64" s="28">
        <v>1E-3</v>
      </c>
      <c r="F64" s="28">
        <v>0.17</v>
      </c>
      <c r="G64" s="34" t="str">
        <f>IFERROR(HYPERLINK("#Main!A"&amp;MATCH(A64,Main!A:A,0),"Open"),HYPERLINK("#Main!A1","Open"))</f>
        <v>Open</v>
      </c>
      <c r="H64" s="34"/>
    </row>
    <row r="65" spans="1:8" ht="30" customHeight="1" x14ac:dyDescent="0.25">
      <c r="A65" s="30" t="s">
        <v>624</v>
      </c>
      <c r="B65" s="37">
        <v>66</v>
      </c>
      <c r="C65" s="37">
        <v>34</v>
      </c>
      <c r="D65" s="37">
        <v>6.0140000000000002</v>
      </c>
      <c r="E65" s="37">
        <v>2.4E-2</v>
      </c>
      <c r="F65" s="37">
        <v>0.20899999999999999</v>
      </c>
      <c r="G65" t="str">
        <f>IFERROR(HYPERLINK("#Main!A"&amp;MATCH(A65,Main!A:A,0),"Open"),HYPERLINK("#Main!A1","Open"))</f>
        <v>Open</v>
      </c>
    </row>
    <row r="66" spans="1:8" ht="30" customHeight="1" x14ac:dyDescent="0.25">
      <c r="A66" s="33" t="s">
        <v>626</v>
      </c>
      <c r="B66" s="28">
        <v>56</v>
      </c>
      <c r="C66" s="28">
        <v>0</v>
      </c>
      <c r="D66" s="28">
        <v>0</v>
      </c>
      <c r="E66" s="28">
        <v>0</v>
      </c>
      <c r="F66" s="28">
        <v>0</v>
      </c>
      <c r="G66" s="34" t="str">
        <f>IFERROR(HYPERLINK("#Main!A"&amp;MATCH(A66,Main!A:A,0),"Open"),HYPERLINK("#Main!A1","Open"))</f>
        <v>Open</v>
      </c>
      <c r="H66" s="34"/>
    </row>
    <row r="67" spans="1:8" ht="30" customHeight="1" x14ac:dyDescent="0.25">
      <c r="A67" s="30" t="s">
        <v>629</v>
      </c>
      <c r="B67" s="37">
        <v>63</v>
      </c>
      <c r="C67" s="37">
        <v>43</v>
      </c>
      <c r="D67" s="37">
        <v>8.74</v>
      </c>
      <c r="E67" s="37">
        <v>6.0000000000000001E-3</v>
      </c>
      <c r="F67" s="37">
        <v>0.2</v>
      </c>
      <c r="G67" t="str">
        <f>IFERROR(HYPERLINK("#Main!A"&amp;MATCH(A67,Main!A:A,0),"Open"),HYPERLINK("#Main!A1","Open"))</f>
        <v>Open</v>
      </c>
    </row>
    <row r="68" spans="1:8" ht="30" customHeight="1" x14ac:dyDescent="0.25">
      <c r="A68" s="33" t="s">
        <v>632</v>
      </c>
      <c r="B68" s="28">
        <v>48</v>
      </c>
      <c r="C68" s="28">
        <v>44</v>
      </c>
      <c r="D68" s="28">
        <v>20.053000000000001</v>
      </c>
      <c r="E68" s="28">
        <v>1E-3</v>
      </c>
      <c r="F68" s="28">
        <v>0.16800000000000001</v>
      </c>
      <c r="G68" s="34" t="str">
        <f>IFERROR(HYPERLINK("#Main!A"&amp;MATCH(A68,Main!A:A,0),"Open"),HYPERLINK("#Main!A1","Open"))</f>
        <v>Open</v>
      </c>
      <c r="H68" s="34"/>
    </row>
    <row r="69" spans="1:8" ht="31.5" x14ac:dyDescent="0.25">
      <c r="A69" s="30" t="s">
        <v>635</v>
      </c>
      <c r="B69" s="37">
        <v>50</v>
      </c>
      <c r="C69" s="37">
        <v>29</v>
      </c>
      <c r="D69" s="37">
        <v>9.5630000000000006</v>
      </c>
      <c r="E69" s="37">
        <v>2E-3</v>
      </c>
      <c r="F69" s="37">
        <v>0.17399999999999999</v>
      </c>
      <c r="G69" t="str">
        <f>IFERROR(HYPERLINK("#Main!A"&amp;MATCH(A69,Main!A:A,0),"Open"),HYPERLINK("#Main!A1","Open"))</f>
        <v>Open</v>
      </c>
    </row>
    <row r="70" spans="1:8" ht="30" customHeight="1" x14ac:dyDescent="0.25">
      <c r="A70" s="33" t="s">
        <v>638</v>
      </c>
      <c r="B70" s="28">
        <v>55</v>
      </c>
      <c r="C70" s="28">
        <v>46</v>
      </c>
      <c r="D70" s="28">
        <v>6.0789999999999997</v>
      </c>
      <c r="E70" s="28">
        <v>0.08</v>
      </c>
      <c r="F70" s="28">
        <v>0.17199999999999999</v>
      </c>
      <c r="G70" s="34" t="str">
        <f>IFERROR(HYPERLINK("#Main!A"&amp;MATCH(A70,Main!A:A,0),"Open"),HYPERLINK("#Main!A1","Open"))</f>
        <v>Open</v>
      </c>
      <c r="H70" s="34"/>
    </row>
    <row r="71" spans="1:8" ht="30" customHeight="1" x14ac:dyDescent="0.25">
      <c r="A71" s="30" t="s">
        <v>641</v>
      </c>
      <c r="B71" s="37">
        <v>81</v>
      </c>
      <c r="C71" s="37">
        <v>45</v>
      </c>
      <c r="D71" s="37">
        <v>6.2460000000000004</v>
      </c>
      <c r="E71" s="37">
        <v>1E-3</v>
      </c>
      <c r="F71" s="37">
        <v>0.17399999999999999</v>
      </c>
      <c r="G71" t="str">
        <f>IFERROR(HYPERLINK("#Main!A"&amp;MATCH(A71,Main!A:A,0),"Open"),HYPERLINK("#Main!A1","Open"))</f>
        <v>Open</v>
      </c>
    </row>
    <row r="72" spans="1:8" ht="30" customHeight="1" x14ac:dyDescent="0.25">
      <c r="A72" s="33" t="s">
        <v>644</v>
      </c>
      <c r="B72" s="28">
        <v>47</v>
      </c>
      <c r="C72" s="28">
        <v>41</v>
      </c>
      <c r="D72" s="28">
        <v>8.6920000000000002</v>
      </c>
      <c r="E72" s="28">
        <v>3.0000000000000001E-3</v>
      </c>
      <c r="F72" s="28">
        <v>0.20200000000000001</v>
      </c>
      <c r="G72" s="34" t="str">
        <f>IFERROR(HYPERLINK("#Main!A"&amp;MATCH(A72,Main!A:A,0),"Open"),HYPERLINK("#Main!A1","Open"))</f>
        <v>Open</v>
      </c>
      <c r="H72" s="34"/>
    </row>
    <row r="73" spans="1:8" ht="30" customHeight="1" x14ac:dyDescent="0.25">
      <c r="A73" s="30" t="s">
        <v>647</v>
      </c>
      <c r="B73" s="37">
        <v>50</v>
      </c>
      <c r="C73" s="37">
        <v>0</v>
      </c>
      <c r="D73" s="37">
        <v>0</v>
      </c>
      <c r="E73" s="37">
        <v>0</v>
      </c>
      <c r="F73" s="37">
        <v>0</v>
      </c>
      <c r="G73" t="str">
        <f>IFERROR(HYPERLINK("#Main!A"&amp;MATCH(A73,Main!A:A,0),"Open"),HYPERLINK("#Main!A1","Open"))</f>
        <v>Open</v>
      </c>
    </row>
    <row r="74" spans="1:8" ht="30" customHeight="1" x14ac:dyDescent="0.25">
      <c r="A74" s="33" t="s">
        <v>652</v>
      </c>
      <c r="B74" s="28">
        <v>53</v>
      </c>
      <c r="C74" s="28">
        <v>35</v>
      </c>
      <c r="D74" s="28">
        <v>22.300999999999998</v>
      </c>
      <c r="E74" s="28">
        <v>6.7000000000000004E-2</v>
      </c>
      <c r="F74" s="28">
        <v>0.17199999999999999</v>
      </c>
      <c r="G74" s="34" t="str">
        <f>IFERROR(HYPERLINK("#Main!A"&amp;MATCH(A74,Main!A:A,0),"Open"),HYPERLINK("#Main!A1","Open"))</f>
        <v>Open</v>
      </c>
      <c r="H74" s="34"/>
    </row>
    <row r="75" spans="1:8" ht="30" customHeight="1" x14ac:dyDescent="0.25">
      <c r="A75" s="30" t="s">
        <v>650</v>
      </c>
      <c r="B75" s="37">
        <v>70</v>
      </c>
      <c r="C75" s="37">
        <v>46</v>
      </c>
      <c r="D75" s="37">
        <v>12.237</v>
      </c>
      <c r="E75" s="37">
        <v>1.7000000000000001E-2</v>
      </c>
      <c r="F75" s="37">
        <v>0.17100000000000001</v>
      </c>
      <c r="G75" t="str">
        <f>IFERROR(HYPERLINK("#Main!A"&amp;MATCH(A75,Main!A:A,0),"Open"),HYPERLINK("#Main!A1","Open"))</f>
        <v>Open</v>
      </c>
    </row>
    <row r="76" spans="1:8" ht="30" customHeight="1" x14ac:dyDescent="0.25">
      <c r="A76" s="33" t="s">
        <v>655</v>
      </c>
      <c r="B76" s="28">
        <v>54</v>
      </c>
      <c r="C76" s="28">
        <v>28</v>
      </c>
      <c r="D76" s="28">
        <v>6.8789999999999996</v>
      </c>
      <c r="E76" s="28">
        <v>1E-3</v>
      </c>
      <c r="F76" s="28">
        <v>0.16900000000000001</v>
      </c>
      <c r="G76" s="34" t="str">
        <f>IFERROR(HYPERLINK("#Main!A"&amp;MATCH(A76,Main!A:A,0),"Open"),HYPERLINK("#Main!A1","Open"))</f>
        <v>Open</v>
      </c>
      <c r="H76" s="34"/>
    </row>
    <row r="77" spans="1:8" ht="30" customHeight="1" x14ac:dyDescent="0.25">
      <c r="A77" s="30" t="s">
        <v>658</v>
      </c>
      <c r="B77" s="37">
        <v>43</v>
      </c>
      <c r="C77" s="37">
        <v>44</v>
      </c>
      <c r="D77" s="37">
        <v>5.819</v>
      </c>
      <c r="E77" s="37">
        <v>1E-3</v>
      </c>
      <c r="F77" s="37">
        <v>0.20699999999999999</v>
      </c>
      <c r="G77" t="str">
        <f>IFERROR(HYPERLINK("#Main!A"&amp;MATCH(A77,Main!A:A,0),"Open"),HYPERLINK("#Main!A1","Open"))</f>
        <v>Open</v>
      </c>
    </row>
    <row r="78" spans="1:8" ht="30" customHeight="1" x14ac:dyDescent="0.25">
      <c r="A78" s="33" t="s">
        <v>661</v>
      </c>
      <c r="B78" s="28">
        <v>53</v>
      </c>
      <c r="C78" s="28">
        <v>35</v>
      </c>
      <c r="D78" s="28">
        <v>9.9499999999999993</v>
      </c>
      <c r="E78" s="28">
        <v>1E-3</v>
      </c>
      <c r="F78" s="28">
        <v>0.20599999999999999</v>
      </c>
      <c r="G78" s="34" t="str">
        <f>IFERROR(HYPERLINK("#Main!A"&amp;MATCH(A78,Main!A:A,0),"Open"),HYPERLINK("#Main!A1","Open"))</f>
        <v>Open</v>
      </c>
      <c r="H78" s="34"/>
    </row>
    <row r="79" spans="1:8" ht="30" customHeight="1" x14ac:dyDescent="0.25">
      <c r="A79" s="30" t="s">
        <v>664</v>
      </c>
      <c r="B79" s="37">
        <v>53</v>
      </c>
      <c r="C79" s="37">
        <v>46</v>
      </c>
      <c r="D79" s="37">
        <v>5.6710000000000003</v>
      </c>
      <c r="E79" s="37">
        <v>0.156</v>
      </c>
      <c r="F79" s="37">
        <v>0.26100000000000001</v>
      </c>
      <c r="G79" t="str">
        <f>IFERROR(HYPERLINK("#Main!A"&amp;MATCH(A79,Main!A:A,0),"Open"),HYPERLINK("#Main!A1","Open"))</f>
        <v>Open</v>
      </c>
    </row>
    <row r="80" spans="1:8" ht="30" customHeight="1" x14ac:dyDescent="0.25">
      <c r="A80" s="33" t="s">
        <v>670</v>
      </c>
      <c r="B80" s="28">
        <v>53</v>
      </c>
      <c r="C80" s="28">
        <v>32</v>
      </c>
      <c r="D80" s="28">
        <v>10.472</v>
      </c>
      <c r="E80" s="28">
        <v>7.8E-2</v>
      </c>
      <c r="F80" s="28">
        <v>0.17199999999999999</v>
      </c>
      <c r="G80" s="34" t="str">
        <f>IFERROR(HYPERLINK("#Main!A"&amp;MATCH(A80,Main!A:A,0),"Open"),HYPERLINK("#Main!A1","Open"))</f>
        <v>Open</v>
      </c>
      <c r="H80" s="34"/>
    </row>
    <row r="81" spans="1:8" ht="30" customHeight="1" x14ac:dyDescent="0.25">
      <c r="A81" s="30" t="s">
        <v>667</v>
      </c>
      <c r="B81" s="37">
        <v>41</v>
      </c>
      <c r="C81" s="37">
        <v>40</v>
      </c>
      <c r="D81" s="37">
        <v>15.02</v>
      </c>
      <c r="E81" s="37">
        <v>6.6000000000000003E-2</v>
      </c>
      <c r="F81" s="37">
        <v>0.17799999999999999</v>
      </c>
      <c r="G81" t="str">
        <f>IFERROR(HYPERLINK("#Main!A"&amp;MATCH(A81,Main!A:A,0),"Open"),HYPERLINK("#Main!A1","Open"))</f>
        <v>Open</v>
      </c>
    </row>
    <row r="82" spans="1:8" ht="30" customHeight="1" x14ac:dyDescent="0.25">
      <c r="A82" s="33" t="s">
        <v>673</v>
      </c>
      <c r="B82" s="28">
        <v>41</v>
      </c>
      <c r="C82" s="28">
        <v>50</v>
      </c>
      <c r="D82" s="28">
        <v>14.302</v>
      </c>
      <c r="E82" s="28">
        <v>2.5999999999999999E-2</v>
      </c>
      <c r="F82" s="28">
        <v>0.21</v>
      </c>
      <c r="G82" s="34" t="str">
        <f>IFERROR(HYPERLINK("#Main!A"&amp;MATCH(A82,Main!A:A,0),"Open"),HYPERLINK("#Main!A1","Open"))</f>
        <v>Open</v>
      </c>
      <c r="H82" s="34"/>
    </row>
    <row r="83" spans="1:8" ht="30" customHeight="1" x14ac:dyDescent="0.25">
      <c r="A83" s="30" t="s">
        <v>677</v>
      </c>
      <c r="B83" s="37">
        <v>50</v>
      </c>
      <c r="C83" s="37">
        <v>37</v>
      </c>
      <c r="D83" s="37">
        <v>11.099</v>
      </c>
      <c r="E83" s="37">
        <v>0.13300000000000001</v>
      </c>
      <c r="F83" s="37">
        <v>0.20399999999999999</v>
      </c>
      <c r="G83" t="str">
        <f>IFERROR(HYPERLINK("#Main!A"&amp;MATCH(A83,Main!A:A,0),"Open"),HYPERLINK("#Main!A1","Open"))</f>
        <v>Open</v>
      </c>
    </row>
    <row r="84" spans="1:8" ht="30" customHeight="1" x14ac:dyDescent="0.25">
      <c r="A84" s="33" t="s">
        <v>680</v>
      </c>
      <c r="B84" s="28">
        <v>62</v>
      </c>
      <c r="C84" s="28">
        <v>37</v>
      </c>
      <c r="D84" s="28">
        <v>10.039999999999999</v>
      </c>
      <c r="E84" s="28">
        <v>1E-3</v>
      </c>
      <c r="F84" s="28">
        <v>0.16800000000000001</v>
      </c>
      <c r="G84" s="34" t="str">
        <f>IFERROR(HYPERLINK("#Main!A"&amp;MATCH(A84,Main!A:A,0),"Open"),HYPERLINK("#Main!A1","Open"))</f>
        <v>Open</v>
      </c>
      <c r="H84" s="34"/>
    </row>
    <row r="85" spans="1:8" ht="30" customHeight="1" x14ac:dyDescent="0.25">
      <c r="A85" s="30" t="s">
        <v>683</v>
      </c>
      <c r="B85" s="37">
        <v>68</v>
      </c>
      <c r="C85" s="37">
        <v>30</v>
      </c>
      <c r="D85" s="37">
        <v>10.574999999999999</v>
      </c>
      <c r="E85" s="37">
        <v>2.1999999999999999E-2</v>
      </c>
      <c r="F85" s="37">
        <v>0.20499999999999999</v>
      </c>
      <c r="G85" t="str">
        <f>IFERROR(HYPERLINK("#Main!A"&amp;MATCH(A85,Main!A:A,0),"Open"),HYPERLINK("#Main!A1","Open"))</f>
        <v>Open</v>
      </c>
    </row>
    <row r="86" spans="1:8" ht="30" customHeight="1" x14ac:dyDescent="0.25">
      <c r="A86" s="33" t="s">
        <v>686</v>
      </c>
      <c r="B86" s="28">
        <v>48</v>
      </c>
      <c r="C86" s="28">
        <v>46</v>
      </c>
      <c r="D86" s="28">
        <v>12.74</v>
      </c>
      <c r="E86" s="28">
        <v>6.6000000000000003E-2</v>
      </c>
      <c r="F86" s="28">
        <v>0.17100000000000001</v>
      </c>
      <c r="G86" s="34" t="str">
        <f>IFERROR(HYPERLINK("#Main!A"&amp;MATCH(A86,Main!A:A,0),"Open"),HYPERLINK("#Main!A1","Open"))</f>
        <v>Open</v>
      </c>
      <c r="H86" s="34"/>
    </row>
  </sheetData>
  <autoFilter ref="A1:H86" xr:uid="{00000000-0009-0000-0000-000015000000}"/>
  <conditionalFormatting sqref="B2:C86">
    <cfRule type="cellIs" dxfId="14" priority="1" operator="between">
      <formula>90</formula>
      <formula>100</formula>
    </cfRule>
    <cfRule type="cellIs" dxfId="13" priority="2" operator="between">
      <formula>50</formula>
      <formula>89</formula>
    </cfRule>
    <cfRule type="cellIs" dxfId="12" priority="3" operator="between">
      <formula>0</formula>
      <formula>49</formula>
    </cfRule>
    <cfRule type="expression" dxfId="11" priority="9" stopIfTrue="1">
      <formula>B2&gt;=90</formula>
    </cfRule>
    <cfRule type="expression" dxfId="10" priority="10" stopIfTrue="1">
      <formula>AND(B2&gt;=50,B2&lt;90)</formula>
    </cfRule>
    <cfRule type="expression" dxfId="9" priority="11" stopIfTrue="1">
      <formula>B2&lt;50</formula>
    </cfRule>
  </conditionalFormatting>
  <conditionalFormatting sqref="D2:D86">
    <cfRule type="cellIs" dxfId="8" priority="7" operator="lessThan">
      <formula>2.5</formula>
    </cfRule>
    <cfRule type="cellIs" dxfId="7" priority="8" operator="greaterThan">
      <formula>4</formula>
    </cfRule>
    <cfRule type="expression" dxfId="6" priority="15" stopIfTrue="1">
      <formula>D2&lt;=2.5</formula>
    </cfRule>
    <cfRule type="expression" dxfId="5" priority="16" stopIfTrue="1">
      <formula>D2&gt;4</formula>
    </cfRule>
  </conditionalFormatting>
  <dataValidations count="8">
    <dataValidation type="custom" allowBlank="1" showInputMessage="1" promptTitle="URL" prompt="URL. Use this URL to inspect the page directly or jump to related tabs." sqref="A1" xr:uid="{00000000-0002-0000-1500-000000000000}">
      <formula1>TRUE</formula1>
    </dataValidation>
    <dataValidation type="custom" allowBlank="1" showInputMessage="1" promptTitle="Desktop Score" prompt="Desktop Score. Review this metric to identify risk, then use linked tabs for details and remediation." sqref="B1" xr:uid="{00000000-0002-0000-1500-000001000000}">
      <formula1>TRUE</formula1>
    </dataValidation>
    <dataValidation type="custom" allowBlank="1" showInputMessage="1" promptTitle="Mobile Score" prompt="Mobile Score. Review this metric to identify risk, then use linked tabs for details and remediation." sqref="C1" xr:uid="{00000000-0002-0000-1500-000002000000}">
      <formula1>TRUE</formula1>
    </dataValidation>
    <dataValidation type="custom" allowBlank="1" showInputMessage="1" promptTitle="Mobile LCP" prompt="Mobile LCP. Review this metric to identify risk, then use linked tabs for details and remediation." sqref="D1" xr:uid="{00000000-0002-0000-1500-000003000000}">
      <formula1>TRUE</formula1>
    </dataValidation>
    <dataValidation type="custom" allowBlank="1" showInputMessage="1" promptTitle="Mobile CLS" prompt="Mobile CLS. Review this metric to identify risk, then use linked tabs for details and remediation." sqref="E1" xr:uid="{00000000-0002-0000-1500-000004000000}">
      <formula1>TRUE</formula1>
    </dataValidation>
    <dataValidation type="custom" allowBlank="1" showInputMessage="1" promptTitle="Mobile TTFB" prompt="Time to First Byte: server responsiveness signal. Fix: optimise backend performance, caching, and CDN usage." sqref="F1" xr:uid="{00000000-0002-0000-1500-000005000000}">
      <formula1>TRUE</formula1>
    </dataValidation>
    <dataValidation type="custom" allowBlank="1" showInputMessage="1" promptTitle="Open in Main" prompt="Navigation helper. Click to jump directly to the related record in another tab." sqref="G1" xr:uid="{00000000-0002-0000-1500-000006000000}">
      <formula1>TRUE</formula1>
    </dataValidation>
    <dataValidation type="custom" allowBlank="1" showInputMessage="1" promptTitle="BACK TO DASHBOARD" prompt="BACK TO DASHBOARD. Review this metric to identify risk, then use linked tabs for details and remediation." sqref="H1" xr:uid="{00000000-0002-0000-1500-000007000000}">
      <formula1>TRUE</formula1>
    </dataValidation>
  </dataValidations>
  <hyperlinks>
    <hyperlink ref="H1" location="Dashboard!A1" display="BACK TO DASHBOARD" xr:uid="{00000000-0004-0000-1500-000000000000}"/>
    <hyperlink ref="A2" r:id="rId1" xr:uid="{00000000-0004-0000-1500-000001000000}"/>
    <hyperlink ref="A3" r:id="rId2" xr:uid="{00000000-0004-0000-1500-000002000000}"/>
    <hyperlink ref="A4" r:id="rId3" xr:uid="{00000000-0004-0000-1500-000003000000}"/>
    <hyperlink ref="A5" r:id="rId4" xr:uid="{00000000-0004-0000-1500-000004000000}"/>
    <hyperlink ref="A6" r:id="rId5" xr:uid="{00000000-0004-0000-1500-000005000000}"/>
    <hyperlink ref="A7" r:id="rId6" xr:uid="{00000000-0004-0000-1500-000006000000}"/>
    <hyperlink ref="A8" r:id="rId7" xr:uid="{00000000-0004-0000-1500-000007000000}"/>
    <hyperlink ref="A9" r:id="rId8" xr:uid="{00000000-0004-0000-1500-000008000000}"/>
    <hyperlink ref="A10" r:id="rId9" xr:uid="{00000000-0004-0000-1500-000009000000}"/>
    <hyperlink ref="A11" r:id="rId10" xr:uid="{00000000-0004-0000-1500-00000A000000}"/>
    <hyperlink ref="A12" r:id="rId11" xr:uid="{00000000-0004-0000-1500-00000B000000}"/>
    <hyperlink ref="A13" r:id="rId12" xr:uid="{00000000-0004-0000-1500-00000C000000}"/>
    <hyperlink ref="A14" r:id="rId13" xr:uid="{00000000-0004-0000-1500-00000D000000}"/>
    <hyperlink ref="A15" r:id="rId14" xr:uid="{00000000-0004-0000-1500-00000E000000}"/>
    <hyperlink ref="A16" r:id="rId15" xr:uid="{00000000-0004-0000-1500-00000F000000}"/>
    <hyperlink ref="A17" r:id="rId16" xr:uid="{00000000-0004-0000-1500-000010000000}"/>
    <hyperlink ref="A18" r:id="rId17" xr:uid="{00000000-0004-0000-1500-000011000000}"/>
    <hyperlink ref="A19" r:id="rId18" xr:uid="{00000000-0004-0000-1500-000012000000}"/>
    <hyperlink ref="A20" r:id="rId19" xr:uid="{00000000-0004-0000-1500-000013000000}"/>
    <hyperlink ref="A21" r:id="rId20" xr:uid="{00000000-0004-0000-1500-000014000000}"/>
    <hyperlink ref="A22" r:id="rId21" xr:uid="{00000000-0004-0000-1500-000015000000}"/>
    <hyperlink ref="A23" r:id="rId22" xr:uid="{00000000-0004-0000-1500-000016000000}"/>
    <hyperlink ref="A24" r:id="rId23" xr:uid="{00000000-0004-0000-1500-000017000000}"/>
    <hyperlink ref="A25" r:id="rId24" xr:uid="{00000000-0004-0000-1500-000018000000}"/>
    <hyperlink ref="A26" r:id="rId25" xr:uid="{00000000-0004-0000-1500-000019000000}"/>
    <hyperlink ref="A27" r:id="rId26" xr:uid="{00000000-0004-0000-1500-00001A000000}"/>
    <hyperlink ref="A28" r:id="rId27" xr:uid="{00000000-0004-0000-1500-00001B000000}"/>
    <hyperlink ref="A29" r:id="rId28" xr:uid="{00000000-0004-0000-1500-00001C000000}"/>
    <hyperlink ref="A30" r:id="rId29" xr:uid="{00000000-0004-0000-1500-00001D000000}"/>
    <hyperlink ref="A31" r:id="rId30" xr:uid="{00000000-0004-0000-1500-00001E000000}"/>
    <hyperlink ref="A32" r:id="rId31" xr:uid="{00000000-0004-0000-1500-00001F000000}"/>
    <hyperlink ref="A33" r:id="rId32" xr:uid="{00000000-0004-0000-1500-000020000000}"/>
    <hyperlink ref="A34" r:id="rId33" xr:uid="{00000000-0004-0000-1500-000021000000}"/>
    <hyperlink ref="A35" r:id="rId34" xr:uid="{00000000-0004-0000-1500-000022000000}"/>
    <hyperlink ref="A36" r:id="rId35" xr:uid="{00000000-0004-0000-1500-000023000000}"/>
    <hyperlink ref="A37" r:id="rId36" xr:uid="{00000000-0004-0000-1500-000024000000}"/>
    <hyperlink ref="A38" r:id="rId37" xr:uid="{00000000-0004-0000-1500-000025000000}"/>
    <hyperlink ref="A39" r:id="rId38" xr:uid="{00000000-0004-0000-1500-000026000000}"/>
    <hyperlink ref="A40" r:id="rId39" xr:uid="{00000000-0004-0000-1500-000027000000}"/>
    <hyperlink ref="A41" r:id="rId40" xr:uid="{00000000-0004-0000-1500-000028000000}"/>
    <hyperlink ref="A42" r:id="rId41" xr:uid="{00000000-0004-0000-1500-000029000000}"/>
    <hyperlink ref="A43" r:id="rId42" xr:uid="{00000000-0004-0000-1500-00002A000000}"/>
    <hyperlink ref="A44" r:id="rId43" xr:uid="{00000000-0004-0000-1500-00002B000000}"/>
    <hyperlink ref="A45" r:id="rId44" xr:uid="{00000000-0004-0000-1500-00002C000000}"/>
    <hyperlink ref="A46" r:id="rId45" xr:uid="{00000000-0004-0000-1500-00002D000000}"/>
    <hyperlink ref="A47" r:id="rId46" xr:uid="{00000000-0004-0000-1500-00002E000000}"/>
    <hyperlink ref="A48" r:id="rId47" xr:uid="{00000000-0004-0000-1500-00002F000000}"/>
    <hyperlink ref="A49" r:id="rId48" xr:uid="{00000000-0004-0000-1500-000030000000}"/>
    <hyperlink ref="A50" r:id="rId49" xr:uid="{00000000-0004-0000-1500-000031000000}"/>
    <hyperlink ref="A51" r:id="rId50" xr:uid="{00000000-0004-0000-1500-000032000000}"/>
    <hyperlink ref="A52" r:id="rId51" xr:uid="{00000000-0004-0000-1500-000033000000}"/>
    <hyperlink ref="A53" r:id="rId52" xr:uid="{00000000-0004-0000-1500-000034000000}"/>
    <hyperlink ref="A54" r:id="rId53" xr:uid="{00000000-0004-0000-1500-000035000000}"/>
    <hyperlink ref="A55" r:id="rId54" xr:uid="{00000000-0004-0000-1500-000036000000}"/>
    <hyperlink ref="A56" r:id="rId55" xr:uid="{00000000-0004-0000-1500-000037000000}"/>
    <hyperlink ref="A57" r:id="rId56" xr:uid="{00000000-0004-0000-1500-000038000000}"/>
    <hyperlink ref="A58" r:id="rId57" xr:uid="{00000000-0004-0000-1500-000039000000}"/>
    <hyperlink ref="A59" r:id="rId58" xr:uid="{00000000-0004-0000-1500-00003A000000}"/>
    <hyperlink ref="A60" r:id="rId59" xr:uid="{00000000-0004-0000-1500-00003B000000}"/>
    <hyperlink ref="A61" r:id="rId60" xr:uid="{00000000-0004-0000-1500-00003C000000}"/>
    <hyperlink ref="A62" r:id="rId61" xr:uid="{00000000-0004-0000-1500-00003D000000}"/>
    <hyperlink ref="A63" r:id="rId62" xr:uid="{00000000-0004-0000-1500-00003E000000}"/>
    <hyperlink ref="A64" r:id="rId63" xr:uid="{00000000-0004-0000-1500-00003F000000}"/>
    <hyperlink ref="A65" r:id="rId64" xr:uid="{00000000-0004-0000-1500-000040000000}"/>
    <hyperlink ref="A66" r:id="rId65" xr:uid="{00000000-0004-0000-1500-000041000000}"/>
    <hyperlink ref="A67" r:id="rId66" xr:uid="{00000000-0004-0000-1500-000042000000}"/>
    <hyperlink ref="A68" r:id="rId67" xr:uid="{00000000-0004-0000-1500-000043000000}"/>
    <hyperlink ref="A69" r:id="rId68" xr:uid="{00000000-0004-0000-1500-000044000000}"/>
    <hyperlink ref="A70" r:id="rId69" xr:uid="{00000000-0004-0000-1500-000045000000}"/>
    <hyperlink ref="A71" r:id="rId70" xr:uid="{00000000-0004-0000-1500-000046000000}"/>
    <hyperlink ref="A72" r:id="rId71" xr:uid="{00000000-0004-0000-1500-000047000000}"/>
    <hyperlink ref="A73" r:id="rId72" xr:uid="{00000000-0004-0000-1500-000048000000}"/>
    <hyperlink ref="A74" r:id="rId73" xr:uid="{00000000-0004-0000-1500-000049000000}"/>
    <hyperlink ref="A75" r:id="rId74" xr:uid="{00000000-0004-0000-1500-00004A000000}"/>
    <hyperlink ref="A76" r:id="rId75" xr:uid="{00000000-0004-0000-1500-00004B000000}"/>
    <hyperlink ref="A77" r:id="rId76" xr:uid="{00000000-0004-0000-1500-00004C000000}"/>
    <hyperlink ref="A78" r:id="rId77" xr:uid="{00000000-0004-0000-1500-00004D000000}"/>
    <hyperlink ref="A79" r:id="rId78" xr:uid="{00000000-0004-0000-1500-00004E000000}"/>
    <hyperlink ref="A80" r:id="rId79" xr:uid="{00000000-0004-0000-1500-00004F000000}"/>
    <hyperlink ref="A81" r:id="rId80" xr:uid="{00000000-0004-0000-1500-000050000000}"/>
    <hyperlink ref="A82" r:id="rId81" xr:uid="{00000000-0004-0000-1500-000051000000}"/>
    <hyperlink ref="A83" r:id="rId82" xr:uid="{00000000-0004-0000-1500-000052000000}"/>
    <hyperlink ref="A84" r:id="rId83" xr:uid="{00000000-0004-0000-1500-000053000000}"/>
    <hyperlink ref="A85" r:id="rId84" xr:uid="{00000000-0004-0000-1500-000054000000}"/>
    <hyperlink ref="A86" r:id="rId85" xr:uid="{00000000-0004-0000-1500-000055000000}"/>
  </hyperlinks>
  <pageMargins left="0.75" right="0.75" top="1" bottom="1" header="0.5" footer="0.5"/>
  <legacyDrawing r:id="rId8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2" customWidth="1"/>
    <col min="3" max="3" width="13" customWidth="1"/>
    <col min="4" max="4" width="15" customWidth="1"/>
    <col min="5" max="5" width="60" customWidth="1"/>
    <col min="6" max="6" width="13" customWidth="1"/>
    <col min="7" max="8" width="8" customWidth="1"/>
  </cols>
  <sheetData>
    <row r="1" spans="1:11" ht="45" x14ac:dyDescent="0.25">
      <c r="A1" s="27" t="s">
        <v>102</v>
      </c>
      <c r="B1" s="27" t="s">
        <v>968</v>
      </c>
      <c r="C1" s="27" t="s">
        <v>77</v>
      </c>
      <c r="D1" s="27" t="s">
        <v>972</v>
      </c>
      <c r="E1" s="27" t="s">
        <v>974</v>
      </c>
      <c r="F1" s="27" t="s">
        <v>68</v>
      </c>
      <c r="G1" s="27" t="s">
        <v>64</v>
      </c>
      <c r="H1" s="27" t="s">
        <v>307</v>
      </c>
      <c r="I1" s="27" t="s">
        <v>122</v>
      </c>
      <c r="J1" s="27" t="s">
        <v>3214</v>
      </c>
      <c r="K1" s="36" t="s">
        <v>251</v>
      </c>
    </row>
    <row r="2" spans="1:11" ht="15.75" x14ac:dyDescent="0.25">
      <c r="A2" s="33" t="s">
        <v>127</v>
      </c>
      <c r="B2" s="28" t="s">
        <v>478</v>
      </c>
      <c r="C2" s="47" t="s">
        <v>388</v>
      </c>
      <c r="D2" s="28" t="s">
        <v>14</v>
      </c>
      <c r="E2" s="56" t="s">
        <v>3215</v>
      </c>
      <c r="F2" s="28" t="s">
        <v>330</v>
      </c>
      <c r="G2" s="29" t="s">
        <v>2</v>
      </c>
      <c r="H2" s="28"/>
      <c r="I2" s="34" t="str">
        <f>IFERROR(HYPERLINK("#Main!A"&amp;MATCH(A2,Main!A:A,0),"Open"),HYPERLINK("#Main!A1","Open"))</f>
        <v>Open</v>
      </c>
      <c r="J2" s="34" t="str">
        <f t="shared" ref="J2:J33" ca="1" si="0">IFERROR(HYPERLINK("#"&amp;D2&amp;"!A"&amp;MATCH(A2,INDIRECT("'"&amp;D2&amp;"'!A:A"),0),"Open"),HYPERLINK("#"&amp;D2&amp;"!A1","Open"))</f>
        <v>Open</v>
      </c>
      <c r="K2" s="34"/>
    </row>
    <row r="3" spans="1:11" ht="30" customHeight="1" x14ac:dyDescent="0.25">
      <c r="A3" s="30" t="s">
        <v>135</v>
      </c>
      <c r="B3" s="37" t="s">
        <v>478</v>
      </c>
      <c r="C3" s="47" t="s">
        <v>388</v>
      </c>
      <c r="D3" s="37" t="s">
        <v>14</v>
      </c>
      <c r="E3" s="57" t="s">
        <v>3216</v>
      </c>
      <c r="F3" s="37" t="s">
        <v>330</v>
      </c>
      <c r="G3" s="29" t="s">
        <v>2</v>
      </c>
      <c r="H3" s="37"/>
      <c r="I3" t="str">
        <f>IFERROR(HYPERLINK("#Main!A"&amp;MATCH(A3,Main!A:A,0),"Open"),HYPERLINK("#Main!A1","Open"))</f>
        <v>Open</v>
      </c>
      <c r="J3" t="str">
        <f t="shared" ca="1" si="0"/>
        <v>Open</v>
      </c>
    </row>
    <row r="4" spans="1:11" ht="30" customHeight="1" x14ac:dyDescent="0.25">
      <c r="A4" s="33" t="s">
        <v>144</v>
      </c>
      <c r="B4" s="28" t="s">
        <v>478</v>
      </c>
      <c r="C4" s="47" t="s">
        <v>388</v>
      </c>
      <c r="D4" s="28" t="s">
        <v>14</v>
      </c>
      <c r="E4" s="56" t="s">
        <v>3217</v>
      </c>
      <c r="F4" s="28" t="s">
        <v>330</v>
      </c>
      <c r="G4" s="29" t="s">
        <v>2</v>
      </c>
      <c r="H4" s="28"/>
      <c r="I4" s="34" t="str">
        <f>IFERROR(HYPERLINK("#Main!A"&amp;MATCH(A4,Main!A:A,0),"Open"),HYPERLINK("#Main!A1","Open"))</f>
        <v>Open</v>
      </c>
      <c r="J4" s="34" t="str">
        <f t="shared" ca="1" si="0"/>
        <v>Open</v>
      </c>
      <c r="K4" s="34"/>
    </row>
    <row r="5" spans="1:11" ht="30" customHeight="1" x14ac:dyDescent="0.25">
      <c r="A5" s="30" t="s">
        <v>152</v>
      </c>
      <c r="B5" s="37" t="s">
        <v>478</v>
      </c>
      <c r="C5" s="47" t="s">
        <v>388</v>
      </c>
      <c r="D5" s="37" t="s">
        <v>14</v>
      </c>
      <c r="E5" s="57" t="s">
        <v>3218</v>
      </c>
      <c r="F5" s="37" t="s">
        <v>330</v>
      </c>
      <c r="G5" s="29" t="s">
        <v>2</v>
      </c>
      <c r="H5" s="37"/>
      <c r="I5" t="str">
        <f>IFERROR(HYPERLINK("#Main!A"&amp;MATCH(A5,Main!A:A,0),"Open"),HYPERLINK("#Main!A1","Open"))</f>
        <v>Open</v>
      </c>
      <c r="J5" t="str">
        <f t="shared" ca="1" si="0"/>
        <v>Open</v>
      </c>
    </row>
    <row r="6" spans="1:11" ht="30" customHeight="1" x14ac:dyDescent="0.25">
      <c r="A6" s="33" t="s">
        <v>169</v>
      </c>
      <c r="B6" s="28" t="s">
        <v>478</v>
      </c>
      <c r="C6" s="47" t="s">
        <v>388</v>
      </c>
      <c r="D6" s="28" t="s">
        <v>14</v>
      </c>
      <c r="E6" s="56" t="s">
        <v>3219</v>
      </c>
      <c r="F6" s="28" t="s">
        <v>330</v>
      </c>
      <c r="G6" s="29" t="s">
        <v>2</v>
      </c>
      <c r="H6" s="28"/>
      <c r="I6" s="34" t="str">
        <f>IFERROR(HYPERLINK("#Main!A"&amp;MATCH(A6,Main!A:A,0),"Open"),HYPERLINK("#Main!A1","Open"))</f>
        <v>Open</v>
      </c>
      <c r="J6" s="34" t="str">
        <f t="shared" ca="1" si="0"/>
        <v>Open</v>
      </c>
      <c r="K6" s="34"/>
    </row>
    <row r="7" spans="1:11" ht="30" customHeight="1" x14ac:dyDescent="0.25">
      <c r="A7" s="30" t="s">
        <v>177</v>
      </c>
      <c r="B7" s="37" t="s">
        <v>478</v>
      </c>
      <c r="C7" s="47" t="s">
        <v>388</v>
      </c>
      <c r="D7" s="37" t="s">
        <v>14</v>
      </c>
      <c r="E7" s="57" t="s">
        <v>3220</v>
      </c>
      <c r="F7" s="37" t="s">
        <v>330</v>
      </c>
      <c r="G7" s="29" t="s">
        <v>2</v>
      </c>
      <c r="H7" s="37"/>
      <c r="I7" t="str">
        <f>IFERROR(HYPERLINK("#Main!A"&amp;MATCH(A7,Main!A:A,0),"Open"),HYPERLINK("#Main!A1","Open"))</f>
        <v>Open</v>
      </c>
      <c r="J7" t="str">
        <f t="shared" ca="1" si="0"/>
        <v>Open</v>
      </c>
    </row>
    <row r="8" spans="1:11" ht="30" customHeight="1" x14ac:dyDescent="0.25">
      <c r="A8" s="33" t="s">
        <v>161</v>
      </c>
      <c r="B8" s="28" t="s">
        <v>478</v>
      </c>
      <c r="C8" s="47" t="s">
        <v>388</v>
      </c>
      <c r="D8" s="28" t="s">
        <v>14</v>
      </c>
      <c r="E8" s="56" t="s">
        <v>3221</v>
      </c>
      <c r="F8" s="28" t="s">
        <v>330</v>
      </c>
      <c r="G8" s="29" t="s">
        <v>2</v>
      </c>
      <c r="H8" s="28"/>
      <c r="I8" s="34" t="str">
        <f>IFERROR(HYPERLINK("#Main!A"&amp;MATCH(A8,Main!A:A,0),"Open"),HYPERLINK("#Main!A1","Open"))</f>
        <v>Open</v>
      </c>
      <c r="J8" s="34" t="str">
        <f t="shared" ca="1" si="0"/>
        <v>Open</v>
      </c>
      <c r="K8" s="34"/>
    </row>
    <row r="9" spans="1:11" ht="30" customHeight="1" x14ac:dyDescent="0.25">
      <c r="A9" s="30" t="s">
        <v>185</v>
      </c>
      <c r="B9" s="37" t="s">
        <v>478</v>
      </c>
      <c r="C9" s="47" t="s">
        <v>388</v>
      </c>
      <c r="D9" s="37" t="s">
        <v>14</v>
      </c>
      <c r="E9" s="57" t="s">
        <v>3222</v>
      </c>
      <c r="F9" s="37" t="s">
        <v>330</v>
      </c>
      <c r="G9" s="29" t="s">
        <v>2</v>
      </c>
      <c r="H9" s="37"/>
      <c r="I9" t="str">
        <f>IFERROR(HYPERLINK("#Main!A"&amp;MATCH(A9,Main!A:A,0),"Open"),HYPERLINK("#Main!A1","Open"))</f>
        <v>Open</v>
      </c>
      <c r="J9" t="str">
        <f t="shared" ca="1" si="0"/>
        <v>Open</v>
      </c>
    </row>
    <row r="10" spans="1:11" ht="30" customHeight="1" x14ac:dyDescent="0.25">
      <c r="A10" s="33" t="s">
        <v>201</v>
      </c>
      <c r="B10" s="28" t="s">
        <v>478</v>
      </c>
      <c r="C10" s="47" t="s">
        <v>388</v>
      </c>
      <c r="D10" s="28" t="s">
        <v>14</v>
      </c>
      <c r="E10" s="56" t="s">
        <v>3223</v>
      </c>
      <c r="F10" s="28" t="s">
        <v>330</v>
      </c>
      <c r="G10" s="29" t="s">
        <v>2</v>
      </c>
      <c r="H10" s="28"/>
      <c r="I10" s="34" t="str">
        <f>IFERROR(HYPERLINK("#Main!A"&amp;MATCH(A10,Main!A:A,0),"Open"),HYPERLINK("#Main!A1","Open"))</f>
        <v>Open</v>
      </c>
      <c r="J10" s="34" t="str">
        <f t="shared" ca="1" si="0"/>
        <v>Open</v>
      </c>
      <c r="K10" s="34"/>
    </row>
    <row r="11" spans="1:11" ht="30" customHeight="1" x14ac:dyDescent="0.25">
      <c r="A11" s="30" t="s">
        <v>193</v>
      </c>
      <c r="B11" s="37" t="s">
        <v>478</v>
      </c>
      <c r="C11" s="47" t="s">
        <v>388</v>
      </c>
      <c r="D11" s="37" t="s">
        <v>14</v>
      </c>
      <c r="E11" s="57" t="s">
        <v>3224</v>
      </c>
      <c r="F11" s="37" t="s">
        <v>330</v>
      </c>
      <c r="G11" s="29" t="s">
        <v>2</v>
      </c>
      <c r="H11" s="37"/>
      <c r="I11" t="str">
        <f>IFERROR(HYPERLINK("#Main!A"&amp;MATCH(A11,Main!A:A,0),"Open"),HYPERLINK("#Main!A1","Open"))</f>
        <v>Open</v>
      </c>
      <c r="J11" t="str">
        <f t="shared" ca="1" si="0"/>
        <v>Open</v>
      </c>
    </row>
    <row r="12" spans="1:11" ht="30" customHeight="1" x14ac:dyDescent="0.25">
      <c r="A12" s="33" t="s">
        <v>216</v>
      </c>
      <c r="B12" s="28" t="s">
        <v>478</v>
      </c>
      <c r="C12" s="47" t="s">
        <v>388</v>
      </c>
      <c r="D12" s="28" t="s">
        <v>14</v>
      </c>
      <c r="E12" s="56" t="s">
        <v>3225</v>
      </c>
      <c r="F12" s="28" t="s">
        <v>330</v>
      </c>
      <c r="G12" s="29" t="s">
        <v>2</v>
      </c>
      <c r="H12" s="28"/>
      <c r="I12" s="34" t="str">
        <f>IFERROR(HYPERLINK("#Main!A"&amp;MATCH(A12,Main!A:A,0),"Open"),HYPERLINK("#Main!A1","Open"))</f>
        <v>Open</v>
      </c>
      <c r="J12" s="34" t="str">
        <f t="shared" ca="1" si="0"/>
        <v>Open</v>
      </c>
      <c r="K12" s="34"/>
    </row>
    <row r="13" spans="1:11" ht="30" customHeight="1" x14ac:dyDescent="0.25">
      <c r="A13" s="30" t="s">
        <v>208</v>
      </c>
      <c r="B13" s="37" t="s">
        <v>478</v>
      </c>
      <c r="C13" s="47" t="s">
        <v>388</v>
      </c>
      <c r="D13" s="37" t="s">
        <v>14</v>
      </c>
      <c r="E13" s="57" t="s">
        <v>3226</v>
      </c>
      <c r="F13" s="37" t="s">
        <v>330</v>
      </c>
      <c r="G13" s="29" t="s">
        <v>2</v>
      </c>
      <c r="H13" s="37"/>
      <c r="I13" t="str">
        <f>IFERROR(HYPERLINK("#Main!A"&amp;MATCH(A13,Main!A:A,0),"Open"),HYPERLINK("#Main!A1","Open"))</f>
        <v>Open</v>
      </c>
      <c r="J13" t="str">
        <f t="shared" ca="1" si="0"/>
        <v>Open</v>
      </c>
    </row>
    <row r="14" spans="1:11" ht="30" customHeight="1" x14ac:dyDescent="0.25">
      <c r="A14" s="33" t="s">
        <v>224</v>
      </c>
      <c r="B14" s="28" t="s">
        <v>478</v>
      </c>
      <c r="C14" s="47" t="s">
        <v>388</v>
      </c>
      <c r="D14" s="28" t="s">
        <v>14</v>
      </c>
      <c r="E14" s="56" t="s">
        <v>3227</v>
      </c>
      <c r="F14" s="28" t="s">
        <v>330</v>
      </c>
      <c r="G14" s="29" t="s">
        <v>2</v>
      </c>
      <c r="H14" s="28"/>
      <c r="I14" s="34" t="str">
        <f>IFERROR(HYPERLINK("#Main!A"&amp;MATCH(A14,Main!A:A,0),"Open"),HYPERLINK("#Main!A1","Open"))</f>
        <v>Open</v>
      </c>
      <c r="J14" s="34" t="str">
        <f t="shared" ca="1" si="0"/>
        <v>Open</v>
      </c>
      <c r="K14" s="34"/>
    </row>
    <row r="15" spans="1:11" ht="30" customHeight="1" x14ac:dyDescent="0.25">
      <c r="A15" s="30" t="s">
        <v>233</v>
      </c>
      <c r="B15" s="37" t="s">
        <v>478</v>
      </c>
      <c r="C15" s="47" t="s">
        <v>388</v>
      </c>
      <c r="D15" s="37" t="s">
        <v>14</v>
      </c>
      <c r="E15" s="57" t="s">
        <v>3228</v>
      </c>
      <c r="F15" s="37" t="s">
        <v>330</v>
      </c>
      <c r="G15" s="29" t="s">
        <v>2</v>
      </c>
      <c r="H15" s="37"/>
      <c r="I15" t="str">
        <f>IFERROR(HYPERLINK("#Main!A"&amp;MATCH(A15,Main!A:A,0),"Open"),HYPERLINK("#Main!A1","Open"))</f>
        <v>Open</v>
      </c>
      <c r="J15" t="str">
        <f t="shared" ca="1" si="0"/>
        <v>Open</v>
      </c>
    </row>
    <row r="16" spans="1:11" ht="30" customHeight="1" x14ac:dyDescent="0.25">
      <c r="A16" s="33" t="s">
        <v>241</v>
      </c>
      <c r="B16" s="28" t="s">
        <v>478</v>
      </c>
      <c r="C16" s="47" t="s">
        <v>388</v>
      </c>
      <c r="D16" s="28" t="s">
        <v>14</v>
      </c>
      <c r="E16" s="56" t="s">
        <v>3229</v>
      </c>
      <c r="F16" s="28" t="s">
        <v>330</v>
      </c>
      <c r="G16" s="29" t="s">
        <v>2</v>
      </c>
      <c r="H16" s="28"/>
      <c r="I16" s="34" t="str">
        <f>IFERROR(HYPERLINK("#Main!A"&amp;MATCH(A16,Main!A:A,0),"Open"),HYPERLINK("#Main!A1","Open"))</f>
        <v>Open</v>
      </c>
      <c r="J16" s="34" t="str">
        <f t="shared" ca="1" si="0"/>
        <v>Open</v>
      </c>
      <c r="K16" s="34"/>
    </row>
    <row r="17" spans="1:11" ht="30" customHeight="1" x14ac:dyDescent="0.25">
      <c r="A17" s="30" t="s">
        <v>485</v>
      </c>
      <c r="B17" s="37" t="s">
        <v>478</v>
      </c>
      <c r="C17" s="47" t="s">
        <v>388</v>
      </c>
      <c r="D17" s="37" t="s">
        <v>14</v>
      </c>
      <c r="E17" s="57" t="s">
        <v>3230</v>
      </c>
      <c r="F17" s="37" t="s">
        <v>330</v>
      </c>
      <c r="G17" s="29" t="s">
        <v>2</v>
      </c>
      <c r="H17" s="37"/>
      <c r="I17" t="str">
        <f>IFERROR(HYPERLINK("#Main!A"&amp;MATCH(A17,Main!A:A,0),"Open"),HYPERLINK("#Main!A1","Open"))</f>
        <v>Open</v>
      </c>
      <c r="J17" t="str">
        <f t="shared" ca="1" si="0"/>
        <v>Open</v>
      </c>
    </row>
    <row r="18" spans="1:11" ht="30" customHeight="1" x14ac:dyDescent="0.25">
      <c r="A18" s="33" t="s">
        <v>491</v>
      </c>
      <c r="B18" s="28" t="s">
        <v>478</v>
      </c>
      <c r="C18" s="47" t="s">
        <v>388</v>
      </c>
      <c r="D18" s="28" t="s">
        <v>14</v>
      </c>
      <c r="E18" s="56" t="s">
        <v>3231</v>
      </c>
      <c r="F18" s="28" t="s">
        <v>330</v>
      </c>
      <c r="G18" s="29" t="s">
        <v>2</v>
      </c>
      <c r="H18" s="28"/>
      <c r="I18" s="34" t="str">
        <f>IFERROR(HYPERLINK("#Main!A"&amp;MATCH(A18,Main!A:A,0),"Open"),HYPERLINK("#Main!A1","Open"))</f>
        <v>Open</v>
      </c>
      <c r="J18" s="34" t="str">
        <f t="shared" ca="1" si="0"/>
        <v>Open</v>
      </c>
      <c r="K18" s="34"/>
    </row>
    <row r="19" spans="1:11" ht="30" customHeight="1" x14ac:dyDescent="0.25">
      <c r="A19" s="30" t="s">
        <v>488</v>
      </c>
      <c r="B19" s="37" t="s">
        <v>478</v>
      </c>
      <c r="C19" s="47" t="s">
        <v>388</v>
      </c>
      <c r="D19" s="37" t="s">
        <v>14</v>
      </c>
      <c r="E19" s="57" t="s">
        <v>3232</v>
      </c>
      <c r="F19" s="37" t="s">
        <v>330</v>
      </c>
      <c r="G19" s="29" t="s">
        <v>2</v>
      </c>
      <c r="H19" s="37"/>
      <c r="I19" t="str">
        <f>IFERROR(HYPERLINK("#Main!A"&amp;MATCH(A19,Main!A:A,0),"Open"),HYPERLINK("#Main!A1","Open"))</f>
        <v>Open</v>
      </c>
      <c r="J19" t="str">
        <f t="shared" ca="1" si="0"/>
        <v>Open</v>
      </c>
    </row>
    <row r="20" spans="1:11" ht="30" customHeight="1" x14ac:dyDescent="0.25">
      <c r="A20" s="33" t="s">
        <v>494</v>
      </c>
      <c r="B20" s="28" t="s">
        <v>478</v>
      </c>
      <c r="C20" s="47" t="s">
        <v>388</v>
      </c>
      <c r="D20" s="28" t="s">
        <v>14</v>
      </c>
      <c r="E20" s="56" t="s">
        <v>3233</v>
      </c>
      <c r="F20" s="28" t="s">
        <v>330</v>
      </c>
      <c r="G20" s="29" t="s">
        <v>2</v>
      </c>
      <c r="H20" s="28"/>
      <c r="I20" s="34" t="str">
        <f>IFERROR(HYPERLINK("#Main!A"&amp;MATCH(A20,Main!A:A,0),"Open"),HYPERLINK("#Main!A1","Open"))</f>
        <v>Open</v>
      </c>
      <c r="J20" s="34" t="str">
        <f t="shared" ca="1" si="0"/>
        <v>Open</v>
      </c>
      <c r="K20" s="34"/>
    </row>
    <row r="21" spans="1:11" ht="30" customHeight="1" x14ac:dyDescent="0.25">
      <c r="A21" s="30" t="s">
        <v>500</v>
      </c>
      <c r="B21" s="37" t="s">
        <v>478</v>
      </c>
      <c r="C21" s="47" t="s">
        <v>388</v>
      </c>
      <c r="D21" s="37" t="s">
        <v>14</v>
      </c>
      <c r="E21" s="57" t="s">
        <v>3234</v>
      </c>
      <c r="F21" s="37" t="s">
        <v>330</v>
      </c>
      <c r="G21" s="29" t="s">
        <v>2</v>
      </c>
      <c r="H21" s="37"/>
      <c r="I21" t="str">
        <f>IFERROR(HYPERLINK("#Main!A"&amp;MATCH(A21,Main!A:A,0),"Open"),HYPERLINK("#Main!A1","Open"))</f>
        <v>Open</v>
      </c>
      <c r="J21" t="str">
        <f t="shared" ca="1" si="0"/>
        <v>Open</v>
      </c>
    </row>
    <row r="22" spans="1:11" ht="30" customHeight="1" x14ac:dyDescent="0.25">
      <c r="A22" s="33" t="s">
        <v>497</v>
      </c>
      <c r="B22" s="28" t="s">
        <v>478</v>
      </c>
      <c r="C22" s="47" t="s">
        <v>388</v>
      </c>
      <c r="D22" s="28" t="s">
        <v>14</v>
      </c>
      <c r="E22" s="56" t="s">
        <v>3235</v>
      </c>
      <c r="F22" s="28" t="s">
        <v>330</v>
      </c>
      <c r="G22" s="29" t="s">
        <v>2</v>
      </c>
      <c r="H22" s="28"/>
      <c r="I22" s="34" t="str">
        <f>IFERROR(HYPERLINK("#Main!A"&amp;MATCH(A22,Main!A:A,0),"Open"),HYPERLINK("#Main!A1","Open"))</f>
        <v>Open</v>
      </c>
      <c r="J22" s="34" t="str">
        <f t="shared" ca="1" si="0"/>
        <v>Open</v>
      </c>
      <c r="K22" s="34"/>
    </row>
    <row r="23" spans="1:11" ht="30" customHeight="1" x14ac:dyDescent="0.25">
      <c r="A23" s="30" t="s">
        <v>506</v>
      </c>
      <c r="B23" s="37" t="s">
        <v>478</v>
      </c>
      <c r="C23" s="47" t="s">
        <v>388</v>
      </c>
      <c r="D23" s="37" t="s">
        <v>14</v>
      </c>
      <c r="E23" s="57" t="s">
        <v>3236</v>
      </c>
      <c r="F23" s="37" t="s">
        <v>330</v>
      </c>
      <c r="G23" s="29" t="s">
        <v>2</v>
      </c>
      <c r="H23" s="37"/>
      <c r="I23" t="str">
        <f>IFERROR(HYPERLINK("#Main!A"&amp;MATCH(A23,Main!A:A,0),"Open"),HYPERLINK("#Main!A1","Open"))</f>
        <v>Open</v>
      </c>
      <c r="J23" t="str">
        <f t="shared" ca="1" si="0"/>
        <v>Open</v>
      </c>
    </row>
    <row r="24" spans="1:11" ht="30" customHeight="1" x14ac:dyDescent="0.25">
      <c r="A24" s="33" t="s">
        <v>509</v>
      </c>
      <c r="B24" s="28" t="s">
        <v>478</v>
      </c>
      <c r="C24" s="47" t="s">
        <v>388</v>
      </c>
      <c r="D24" s="28" t="s">
        <v>14</v>
      </c>
      <c r="E24" s="56" t="s">
        <v>3237</v>
      </c>
      <c r="F24" s="28" t="s">
        <v>330</v>
      </c>
      <c r="G24" s="29" t="s">
        <v>2</v>
      </c>
      <c r="H24" s="28"/>
      <c r="I24" s="34" t="str">
        <f>IFERROR(HYPERLINK("#Main!A"&amp;MATCH(A24,Main!A:A,0),"Open"),HYPERLINK("#Main!A1","Open"))</f>
        <v>Open</v>
      </c>
      <c r="J24" s="34" t="str">
        <f t="shared" ca="1" si="0"/>
        <v>Open</v>
      </c>
      <c r="K24" s="34"/>
    </row>
    <row r="25" spans="1:11" ht="30" customHeight="1" x14ac:dyDescent="0.25">
      <c r="A25" s="30" t="s">
        <v>503</v>
      </c>
      <c r="B25" s="37" t="s">
        <v>478</v>
      </c>
      <c r="C25" s="47" t="s">
        <v>388</v>
      </c>
      <c r="D25" s="37" t="s">
        <v>14</v>
      </c>
      <c r="E25" s="57" t="s">
        <v>3238</v>
      </c>
      <c r="F25" s="37" t="s">
        <v>330</v>
      </c>
      <c r="G25" s="29" t="s">
        <v>2</v>
      </c>
      <c r="H25" s="37"/>
      <c r="I25" t="str">
        <f>IFERROR(HYPERLINK("#Main!A"&amp;MATCH(A25,Main!A:A,0),"Open"),HYPERLINK("#Main!A1","Open"))</f>
        <v>Open</v>
      </c>
      <c r="J25" t="str">
        <f t="shared" ca="1" si="0"/>
        <v>Open</v>
      </c>
    </row>
    <row r="26" spans="1:11" ht="30" customHeight="1" x14ac:dyDescent="0.25">
      <c r="A26" s="33" t="s">
        <v>476</v>
      </c>
      <c r="B26" s="28" t="s">
        <v>478</v>
      </c>
      <c r="C26" s="47" t="s">
        <v>388</v>
      </c>
      <c r="D26" s="28" t="s">
        <v>14</v>
      </c>
      <c r="E26" s="56" t="s">
        <v>3239</v>
      </c>
      <c r="F26" s="28" t="s">
        <v>330</v>
      </c>
      <c r="G26" s="29" t="s">
        <v>2</v>
      </c>
      <c r="H26" s="28"/>
      <c r="I26" s="34" t="str">
        <f>IFERROR(HYPERLINK("#Main!A"&amp;MATCH(A26,Main!A:A,0),"Open"),HYPERLINK("#Main!A1","Open"))</f>
        <v>Open</v>
      </c>
      <c r="J26" s="34" t="str">
        <f t="shared" ca="1" si="0"/>
        <v>Open</v>
      </c>
      <c r="K26" s="34"/>
    </row>
    <row r="27" spans="1:11" ht="30" customHeight="1" x14ac:dyDescent="0.25">
      <c r="A27" s="30" t="s">
        <v>512</v>
      </c>
      <c r="B27" s="37" t="s">
        <v>478</v>
      </c>
      <c r="C27" s="47" t="s">
        <v>388</v>
      </c>
      <c r="D27" s="37" t="s">
        <v>14</v>
      </c>
      <c r="E27" s="57" t="s">
        <v>3240</v>
      </c>
      <c r="F27" s="37" t="s">
        <v>330</v>
      </c>
      <c r="G27" s="29" t="s">
        <v>2</v>
      </c>
      <c r="H27" s="37"/>
      <c r="I27" t="str">
        <f>IFERROR(HYPERLINK("#Main!A"&amp;MATCH(A27,Main!A:A,0),"Open"),HYPERLINK("#Main!A1","Open"))</f>
        <v>Open</v>
      </c>
      <c r="J27" t="str">
        <f t="shared" ca="1" si="0"/>
        <v>Open</v>
      </c>
    </row>
    <row r="28" spans="1:11" ht="30" customHeight="1" x14ac:dyDescent="0.25">
      <c r="A28" s="33" t="s">
        <v>515</v>
      </c>
      <c r="B28" s="28" t="s">
        <v>478</v>
      </c>
      <c r="C28" s="47" t="s">
        <v>388</v>
      </c>
      <c r="D28" s="28" t="s">
        <v>14</v>
      </c>
      <c r="E28" s="56" t="s">
        <v>3241</v>
      </c>
      <c r="F28" s="28" t="s">
        <v>330</v>
      </c>
      <c r="G28" s="29" t="s">
        <v>2</v>
      </c>
      <c r="H28" s="28"/>
      <c r="I28" s="34" t="str">
        <f>IFERROR(HYPERLINK("#Main!A"&amp;MATCH(A28,Main!A:A,0),"Open"),HYPERLINK("#Main!A1","Open"))</f>
        <v>Open</v>
      </c>
      <c r="J28" s="34" t="str">
        <f t="shared" ca="1" si="0"/>
        <v>Open</v>
      </c>
      <c r="K28" s="34"/>
    </row>
    <row r="29" spans="1:11" ht="30" customHeight="1" x14ac:dyDescent="0.25">
      <c r="A29" s="30" t="s">
        <v>518</v>
      </c>
      <c r="B29" s="37" t="s">
        <v>478</v>
      </c>
      <c r="C29" s="47" t="s">
        <v>388</v>
      </c>
      <c r="D29" s="37" t="s">
        <v>14</v>
      </c>
      <c r="E29" s="57" t="s">
        <v>3242</v>
      </c>
      <c r="F29" s="37" t="s">
        <v>330</v>
      </c>
      <c r="G29" s="29" t="s">
        <v>2</v>
      </c>
      <c r="H29" s="37"/>
      <c r="I29" t="str">
        <f>IFERROR(HYPERLINK("#Main!A"&amp;MATCH(A29,Main!A:A,0),"Open"),HYPERLINK("#Main!A1","Open"))</f>
        <v>Open</v>
      </c>
      <c r="J29" t="str">
        <f t="shared" ca="1" si="0"/>
        <v>Open</v>
      </c>
    </row>
    <row r="30" spans="1:11" ht="30" customHeight="1" x14ac:dyDescent="0.25">
      <c r="A30" s="33" t="s">
        <v>521</v>
      </c>
      <c r="B30" s="28" t="s">
        <v>478</v>
      </c>
      <c r="C30" s="47" t="s">
        <v>388</v>
      </c>
      <c r="D30" s="28" t="s">
        <v>14</v>
      </c>
      <c r="E30" s="56" t="s">
        <v>3243</v>
      </c>
      <c r="F30" s="28" t="s">
        <v>330</v>
      </c>
      <c r="G30" s="29" t="s">
        <v>2</v>
      </c>
      <c r="H30" s="28"/>
      <c r="I30" s="34" t="str">
        <f>IFERROR(HYPERLINK("#Main!A"&amp;MATCH(A30,Main!A:A,0),"Open"),HYPERLINK("#Main!A1","Open"))</f>
        <v>Open</v>
      </c>
      <c r="J30" s="34" t="str">
        <f t="shared" ca="1" si="0"/>
        <v>Open</v>
      </c>
      <c r="K30" s="34"/>
    </row>
    <row r="31" spans="1:11" ht="30" customHeight="1" x14ac:dyDescent="0.25">
      <c r="A31" s="30" t="s">
        <v>524</v>
      </c>
      <c r="B31" s="37" t="s">
        <v>478</v>
      </c>
      <c r="C31" s="47" t="s">
        <v>388</v>
      </c>
      <c r="D31" s="37" t="s">
        <v>14</v>
      </c>
      <c r="E31" s="57" t="s">
        <v>3244</v>
      </c>
      <c r="F31" s="37" t="s">
        <v>330</v>
      </c>
      <c r="G31" s="29" t="s">
        <v>2</v>
      </c>
      <c r="H31" s="37"/>
      <c r="I31" t="str">
        <f>IFERROR(HYPERLINK("#Main!A"&amp;MATCH(A31,Main!A:A,0),"Open"),HYPERLINK("#Main!A1","Open"))</f>
        <v>Open</v>
      </c>
      <c r="J31" t="str">
        <f t="shared" ca="1" si="0"/>
        <v>Open</v>
      </c>
    </row>
    <row r="32" spans="1:11" ht="30" customHeight="1" x14ac:dyDescent="0.25">
      <c r="A32" s="33" t="s">
        <v>527</v>
      </c>
      <c r="B32" s="28" t="s">
        <v>478</v>
      </c>
      <c r="C32" s="47" t="s">
        <v>388</v>
      </c>
      <c r="D32" s="28" t="s">
        <v>14</v>
      </c>
      <c r="E32" s="56" t="s">
        <v>3245</v>
      </c>
      <c r="F32" s="28" t="s">
        <v>330</v>
      </c>
      <c r="G32" s="29" t="s">
        <v>2</v>
      </c>
      <c r="H32" s="28"/>
      <c r="I32" s="34" t="str">
        <f>IFERROR(HYPERLINK("#Main!A"&amp;MATCH(A32,Main!A:A,0),"Open"),HYPERLINK("#Main!A1","Open"))</f>
        <v>Open</v>
      </c>
      <c r="J32" s="34" t="str">
        <f t="shared" ca="1" si="0"/>
        <v>Open</v>
      </c>
      <c r="K32" s="34"/>
    </row>
    <row r="33" spans="1:11" ht="45" customHeight="1" x14ac:dyDescent="0.25">
      <c r="A33" s="30" t="s">
        <v>528</v>
      </c>
      <c r="B33" s="37" t="s">
        <v>478</v>
      </c>
      <c r="C33" s="47" t="s">
        <v>388</v>
      </c>
      <c r="D33" s="37" t="s">
        <v>14</v>
      </c>
      <c r="E33" s="57" t="s">
        <v>3246</v>
      </c>
      <c r="F33" s="37" t="s">
        <v>330</v>
      </c>
      <c r="G33" s="29" t="s">
        <v>2</v>
      </c>
      <c r="H33" s="37"/>
      <c r="I33" t="str">
        <f>IFERROR(HYPERLINK("#Main!A"&amp;MATCH(A33,Main!A:A,0),"Open"),HYPERLINK("#Main!A1","Open"))</f>
        <v>Open</v>
      </c>
      <c r="J33" t="str">
        <f t="shared" ca="1" si="0"/>
        <v>Open</v>
      </c>
    </row>
    <row r="34" spans="1:11" ht="30" customHeight="1" x14ac:dyDescent="0.25">
      <c r="A34" s="33" t="s">
        <v>531</v>
      </c>
      <c r="B34" s="28" t="s">
        <v>478</v>
      </c>
      <c r="C34" s="47" t="s">
        <v>388</v>
      </c>
      <c r="D34" s="28" t="s">
        <v>14</v>
      </c>
      <c r="E34" s="56" t="s">
        <v>3247</v>
      </c>
      <c r="F34" s="28" t="s">
        <v>330</v>
      </c>
      <c r="G34" s="29" t="s">
        <v>2</v>
      </c>
      <c r="H34" s="28"/>
      <c r="I34" s="34" t="str">
        <f>IFERROR(HYPERLINK("#Main!A"&amp;MATCH(A34,Main!A:A,0),"Open"),HYPERLINK("#Main!A1","Open"))</f>
        <v>Open</v>
      </c>
      <c r="J34" s="34" t="str">
        <f t="shared" ref="J34:J65" ca="1" si="1">IFERROR(HYPERLINK("#"&amp;D34&amp;"!A"&amp;MATCH(A34,INDIRECT("'"&amp;D34&amp;"'!A:A"),0),"Open"),HYPERLINK("#"&amp;D34&amp;"!A1","Open"))</f>
        <v>Open</v>
      </c>
      <c r="K34" s="34"/>
    </row>
    <row r="35" spans="1:11" ht="30" customHeight="1" x14ac:dyDescent="0.25">
      <c r="A35" s="30" t="s">
        <v>534</v>
      </c>
      <c r="B35" s="37" t="s">
        <v>478</v>
      </c>
      <c r="C35" s="47" t="s">
        <v>388</v>
      </c>
      <c r="D35" s="37" t="s">
        <v>14</v>
      </c>
      <c r="E35" s="57" t="s">
        <v>3248</v>
      </c>
      <c r="F35" s="37" t="s">
        <v>330</v>
      </c>
      <c r="G35" s="29" t="s">
        <v>2</v>
      </c>
      <c r="H35" s="37"/>
      <c r="I35" t="str">
        <f>IFERROR(HYPERLINK("#Main!A"&amp;MATCH(A35,Main!A:A,0),"Open"),HYPERLINK("#Main!A1","Open"))</f>
        <v>Open</v>
      </c>
      <c r="J35" t="str">
        <f t="shared" ca="1" si="1"/>
        <v>Open</v>
      </c>
    </row>
    <row r="36" spans="1:11" ht="30" customHeight="1" x14ac:dyDescent="0.25">
      <c r="A36" s="33" t="s">
        <v>537</v>
      </c>
      <c r="B36" s="28" t="s">
        <v>478</v>
      </c>
      <c r="C36" s="47" t="s">
        <v>388</v>
      </c>
      <c r="D36" s="28" t="s">
        <v>14</v>
      </c>
      <c r="E36" s="56" t="s">
        <v>3249</v>
      </c>
      <c r="F36" s="28" t="s">
        <v>330</v>
      </c>
      <c r="G36" s="29" t="s">
        <v>2</v>
      </c>
      <c r="H36" s="28"/>
      <c r="I36" s="34" t="str">
        <f>IFERROR(HYPERLINK("#Main!A"&amp;MATCH(A36,Main!A:A,0),"Open"),HYPERLINK("#Main!A1","Open"))</f>
        <v>Open</v>
      </c>
      <c r="J36" s="34" t="str">
        <f t="shared" ca="1" si="1"/>
        <v>Open</v>
      </c>
      <c r="K36" s="34"/>
    </row>
    <row r="37" spans="1:11" ht="45" customHeight="1" x14ac:dyDescent="0.25">
      <c r="A37" s="30" t="s">
        <v>540</v>
      </c>
      <c r="B37" s="37" t="s">
        <v>478</v>
      </c>
      <c r="C37" s="47" t="s">
        <v>388</v>
      </c>
      <c r="D37" s="37" t="s">
        <v>14</v>
      </c>
      <c r="E37" s="57" t="s">
        <v>3250</v>
      </c>
      <c r="F37" s="37" t="s">
        <v>330</v>
      </c>
      <c r="G37" s="29" t="s">
        <v>2</v>
      </c>
      <c r="H37" s="37"/>
      <c r="I37" t="str">
        <f>IFERROR(HYPERLINK("#Main!A"&amp;MATCH(A37,Main!A:A,0),"Open"),HYPERLINK("#Main!A1","Open"))</f>
        <v>Open</v>
      </c>
      <c r="J37" t="str">
        <f t="shared" ca="1" si="1"/>
        <v>Open</v>
      </c>
    </row>
    <row r="38" spans="1:11" ht="30" customHeight="1" x14ac:dyDescent="0.25">
      <c r="A38" s="33" t="s">
        <v>543</v>
      </c>
      <c r="B38" s="28" t="s">
        <v>478</v>
      </c>
      <c r="C38" s="47" t="s">
        <v>388</v>
      </c>
      <c r="D38" s="28" t="s">
        <v>14</v>
      </c>
      <c r="E38" s="56" t="s">
        <v>3251</v>
      </c>
      <c r="F38" s="28" t="s">
        <v>330</v>
      </c>
      <c r="G38" s="29" t="s">
        <v>2</v>
      </c>
      <c r="H38" s="28"/>
      <c r="I38" s="34" t="str">
        <f>IFERROR(HYPERLINK("#Main!A"&amp;MATCH(A38,Main!A:A,0),"Open"),HYPERLINK("#Main!A1","Open"))</f>
        <v>Open</v>
      </c>
      <c r="J38" s="34" t="str">
        <f t="shared" ca="1" si="1"/>
        <v>Open</v>
      </c>
      <c r="K38" s="34"/>
    </row>
    <row r="39" spans="1:11" ht="30" customHeight="1" x14ac:dyDescent="0.25">
      <c r="A39" s="30" t="s">
        <v>483</v>
      </c>
      <c r="B39" s="37" t="s">
        <v>478</v>
      </c>
      <c r="C39" s="47" t="s">
        <v>388</v>
      </c>
      <c r="D39" s="37" t="s">
        <v>14</v>
      </c>
      <c r="E39" s="57" t="s">
        <v>3252</v>
      </c>
      <c r="F39" s="37" t="s">
        <v>330</v>
      </c>
      <c r="G39" s="29" t="s">
        <v>2</v>
      </c>
      <c r="H39" s="37"/>
      <c r="I39" t="str">
        <f>IFERROR(HYPERLINK("#Main!A"&amp;MATCH(A39,Main!A:A,0),"Open"),HYPERLINK("#Main!A1","Open"))</f>
        <v>Open</v>
      </c>
      <c r="J39" t="str">
        <f t="shared" ca="1" si="1"/>
        <v>Open</v>
      </c>
    </row>
    <row r="40" spans="1:11" ht="30" customHeight="1" x14ac:dyDescent="0.25">
      <c r="A40" s="33" t="s">
        <v>546</v>
      </c>
      <c r="B40" s="28" t="s">
        <v>478</v>
      </c>
      <c r="C40" s="47" t="s">
        <v>388</v>
      </c>
      <c r="D40" s="28" t="s">
        <v>14</v>
      </c>
      <c r="E40" s="56" t="s">
        <v>3253</v>
      </c>
      <c r="F40" s="28" t="s">
        <v>330</v>
      </c>
      <c r="G40" s="29" t="s">
        <v>2</v>
      </c>
      <c r="H40" s="28"/>
      <c r="I40" s="34" t="str">
        <f>IFERROR(HYPERLINK("#Main!A"&amp;MATCH(A40,Main!A:A,0),"Open"),HYPERLINK("#Main!A1","Open"))</f>
        <v>Open</v>
      </c>
      <c r="J40" s="34" t="str">
        <f t="shared" ca="1" si="1"/>
        <v>Open</v>
      </c>
      <c r="K40" s="34"/>
    </row>
    <row r="41" spans="1:11" ht="30" customHeight="1" x14ac:dyDescent="0.25">
      <c r="A41" s="30" t="s">
        <v>549</v>
      </c>
      <c r="B41" s="37" t="s">
        <v>478</v>
      </c>
      <c r="C41" s="47" t="s">
        <v>388</v>
      </c>
      <c r="D41" s="37" t="s">
        <v>14</v>
      </c>
      <c r="E41" s="57" t="s">
        <v>3254</v>
      </c>
      <c r="F41" s="37" t="s">
        <v>330</v>
      </c>
      <c r="G41" s="29" t="s">
        <v>2</v>
      </c>
      <c r="H41" s="37"/>
      <c r="I41" t="str">
        <f>IFERROR(HYPERLINK("#Main!A"&amp;MATCH(A41,Main!A:A,0),"Open"),HYPERLINK("#Main!A1","Open"))</f>
        <v>Open</v>
      </c>
      <c r="J41" t="str">
        <f t="shared" ca="1" si="1"/>
        <v>Open</v>
      </c>
    </row>
    <row r="42" spans="1:11" ht="30" customHeight="1" x14ac:dyDescent="0.25">
      <c r="A42" s="33" t="s">
        <v>555</v>
      </c>
      <c r="B42" s="28" t="s">
        <v>478</v>
      </c>
      <c r="C42" s="47" t="s">
        <v>388</v>
      </c>
      <c r="D42" s="28" t="s">
        <v>14</v>
      </c>
      <c r="E42" s="56" t="s">
        <v>3255</v>
      </c>
      <c r="F42" s="28" t="s">
        <v>330</v>
      </c>
      <c r="G42" s="29" t="s">
        <v>2</v>
      </c>
      <c r="H42" s="28"/>
      <c r="I42" s="34" t="str">
        <f>IFERROR(HYPERLINK("#Main!A"&amp;MATCH(A42,Main!A:A,0),"Open"),HYPERLINK("#Main!A1","Open"))</f>
        <v>Open</v>
      </c>
      <c r="J42" s="34" t="str">
        <f t="shared" ca="1" si="1"/>
        <v>Open</v>
      </c>
      <c r="K42" s="34"/>
    </row>
    <row r="43" spans="1:11" ht="30" customHeight="1" x14ac:dyDescent="0.25">
      <c r="A43" s="30" t="s">
        <v>557</v>
      </c>
      <c r="B43" s="37" t="s">
        <v>478</v>
      </c>
      <c r="C43" s="47" t="s">
        <v>388</v>
      </c>
      <c r="D43" s="37" t="s">
        <v>14</v>
      </c>
      <c r="E43" s="57" t="s">
        <v>3256</v>
      </c>
      <c r="F43" s="37" t="s">
        <v>330</v>
      </c>
      <c r="G43" s="29" t="s">
        <v>2</v>
      </c>
      <c r="H43" s="37"/>
      <c r="I43" t="str">
        <f>IFERROR(HYPERLINK("#Main!A"&amp;MATCH(A43,Main!A:A,0),"Open"),HYPERLINK("#Main!A1","Open"))</f>
        <v>Open</v>
      </c>
      <c r="J43" t="str">
        <f t="shared" ca="1" si="1"/>
        <v>Open</v>
      </c>
    </row>
    <row r="44" spans="1:11" ht="30" customHeight="1" x14ac:dyDescent="0.25">
      <c r="A44" s="33" t="s">
        <v>552</v>
      </c>
      <c r="B44" s="28" t="s">
        <v>478</v>
      </c>
      <c r="C44" s="47" t="s">
        <v>388</v>
      </c>
      <c r="D44" s="28" t="s">
        <v>14</v>
      </c>
      <c r="E44" s="56" t="s">
        <v>3257</v>
      </c>
      <c r="F44" s="28" t="s">
        <v>330</v>
      </c>
      <c r="G44" s="29" t="s">
        <v>2</v>
      </c>
      <c r="H44" s="28"/>
      <c r="I44" s="34" t="str">
        <f>IFERROR(HYPERLINK("#Main!A"&amp;MATCH(A44,Main!A:A,0),"Open"),HYPERLINK("#Main!A1","Open"))</f>
        <v>Open</v>
      </c>
      <c r="J44" s="34" t="str">
        <f t="shared" ca="1" si="1"/>
        <v>Open</v>
      </c>
      <c r="K44" s="34"/>
    </row>
    <row r="45" spans="1:11" ht="30" customHeight="1" x14ac:dyDescent="0.25">
      <c r="A45" s="30" t="s">
        <v>560</v>
      </c>
      <c r="B45" s="37" t="s">
        <v>478</v>
      </c>
      <c r="C45" s="47" t="s">
        <v>388</v>
      </c>
      <c r="D45" s="37" t="s">
        <v>14</v>
      </c>
      <c r="E45" s="57" t="s">
        <v>3258</v>
      </c>
      <c r="F45" s="37" t="s">
        <v>330</v>
      </c>
      <c r="G45" s="29" t="s">
        <v>2</v>
      </c>
      <c r="H45" s="37"/>
      <c r="I45" t="str">
        <f>IFERROR(HYPERLINK("#Main!A"&amp;MATCH(A45,Main!A:A,0),"Open"),HYPERLINK("#Main!A1","Open"))</f>
        <v>Open</v>
      </c>
      <c r="J45" t="str">
        <f t="shared" ca="1" si="1"/>
        <v>Open</v>
      </c>
    </row>
    <row r="46" spans="1:11" ht="30" customHeight="1" x14ac:dyDescent="0.25">
      <c r="A46" s="33" t="s">
        <v>563</v>
      </c>
      <c r="B46" s="28" t="s">
        <v>478</v>
      </c>
      <c r="C46" s="47" t="s">
        <v>388</v>
      </c>
      <c r="D46" s="28" t="s">
        <v>14</v>
      </c>
      <c r="E46" s="56" t="s">
        <v>3259</v>
      </c>
      <c r="F46" s="28" t="s">
        <v>330</v>
      </c>
      <c r="G46" s="29" t="s">
        <v>2</v>
      </c>
      <c r="H46" s="28"/>
      <c r="I46" s="34" t="str">
        <f>IFERROR(HYPERLINK("#Main!A"&amp;MATCH(A46,Main!A:A,0),"Open"),HYPERLINK("#Main!A1","Open"))</f>
        <v>Open</v>
      </c>
      <c r="J46" s="34" t="str">
        <f t="shared" ca="1" si="1"/>
        <v>Open</v>
      </c>
      <c r="K46" s="34"/>
    </row>
    <row r="47" spans="1:11" ht="30" customHeight="1" x14ac:dyDescent="0.25">
      <c r="A47" s="30" t="s">
        <v>566</v>
      </c>
      <c r="B47" s="37" t="s">
        <v>478</v>
      </c>
      <c r="C47" s="47" t="s">
        <v>388</v>
      </c>
      <c r="D47" s="37" t="s">
        <v>14</v>
      </c>
      <c r="E47" s="57" t="s">
        <v>3260</v>
      </c>
      <c r="F47" s="37" t="s">
        <v>330</v>
      </c>
      <c r="G47" s="29" t="s">
        <v>2</v>
      </c>
      <c r="H47" s="37"/>
      <c r="I47" t="str">
        <f>IFERROR(HYPERLINK("#Main!A"&amp;MATCH(A47,Main!A:A,0),"Open"),HYPERLINK("#Main!A1","Open"))</f>
        <v>Open</v>
      </c>
      <c r="J47" t="str">
        <f t="shared" ca="1" si="1"/>
        <v>Open</v>
      </c>
    </row>
    <row r="48" spans="1:11" ht="30" customHeight="1" x14ac:dyDescent="0.25">
      <c r="A48" s="33" t="s">
        <v>570</v>
      </c>
      <c r="B48" s="28" t="s">
        <v>478</v>
      </c>
      <c r="C48" s="47" t="s">
        <v>388</v>
      </c>
      <c r="D48" s="28" t="s">
        <v>14</v>
      </c>
      <c r="E48" s="56" t="s">
        <v>3261</v>
      </c>
      <c r="F48" s="28" t="s">
        <v>330</v>
      </c>
      <c r="G48" s="29" t="s">
        <v>2</v>
      </c>
      <c r="H48" s="28"/>
      <c r="I48" s="34" t="str">
        <f>IFERROR(HYPERLINK("#Main!A"&amp;MATCH(A48,Main!A:A,0),"Open"),HYPERLINK("#Main!A1","Open"))</f>
        <v>Open</v>
      </c>
      <c r="J48" s="34" t="str">
        <f t="shared" ca="1" si="1"/>
        <v>Open</v>
      </c>
      <c r="K48" s="34"/>
    </row>
    <row r="49" spans="1:11" ht="30" customHeight="1" x14ac:dyDescent="0.25">
      <c r="A49" s="30" t="s">
        <v>577</v>
      </c>
      <c r="B49" s="37" t="s">
        <v>478</v>
      </c>
      <c r="C49" s="47" t="s">
        <v>388</v>
      </c>
      <c r="D49" s="37" t="s">
        <v>14</v>
      </c>
      <c r="E49" s="57" t="s">
        <v>3262</v>
      </c>
      <c r="F49" s="37" t="s">
        <v>330</v>
      </c>
      <c r="G49" s="29" t="s">
        <v>2</v>
      </c>
      <c r="H49" s="37"/>
      <c r="I49" t="str">
        <f>IFERROR(HYPERLINK("#Main!A"&amp;MATCH(A49,Main!A:A,0),"Open"),HYPERLINK("#Main!A1","Open"))</f>
        <v>Open</v>
      </c>
      <c r="J49" t="str">
        <f t="shared" ca="1" si="1"/>
        <v>Open</v>
      </c>
    </row>
    <row r="50" spans="1:11" ht="30" customHeight="1" x14ac:dyDescent="0.25">
      <c r="A50" s="33" t="s">
        <v>579</v>
      </c>
      <c r="B50" s="28" t="s">
        <v>478</v>
      </c>
      <c r="C50" s="47" t="s">
        <v>388</v>
      </c>
      <c r="D50" s="28" t="s">
        <v>14</v>
      </c>
      <c r="E50" s="56" t="s">
        <v>3263</v>
      </c>
      <c r="F50" s="28" t="s">
        <v>330</v>
      </c>
      <c r="G50" s="29" t="s">
        <v>2</v>
      </c>
      <c r="H50" s="28"/>
      <c r="I50" s="34" t="str">
        <f>IFERROR(HYPERLINK("#Main!A"&amp;MATCH(A50,Main!A:A,0),"Open"),HYPERLINK("#Main!A1","Open"))</f>
        <v>Open</v>
      </c>
      <c r="J50" s="34" t="str">
        <f t="shared" ca="1" si="1"/>
        <v>Open</v>
      </c>
      <c r="K50" s="34"/>
    </row>
    <row r="51" spans="1:11" ht="30" customHeight="1" x14ac:dyDescent="0.25">
      <c r="A51" s="30" t="s">
        <v>573</v>
      </c>
      <c r="B51" s="37" t="s">
        <v>478</v>
      </c>
      <c r="C51" s="47" t="s">
        <v>388</v>
      </c>
      <c r="D51" s="37" t="s">
        <v>14</v>
      </c>
      <c r="E51" s="57" t="s">
        <v>3264</v>
      </c>
      <c r="F51" s="37" t="s">
        <v>330</v>
      </c>
      <c r="G51" s="29" t="s">
        <v>2</v>
      </c>
      <c r="H51" s="37"/>
      <c r="I51" t="str">
        <f>IFERROR(HYPERLINK("#Main!A"&amp;MATCH(A51,Main!A:A,0),"Open"),HYPERLINK("#Main!A1","Open"))</f>
        <v>Open</v>
      </c>
      <c r="J51" t="str">
        <f t="shared" ca="1" si="1"/>
        <v>Open</v>
      </c>
    </row>
    <row r="52" spans="1:11" ht="30" customHeight="1" x14ac:dyDescent="0.25">
      <c r="A52" s="33" t="s">
        <v>582</v>
      </c>
      <c r="B52" s="28" t="s">
        <v>478</v>
      </c>
      <c r="C52" s="47" t="s">
        <v>388</v>
      </c>
      <c r="D52" s="28" t="s">
        <v>14</v>
      </c>
      <c r="E52" s="56" t="s">
        <v>3265</v>
      </c>
      <c r="F52" s="28" t="s">
        <v>330</v>
      </c>
      <c r="G52" s="29" t="s">
        <v>2</v>
      </c>
      <c r="H52" s="28"/>
      <c r="I52" s="34" t="str">
        <f>IFERROR(HYPERLINK("#Main!A"&amp;MATCH(A52,Main!A:A,0),"Open"),HYPERLINK("#Main!A1","Open"))</f>
        <v>Open</v>
      </c>
      <c r="J52" s="34" t="str">
        <f t="shared" ca="1" si="1"/>
        <v>Open</v>
      </c>
      <c r="K52" s="34"/>
    </row>
    <row r="53" spans="1:11" ht="30" customHeight="1" x14ac:dyDescent="0.25">
      <c r="A53" s="30" t="s">
        <v>588</v>
      </c>
      <c r="B53" s="37" t="s">
        <v>478</v>
      </c>
      <c r="C53" s="47" t="s">
        <v>388</v>
      </c>
      <c r="D53" s="37" t="s">
        <v>14</v>
      </c>
      <c r="E53" s="57" t="s">
        <v>3266</v>
      </c>
      <c r="F53" s="37" t="s">
        <v>330</v>
      </c>
      <c r="G53" s="29" t="s">
        <v>2</v>
      </c>
      <c r="H53" s="37"/>
      <c r="I53" t="str">
        <f>IFERROR(HYPERLINK("#Main!A"&amp;MATCH(A53,Main!A:A,0),"Open"),HYPERLINK("#Main!A1","Open"))</f>
        <v>Open</v>
      </c>
      <c r="J53" t="str">
        <f t="shared" ca="1" si="1"/>
        <v>Open</v>
      </c>
    </row>
    <row r="54" spans="1:11" ht="30" customHeight="1" x14ac:dyDescent="0.25">
      <c r="A54" s="33" t="s">
        <v>591</v>
      </c>
      <c r="B54" s="28" t="s">
        <v>478</v>
      </c>
      <c r="C54" s="47" t="s">
        <v>388</v>
      </c>
      <c r="D54" s="28" t="s">
        <v>14</v>
      </c>
      <c r="E54" s="56" t="s">
        <v>3267</v>
      </c>
      <c r="F54" s="28" t="s">
        <v>330</v>
      </c>
      <c r="G54" s="29" t="s">
        <v>2</v>
      </c>
      <c r="H54" s="28"/>
      <c r="I54" s="34" t="str">
        <f>IFERROR(HYPERLINK("#Main!A"&amp;MATCH(A54,Main!A:A,0),"Open"),HYPERLINK("#Main!A1","Open"))</f>
        <v>Open</v>
      </c>
      <c r="J54" s="34" t="str">
        <f t="shared" ca="1" si="1"/>
        <v>Open</v>
      </c>
      <c r="K54" s="34"/>
    </row>
    <row r="55" spans="1:11" ht="30" customHeight="1" x14ac:dyDescent="0.25">
      <c r="A55" s="30" t="s">
        <v>594</v>
      </c>
      <c r="B55" s="37" t="s">
        <v>478</v>
      </c>
      <c r="C55" s="47" t="s">
        <v>388</v>
      </c>
      <c r="D55" s="37" t="s">
        <v>14</v>
      </c>
      <c r="E55" s="57" t="s">
        <v>3268</v>
      </c>
      <c r="F55" s="37" t="s">
        <v>330</v>
      </c>
      <c r="G55" s="29" t="s">
        <v>2</v>
      </c>
      <c r="H55" s="37"/>
      <c r="I55" t="str">
        <f>IFERROR(HYPERLINK("#Main!A"&amp;MATCH(A55,Main!A:A,0),"Open"),HYPERLINK("#Main!A1","Open"))</f>
        <v>Open</v>
      </c>
      <c r="J55" t="str">
        <f t="shared" ca="1" si="1"/>
        <v>Open</v>
      </c>
    </row>
    <row r="56" spans="1:11" ht="30" customHeight="1" x14ac:dyDescent="0.25">
      <c r="A56" s="33" t="s">
        <v>585</v>
      </c>
      <c r="B56" s="28" t="s">
        <v>478</v>
      </c>
      <c r="C56" s="47" t="s">
        <v>388</v>
      </c>
      <c r="D56" s="28" t="s">
        <v>14</v>
      </c>
      <c r="E56" s="56" t="s">
        <v>3269</v>
      </c>
      <c r="F56" s="28" t="s">
        <v>330</v>
      </c>
      <c r="G56" s="29" t="s">
        <v>2</v>
      </c>
      <c r="H56" s="28"/>
      <c r="I56" s="34" t="str">
        <f>IFERROR(HYPERLINK("#Main!A"&amp;MATCH(A56,Main!A:A,0),"Open"),HYPERLINK("#Main!A1","Open"))</f>
        <v>Open</v>
      </c>
      <c r="J56" s="34" t="str">
        <f t="shared" ca="1" si="1"/>
        <v>Open</v>
      </c>
      <c r="K56" s="34"/>
    </row>
    <row r="57" spans="1:11" ht="30" customHeight="1" x14ac:dyDescent="0.25">
      <c r="A57" s="30" t="s">
        <v>597</v>
      </c>
      <c r="B57" s="37" t="s">
        <v>478</v>
      </c>
      <c r="C57" s="47" t="s">
        <v>388</v>
      </c>
      <c r="D57" s="37" t="s">
        <v>14</v>
      </c>
      <c r="E57" s="57" t="s">
        <v>3270</v>
      </c>
      <c r="F57" s="37" t="s">
        <v>330</v>
      </c>
      <c r="G57" s="29" t="s">
        <v>2</v>
      </c>
      <c r="H57" s="37"/>
      <c r="I57" t="str">
        <f>IFERROR(HYPERLINK("#Main!A"&amp;MATCH(A57,Main!A:A,0),"Open"),HYPERLINK("#Main!A1","Open"))</f>
        <v>Open</v>
      </c>
      <c r="J57" t="str">
        <f t="shared" ca="1" si="1"/>
        <v>Open</v>
      </c>
    </row>
    <row r="58" spans="1:11" ht="30" customHeight="1" x14ac:dyDescent="0.25">
      <c r="A58" s="33" t="s">
        <v>601</v>
      </c>
      <c r="B58" s="28" t="s">
        <v>478</v>
      </c>
      <c r="C58" s="47" t="s">
        <v>388</v>
      </c>
      <c r="D58" s="28" t="s">
        <v>14</v>
      </c>
      <c r="E58" s="56" t="s">
        <v>3271</v>
      </c>
      <c r="F58" s="28" t="s">
        <v>330</v>
      </c>
      <c r="G58" s="29" t="s">
        <v>2</v>
      </c>
      <c r="H58" s="28"/>
      <c r="I58" s="34" t="str">
        <f>IFERROR(HYPERLINK("#Main!A"&amp;MATCH(A58,Main!A:A,0),"Open"),HYPERLINK("#Main!A1","Open"))</f>
        <v>Open</v>
      </c>
      <c r="J58" s="34" t="str">
        <f t="shared" ca="1" si="1"/>
        <v>Open</v>
      </c>
      <c r="K58" s="34"/>
    </row>
    <row r="59" spans="1:11" ht="30" customHeight="1" x14ac:dyDescent="0.25">
      <c r="A59" s="30" t="s">
        <v>604</v>
      </c>
      <c r="B59" s="37" t="s">
        <v>478</v>
      </c>
      <c r="C59" s="47" t="s">
        <v>388</v>
      </c>
      <c r="D59" s="37" t="s">
        <v>14</v>
      </c>
      <c r="E59" s="57" t="s">
        <v>3272</v>
      </c>
      <c r="F59" s="37" t="s">
        <v>330</v>
      </c>
      <c r="G59" s="29" t="s">
        <v>2</v>
      </c>
      <c r="H59" s="37"/>
      <c r="I59" t="str">
        <f>IFERROR(HYPERLINK("#Main!A"&amp;MATCH(A59,Main!A:A,0),"Open"),HYPERLINK("#Main!A1","Open"))</f>
        <v>Open</v>
      </c>
      <c r="J59" t="str">
        <f t="shared" ca="1" si="1"/>
        <v>Open</v>
      </c>
    </row>
    <row r="60" spans="1:11" ht="30" customHeight="1" x14ac:dyDescent="0.25">
      <c r="A60" s="33" t="s">
        <v>608</v>
      </c>
      <c r="B60" s="28" t="s">
        <v>478</v>
      </c>
      <c r="C60" s="47" t="s">
        <v>388</v>
      </c>
      <c r="D60" s="28" t="s">
        <v>14</v>
      </c>
      <c r="E60" s="56" t="s">
        <v>3273</v>
      </c>
      <c r="F60" s="28" t="s">
        <v>330</v>
      </c>
      <c r="G60" s="29" t="s">
        <v>2</v>
      </c>
      <c r="H60" s="28"/>
      <c r="I60" s="34" t="str">
        <f>IFERROR(HYPERLINK("#Main!A"&amp;MATCH(A60,Main!A:A,0),"Open"),HYPERLINK("#Main!A1","Open"))</f>
        <v>Open</v>
      </c>
      <c r="J60" s="34" t="str">
        <f t="shared" ca="1" si="1"/>
        <v>Open</v>
      </c>
      <c r="K60" s="34"/>
    </row>
    <row r="61" spans="1:11" ht="30" customHeight="1" x14ac:dyDescent="0.25">
      <c r="A61" s="30" t="s">
        <v>611</v>
      </c>
      <c r="B61" s="37" t="s">
        <v>478</v>
      </c>
      <c r="C61" s="47" t="s">
        <v>388</v>
      </c>
      <c r="D61" s="37" t="s">
        <v>14</v>
      </c>
      <c r="E61" s="57" t="s">
        <v>3274</v>
      </c>
      <c r="F61" s="37" t="s">
        <v>330</v>
      </c>
      <c r="G61" s="29" t="s">
        <v>2</v>
      </c>
      <c r="H61" s="37"/>
      <c r="I61" t="str">
        <f>IFERROR(HYPERLINK("#Main!A"&amp;MATCH(A61,Main!A:A,0),"Open"),HYPERLINK("#Main!A1","Open"))</f>
        <v>Open</v>
      </c>
      <c r="J61" t="str">
        <f t="shared" ca="1" si="1"/>
        <v>Open</v>
      </c>
    </row>
    <row r="62" spans="1:11" ht="30" customHeight="1" x14ac:dyDescent="0.25">
      <c r="A62" s="33" t="s">
        <v>615</v>
      </c>
      <c r="B62" s="28" t="s">
        <v>478</v>
      </c>
      <c r="C62" s="47" t="s">
        <v>388</v>
      </c>
      <c r="D62" s="28" t="s">
        <v>14</v>
      </c>
      <c r="E62" s="56" t="s">
        <v>3275</v>
      </c>
      <c r="F62" s="28" t="s">
        <v>330</v>
      </c>
      <c r="G62" s="29" t="s">
        <v>2</v>
      </c>
      <c r="H62" s="28"/>
      <c r="I62" s="34" t="str">
        <f>IFERROR(HYPERLINK("#Main!A"&amp;MATCH(A62,Main!A:A,0),"Open"),HYPERLINK("#Main!A1","Open"))</f>
        <v>Open</v>
      </c>
      <c r="J62" s="34" t="str">
        <f t="shared" ca="1" si="1"/>
        <v>Open</v>
      </c>
      <c r="K62" s="34"/>
    </row>
    <row r="63" spans="1:11" ht="30" customHeight="1" x14ac:dyDescent="0.25">
      <c r="A63" s="30" t="s">
        <v>618</v>
      </c>
      <c r="B63" s="37" t="s">
        <v>478</v>
      </c>
      <c r="C63" s="47" t="s">
        <v>388</v>
      </c>
      <c r="D63" s="37" t="s">
        <v>14</v>
      </c>
      <c r="E63" s="57" t="s">
        <v>3276</v>
      </c>
      <c r="F63" s="37" t="s">
        <v>330</v>
      </c>
      <c r="G63" s="29" t="s">
        <v>2</v>
      </c>
      <c r="H63" s="37"/>
      <c r="I63" t="str">
        <f>IFERROR(HYPERLINK("#Main!A"&amp;MATCH(A63,Main!A:A,0),"Open"),HYPERLINK("#Main!A1","Open"))</f>
        <v>Open</v>
      </c>
      <c r="J63" t="str">
        <f t="shared" ca="1" si="1"/>
        <v>Open</v>
      </c>
    </row>
    <row r="64" spans="1:11" ht="30" customHeight="1" x14ac:dyDescent="0.25">
      <c r="A64" s="33" t="s">
        <v>621</v>
      </c>
      <c r="B64" s="28" t="s">
        <v>478</v>
      </c>
      <c r="C64" s="47" t="s">
        <v>388</v>
      </c>
      <c r="D64" s="28" t="s">
        <v>14</v>
      </c>
      <c r="E64" s="56" t="s">
        <v>3277</v>
      </c>
      <c r="F64" s="28" t="s">
        <v>330</v>
      </c>
      <c r="G64" s="29" t="s">
        <v>2</v>
      </c>
      <c r="H64" s="28"/>
      <c r="I64" s="34" t="str">
        <f>IFERROR(HYPERLINK("#Main!A"&amp;MATCH(A64,Main!A:A,0),"Open"),HYPERLINK("#Main!A1","Open"))</f>
        <v>Open</v>
      </c>
      <c r="J64" s="34" t="str">
        <f t="shared" ca="1" si="1"/>
        <v>Open</v>
      </c>
      <c r="K64" s="34"/>
    </row>
    <row r="65" spans="1:11" ht="30" customHeight="1" x14ac:dyDescent="0.25">
      <c r="A65" s="30" t="s">
        <v>624</v>
      </c>
      <c r="B65" s="37" t="s">
        <v>478</v>
      </c>
      <c r="C65" s="47" t="s">
        <v>388</v>
      </c>
      <c r="D65" s="37" t="s">
        <v>14</v>
      </c>
      <c r="E65" s="57" t="s">
        <v>3278</v>
      </c>
      <c r="F65" s="37" t="s">
        <v>330</v>
      </c>
      <c r="G65" s="29" t="s">
        <v>2</v>
      </c>
      <c r="H65" s="37"/>
      <c r="I65" t="str">
        <f>IFERROR(HYPERLINK("#Main!A"&amp;MATCH(A65,Main!A:A,0),"Open"),HYPERLINK("#Main!A1","Open"))</f>
        <v>Open</v>
      </c>
      <c r="J65" t="str">
        <f t="shared" ca="1" si="1"/>
        <v>Open</v>
      </c>
    </row>
    <row r="66" spans="1:11" ht="30" customHeight="1" x14ac:dyDescent="0.25">
      <c r="A66" s="33" t="s">
        <v>626</v>
      </c>
      <c r="B66" s="28" t="s">
        <v>478</v>
      </c>
      <c r="C66" s="47" t="s">
        <v>388</v>
      </c>
      <c r="D66" s="28" t="s">
        <v>14</v>
      </c>
      <c r="E66" s="56" t="s">
        <v>3279</v>
      </c>
      <c r="F66" s="28" t="s">
        <v>330</v>
      </c>
      <c r="G66" s="29" t="s">
        <v>2</v>
      </c>
      <c r="H66" s="28"/>
      <c r="I66" s="34" t="str">
        <f>IFERROR(HYPERLINK("#Main!A"&amp;MATCH(A66,Main!A:A,0),"Open"),HYPERLINK("#Main!A1","Open"))</f>
        <v>Open</v>
      </c>
      <c r="J66" s="34" t="str">
        <f t="shared" ref="J66:J86" ca="1" si="2">IFERROR(HYPERLINK("#"&amp;D66&amp;"!A"&amp;MATCH(A66,INDIRECT("'"&amp;D66&amp;"'!A:A"),0),"Open"),HYPERLINK("#"&amp;D66&amp;"!A1","Open"))</f>
        <v>Open</v>
      </c>
      <c r="K66" s="34"/>
    </row>
    <row r="67" spans="1:11" ht="30" customHeight="1" x14ac:dyDescent="0.25">
      <c r="A67" s="30" t="s">
        <v>629</v>
      </c>
      <c r="B67" s="37" t="s">
        <v>478</v>
      </c>
      <c r="C67" s="47" t="s">
        <v>388</v>
      </c>
      <c r="D67" s="37" t="s">
        <v>14</v>
      </c>
      <c r="E67" s="57" t="s">
        <v>3280</v>
      </c>
      <c r="F67" s="37" t="s">
        <v>330</v>
      </c>
      <c r="G67" s="29" t="s">
        <v>2</v>
      </c>
      <c r="H67" s="37"/>
      <c r="I67" t="str">
        <f>IFERROR(HYPERLINK("#Main!A"&amp;MATCH(A67,Main!A:A,0),"Open"),HYPERLINK("#Main!A1","Open"))</f>
        <v>Open</v>
      </c>
      <c r="J67" t="str">
        <f t="shared" ca="1" si="2"/>
        <v>Open</v>
      </c>
    </row>
    <row r="68" spans="1:11" ht="30" customHeight="1" x14ac:dyDescent="0.25">
      <c r="A68" s="33" t="s">
        <v>632</v>
      </c>
      <c r="B68" s="28" t="s">
        <v>478</v>
      </c>
      <c r="C68" s="47" t="s">
        <v>388</v>
      </c>
      <c r="D68" s="28" t="s">
        <v>14</v>
      </c>
      <c r="E68" s="56" t="s">
        <v>3281</v>
      </c>
      <c r="F68" s="28" t="s">
        <v>330</v>
      </c>
      <c r="G68" s="29" t="s">
        <v>2</v>
      </c>
      <c r="H68" s="28"/>
      <c r="I68" s="34" t="str">
        <f>IFERROR(HYPERLINK("#Main!A"&amp;MATCH(A68,Main!A:A,0),"Open"),HYPERLINK("#Main!A1","Open"))</f>
        <v>Open</v>
      </c>
      <c r="J68" s="34" t="str">
        <f t="shared" ca="1" si="2"/>
        <v>Open</v>
      </c>
      <c r="K68" s="34"/>
    </row>
    <row r="69" spans="1:11" ht="31.5" x14ac:dyDescent="0.25">
      <c r="A69" s="30" t="s">
        <v>635</v>
      </c>
      <c r="B69" s="37" t="s">
        <v>478</v>
      </c>
      <c r="C69" s="47" t="s">
        <v>388</v>
      </c>
      <c r="D69" s="37" t="s">
        <v>14</v>
      </c>
      <c r="E69" s="57" t="s">
        <v>3282</v>
      </c>
      <c r="F69" s="37" t="s">
        <v>330</v>
      </c>
      <c r="G69" s="29" t="s">
        <v>2</v>
      </c>
      <c r="H69" s="37"/>
      <c r="I69" t="str">
        <f>IFERROR(HYPERLINK("#Main!A"&amp;MATCH(A69,Main!A:A,0),"Open"),HYPERLINK("#Main!A1","Open"))</f>
        <v>Open</v>
      </c>
      <c r="J69" t="str">
        <f t="shared" ca="1" si="2"/>
        <v>Open</v>
      </c>
    </row>
    <row r="70" spans="1:11" ht="30" customHeight="1" x14ac:dyDescent="0.25">
      <c r="A70" s="33" t="s">
        <v>638</v>
      </c>
      <c r="B70" s="28" t="s">
        <v>478</v>
      </c>
      <c r="C70" s="47" t="s">
        <v>388</v>
      </c>
      <c r="D70" s="28" t="s">
        <v>14</v>
      </c>
      <c r="E70" s="56" t="s">
        <v>3283</v>
      </c>
      <c r="F70" s="28" t="s">
        <v>330</v>
      </c>
      <c r="G70" s="29" t="s">
        <v>2</v>
      </c>
      <c r="H70" s="28"/>
      <c r="I70" s="34" t="str">
        <f>IFERROR(HYPERLINK("#Main!A"&amp;MATCH(A70,Main!A:A,0),"Open"),HYPERLINK("#Main!A1","Open"))</f>
        <v>Open</v>
      </c>
      <c r="J70" s="34" t="str">
        <f t="shared" ca="1" si="2"/>
        <v>Open</v>
      </c>
      <c r="K70" s="34"/>
    </row>
    <row r="71" spans="1:11" ht="30" customHeight="1" x14ac:dyDescent="0.25">
      <c r="A71" s="30" t="s">
        <v>641</v>
      </c>
      <c r="B71" s="37" t="s">
        <v>478</v>
      </c>
      <c r="C71" s="47" t="s">
        <v>388</v>
      </c>
      <c r="D71" s="37" t="s">
        <v>14</v>
      </c>
      <c r="E71" s="57" t="s">
        <v>3284</v>
      </c>
      <c r="F71" s="37" t="s">
        <v>330</v>
      </c>
      <c r="G71" s="29" t="s">
        <v>2</v>
      </c>
      <c r="H71" s="37"/>
      <c r="I71" t="str">
        <f>IFERROR(HYPERLINK("#Main!A"&amp;MATCH(A71,Main!A:A,0),"Open"),HYPERLINK("#Main!A1","Open"))</f>
        <v>Open</v>
      </c>
      <c r="J71" t="str">
        <f t="shared" ca="1" si="2"/>
        <v>Open</v>
      </c>
    </row>
    <row r="72" spans="1:11" ht="30" customHeight="1" x14ac:dyDescent="0.25">
      <c r="A72" s="33" t="s">
        <v>644</v>
      </c>
      <c r="B72" s="28" t="s">
        <v>478</v>
      </c>
      <c r="C72" s="47" t="s">
        <v>388</v>
      </c>
      <c r="D72" s="28" t="s">
        <v>14</v>
      </c>
      <c r="E72" s="56" t="s">
        <v>3285</v>
      </c>
      <c r="F72" s="28" t="s">
        <v>330</v>
      </c>
      <c r="G72" s="29" t="s">
        <v>2</v>
      </c>
      <c r="H72" s="28"/>
      <c r="I72" s="34" t="str">
        <f>IFERROR(HYPERLINK("#Main!A"&amp;MATCH(A72,Main!A:A,0),"Open"),HYPERLINK("#Main!A1","Open"))</f>
        <v>Open</v>
      </c>
      <c r="J72" s="34" t="str">
        <f t="shared" ca="1" si="2"/>
        <v>Open</v>
      </c>
      <c r="K72" s="34"/>
    </row>
    <row r="73" spans="1:11" ht="30" customHeight="1" x14ac:dyDescent="0.25">
      <c r="A73" s="30" t="s">
        <v>647</v>
      </c>
      <c r="B73" s="37" t="s">
        <v>478</v>
      </c>
      <c r="C73" s="47" t="s">
        <v>388</v>
      </c>
      <c r="D73" s="37" t="s">
        <v>14</v>
      </c>
      <c r="E73" s="57" t="s">
        <v>3286</v>
      </c>
      <c r="F73" s="37" t="s">
        <v>330</v>
      </c>
      <c r="G73" s="29" t="s">
        <v>2</v>
      </c>
      <c r="H73" s="37"/>
      <c r="I73" t="str">
        <f>IFERROR(HYPERLINK("#Main!A"&amp;MATCH(A73,Main!A:A,0),"Open"),HYPERLINK("#Main!A1","Open"))</f>
        <v>Open</v>
      </c>
      <c r="J73" t="str">
        <f t="shared" ca="1" si="2"/>
        <v>Open</v>
      </c>
    </row>
    <row r="74" spans="1:11" ht="30" customHeight="1" x14ac:dyDescent="0.25">
      <c r="A74" s="33" t="s">
        <v>652</v>
      </c>
      <c r="B74" s="28" t="s">
        <v>478</v>
      </c>
      <c r="C74" s="47" t="s">
        <v>388</v>
      </c>
      <c r="D74" s="28" t="s">
        <v>14</v>
      </c>
      <c r="E74" s="56" t="s">
        <v>3287</v>
      </c>
      <c r="F74" s="28" t="s">
        <v>330</v>
      </c>
      <c r="G74" s="29" t="s">
        <v>2</v>
      </c>
      <c r="H74" s="28"/>
      <c r="I74" s="34" t="str">
        <f>IFERROR(HYPERLINK("#Main!A"&amp;MATCH(A74,Main!A:A,0),"Open"),HYPERLINK("#Main!A1","Open"))</f>
        <v>Open</v>
      </c>
      <c r="J74" s="34" t="str">
        <f t="shared" ca="1" si="2"/>
        <v>Open</v>
      </c>
      <c r="K74" s="34"/>
    </row>
    <row r="75" spans="1:11" ht="30" customHeight="1" x14ac:dyDescent="0.25">
      <c r="A75" s="30" t="s">
        <v>650</v>
      </c>
      <c r="B75" s="37" t="s">
        <v>478</v>
      </c>
      <c r="C75" s="47" t="s">
        <v>388</v>
      </c>
      <c r="D75" s="37" t="s">
        <v>14</v>
      </c>
      <c r="E75" s="57" t="s">
        <v>3288</v>
      </c>
      <c r="F75" s="37" t="s">
        <v>330</v>
      </c>
      <c r="G75" s="29" t="s">
        <v>2</v>
      </c>
      <c r="H75" s="37"/>
      <c r="I75" t="str">
        <f>IFERROR(HYPERLINK("#Main!A"&amp;MATCH(A75,Main!A:A,0),"Open"),HYPERLINK("#Main!A1","Open"))</f>
        <v>Open</v>
      </c>
      <c r="J75" t="str">
        <f t="shared" ca="1" si="2"/>
        <v>Open</v>
      </c>
    </row>
    <row r="76" spans="1:11" ht="30" customHeight="1" x14ac:dyDescent="0.25">
      <c r="A76" s="33" t="s">
        <v>655</v>
      </c>
      <c r="B76" s="28" t="s">
        <v>478</v>
      </c>
      <c r="C76" s="47" t="s">
        <v>388</v>
      </c>
      <c r="D76" s="28" t="s">
        <v>14</v>
      </c>
      <c r="E76" s="56" t="s">
        <v>3289</v>
      </c>
      <c r="F76" s="28" t="s">
        <v>330</v>
      </c>
      <c r="G76" s="29" t="s">
        <v>2</v>
      </c>
      <c r="H76" s="28"/>
      <c r="I76" s="34" t="str">
        <f>IFERROR(HYPERLINK("#Main!A"&amp;MATCH(A76,Main!A:A,0),"Open"),HYPERLINK("#Main!A1","Open"))</f>
        <v>Open</v>
      </c>
      <c r="J76" s="34" t="str">
        <f t="shared" ca="1" si="2"/>
        <v>Open</v>
      </c>
      <c r="K76" s="34"/>
    </row>
    <row r="77" spans="1:11" ht="30" customHeight="1" x14ac:dyDescent="0.25">
      <c r="A77" s="30" t="s">
        <v>658</v>
      </c>
      <c r="B77" s="37" t="s">
        <v>478</v>
      </c>
      <c r="C77" s="47" t="s">
        <v>388</v>
      </c>
      <c r="D77" s="37" t="s">
        <v>14</v>
      </c>
      <c r="E77" s="57" t="s">
        <v>3290</v>
      </c>
      <c r="F77" s="37" t="s">
        <v>330</v>
      </c>
      <c r="G77" s="29" t="s">
        <v>2</v>
      </c>
      <c r="H77" s="37"/>
      <c r="I77" t="str">
        <f>IFERROR(HYPERLINK("#Main!A"&amp;MATCH(A77,Main!A:A,0),"Open"),HYPERLINK("#Main!A1","Open"))</f>
        <v>Open</v>
      </c>
      <c r="J77" t="str">
        <f t="shared" ca="1" si="2"/>
        <v>Open</v>
      </c>
    </row>
    <row r="78" spans="1:11" ht="30" customHeight="1" x14ac:dyDescent="0.25">
      <c r="A78" s="33" t="s">
        <v>661</v>
      </c>
      <c r="B78" s="28" t="s">
        <v>478</v>
      </c>
      <c r="C78" s="47" t="s">
        <v>388</v>
      </c>
      <c r="D78" s="28" t="s">
        <v>14</v>
      </c>
      <c r="E78" s="56" t="s">
        <v>3291</v>
      </c>
      <c r="F78" s="28" t="s">
        <v>330</v>
      </c>
      <c r="G78" s="29" t="s">
        <v>2</v>
      </c>
      <c r="H78" s="28"/>
      <c r="I78" s="34" t="str">
        <f>IFERROR(HYPERLINK("#Main!A"&amp;MATCH(A78,Main!A:A,0),"Open"),HYPERLINK("#Main!A1","Open"))</f>
        <v>Open</v>
      </c>
      <c r="J78" s="34" t="str">
        <f t="shared" ca="1" si="2"/>
        <v>Open</v>
      </c>
      <c r="K78" s="34"/>
    </row>
    <row r="79" spans="1:11" ht="30" customHeight="1" x14ac:dyDescent="0.25">
      <c r="A79" s="30" t="s">
        <v>664</v>
      </c>
      <c r="B79" s="37" t="s">
        <v>478</v>
      </c>
      <c r="C79" s="47" t="s">
        <v>388</v>
      </c>
      <c r="D79" s="37" t="s">
        <v>14</v>
      </c>
      <c r="E79" s="57" t="s">
        <v>3292</v>
      </c>
      <c r="F79" s="37" t="s">
        <v>330</v>
      </c>
      <c r="G79" s="29" t="s">
        <v>2</v>
      </c>
      <c r="H79" s="37"/>
      <c r="I79" t="str">
        <f>IFERROR(HYPERLINK("#Main!A"&amp;MATCH(A79,Main!A:A,0),"Open"),HYPERLINK("#Main!A1","Open"))</f>
        <v>Open</v>
      </c>
      <c r="J79" t="str">
        <f t="shared" ca="1" si="2"/>
        <v>Open</v>
      </c>
    </row>
    <row r="80" spans="1:11" ht="30" customHeight="1" x14ac:dyDescent="0.25">
      <c r="A80" s="33" t="s">
        <v>670</v>
      </c>
      <c r="B80" s="28" t="s">
        <v>478</v>
      </c>
      <c r="C80" s="47" t="s">
        <v>388</v>
      </c>
      <c r="D80" s="28" t="s">
        <v>14</v>
      </c>
      <c r="E80" s="56" t="s">
        <v>3293</v>
      </c>
      <c r="F80" s="28" t="s">
        <v>330</v>
      </c>
      <c r="G80" s="29" t="s">
        <v>2</v>
      </c>
      <c r="H80" s="28"/>
      <c r="I80" s="34" t="str">
        <f>IFERROR(HYPERLINK("#Main!A"&amp;MATCH(A80,Main!A:A,0),"Open"),HYPERLINK("#Main!A1","Open"))</f>
        <v>Open</v>
      </c>
      <c r="J80" s="34" t="str">
        <f t="shared" ca="1" si="2"/>
        <v>Open</v>
      </c>
      <c r="K80" s="34"/>
    </row>
    <row r="81" spans="1:11" ht="30" customHeight="1" x14ac:dyDescent="0.25">
      <c r="A81" s="30" t="s">
        <v>667</v>
      </c>
      <c r="B81" s="37" t="s">
        <v>478</v>
      </c>
      <c r="C81" s="47" t="s">
        <v>388</v>
      </c>
      <c r="D81" s="37" t="s">
        <v>14</v>
      </c>
      <c r="E81" s="57" t="s">
        <v>3294</v>
      </c>
      <c r="F81" s="37" t="s">
        <v>330</v>
      </c>
      <c r="G81" s="29" t="s">
        <v>2</v>
      </c>
      <c r="H81" s="37"/>
      <c r="I81" t="str">
        <f>IFERROR(HYPERLINK("#Main!A"&amp;MATCH(A81,Main!A:A,0),"Open"),HYPERLINK("#Main!A1","Open"))</f>
        <v>Open</v>
      </c>
      <c r="J81" t="str">
        <f t="shared" ca="1" si="2"/>
        <v>Open</v>
      </c>
    </row>
    <row r="82" spans="1:11" ht="30" customHeight="1" x14ac:dyDescent="0.25">
      <c r="A82" s="33" t="s">
        <v>673</v>
      </c>
      <c r="B82" s="28" t="s">
        <v>478</v>
      </c>
      <c r="C82" s="47" t="s">
        <v>388</v>
      </c>
      <c r="D82" s="28" t="s">
        <v>14</v>
      </c>
      <c r="E82" s="56" t="s">
        <v>3295</v>
      </c>
      <c r="F82" s="28" t="s">
        <v>330</v>
      </c>
      <c r="G82" s="29" t="s">
        <v>2</v>
      </c>
      <c r="H82" s="28"/>
      <c r="I82" s="34" t="str">
        <f>IFERROR(HYPERLINK("#Main!A"&amp;MATCH(A82,Main!A:A,0),"Open"),HYPERLINK("#Main!A1","Open"))</f>
        <v>Open</v>
      </c>
      <c r="J82" s="34" t="str">
        <f t="shared" ca="1" si="2"/>
        <v>Open</v>
      </c>
      <c r="K82" s="34"/>
    </row>
    <row r="83" spans="1:11" ht="30" customHeight="1" x14ac:dyDescent="0.25">
      <c r="A83" s="30" t="s">
        <v>677</v>
      </c>
      <c r="B83" s="37" t="s">
        <v>478</v>
      </c>
      <c r="C83" s="47" t="s">
        <v>388</v>
      </c>
      <c r="D83" s="37" t="s">
        <v>14</v>
      </c>
      <c r="E83" s="57" t="s">
        <v>3296</v>
      </c>
      <c r="F83" s="37" t="s">
        <v>330</v>
      </c>
      <c r="G83" s="29" t="s">
        <v>2</v>
      </c>
      <c r="H83" s="37"/>
      <c r="I83" t="str">
        <f>IFERROR(HYPERLINK("#Main!A"&amp;MATCH(A83,Main!A:A,0),"Open"),HYPERLINK("#Main!A1","Open"))</f>
        <v>Open</v>
      </c>
      <c r="J83" t="str">
        <f t="shared" ca="1" si="2"/>
        <v>Open</v>
      </c>
    </row>
    <row r="84" spans="1:11" ht="30" customHeight="1" x14ac:dyDescent="0.25">
      <c r="A84" s="33" t="s">
        <v>680</v>
      </c>
      <c r="B84" s="28" t="s">
        <v>478</v>
      </c>
      <c r="C84" s="47" t="s">
        <v>388</v>
      </c>
      <c r="D84" s="28" t="s">
        <v>14</v>
      </c>
      <c r="E84" s="56" t="s">
        <v>3297</v>
      </c>
      <c r="F84" s="28" t="s">
        <v>330</v>
      </c>
      <c r="G84" s="29" t="s">
        <v>2</v>
      </c>
      <c r="H84" s="28"/>
      <c r="I84" s="34" t="str">
        <f>IFERROR(HYPERLINK("#Main!A"&amp;MATCH(A84,Main!A:A,0),"Open"),HYPERLINK("#Main!A1","Open"))</f>
        <v>Open</v>
      </c>
      <c r="J84" s="34" t="str">
        <f t="shared" ca="1" si="2"/>
        <v>Open</v>
      </c>
      <c r="K84" s="34"/>
    </row>
    <row r="85" spans="1:11" ht="30" customHeight="1" x14ac:dyDescent="0.25">
      <c r="A85" s="30" t="s">
        <v>683</v>
      </c>
      <c r="B85" s="37" t="s">
        <v>478</v>
      </c>
      <c r="C85" s="47" t="s">
        <v>388</v>
      </c>
      <c r="D85" s="37" t="s">
        <v>14</v>
      </c>
      <c r="E85" s="57" t="s">
        <v>3298</v>
      </c>
      <c r="F85" s="37" t="s">
        <v>330</v>
      </c>
      <c r="G85" s="29" t="s">
        <v>2</v>
      </c>
      <c r="H85" s="37"/>
      <c r="I85" t="str">
        <f>IFERROR(HYPERLINK("#Main!A"&amp;MATCH(A85,Main!A:A,0),"Open"),HYPERLINK("#Main!A1","Open"))</f>
        <v>Open</v>
      </c>
      <c r="J85" t="str">
        <f t="shared" ca="1" si="2"/>
        <v>Open</v>
      </c>
    </row>
    <row r="86" spans="1:11" ht="30" customHeight="1" x14ac:dyDescent="0.25">
      <c r="A86" s="33" t="s">
        <v>686</v>
      </c>
      <c r="B86" s="28" t="s">
        <v>478</v>
      </c>
      <c r="C86" s="47" t="s">
        <v>388</v>
      </c>
      <c r="D86" s="28" t="s">
        <v>14</v>
      </c>
      <c r="E86" s="56" t="s">
        <v>3299</v>
      </c>
      <c r="F86" s="28" t="s">
        <v>330</v>
      </c>
      <c r="G86" s="29" t="s">
        <v>2</v>
      </c>
      <c r="H86" s="28"/>
      <c r="I86" s="34" t="str">
        <f>IFERROR(HYPERLINK("#Main!A"&amp;MATCH(A86,Main!A:A,0),"Open"),HYPERLINK("#Main!A1","Open"))</f>
        <v>Open</v>
      </c>
      <c r="J86" s="34" t="str">
        <f t="shared" ca="1" si="2"/>
        <v>Open</v>
      </c>
      <c r="K86" s="34"/>
    </row>
  </sheetData>
  <autoFilter ref="A1:K86" xr:uid="{00000000-0009-0000-0000-000016000000}"/>
  <conditionalFormatting sqref="G2:G86">
    <cfRule type="expression" dxfId="4" priority="1" stopIfTrue="1">
      <formula>LOWER(G2)="done"</formula>
    </cfRule>
    <cfRule type="expression" dxfId="3" priority="2" stopIfTrue="1">
      <formula>OR(LOWER(G2)="to do",LOWER(G2)="in progress",LOWER(G2)="in review")</formula>
    </cfRule>
  </conditionalFormatting>
  <dataValidations count="12">
    <dataValidation type="list" allowBlank="1" showErrorMessage="1" errorTitle="Invalid Status" error="Select a value from the dropdown list." sqref="G2:G86" xr:uid="{00000000-0002-0000-1600-000000000000}">
      <formula1>"Open,In Progress,In Review,Done"</formula1>
    </dataValidation>
    <dataValidation type="custom" allowBlank="1" showInputMessage="1" promptTitle="URL" prompt="URL. Use this URL to inspect the page directly or jump to related tabs." sqref="A1" xr:uid="{00000000-0002-0000-1600-000001000000}">
      <formula1>TRUE</formula1>
    </dataValidation>
    <dataValidation type="custom" allowBlank="1" showInputMessage="1" promptTitle="Issue" prompt="Issue. Review this metric to identify risk, then use linked tabs for details and remediation." sqref="B1" xr:uid="{00000000-0002-0000-1600-000002000000}">
      <formula1>TRUE</formula1>
    </dataValidation>
    <dataValidation type="custom" allowBlank="1" showInputMessage="1" promptTitle="Severity" prompt="Issue impact level. Fix: Resolve Critical first, then Warning, then improvement opportunities." sqref="C1" xr:uid="{00000000-0002-0000-1600-000003000000}">
      <formula1>TRUE</formula1>
    </dataValidation>
    <dataValidation type="custom" allowBlank="1" showInputMessage="1" promptTitle="Reference Tab" prompt="Summary grouping/navigation field. Use with hyperlinks to jump into detailed tabs." sqref="D1" xr:uid="{00000000-0002-0000-1600-000004000000}">
      <formula1>TRUE</formula1>
    </dataValidation>
    <dataValidation type="custom" allowBlank="1" showInputMessage="1" promptTitle="Stable Issue ID" prompt="Stable Issue ID. Review this metric to identify risk, then use linked tabs for details and remediation." sqref="E1" xr:uid="{00000000-0002-0000-1600-000005000000}">
      <formula1>TRUE</formula1>
    </dataValidation>
    <dataValidation type="custom" allowBlank="1" showInputMessage="1" promptTitle="Owner" prompt="Workflow management field for planning and tracking remediation progress." sqref="F1" xr:uid="{00000000-0002-0000-1600-000006000000}">
      <formula1>TRUE</formula1>
    </dataValidation>
    <dataValidation type="custom" allowBlank="1" showInputMessage="1" promptTitle="Status" prompt="Workflow management field for planning and tracking remediation progress." sqref="G1" xr:uid="{00000000-0002-0000-1600-000007000000}">
      <formula1>TRUE</formula1>
    </dataValidation>
    <dataValidation type="custom" allowBlank="1" showInputMessage="1" promptTitle="Sprint" prompt="Workflow management field for planning and tracking remediation progress." sqref="H1" xr:uid="{00000000-0002-0000-1600-000008000000}">
      <formula1>TRUE</formula1>
    </dataValidation>
    <dataValidation type="custom" allowBlank="1" showInputMessage="1" promptTitle="Open in Main" prompt="Navigation helper. Click to jump directly to the related record in another tab." sqref="I1" xr:uid="{00000000-0002-0000-1600-000009000000}">
      <formula1>TRUE</formula1>
    </dataValidation>
    <dataValidation type="custom" allowBlank="1" showInputMessage="1" promptTitle="Open in Reference" prompt="Open in Reference. Review this metric to identify risk, then use linked tabs for details and remediation." sqref="J1" xr:uid="{00000000-0002-0000-1600-00000A000000}">
      <formula1>TRUE</formula1>
    </dataValidation>
    <dataValidation type="custom" allowBlank="1" showInputMessage="1" promptTitle="BACK TO DASHBOARD" prompt="BACK TO DASHBOARD. Review this metric to identify risk, then use linked tabs for details and remediation." sqref="K1" xr:uid="{00000000-0002-0000-1600-00000B000000}">
      <formula1>TRUE</formula1>
    </dataValidation>
  </dataValidations>
  <hyperlinks>
    <hyperlink ref="K1" location="Dashboard!A1" display="BACK TO DASHBOARD" xr:uid="{00000000-0004-0000-1600-000000000000}"/>
    <hyperlink ref="A2" r:id="rId1" xr:uid="{00000000-0004-0000-1600-000001000000}"/>
    <hyperlink ref="E2" location="Technical!A1" display="https://africanmarketingconfederation.org/::unmeasured" xr:uid="{00000000-0004-0000-1600-000002000000}"/>
    <hyperlink ref="A3" r:id="rId2" xr:uid="{00000000-0004-0000-1600-000003000000}"/>
    <hyperlink ref="E3" location="Technical!A1" display="https://africanmarketingconfederation.org/about-us::unmeasured" xr:uid="{00000000-0004-0000-1600-000004000000}"/>
    <hyperlink ref="A4" r:id="rId3" xr:uid="{00000000-0004-0000-1600-000005000000}"/>
    <hyperlink ref="E4" location="Technical!A1" display="https://africanmarketingconfederation.org/african-marketing-confederation-tourism-chapter::unmeasured" xr:uid="{00000000-0004-0000-1600-000006000000}"/>
    <hyperlink ref="A5" r:id="rId4" xr:uid="{00000000-0004-0000-1600-000007000000}"/>
    <hyperlink ref="E5" location="Technical!A1" display="https://africanmarketingconfederation.org/amc-awards-2024::unmeasured" xr:uid="{00000000-0004-0000-1600-000008000000}"/>
    <hyperlink ref="A6" r:id="rId5" xr:uid="{00000000-0004-0000-1600-000009000000}"/>
    <hyperlink ref="E6" location="Technical!A1" display="https://africanmarketingconfederation.org/amc-conference-2022-prospectus::unmeasured" xr:uid="{00000000-0004-0000-1600-00000A000000}"/>
    <hyperlink ref="A7" r:id="rId6" xr:uid="{00000000-0004-0000-1600-00000B000000}"/>
    <hyperlink ref="E7" location="Technical!A1" display="https://africanmarketingconfederation.org/amc-conference-2022-thank-you::unmeasured" xr:uid="{00000000-0004-0000-1600-00000C000000}"/>
    <hyperlink ref="A8" r:id="rId7" xr:uid="{00000000-0004-0000-1600-00000D000000}"/>
    <hyperlink ref="E8" location="Technical!A1" display="https://africanmarketingconfederation.org/amc-conference-2022::unmeasured" xr:uid="{00000000-0004-0000-1600-00000E000000}"/>
    <hyperlink ref="A9" r:id="rId8" xr:uid="{00000000-0004-0000-1600-00000F000000}"/>
    <hyperlink ref="E9" location="Technical!A1" display="https://africanmarketingconfederation.org/amc-conference-2023::unmeasured" xr:uid="{00000000-0004-0000-1600-000010000000}"/>
    <hyperlink ref="A10" r:id="rId9" xr:uid="{00000000-0004-0000-1600-000011000000}"/>
    <hyperlink ref="E10" location="Technical!A1" display="https://africanmarketingconfederation.org/amc-conference-2023/amc-awards-book-now::unmeasured" xr:uid="{00000000-0004-0000-1600-000012000000}"/>
    <hyperlink ref="A11" r:id="rId10" xr:uid="{00000000-0004-0000-1600-000013000000}"/>
    <hyperlink ref="E11" location="Technical!A1" display="https://africanmarketingconfederation.org/amc-conference-2023/amc-awards::unmeasured" xr:uid="{00000000-0004-0000-1600-000014000000}"/>
    <hyperlink ref="A12" r:id="rId11" xr:uid="{00000000-0004-0000-1600-000015000000}"/>
    <hyperlink ref="E12" location="Technical!A1" display="https://africanmarketingconfederation.org/amc-conference-2023/book-now-thank-you::unmeasured" xr:uid="{00000000-0004-0000-1600-000016000000}"/>
    <hyperlink ref="A13" r:id="rId12" xr:uid="{00000000-0004-0000-1600-000017000000}"/>
    <hyperlink ref="E13" location="Technical!A1" display="https://africanmarketingconfederation.org/amc-conference-2023/book-now::unmeasured" xr:uid="{00000000-0004-0000-1600-000018000000}"/>
    <hyperlink ref="A14" r:id="rId13" xr:uid="{00000000-0004-0000-1600-000019000000}"/>
    <hyperlink ref="E14" location="Technical!A1" display="https://africanmarketingconfederation.org/amc-conference-2023/download-prospectus::unmeasured" xr:uid="{00000000-0004-0000-1600-00001A000000}"/>
    <hyperlink ref="A15" r:id="rId14" xr:uid="{00000000-0004-0000-1600-00001B000000}"/>
    <hyperlink ref="E15" location="Technical!A1" display="https://africanmarketingconfederation.org/amc-conference-2023/gallery::unmeasured" xr:uid="{00000000-0004-0000-1600-00001C000000}"/>
    <hyperlink ref="A16" r:id="rId15" xr:uid="{00000000-0004-0000-1600-00001D000000}"/>
    <hyperlink ref="E16" location="Technical!A1" display="https://africanmarketingconfederation.org/amc-conference-2023/partners::unmeasured" xr:uid="{00000000-0004-0000-1600-00001E000000}"/>
    <hyperlink ref="A17" r:id="rId16" xr:uid="{00000000-0004-0000-1600-00001F000000}"/>
    <hyperlink ref="E17" location="Technical!A1" display="https://africanmarketingconfederation.org/amc-conference-2023/programme::unmeasured" xr:uid="{00000000-0004-0000-1600-000020000000}"/>
    <hyperlink ref="A18" r:id="rId17" xr:uid="{00000000-0004-0000-1600-000021000000}"/>
    <hyperlink ref="E18" location="Technical!A1" display="https://africanmarketingconfederation.org/amc-conference-2024-recap::unmeasured" xr:uid="{00000000-0004-0000-1600-000022000000}"/>
    <hyperlink ref="A19" r:id="rId18" xr:uid="{00000000-0004-0000-1600-000023000000}"/>
    <hyperlink ref="E19" location="Technical!A1" display="https://africanmarketingconfederation.org/amc-conference-2023/speakers::unmeasured" xr:uid="{00000000-0004-0000-1600-000024000000}"/>
    <hyperlink ref="A20" r:id="rId19" xr:uid="{00000000-0004-0000-1600-000025000000}"/>
    <hyperlink ref="E20" location="Technical!A1" display="https://africanmarketingconfederation.org/amc-conference-2024-sponsors-packages::unmeasured" xr:uid="{00000000-0004-0000-1600-000026000000}"/>
    <hyperlink ref="A21" r:id="rId20" xr:uid="{00000000-0004-0000-1600-000027000000}"/>
    <hyperlink ref="E21" location="Technical!A1" display="https://africanmarketingconfederation.org/amc-conference-2025-highlights::unmeasured" xr:uid="{00000000-0004-0000-1600-000028000000}"/>
    <hyperlink ref="A22" r:id="rId21" xr:uid="{00000000-0004-0000-1600-000029000000}"/>
    <hyperlink ref="E22" location="Technical!A1" display="https://africanmarketingconfederation.org/amc-conference-2025::unmeasured" xr:uid="{00000000-0004-0000-1600-00002A000000}"/>
    <hyperlink ref="A23" r:id="rId22" xr:uid="{00000000-0004-0000-1600-00002B000000}"/>
    <hyperlink ref="E23" location="Technical!A1" display="https://africanmarketingconfederation.org/amc-conference-2026-awards-nominations-thank-you::unmeasured" xr:uid="{00000000-0004-0000-1600-00002C000000}"/>
    <hyperlink ref="A24" r:id="rId23" xr:uid="{00000000-0004-0000-1600-00002D000000}"/>
    <hyperlink ref="E24" location="Technical!A1" display="https://africanmarketingconfederation.org/amc-conference-2026-zambia-thank-you::unmeasured" xr:uid="{00000000-0004-0000-1600-00002E000000}"/>
    <hyperlink ref="A25" r:id="rId24" xr:uid="{00000000-0004-0000-1600-00002F000000}"/>
    <hyperlink ref="E25" location="Technical!A1" display="https://africanmarketingconfederation.org/amc-conference-2026::unmeasured" xr:uid="{00000000-0004-0000-1600-000030000000}"/>
    <hyperlink ref="A26" r:id="rId25" xr:uid="{00000000-0004-0000-1600-000031000000}"/>
    <hyperlink ref="E26" location="Technical!A1" display="https://africanmarketingconfederation.org/amc-conference-sponsors::unmeasured" xr:uid="{00000000-0004-0000-1600-000032000000}"/>
    <hyperlink ref="A27" r:id="rId26" xr:uid="{00000000-0004-0000-1600-000033000000}"/>
    <hyperlink ref="E27" location="Technical!A1" display="https://africanmarketingconfederation.org/amc-conference-programme::unmeasured" xr:uid="{00000000-0004-0000-1600-000034000000}"/>
    <hyperlink ref="A28" r:id="rId27" xr:uid="{00000000-0004-0000-1600-000035000000}"/>
    <hyperlink ref="E28" location="Technical!A1" display="https://africanmarketingconfederation.org/amc-conference-thank-you::unmeasured" xr:uid="{00000000-0004-0000-1600-000036000000}"/>
    <hyperlink ref="A29" r:id="rId28" xr:uid="{00000000-0004-0000-1600-000037000000}"/>
    <hyperlink ref="E29" location="Technical!A1" display="https://africanmarketingconfederation.org/amc-forum-mombasa::unmeasured" xr:uid="{00000000-0004-0000-1600-000038000000}"/>
    <hyperlink ref="A30" r:id="rId29" xr:uid="{00000000-0004-0000-1600-000039000000}"/>
    <hyperlink ref="E30" location="Technical!A1" display="https://africanmarketingconfederation.org/amc-forum-payments::unmeasured" xr:uid="{00000000-0004-0000-1600-00003A000000}"/>
    <hyperlink ref="A31" r:id="rId30" xr:uid="{00000000-0004-0000-1600-00003B000000}"/>
    <hyperlink ref="E31" location="Technical!A1" display="https://africanmarketingconfederation.org/amc-launch-event-zambia-thank-you-2026::unmeasured" xr:uid="{00000000-0004-0000-1600-00003C000000}"/>
    <hyperlink ref="A32" r:id="rId31" xr:uid="{00000000-0004-0000-1600-00003D000000}"/>
    <hyperlink ref="E32" location="Technical!A1" display="https://africanmarketingconfederation.org/amc-marketing-conference-2024::unmeasured" xr:uid="{00000000-0004-0000-1600-00003E000000}"/>
    <hyperlink ref="A33" r:id="rId32" xr:uid="{00000000-0004-0000-1600-00003F000000}"/>
    <hyperlink ref="E33" location="Technical!A1" display="https://africanmarketingconfederation.org/amc-marketing-conference-2024/amc-conference-2025-ghana-sponsors::unmeasured" xr:uid="{00000000-0004-0000-1600-000040000000}"/>
    <hyperlink ref="A34" r:id="rId33" xr:uid="{00000000-0004-0000-1600-000041000000}"/>
    <hyperlink ref="E34" location="Technical!A1" display="https://africanmarketingconfederation.org/amc-marketing-conference-2024/amc-launch-event-2025::unmeasured" xr:uid="{00000000-0004-0000-1600-000042000000}"/>
    <hyperlink ref="A35" r:id="rId34" xr:uid="{00000000-0004-0000-1600-000043000000}"/>
    <hyperlink ref="E35" location="Technical!A1" display="https://africanmarketingconfederation.org/amc-marketing-conference-2024/amc-preregister-2025::unmeasured" xr:uid="{00000000-0004-0000-1600-000044000000}"/>
    <hyperlink ref="A36" r:id="rId35" xr:uid="{00000000-0004-0000-1600-000045000000}"/>
    <hyperlink ref="E36" location="Technical!A1" display="https://africanmarketingconfederation.org/amc-marketing-conference-2024/amc-programme-2025::unmeasured" xr:uid="{00000000-0004-0000-1600-000046000000}"/>
    <hyperlink ref="A37" r:id="rId36" xr:uid="{00000000-0004-0000-1600-000047000000}"/>
    <hyperlink ref="E37" location="Technical!A1" display="https://africanmarketingconfederation.org/amc-marketing-conference-2024/amc-speakers-presentations-2024::unmeasured" xr:uid="{00000000-0004-0000-1600-000048000000}"/>
    <hyperlink ref="A38" r:id="rId37" xr:uid="{00000000-0004-0000-1600-000049000000}"/>
    <hyperlink ref="E38" location="Technical!A1" display="https://africanmarketingconfederation.org/amc-marketing-conference-2024/awards-2025::unmeasured" xr:uid="{00000000-0004-0000-1600-00004A000000}"/>
    <hyperlink ref="A39" r:id="rId38" xr:uid="{00000000-0004-0000-1600-00004B000000}"/>
    <hyperlink ref="E39" location="Technical!A1" display="https://africanmarketingconfederation.org/amc-marketing-conference-2024/speakers-2024::unmeasured" xr:uid="{00000000-0004-0000-1600-00004C000000}"/>
    <hyperlink ref="A40" r:id="rId39" xr:uid="{00000000-0004-0000-1600-00004D000000}"/>
    <hyperlink ref="E40" location="Technical!A1" display="https://africanmarketingconfederation.org/amc-marketing-conference-2024/programme-2024::unmeasured" xr:uid="{00000000-0004-0000-1600-00004E000000}"/>
    <hyperlink ref="A41" r:id="rId40" xr:uid="{00000000-0004-0000-1600-00004F000000}"/>
    <hyperlink ref="E41" location="Technical!A1" display="https://africanmarketingconfederation.org/amc-marketing-conference-2024/testimony-thank-you-page::unmeasured" xr:uid="{00000000-0004-0000-1600-000050000000}"/>
    <hyperlink ref="A42" r:id="rId41" xr:uid="{00000000-0004-0000-1600-000051000000}"/>
    <hyperlink ref="E42" location="Technical!A1" display="https://africanmarketingconfederation.org/amc-masterclass-bookings::unmeasured" xr:uid="{00000000-0004-0000-1600-000052000000}"/>
    <hyperlink ref="A43" r:id="rId42" xr:uid="{00000000-0004-0000-1600-000053000000}"/>
    <hyperlink ref="E43" location="Technical!A1" display="https://africanmarketingconfederation.org/amc-masterclass-thank-you::unmeasured" xr:uid="{00000000-0004-0000-1600-000054000000}"/>
    <hyperlink ref="A44" r:id="rId43" xr:uid="{00000000-0004-0000-1600-000055000000}"/>
    <hyperlink ref="E44" location="Technical!A1" display="https://africanmarketingconfederation.org/amc-masterclass::unmeasured" xr:uid="{00000000-0004-0000-1600-000056000000}"/>
    <hyperlink ref="A45" r:id="rId44" xr:uid="{00000000-0004-0000-1600-000057000000}"/>
    <hyperlink ref="E45" location="Technical!A1" display="https://africanmarketingconfederation.org/amc-relaunch-programme::unmeasured" xr:uid="{00000000-0004-0000-1600-000058000000}"/>
    <hyperlink ref="A46" r:id="rId45" xr:uid="{00000000-0004-0000-1600-000059000000}"/>
    <hyperlink ref="E46" location="Technical!A1" display="https://africanmarketingconfederation.org/amc-sign-up-now-form-2025::unmeasured" xr:uid="{00000000-0004-0000-1600-00005A000000}"/>
    <hyperlink ref="A47" r:id="rId46" xr:uid="{00000000-0004-0000-1600-00005B000000}"/>
    <hyperlink ref="E47" location="Technical!A1" display="https://africanmarketingconfederation.org/amc-sponsors-2025::unmeasured" xr:uid="{00000000-0004-0000-1600-00005C000000}"/>
    <hyperlink ref="A48" r:id="rId47" xr:uid="{00000000-0004-0000-1600-00005D000000}"/>
    <hyperlink ref="E48" location="Technical!A1" display="https://africanmarketingconfederation.org/amc-testimony-page-2024::unmeasured" xr:uid="{00000000-0004-0000-1600-00005E000000}"/>
    <hyperlink ref="A49" r:id="rId48" xr:uid="{00000000-0004-0000-1600-00005F000000}"/>
    <hyperlink ref="E49" location="Technical!A1" display="https://africanmarketingconfederation.org/awards-2026-1::unmeasured" xr:uid="{00000000-0004-0000-1600-000060000000}"/>
    <hyperlink ref="A50" r:id="rId49" xr:uid="{00000000-0004-0000-1600-000061000000}"/>
    <hyperlink ref="E50" location="Technical!A1" display="https://africanmarketingconfederation.org/awards-2026-test::unmeasured" xr:uid="{00000000-0004-0000-1600-000062000000}"/>
    <hyperlink ref="A51" r:id="rId50" xr:uid="{00000000-0004-0000-1600-000063000000}"/>
    <hyperlink ref="E51" location="Technical!A1" display="https://africanmarketingconfederation.org/awards-2026::unmeasured" xr:uid="{00000000-0004-0000-1600-000064000000}"/>
    <hyperlink ref="A52" r:id="rId51" xr:uid="{00000000-0004-0000-1600-000065000000}"/>
    <hyperlink ref="E52" location="Technical!A1" display="https://africanmarketingconfederation.org/certified-professional-marketer-africa::unmeasured" xr:uid="{00000000-0004-0000-1600-000066000000}"/>
    <hyperlink ref="A53" r:id="rId52" xr:uid="{00000000-0004-0000-1600-000067000000}"/>
    <hyperlink ref="E53" location="Technical!A1" display="https://africanmarketingconfederation.org/chartered-marketer-africa-final-submission-fee::unmeasured" xr:uid="{00000000-0004-0000-1600-000068000000}"/>
    <hyperlink ref="A54" r:id="rId53" xr:uid="{00000000-0004-0000-1600-000069000000}"/>
    <hyperlink ref="E54" location="Technical!A1" display="https://africanmarketingconfederation.org/chartered-marketer-africa-programme-fee::unmeasured" xr:uid="{00000000-0004-0000-1600-00006A000000}"/>
    <hyperlink ref="A55" r:id="rId54" xr:uid="{00000000-0004-0000-1600-00006B000000}"/>
    <hyperlink ref="E55" location="Technical!A1" display="https://africanmarketingconfederation.org/chartered-marketer-africa-thank-you::unmeasured" xr:uid="{00000000-0004-0000-1600-00006C000000}"/>
    <hyperlink ref="A56" r:id="rId55" xr:uid="{00000000-0004-0000-1600-00006D000000}"/>
    <hyperlink ref="E56" location="Technical!A1" display="https://africanmarketingconfederation.org/chartered-marketer-africa::unmeasured" xr:uid="{00000000-0004-0000-1600-00006E000000}"/>
    <hyperlink ref="A57" r:id="rId56" xr:uid="{00000000-0004-0000-1600-00006F000000}"/>
    <hyperlink ref="E57" location="Technical!A1" display="https://africanmarketingconfederation.org/checkout::unmeasured" xr:uid="{00000000-0004-0000-1600-000070000000}"/>
    <hyperlink ref="A58" r:id="rId57" xr:uid="{00000000-0004-0000-1600-000071000000}"/>
    <hyperlink ref="E58" location="Technical!A1" display="https://africanmarketingconfederation.org/conference-faq-2025::unmeasured" xr:uid="{00000000-0004-0000-1600-000072000000}"/>
    <hyperlink ref="A59" r:id="rId58" xr:uid="{00000000-0004-0000-1600-000073000000}"/>
    <hyperlink ref="E59" location="Technical!A1" display="https://africanmarketingconfederation.org/conference-registrations-2024::unmeasured" xr:uid="{00000000-0004-0000-1600-000074000000}"/>
    <hyperlink ref="A60" r:id="rId59" xr:uid="{00000000-0004-0000-1600-000075000000}"/>
    <hyperlink ref="E60" location="Technical!A1" display="https://africanmarketingconfederation.org/contact-us::unmeasured" xr:uid="{00000000-0004-0000-1600-000076000000}"/>
    <hyperlink ref="A61" r:id="rId60" xr:uid="{00000000-0004-0000-1600-000077000000}"/>
    <hyperlink ref="E61" location="Technical!A1" display="https://africanmarketingconfederation.org/download-brochure::unmeasured" xr:uid="{00000000-0004-0000-1600-000078000000}"/>
    <hyperlink ref="A62" r:id="rId61" xr:uid="{00000000-0004-0000-1600-000079000000}"/>
    <hyperlink ref="E62" location="Technical!A1" display="https://africanmarketingconfederation.org/download-prospectus-2024::unmeasured" xr:uid="{00000000-0004-0000-1600-00007A000000}"/>
    <hyperlink ref="A63" r:id="rId62" xr:uid="{00000000-0004-0000-1600-00007B000000}"/>
    <hyperlink ref="E63" location="Technical!A1" display="https://africanmarketingconfederation.org/education::unmeasured" xr:uid="{00000000-0004-0000-1600-00007C000000}"/>
    <hyperlink ref="A64" r:id="rId63" xr:uid="{00000000-0004-0000-1600-00007D000000}"/>
    <hyperlink ref="E64" location="Technical!A1" display="https://africanmarketingconfederation.org/elementor-16548::unmeasured" xr:uid="{00000000-0004-0000-1600-00007E000000}"/>
    <hyperlink ref="A65" r:id="rId64" xr:uid="{00000000-0004-0000-1600-00007F000000}"/>
    <hyperlink ref="E65" location="Technical!A1" display="https://africanmarketingconfederation.org/elementor-20341::unmeasured" xr:uid="{00000000-0004-0000-1600-000080000000}"/>
    <hyperlink ref="A66" r:id="rId65" xr:uid="{00000000-0004-0000-1600-000081000000}"/>
    <hyperlink ref="E66" location="Technical!A1" display="https://africanmarketingconfederation.org/elementor-31820::unmeasured" xr:uid="{00000000-0004-0000-1600-000082000000}"/>
    <hyperlink ref="A67" r:id="rId66" xr:uid="{00000000-0004-0000-1600-000083000000}"/>
    <hyperlink ref="E67" location="Technical!A1" display="https://africanmarketingconfederation.org/general-enquiry-form-thank-you::unmeasured" xr:uid="{00000000-0004-0000-1600-000084000000}"/>
    <hyperlink ref="A68" r:id="rId67" xr:uid="{00000000-0004-0000-1600-000085000000}"/>
    <hyperlink ref="E68" location="Technical!A1" display="https://africanmarketingconfederation.org/launch-event-2026-amc-conference::unmeasured" xr:uid="{00000000-0004-0000-1600-000086000000}"/>
    <hyperlink ref="A69" r:id="rId68" xr:uid="{00000000-0004-0000-1600-000087000000}"/>
    <hyperlink ref="E69" location="Technical!A1" display="https://africanmarketingconfederation.org/members::unmeasured" xr:uid="{00000000-0004-0000-1600-000088000000}"/>
    <hyperlink ref="A70" r:id="rId69" xr:uid="{00000000-0004-0000-1600-000089000000}"/>
    <hyperlink ref="E70" location="Technical!A1" display="https://africanmarketingconfederation.org/news-articles::unmeasured" xr:uid="{00000000-0004-0000-1600-00008A000000}"/>
    <hyperlink ref="A71" r:id="rId70" xr:uid="{00000000-0004-0000-1600-00008B000000}"/>
    <hyperlink ref="E71" location="Technical!A1" display="https://africanmarketingconfederation.org/privacy-policy::unmeasured" xr:uid="{00000000-0004-0000-1600-00008C000000}"/>
    <hyperlink ref="A72" r:id="rId71" xr:uid="{00000000-0004-0000-1600-00008D000000}"/>
    <hyperlink ref="E72" location="Technical!A1" display="https://africanmarketingconfederation.org/publication-download-list::unmeasured" xr:uid="{00000000-0004-0000-1600-00008E000000}"/>
    <hyperlink ref="A73" r:id="rId72" xr:uid="{00000000-0004-0000-1600-00008F000000}"/>
    <hyperlink ref="E73" location="Technical!A1" display="https://africanmarketingconfederation.org/publications-2::unmeasured" xr:uid="{00000000-0004-0000-1600-000090000000}"/>
    <hyperlink ref="A74" r:id="rId73" xr:uid="{00000000-0004-0000-1600-000091000000}"/>
    <hyperlink ref="E74" location="Technical!A1" display="https://africanmarketingconfederation.org/speakers-2025::unmeasured" xr:uid="{00000000-0004-0000-1600-000092000000}"/>
    <hyperlink ref="A75" r:id="rId74" xr:uid="{00000000-0004-0000-1600-000093000000}"/>
    <hyperlink ref="E75" location="Technical!A1" display="https://africanmarketingconfederation.org/speakers::unmeasured" xr:uid="{00000000-0004-0000-1600-000094000000}"/>
    <hyperlink ref="A76" r:id="rId75" xr:uid="{00000000-0004-0000-1600-000095000000}"/>
    <hyperlink ref="E76" location="Technical!A1" display="https://africanmarketingconfederation.org/sub-committees::unmeasured" xr:uid="{00000000-0004-0000-1600-000096000000}"/>
    <hyperlink ref="A77" r:id="rId76" xr:uid="{00000000-0004-0000-1600-000097000000}"/>
    <hyperlink ref="E77" location="Technical!A1" display="https://africanmarketingconfederation.org/subscribe::unmeasured" xr:uid="{00000000-0004-0000-1600-000098000000}"/>
    <hyperlink ref="A78" r:id="rId77" xr:uid="{00000000-0004-0000-1600-000099000000}"/>
    <hyperlink ref="E78" location="Technical!A1" display="https://africanmarketingconfederation.org/test-homeslider::unmeasured" xr:uid="{00000000-0004-0000-1600-00009A000000}"/>
    <hyperlink ref="A79" r:id="rId78" xr:uid="{00000000-0004-0000-1600-00009B000000}"/>
    <hyperlink ref="E79" location="Technical!A1" display="https://africanmarketingconfederation.org/test-payment-gate::unmeasured" xr:uid="{00000000-0004-0000-1600-00009C000000}"/>
    <hyperlink ref="A80" r:id="rId79" xr:uid="{00000000-0004-0000-1600-00009D000000}"/>
    <hyperlink ref="E80" location="Technical!A1" display="https://africanmarketingconfederation.org/thank-you-for-registering-2024-registrations-kenya::unmeasured" xr:uid="{00000000-0004-0000-1600-00009E000000}"/>
    <hyperlink ref="A81" r:id="rId80" xr:uid="{00000000-0004-0000-1600-00009F000000}"/>
    <hyperlink ref="E81" location="Technical!A1" display="https://africanmarketingconfederation.org/thank-you-for-registering-2024-registrations::unmeasured" xr:uid="{00000000-0004-0000-1600-0000A0000000}"/>
    <hyperlink ref="A82" r:id="rId81" xr:uid="{00000000-0004-0000-1600-0000A1000000}"/>
    <hyperlink ref="E82" location="Technical!A1" display="https://africanmarketingconfederation.org/thank-you-for-subscribing::unmeasured" xr:uid="{00000000-0004-0000-1600-0000A2000000}"/>
    <hyperlink ref="A83" r:id="rId82" xr:uid="{00000000-0004-0000-1600-0000A3000000}"/>
    <hyperlink ref="E83" location="Technical!A1" display="https://africanmarketingconfederation.org/thank-you-for-the-nomination-2024::unmeasured" xr:uid="{00000000-0004-0000-1600-0000A4000000}"/>
    <hyperlink ref="A84" r:id="rId83" xr:uid="{00000000-0004-0000-1600-0000A5000000}"/>
    <hyperlink ref="E84" location="Technical!A1" display="https://africanmarketingconfederation.org/thank-you-for-the-submission-2024::unmeasured" xr:uid="{00000000-0004-0000-1600-0000A6000000}"/>
    <hyperlink ref="A85" r:id="rId84" xr:uid="{00000000-0004-0000-1600-0000A7000000}"/>
    <hyperlink ref="E85" location="Technical!A1" display="https://africanmarketingconfederation.org/upcoming-events::unmeasured" xr:uid="{00000000-0004-0000-1600-0000A8000000}"/>
    <hyperlink ref="A86" r:id="rId85" xr:uid="{00000000-0004-0000-1600-0000A9000000}"/>
    <hyperlink ref="E86" location="Technical!A1" display="https://africanmarketingconfederation.org/virtual-programme::unmeasured" xr:uid="{00000000-0004-0000-1600-0000AA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5" customWidth="1"/>
    <col min="3" max="3" width="60" customWidth="1"/>
    <col min="4" max="4" width="18" customWidth="1"/>
    <col min="5" max="5" width="13" customWidth="1"/>
    <col min="6" max="6" width="19" customWidth="1"/>
  </cols>
  <sheetData>
    <row r="1" spans="1:8" ht="45" x14ac:dyDescent="0.25">
      <c r="A1" s="27" t="s">
        <v>102</v>
      </c>
      <c r="B1" s="27" t="s">
        <v>3300</v>
      </c>
      <c r="C1" s="27" t="s">
        <v>3301</v>
      </c>
      <c r="D1" s="27" t="s">
        <v>3302</v>
      </c>
      <c r="E1" s="27" t="s">
        <v>468</v>
      </c>
      <c r="F1" s="27" t="s">
        <v>470</v>
      </c>
      <c r="G1" s="27" t="s">
        <v>122</v>
      </c>
      <c r="H1" s="36" t="s">
        <v>251</v>
      </c>
    </row>
    <row r="2" spans="1:8" ht="409.5" x14ac:dyDescent="0.25">
      <c r="A2" s="33" t="s">
        <v>127</v>
      </c>
      <c r="B2" s="28">
        <v>68</v>
      </c>
      <c r="C2" s="31" t="s">
        <v>3303</v>
      </c>
      <c r="D2" s="41" t="b">
        <v>0</v>
      </c>
      <c r="E2" s="28">
        <v>0</v>
      </c>
      <c r="F2" s="28">
        <v>6.1538000000000002E-2</v>
      </c>
      <c r="G2" s="34" t="str">
        <f>IFERROR(HYPERLINK("#Main!A"&amp;MATCH(A2,Main!A:A,0),"Open"),HYPERLINK("#Main!A1","Open"))</f>
        <v>Open</v>
      </c>
      <c r="H2" s="34"/>
    </row>
    <row r="3" spans="1:8" ht="30" customHeight="1" x14ac:dyDescent="0.25">
      <c r="A3" s="30" t="s">
        <v>135</v>
      </c>
      <c r="B3" s="37">
        <v>59</v>
      </c>
      <c r="C3" s="43" t="s">
        <v>3304</v>
      </c>
      <c r="D3" s="44" t="b">
        <v>0</v>
      </c>
      <c r="E3" s="37">
        <v>1</v>
      </c>
      <c r="F3" s="37">
        <v>5.8172000000000001E-2</v>
      </c>
      <c r="G3" t="str">
        <f>IFERROR(HYPERLINK("#Main!A"&amp;MATCH(A3,Main!A:A,0),"Open"),HYPERLINK("#Main!A1","Open"))</f>
        <v>Open</v>
      </c>
    </row>
    <row r="4" spans="1:8" ht="30" customHeight="1" x14ac:dyDescent="0.25">
      <c r="A4" s="33" t="s">
        <v>144</v>
      </c>
      <c r="B4" s="28">
        <v>59</v>
      </c>
      <c r="C4" s="31" t="s">
        <v>3304</v>
      </c>
      <c r="D4" s="41" t="b">
        <v>0</v>
      </c>
      <c r="E4" s="28">
        <v>1</v>
      </c>
      <c r="F4" s="28">
        <v>5.8172000000000001E-2</v>
      </c>
      <c r="G4" s="34" t="str">
        <f>IFERROR(HYPERLINK("#Main!A"&amp;MATCH(A4,Main!A:A,0),"Open"),HYPERLINK("#Main!A1","Open"))</f>
        <v>Open</v>
      </c>
      <c r="H4" s="34"/>
    </row>
    <row r="5" spans="1:8" ht="30" customHeight="1" x14ac:dyDescent="0.25">
      <c r="A5" s="30" t="s">
        <v>152</v>
      </c>
      <c r="B5" s="37">
        <v>0</v>
      </c>
      <c r="C5" s="43"/>
      <c r="D5" s="44" t="b">
        <v>1</v>
      </c>
      <c r="E5" s="37"/>
      <c r="F5" s="37">
        <v>1.861E-3</v>
      </c>
      <c r="G5" t="str">
        <f>IFERROR(HYPERLINK("#Main!A"&amp;MATCH(A5,Main!A:A,0),"Open"),HYPERLINK("#Main!A1","Open"))</f>
        <v>Open</v>
      </c>
    </row>
    <row r="6" spans="1:8" ht="30" customHeight="1" x14ac:dyDescent="0.25">
      <c r="A6" s="33" t="s">
        <v>169</v>
      </c>
      <c r="B6" s="28">
        <v>0</v>
      </c>
      <c r="C6" s="31"/>
      <c r="D6" s="41" t="b">
        <v>1</v>
      </c>
      <c r="E6" s="28"/>
      <c r="F6" s="28">
        <v>1.861E-3</v>
      </c>
      <c r="G6" s="34" t="str">
        <f>IFERROR(HYPERLINK("#Main!A"&amp;MATCH(A6,Main!A:A,0),"Open"),HYPERLINK("#Main!A1","Open"))</f>
        <v>Open</v>
      </c>
      <c r="H6" s="34"/>
    </row>
    <row r="7" spans="1:8" ht="30" customHeight="1" x14ac:dyDescent="0.25">
      <c r="A7" s="30" t="s">
        <v>177</v>
      </c>
      <c r="B7" s="37">
        <v>0</v>
      </c>
      <c r="C7" s="43"/>
      <c r="D7" s="44" t="b">
        <v>1</v>
      </c>
      <c r="E7" s="37"/>
      <c r="F7" s="37">
        <v>1.861E-3</v>
      </c>
      <c r="G7" t="str">
        <f>IFERROR(HYPERLINK("#Main!A"&amp;MATCH(A7,Main!A:A,0),"Open"),HYPERLINK("#Main!A1","Open"))</f>
        <v>Open</v>
      </c>
    </row>
    <row r="8" spans="1:8" ht="30" customHeight="1" x14ac:dyDescent="0.25">
      <c r="A8" s="33" t="s">
        <v>161</v>
      </c>
      <c r="B8" s="28">
        <v>2</v>
      </c>
      <c r="C8" s="31" t="s">
        <v>3305</v>
      </c>
      <c r="D8" s="41" t="b">
        <v>0</v>
      </c>
      <c r="E8" s="28">
        <v>2</v>
      </c>
      <c r="F8" s="28">
        <v>4.921E-3</v>
      </c>
      <c r="G8" s="34" t="str">
        <f>IFERROR(HYPERLINK("#Main!A"&amp;MATCH(A8,Main!A:A,0),"Open"),HYPERLINK("#Main!A1","Open"))</f>
        <v>Open</v>
      </c>
      <c r="H8" s="34"/>
    </row>
    <row r="9" spans="1:8" ht="30" customHeight="1" x14ac:dyDescent="0.25">
      <c r="A9" s="30" t="s">
        <v>185</v>
      </c>
      <c r="B9" s="37">
        <v>11</v>
      </c>
      <c r="C9" s="43" t="s">
        <v>3306</v>
      </c>
      <c r="D9" s="44" t="b">
        <v>0</v>
      </c>
      <c r="E9" s="37">
        <v>2</v>
      </c>
      <c r="F9" s="37">
        <v>8.2869999999999992E-3</v>
      </c>
      <c r="G9" t="str">
        <f>IFERROR(HYPERLINK("#Main!A"&amp;MATCH(A9,Main!A:A,0),"Open"),HYPERLINK("#Main!A1","Open"))</f>
        <v>Open</v>
      </c>
    </row>
    <row r="10" spans="1:8" ht="30" customHeight="1" x14ac:dyDescent="0.25">
      <c r="A10" s="33" t="s">
        <v>201</v>
      </c>
      <c r="B10" s="28">
        <v>0</v>
      </c>
      <c r="C10" s="31"/>
      <c r="D10" s="41" t="b">
        <v>1</v>
      </c>
      <c r="E10" s="28"/>
      <c r="F10" s="28">
        <v>1.861E-3</v>
      </c>
      <c r="G10" s="34" t="str">
        <f>IFERROR(HYPERLINK("#Main!A"&amp;MATCH(A10,Main!A:A,0),"Open"),HYPERLINK("#Main!A1","Open"))</f>
        <v>Open</v>
      </c>
      <c r="H10" s="34"/>
    </row>
    <row r="11" spans="1:8" ht="30" customHeight="1" x14ac:dyDescent="0.25">
      <c r="A11" s="30" t="s">
        <v>193</v>
      </c>
      <c r="B11" s="37">
        <v>9</v>
      </c>
      <c r="C11" s="43" t="s">
        <v>3307</v>
      </c>
      <c r="D11" s="44" t="b">
        <v>0</v>
      </c>
      <c r="E11" s="37">
        <v>4</v>
      </c>
      <c r="F11" s="37">
        <v>5.2269999999999999E-3</v>
      </c>
      <c r="G11" t="str">
        <f>IFERROR(HYPERLINK("#Main!A"&amp;MATCH(A11,Main!A:A,0),"Open"),HYPERLINK("#Main!A1","Open"))</f>
        <v>Open</v>
      </c>
    </row>
    <row r="12" spans="1:8" ht="30" customHeight="1" x14ac:dyDescent="0.25">
      <c r="A12" s="33" t="s">
        <v>216</v>
      </c>
      <c r="B12" s="28">
        <v>0</v>
      </c>
      <c r="C12" s="31"/>
      <c r="D12" s="41" t="b">
        <v>1</v>
      </c>
      <c r="E12" s="28"/>
      <c r="F12" s="28">
        <v>1.861E-3</v>
      </c>
      <c r="G12" s="34" t="str">
        <f>IFERROR(HYPERLINK("#Main!A"&amp;MATCH(A12,Main!A:A,0),"Open"),HYPERLINK("#Main!A1","Open"))</f>
        <v>Open</v>
      </c>
      <c r="H12" s="34"/>
    </row>
    <row r="13" spans="1:8" ht="30" customHeight="1" x14ac:dyDescent="0.25">
      <c r="A13" s="30" t="s">
        <v>208</v>
      </c>
      <c r="B13" s="37">
        <v>0</v>
      </c>
      <c r="C13" s="43"/>
      <c r="D13" s="44" t="b">
        <v>1</v>
      </c>
      <c r="E13" s="37"/>
      <c r="F13" s="37">
        <v>1.861E-3</v>
      </c>
      <c r="G13" t="str">
        <f>IFERROR(HYPERLINK("#Main!A"&amp;MATCH(A13,Main!A:A,0),"Open"),HYPERLINK("#Main!A1","Open"))</f>
        <v>Open</v>
      </c>
    </row>
    <row r="14" spans="1:8" ht="30" customHeight="1" x14ac:dyDescent="0.25">
      <c r="A14" s="33" t="s">
        <v>224</v>
      </c>
      <c r="B14" s="28">
        <v>0</v>
      </c>
      <c r="C14" s="31"/>
      <c r="D14" s="41" t="b">
        <v>1</v>
      </c>
      <c r="E14" s="28"/>
      <c r="F14" s="28">
        <v>1.861E-3</v>
      </c>
      <c r="G14" s="34" t="str">
        <f>IFERROR(HYPERLINK("#Main!A"&amp;MATCH(A14,Main!A:A,0),"Open"),HYPERLINK("#Main!A1","Open"))</f>
        <v>Open</v>
      </c>
      <c r="H14" s="34"/>
    </row>
    <row r="15" spans="1:8" ht="30" customHeight="1" x14ac:dyDescent="0.25">
      <c r="A15" s="30" t="s">
        <v>233</v>
      </c>
      <c r="B15" s="37">
        <v>10</v>
      </c>
      <c r="C15" s="43" t="s">
        <v>3308</v>
      </c>
      <c r="D15" s="44" t="b">
        <v>0</v>
      </c>
      <c r="E15" s="37">
        <v>3</v>
      </c>
      <c r="F15" s="37">
        <v>5.8669999999999998E-3</v>
      </c>
      <c r="G15" t="str">
        <f>IFERROR(HYPERLINK("#Main!A"&amp;MATCH(A15,Main!A:A,0),"Open"),HYPERLINK("#Main!A1","Open"))</f>
        <v>Open</v>
      </c>
    </row>
    <row r="16" spans="1:8" ht="30" customHeight="1" x14ac:dyDescent="0.25">
      <c r="A16" s="33" t="s">
        <v>241</v>
      </c>
      <c r="B16" s="28">
        <v>9</v>
      </c>
      <c r="C16" s="31" t="s">
        <v>3307</v>
      </c>
      <c r="D16" s="41" t="b">
        <v>0</v>
      </c>
      <c r="E16" s="28">
        <v>4</v>
      </c>
      <c r="F16" s="28">
        <v>5.2269999999999999E-3</v>
      </c>
      <c r="G16" s="34" t="str">
        <f>IFERROR(HYPERLINK("#Main!A"&amp;MATCH(A16,Main!A:A,0),"Open"),HYPERLINK("#Main!A1","Open"))</f>
        <v>Open</v>
      </c>
      <c r="H16" s="34"/>
    </row>
    <row r="17" spans="1:8" ht="30" customHeight="1" x14ac:dyDescent="0.25">
      <c r="A17" s="30" t="s">
        <v>485</v>
      </c>
      <c r="B17" s="37">
        <v>11</v>
      </c>
      <c r="C17" s="43" t="s">
        <v>3309</v>
      </c>
      <c r="D17" s="44" t="b">
        <v>0</v>
      </c>
      <c r="E17" s="37">
        <v>3</v>
      </c>
      <c r="F17" s="37">
        <v>5.9800000000000001E-3</v>
      </c>
      <c r="G17" t="str">
        <f>IFERROR(HYPERLINK("#Main!A"&amp;MATCH(A17,Main!A:A,0),"Open"),HYPERLINK("#Main!A1","Open"))</f>
        <v>Open</v>
      </c>
    </row>
    <row r="18" spans="1:8" ht="30" customHeight="1" x14ac:dyDescent="0.25">
      <c r="A18" s="33" t="s">
        <v>491</v>
      </c>
      <c r="B18" s="28">
        <v>2</v>
      </c>
      <c r="C18" s="31" t="s">
        <v>3305</v>
      </c>
      <c r="D18" s="41" t="b">
        <v>0</v>
      </c>
      <c r="E18" s="28">
        <v>2</v>
      </c>
      <c r="F18" s="28">
        <v>4.921E-3</v>
      </c>
      <c r="G18" s="34" t="str">
        <f>IFERROR(HYPERLINK("#Main!A"&amp;MATCH(A18,Main!A:A,0),"Open"),HYPERLINK("#Main!A1","Open"))</f>
        <v>Open</v>
      </c>
      <c r="H18" s="34"/>
    </row>
    <row r="19" spans="1:8" ht="30" customHeight="1" x14ac:dyDescent="0.25">
      <c r="A19" s="30" t="s">
        <v>488</v>
      </c>
      <c r="B19" s="37">
        <v>10</v>
      </c>
      <c r="C19" s="43" t="s">
        <v>3308</v>
      </c>
      <c r="D19" s="44" t="b">
        <v>0</v>
      </c>
      <c r="E19" s="37">
        <v>3</v>
      </c>
      <c r="F19" s="37">
        <v>5.8669999999999998E-3</v>
      </c>
      <c r="G19" t="str">
        <f>IFERROR(HYPERLINK("#Main!A"&amp;MATCH(A19,Main!A:A,0),"Open"),HYPERLINK("#Main!A1","Open"))</f>
        <v>Open</v>
      </c>
    </row>
    <row r="20" spans="1:8" ht="30" customHeight="1" x14ac:dyDescent="0.25">
      <c r="A20" s="33" t="s">
        <v>494</v>
      </c>
      <c r="B20" s="28">
        <v>0</v>
      </c>
      <c r="C20" s="31"/>
      <c r="D20" s="41" t="b">
        <v>1</v>
      </c>
      <c r="E20" s="28"/>
      <c r="F20" s="28">
        <v>1.861E-3</v>
      </c>
      <c r="G20" s="34" t="str">
        <f>IFERROR(HYPERLINK("#Main!A"&amp;MATCH(A20,Main!A:A,0),"Open"),HYPERLINK("#Main!A1","Open"))</f>
        <v>Open</v>
      </c>
      <c r="H20" s="34"/>
    </row>
    <row r="21" spans="1:8" ht="30" customHeight="1" x14ac:dyDescent="0.25">
      <c r="A21" s="30" t="s">
        <v>500</v>
      </c>
      <c r="B21" s="37">
        <v>2</v>
      </c>
      <c r="C21" s="43" t="s">
        <v>3310</v>
      </c>
      <c r="D21" s="44" t="b">
        <v>0</v>
      </c>
      <c r="E21" s="37">
        <v>2</v>
      </c>
      <c r="F21" s="37">
        <v>7.9950000000000004E-3</v>
      </c>
      <c r="G21" t="str">
        <f>IFERROR(HYPERLINK("#Main!A"&amp;MATCH(A21,Main!A:A,0),"Open"),HYPERLINK("#Main!A1","Open"))</f>
        <v>Open</v>
      </c>
    </row>
    <row r="22" spans="1:8" ht="30" customHeight="1" x14ac:dyDescent="0.25">
      <c r="A22" s="33" t="s">
        <v>497</v>
      </c>
      <c r="B22" s="28">
        <v>23</v>
      </c>
      <c r="C22" s="31" t="s">
        <v>3311</v>
      </c>
      <c r="D22" s="41" t="b">
        <v>0</v>
      </c>
      <c r="E22" s="28">
        <v>1</v>
      </c>
      <c r="F22" s="28">
        <v>1.1846000000000001E-2</v>
      </c>
      <c r="G22" s="34" t="str">
        <f>IFERROR(HYPERLINK("#Main!A"&amp;MATCH(A22,Main!A:A,0),"Open"),HYPERLINK("#Main!A1","Open"))</f>
        <v>Open</v>
      </c>
      <c r="H22" s="34"/>
    </row>
    <row r="23" spans="1:8" ht="30" customHeight="1" x14ac:dyDescent="0.25">
      <c r="A23" s="30" t="s">
        <v>506</v>
      </c>
      <c r="B23" s="37">
        <v>0</v>
      </c>
      <c r="C23" s="43"/>
      <c r="D23" s="44" t="b">
        <v>1</v>
      </c>
      <c r="E23" s="37"/>
      <c r="F23" s="37">
        <v>1.861E-3</v>
      </c>
      <c r="G23" t="str">
        <f>IFERROR(HYPERLINK("#Main!A"&amp;MATCH(A23,Main!A:A,0),"Open"),HYPERLINK("#Main!A1","Open"))</f>
        <v>Open</v>
      </c>
    </row>
    <row r="24" spans="1:8" ht="30" customHeight="1" x14ac:dyDescent="0.25">
      <c r="A24" s="33" t="s">
        <v>509</v>
      </c>
      <c r="B24" s="28">
        <v>0</v>
      </c>
      <c r="C24" s="31"/>
      <c r="D24" s="41" t="b">
        <v>1</v>
      </c>
      <c r="E24" s="28"/>
      <c r="F24" s="28">
        <v>1.861E-3</v>
      </c>
      <c r="G24" s="34" t="str">
        <f>IFERROR(HYPERLINK("#Main!A"&amp;MATCH(A24,Main!A:A,0),"Open"),HYPERLINK("#Main!A1","Open"))</f>
        <v>Open</v>
      </c>
      <c r="H24" s="34"/>
    </row>
    <row r="25" spans="1:8" ht="30" customHeight="1" x14ac:dyDescent="0.25">
      <c r="A25" s="30" t="s">
        <v>503</v>
      </c>
      <c r="B25" s="37">
        <v>59</v>
      </c>
      <c r="C25" s="43" t="s">
        <v>3304</v>
      </c>
      <c r="D25" s="44" t="b">
        <v>0</v>
      </c>
      <c r="E25" s="37">
        <v>1</v>
      </c>
      <c r="F25" s="37">
        <v>5.8172000000000001E-2</v>
      </c>
      <c r="G25" t="str">
        <f>IFERROR(HYPERLINK("#Main!A"&amp;MATCH(A25,Main!A:A,0),"Open"),HYPERLINK("#Main!A1","Open"))</f>
        <v>Open</v>
      </c>
    </row>
    <row r="26" spans="1:8" ht="30" customHeight="1" x14ac:dyDescent="0.25">
      <c r="A26" s="33" t="s">
        <v>476</v>
      </c>
      <c r="B26" s="28">
        <v>0</v>
      </c>
      <c r="C26" s="31"/>
      <c r="D26" s="41" t="b">
        <v>1</v>
      </c>
      <c r="E26" s="28"/>
      <c r="F26" s="28">
        <v>1.861E-3</v>
      </c>
      <c r="G26" s="34" t="str">
        <f>IFERROR(HYPERLINK("#Main!A"&amp;MATCH(A26,Main!A:A,0),"Open"),HYPERLINK("#Main!A1","Open"))</f>
        <v>Open</v>
      </c>
      <c r="H26" s="34"/>
    </row>
    <row r="27" spans="1:8" ht="30" customHeight="1" x14ac:dyDescent="0.25">
      <c r="A27" s="30" t="s">
        <v>512</v>
      </c>
      <c r="B27" s="37">
        <v>0</v>
      </c>
      <c r="C27" s="43"/>
      <c r="D27" s="44" t="b">
        <v>1</v>
      </c>
      <c r="E27" s="37"/>
      <c r="F27" s="37">
        <v>1.861E-3</v>
      </c>
      <c r="G27" t="str">
        <f>IFERROR(HYPERLINK("#Main!A"&amp;MATCH(A27,Main!A:A,0),"Open"),HYPERLINK("#Main!A1","Open"))</f>
        <v>Open</v>
      </c>
    </row>
    <row r="28" spans="1:8" ht="30" customHeight="1" x14ac:dyDescent="0.25">
      <c r="A28" s="33" t="s">
        <v>515</v>
      </c>
      <c r="B28" s="28">
        <v>0</v>
      </c>
      <c r="C28" s="31"/>
      <c r="D28" s="41" t="b">
        <v>1</v>
      </c>
      <c r="E28" s="28"/>
      <c r="F28" s="28">
        <v>1.861E-3</v>
      </c>
      <c r="G28" s="34" t="str">
        <f>IFERROR(HYPERLINK("#Main!A"&amp;MATCH(A28,Main!A:A,0),"Open"),HYPERLINK("#Main!A1","Open"))</f>
        <v>Open</v>
      </c>
      <c r="H28" s="34"/>
    </row>
    <row r="29" spans="1:8" ht="30" customHeight="1" x14ac:dyDescent="0.25">
      <c r="A29" s="30" t="s">
        <v>518</v>
      </c>
      <c r="B29" s="37">
        <v>0</v>
      </c>
      <c r="C29" s="43"/>
      <c r="D29" s="44" t="b">
        <v>1</v>
      </c>
      <c r="E29" s="37"/>
      <c r="F29" s="37">
        <v>1.861E-3</v>
      </c>
      <c r="G29" t="str">
        <f>IFERROR(HYPERLINK("#Main!A"&amp;MATCH(A29,Main!A:A,0),"Open"),HYPERLINK("#Main!A1","Open"))</f>
        <v>Open</v>
      </c>
    </row>
    <row r="30" spans="1:8" ht="30" customHeight="1" x14ac:dyDescent="0.25">
      <c r="A30" s="33" t="s">
        <v>521</v>
      </c>
      <c r="B30" s="28">
        <v>0</v>
      </c>
      <c r="C30" s="31"/>
      <c r="D30" s="41" t="b">
        <v>1</v>
      </c>
      <c r="E30" s="28"/>
      <c r="F30" s="28">
        <v>1.861E-3</v>
      </c>
      <c r="G30" s="34" t="str">
        <f>IFERROR(HYPERLINK("#Main!A"&amp;MATCH(A30,Main!A:A,0),"Open"),HYPERLINK("#Main!A1","Open"))</f>
        <v>Open</v>
      </c>
      <c r="H30" s="34"/>
    </row>
    <row r="31" spans="1:8" ht="30" customHeight="1" x14ac:dyDescent="0.25">
      <c r="A31" s="30" t="s">
        <v>524</v>
      </c>
      <c r="B31" s="37">
        <v>0</v>
      </c>
      <c r="C31" s="43"/>
      <c r="D31" s="44" t="b">
        <v>1</v>
      </c>
      <c r="E31" s="37"/>
      <c r="F31" s="37">
        <v>1.861E-3</v>
      </c>
      <c r="G31" t="str">
        <f>IFERROR(HYPERLINK("#Main!A"&amp;MATCH(A31,Main!A:A,0),"Open"),HYPERLINK("#Main!A1","Open"))</f>
        <v>Open</v>
      </c>
    </row>
    <row r="32" spans="1:8" ht="30" customHeight="1" x14ac:dyDescent="0.25">
      <c r="A32" s="33" t="s">
        <v>527</v>
      </c>
      <c r="B32" s="28">
        <v>0</v>
      </c>
      <c r="C32" s="31"/>
      <c r="D32" s="41" t="b">
        <v>1</v>
      </c>
      <c r="E32" s="28"/>
      <c r="F32" s="28">
        <v>1.861E-3</v>
      </c>
      <c r="G32" s="34" t="str">
        <f>IFERROR(HYPERLINK("#Main!A"&amp;MATCH(A32,Main!A:A,0),"Open"),HYPERLINK("#Main!A1","Open"))</f>
        <v>Open</v>
      </c>
      <c r="H32" s="34"/>
    </row>
    <row r="33" spans="1:8" ht="45" customHeight="1" x14ac:dyDescent="0.25">
      <c r="A33" s="30" t="s">
        <v>528</v>
      </c>
      <c r="B33" s="37">
        <v>0</v>
      </c>
      <c r="C33" s="43"/>
      <c r="D33" s="44" t="b">
        <v>1</v>
      </c>
      <c r="E33" s="37"/>
      <c r="F33" s="37">
        <v>1.861E-3</v>
      </c>
      <c r="G33" t="str">
        <f>IFERROR(HYPERLINK("#Main!A"&amp;MATCH(A33,Main!A:A,0),"Open"),HYPERLINK("#Main!A1","Open"))</f>
        <v>Open</v>
      </c>
    </row>
    <row r="34" spans="1:8" ht="30" customHeight="1" x14ac:dyDescent="0.25">
      <c r="A34" s="33" t="s">
        <v>531</v>
      </c>
      <c r="B34" s="28">
        <v>0</v>
      </c>
      <c r="C34" s="31"/>
      <c r="D34" s="41" t="b">
        <v>1</v>
      </c>
      <c r="E34" s="28"/>
      <c r="F34" s="28">
        <v>1.861E-3</v>
      </c>
      <c r="G34" s="34" t="str">
        <f>IFERROR(HYPERLINK("#Main!A"&amp;MATCH(A34,Main!A:A,0),"Open"),HYPERLINK("#Main!A1","Open"))</f>
        <v>Open</v>
      </c>
      <c r="H34" s="34"/>
    </row>
    <row r="35" spans="1:8" ht="30" customHeight="1" x14ac:dyDescent="0.25">
      <c r="A35" s="30" t="s">
        <v>534</v>
      </c>
      <c r="B35" s="37">
        <v>0</v>
      </c>
      <c r="C35" s="43"/>
      <c r="D35" s="44" t="b">
        <v>1</v>
      </c>
      <c r="E35" s="37"/>
      <c r="F35" s="37">
        <v>1.861E-3</v>
      </c>
      <c r="G35" t="str">
        <f>IFERROR(HYPERLINK("#Main!A"&amp;MATCH(A35,Main!A:A,0),"Open"),HYPERLINK("#Main!A1","Open"))</f>
        <v>Open</v>
      </c>
    </row>
    <row r="36" spans="1:8" ht="30" customHeight="1" x14ac:dyDescent="0.25">
      <c r="A36" s="33" t="s">
        <v>537</v>
      </c>
      <c r="B36" s="28">
        <v>22</v>
      </c>
      <c r="C36" s="31" t="s">
        <v>3312</v>
      </c>
      <c r="D36" s="41" t="b">
        <v>0</v>
      </c>
      <c r="E36" s="28">
        <v>2</v>
      </c>
      <c r="F36" s="28">
        <v>8.3590000000000001E-3</v>
      </c>
      <c r="G36" s="34" t="str">
        <f>IFERROR(HYPERLINK("#Main!A"&amp;MATCH(A36,Main!A:A,0),"Open"),HYPERLINK("#Main!A1","Open"))</f>
        <v>Open</v>
      </c>
      <c r="H36" s="34"/>
    </row>
    <row r="37" spans="1:8" ht="45" customHeight="1" x14ac:dyDescent="0.25">
      <c r="A37" s="30" t="s">
        <v>540</v>
      </c>
      <c r="B37" s="37">
        <v>0</v>
      </c>
      <c r="C37" s="43"/>
      <c r="D37" s="44" t="b">
        <v>1</v>
      </c>
      <c r="E37" s="37"/>
      <c r="F37" s="37">
        <v>1.861E-3</v>
      </c>
      <c r="G37" t="str">
        <f>IFERROR(HYPERLINK("#Main!A"&amp;MATCH(A37,Main!A:A,0),"Open"),HYPERLINK("#Main!A1","Open"))</f>
        <v>Open</v>
      </c>
    </row>
    <row r="38" spans="1:8" ht="30" customHeight="1" x14ac:dyDescent="0.25">
      <c r="A38" s="33" t="s">
        <v>543</v>
      </c>
      <c r="B38" s="28">
        <v>22</v>
      </c>
      <c r="C38" s="31" t="s">
        <v>3312</v>
      </c>
      <c r="D38" s="41" t="b">
        <v>0</v>
      </c>
      <c r="E38" s="28">
        <v>2</v>
      </c>
      <c r="F38" s="28">
        <v>8.3590000000000001E-3</v>
      </c>
      <c r="G38" s="34" t="str">
        <f>IFERROR(HYPERLINK("#Main!A"&amp;MATCH(A38,Main!A:A,0),"Open"),HYPERLINK("#Main!A1","Open"))</f>
        <v>Open</v>
      </c>
      <c r="H38" s="34"/>
    </row>
    <row r="39" spans="1:8" ht="30" customHeight="1" x14ac:dyDescent="0.25">
      <c r="A39" s="30" t="s">
        <v>483</v>
      </c>
      <c r="B39" s="37">
        <v>2</v>
      </c>
      <c r="C39" s="43" t="s">
        <v>3163</v>
      </c>
      <c r="D39" s="44" t="b">
        <v>0</v>
      </c>
      <c r="E39" s="37"/>
      <c r="F39" s="37">
        <v>1.861E-3</v>
      </c>
      <c r="G39" t="str">
        <f>IFERROR(HYPERLINK("#Main!A"&amp;MATCH(A39,Main!A:A,0),"Open"),HYPERLINK("#Main!A1","Open"))</f>
        <v>Open</v>
      </c>
    </row>
    <row r="40" spans="1:8" ht="30" customHeight="1" x14ac:dyDescent="0.25">
      <c r="A40" s="33" t="s">
        <v>546</v>
      </c>
      <c r="B40" s="28">
        <v>0</v>
      </c>
      <c r="C40" s="31"/>
      <c r="D40" s="41" t="b">
        <v>1</v>
      </c>
      <c r="E40" s="28"/>
      <c r="F40" s="28">
        <v>1.861E-3</v>
      </c>
      <c r="G40" s="34" t="str">
        <f>IFERROR(HYPERLINK("#Main!A"&amp;MATCH(A40,Main!A:A,0),"Open"),HYPERLINK("#Main!A1","Open"))</f>
        <v>Open</v>
      </c>
      <c r="H40" s="34"/>
    </row>
    <row r="41" spans="1:8" ht="30" customHeight="1" x14ac:dyDescent="0.25">
      <c r="A41" s="30" t="s">
        <v>549</v>
      </c>
      <c r="B41" s="37">
        <v>0</v>
      </c>
      <c r="C41" s="43"/>
      <c r="D41" s="44" t="b">
        <v>1</v>
      </c>
      <c r="E41" s="37"/>
      <c r="F41" s="37">
        <v>1.861E-3</v>
      </c>
      <c r="G41" t="str">
        <f>IFERROR(HYPERLINK("#Main!A"&amp;MATCH(A41,Main!A:A,0),"Open"),HYPERLINK("#Main!A1","Open"))</f>
        <v>Open</v>
      </c>
    </row>
    <row r="42" spans="1:8" ht="30" customHeight="1" x14ac:dyDescent="0.25">
      <c r="A42" s="33" t="s">
        <v>555</v>
      </c>
      <c r="B42" s="28">
        <v>0</v>
      </c>
      <c r="C42" s="31"/>
      <c r="D42" s="41" t="b">
        <v>1</v>
      </c>
      <c r="E42" s="28"/>
      <c r="F42" s="28">
        <v>1.861E-3</v>
      </c>
      <c r="G42" s="34" t="str">
        <f>IFERROR(HYPERLINK("#Main!A"&amp;MATCH(A42,Main!A:A,0),"Open"),HYPERLINK("#Main!A1","Open"))</f>
        <v>Open</v>
      </c>
      <c r="H42" s="34"/>
    </row>
    <row r="43" spans="1:8" ht="30" customHeight="1" x14ac:dyDescent="0.25">
      <c r="A43" s="30" t="s">
        <v>557</v>
      </c>
      <c r="B43" s="37">
        <v>0</v>
      </c>
      <c r="C43" s="43"/>
      <c r="D43" s="44" t="b">
        <v>1</v>
      </c>
      <c r="E43" s="37"/>
      <c r="F43" s="37">
        <v>1.861E-3</v>
      </c>
      <c r="G43" t="str">
        <f>IFERROR(HYPERLINK("#Main!A"&amp;MATCH(A43,Main!A:A,0),"Open"),HYPERLINK("#Main!A1","Open"))</f>
        <v>Open</v>
      </c>
    </row>
    <row r="44" spans="1:8" ht="30" customHeight="1" x14ac:dyDescent="0.25">
      <c r="A44" s="33" t="s">
        <v>552</v>
      </c>
      <c r="B44" s="28">
        <v>0</v>
      </c>
      <c r="C44" s="31"/>
      <c r="D44" s="41" t="b">
        <v>1</v>
      </c>
      <c r="E44" s="28"/>
      <c r="F44" s="28">
        <v>1.861E-3</v>
      </c>
      <c r="G44" s="34" t="str">
        <f>IFERROR(HYPERLINK("#Main!A"&amp;MATCH(A44,Main!A:A,0),"Open"),HYPERLINK("#Main!A1","Open"))</f>
        <v>Open</v>
      </c>
      <c r="H44" s="34"/>
    </row>
    <row r="45" spans="1:8" ht="30" customHeight="1" x14ac:dyDescent="0.25">
      <c r="A45" s="30" t="s">
        <v>560</v>
      </c>
      <c r="B45" s="37">
        <v>0</v>
      </c>
      <c r="C45" s="43"/>
      <c r="D45" s="44" t="b">
        <v>1</v>
      </c>
      <c r="E45" s="37"/>
      <c r="F45" s="37">
        <v>1.861E-3</v>
      </c>
      <c r="G45" t="str">
        <f>IFERROR(HYPERLINK("#Main!A"&amp;MATCH(A45,Main!A:A,0),"Open"),HYPERLINK("#Main!A1","Open"))</f>
        <v>Open</v>
      </c>
    </row>
    <row r="46" spans="1:8" ht="30" customHeight="1" x14ac:dyDescent="0.25">
      <c r="A46" s="33" t="s">
        <v>563</v>
      </c>
      <c r="B46" s="28">
        <v>0</v>
      </c>
      <c r="C46" s="31"/>
      <c r="D46" s="41" t="b">
        <v>1</v>
      </c>
      <c r="E46" s="28"/>
      <c r="F46" s="28">
        <v>1.861E-3</v>
      </c>
      <c r="G46" s="34" t="str">
        <f>IFERROR(HYPERLINK("#Main!A"&amp;MATCH(A46,Main!A:A,0),"Open"),HYPERLINK("#Main!A1","Open"))</f>
        <v>Open</v>
      </c>
      <c r="H46" s="34"/>
    </row>
    <row r="47" spans="1:8" ht="30" customHeight="1" x14ac:dyDescent="0.25">
      <c r="A47" s="30" t="s">
        <v>566</v>
      </c>
      <c r="B47" s="37">
        <v>22</v>
      </c>
      <c r="C47" s="43" t="s">
        <v>3312</v>
      </c>
      <c r="D47" s="44" t="b">
        <v>0</v>
      </c>
      <c r="E47" s="37">
        <v>2</v>
      </c>
      <c r="F47" s="37">
        <v>8.3590000000000001E-3</v>
      </c>
      <c r="G47" t="str">
        <f>IFERROR(HYPERLINK("#Main!A"&amp;MATCH(A47,Main!A:A,0),"Open"),HYPERLINK("#Main!A1","Open"))</f>
        <v>Open</v>
      </c>
    </row>
    <row r="48" spans="1:8" ht="30" customHeight="1" x14ac:dyDescent="0.25">
      <c r="A48" s="33" t="s">
        <v>570</v>
      </c>
      <c r="B48" s="28">
        <v>1</v>
      </c>
      <c r="C48" s="31" t="s">
        <v>491</v>
      </c>
      <c r="D48" s="41" t="b">
        <v>0</v>
      </c>
      <c r="E48" s="28">
        <v>3</v>
      </c>
      <c r="F48" s="28">
        <v>2.3259999999999999E-3</v>
      </c>
      <c r="G48" s="34" t="str">
        <f>IFERROR(HYPERLINK("#Main!A"&amp;MATCH(A48,Main!A:A,0),"Open"),HYPERLINK("#Main!A1","Open"))</f>
        <v>Open</v>
      </c>
      <c r="H48" s="34"/>
    </row>
    <row r="49" spans="1:8" ht="30" customHeight="1" x14ac:dyDescent="0.25">
      <c r="A49" s="30" t="s">
        <v>577</v>
      </c>
      <c r="B49" s="37">
        <v>0</v>
      </c>
      <c r="C49" s="43"/>
      <c r="D49" s="44" t="b">
        <v>1</v>
      </c>
      <c r="E49" s="37"/>
      <c r="F49" s="37">
        <v>1.861E-3</v>
      </c>
      <c r="G49" t="str">
        <f>IFERROR(HYPERLINK("#Main!A"&amp;MATCH(A49,Main!A:A,0),"Open"),HYPERLINK("#Main!A1","Open"))</f>
        <v>Open</v>
      </c>
    </row>
    <row r="50" spans="1:8" ht="30" customHeight="1" x14ac:dyDescent="0.25">
      <c r="A50" s="33" t="s">
        <v>579</v>
      </c>
      <c r="B50" s="28">
        <v>0</v>
      </c>
      <c r="C50" s="31"/>
      <c r="D50" s="41" t="b">
        <v>1</v>
      </c>
      <c r="E50" s="28"/>
      <c r="F50" s="28">
        <v>1.861E-3</v>
      </c>
      <c r="G50" s="34" t="str">
        <f>IFERROR(HYPERLINK("#Main!A"&amp;MATCH(A50,Main!A:A,0),"Open"),HYPERLINK("#Main!A1","Open"))</f>
        <v>Open</v>
      </c>
      <c r="H50" s="34"/>
    </row>
    <row r="51" spans="1:8" ht="30" customHeight="1" x14ac:dyDescent="0.25">
      <c r="A51" s="30" t="s">
        <v>573</v>
      </c>
      <c r="B51" s="37">
        <v>3</v>
      </c>
      <c r="C51" s="43" t="s">
        <v>3313</v>
      </c>
      <c r="D51" s="44" t="b">
        <v>0</v>
      </c>
      <c r="E51" s="37">
        <v>2</v>
      </c>
      <c r="F51" s="37">
        <v>5.0340000000000003E-3</v>
      </c>
      <c r="G51" t="str">
        <f>IFERROR(HYPERLINK("#Main!A"&amp;MATCH(A51,Main!A:A,0),"Open"),HYPERLINK("#Main!A1","Open"))</f>
        <v>Open</v>
      </c>
    </row>
    <row r="52" spans="1:8" ht="30" customHeight="1" x14ac:dyDescent="0.25">
      <c r="A52" s="33" t="s">
        <v>582</v>
      </c>
      <c r="B52" s="28">
        <v>59</v>
      </c>
      <c r="C52" s="31" t="s">
        <v>3304</v>
      </c>
      <c r="D52" s="41" t="b">
        <v>0</v>
      </c>
      <c r="E52" s="28">
        <v>1</v>
      </c>
      <c r="F52" s="28">
        <v>5.8172000000000001E-2</v>
      </c>
      <c r="G52" s="34" t="str">
        <f>IFERROR(HYPERLINK("#Main!A"&amp;MATCH(A52,Main!A:A,0),"Open"),HYPERLINK("#Main!A1","Open"))</f>
        <v>Open</v>
      </c>
      <c r="H52" s="34"/>
    </row>
    <row r="53" spans="1:8" ht="30" customHeight="1" x14ac:dyDescent="0.25">
      <c r="A53" s="30" t="s">
        <v>588</v>
      </c>
      <c r="B53" s="37">
        <v>0</v>
      </c>
      <c r="C53" s="43"/>
      <c r="D53" s="44" t="b">
        <v>1</v>
      </c>
      <c r="E53" s="37"/>
      <c r="F53" s="37">
        <v>1.861E-3</v>
      </c>
      <c r="G53" t="str">
        <f>IFERROR(HYPERLINK("#Main!A"&amp;MATCH(A53,Main!A:A,0),"Open"),HYPERLINK("#Main!A1","Open"))</f>
        <v>Open</v>
      </c>
    </row>
    <row r="54" spans="1:8" ht="30" customHeight="1" x14ac:dyDescent="0.25">
      <c r="A54" s="33" t="s">
        <v>591</v>
      </c>
      <c r="B54" s="28">
        <v>0</v>
      </c>
      <c r="C54" s="31"/>
      <c r="D54" s="41" t="b">
        <v>1</v>
      </c>
      <c r="E54" s="28"/>
      <c r="F54" s="28">
        <v>1.861E-3</v>
      </c>
      <c r="G54" s="34" t="str">
        <f>IFERROR(HYPERLINK("#Main!A"&amp;MATCH(A54,Main!A:A,0),"Open"),HYPERLINK("#Main!A1","Open"))</f>
        <v>Open</v>
      </c>
      <c r="H54" s="34"/>
    </row>
    <row r="55" spans="1:8" ht="30" customHeight="1" x14ac:dyDescent="0.25">
      <c r="A55" s="30" t="s">
        <v>594</v>
      </c>
      <c r="B55" s="37">
        <v>0</v>
      </c>
      <c r="C55" s="43"/>
      <c r="D55" s="44" t="b">
        <v>1</v>
      </c>
      <c r="E55" s="37"/>
      <c r="F55" s="37">
        <v>1.861E-3</v>
      </c>
      <c r="G55" t="str">
        <f>IFERROR(HYPERLINK("#Main!A"&amp;MATCH(A55,Main!A:A,0),"Open"),HYPERLINK("#Main!A1","Open"))</f>
        <v>Open</v>
      </c>
    </row>
    <row r="56" spans="1:8" ht="30" customHeight="1" x14ac:dyDescent="0.25">
      <c r="A56" s="33" t="s">
        <v>585</v>
      </c>
      <c r="B56" s="28">
        <v>59</v>
      </c>
      <c r="C56" s="31" t="s">
        <v>3304</v>
      </c>
      <c r="D56" s="41" t="b">
        <v>0</v>
      </c>
      <c r="E56" s="28">
        <v>1</v>
      </c>
      <c r="F56" s="28">
        <v>5.8172000000000001E-2</v>
      </c>
      <c r="G56" s="34" t="str">
        <f>IFERROR(HYPERLINK("#Main!A"&amp;MATCH(A56,Main!A:A,0),"Open"),HYPERLINK("#Main!A1","Open"))</f>
        <v>Open</v>
      </c>
      <c r="H56" s="34"/>
    </row>
    <row r="57" spans="1:8" ht="30" customHeight="1" x14ac:dyDescent="0.25">
      <c r="A57" s="30" t="s">
        <v>597</v>
      </c>
      <c r="B57" s="37">
        <v>0</v>
      </c>
      <c r="C57" s="43"/>
      <c r="D57" s="44" t="b">
        <v>1</v>
      </c>
      <c r="E57" s="37"/>
      <c r="F57" s="37">
        <v>1.861E-3</v>
      </c>
      <c r="G57" t="str">
        <f>IFERROR(HYPERLINK("#Main!A"&amp;MATCH(A57,Main!A:A,0),"Open"),HYPERLINK("#Main!A1","Open"))</f>
        <v>Open</v>
      </c>
    </row>
    <row r="58" spans="1:8" ht="30" customHeight="1" x14ac:dyDescent="0.25">
      <c r="A58" s="33" t="s">
        <v>601</v>
      </c>
      <c r="B58" s="28">
        <v>22</v>
      </c>
      <c r="C58" s="31" t="s">
        <v>3312</v>
      </c>
      <c r="D58" s="41" t="b">
        <v>0</v>
      </c>
      <c r="E58" s="28">
        <v>2</v>
      </c>
      <c r="F58" s="28">
        <v>8.3590000000000001E-3</v>
      </c>
      <c r="G58" s="34" t="str">
        <f>IFERROR(HYPERLINK("#Main!A"&amp;MATCH(A58,Main!A:A,0),"Open"),HYPERLINK("#Main!A1","Open"))</f>
        <v>Open</v>
      </c>
      <c r="H58" s="34"/>
    </row>
    <row r="59" spans="1:8" ht="30" customHeight="1" x14ac:dyDescent="0.25">
      <c r="A59" s="30" t="s">
        <v>604</v>
      </c>
      <c r="B59" s="37">
        <v>0</v>
      </c>
      <c r="C59" s="43"/>
      <c r="D59" s="44" t="b">
        <v>1</v>
      </c>
      <c r="E59" s="37"/>
      <c r="F59" s="37">
        <v>1.861E-3</v>
      </c>
      <c r="G59" t="str">
        <f>IFERROR(HYPERLINK("#Main!A"&amp;MATCH(A59,Main!A:A,0),"Open"),HYPERLINK("#Main!A1","Open"))</f>
        <v>Open</v>
      </c>
    </row>
    <row r="60" spans="1:8" ht="30" customHeight="1" x14ac:dyDescent="0.25">
      <c r="A60" s="33" t="s">
        <v>608</v>
      </c>
      <c r="B60" s="28">
        <v>59</v>
      </c>
      <c r="C60" s="31" t="s">
        <v>3304</v>
      </c>
      <c r="D60" s="41" t="b">
        <v>0</v>
      </c>
      <c r="E60" s="28">
        <v>1</v>
      </c>
      <c r="F60" s="28">
        <v>5.8172000000000001E-2</v>
      </c>
      <c r="G60" s="34" t="str">
        <f>IFERROR(HYPERLINK("#Main!A"&amp;MATCH(A60,Main!A:A,0),"Open"),HYPERLINK("#Main!A1","Open"))</f>
        <v>Open</v>
      </c>
      <c r="H60" s="34"/>
    </row>
    <row r="61" spans="1:8" ht="30" customHeight="1" x14ac:dyDescent="0.25">
      <c r="A61" s="30" t="s">
        <v>611</v>
      </c>
      <c r="B61" s="37">
        <v>0</v>
      </c>
      <c r="C61" s="43"/>
      <c r="D61" s="44" t="b">
        <v>1</v>
      </c>
      <c r="E61" s="37"/>
      <c r="F61" s="37">
        <v>1.861E-3</v>
      </c>
      <c r="G61" t="str">
        <f>IFERROR(HYPERLINK("#Main!A"&amp;MATCH(A61,Main!A:A,0),"Open"),HYPERLINK("#Main!A1","Open"))</f>
        <v>Open</v>
      </c>
    </row>
    <row r="62" spans="1:8" ht="30" customHeight="1" x14ac:dyDescent="0.25">
      <c r="A62" s="33" t="s">
        <v>615</v>
      </c>
      <c r="B62" s="28">
        <v>0</v>
      </c>
      <c r="C62" s="31"/>
      <c r="D62" s="41" t="b">
        <v>1</v>
      </c>
      <c r="E62" s="28"/>
      <c r="F62" s="28">
        <v>1.861E-3</v>
      </c>
      <c r="G62" s="34" t="str">
        <f>IFERROR(HYPERLINK("#Main!A"&amp;MATCH(A62,Main!A:A,0),"Open"),HYPERLINK("#Main!A1","Open"))</f>
        <v>Open</v>
      </c>
      <c r="H62" s="34"/>
    </row>
    <row r="63" spans="1:8" ht="30" customHeight="1" x14ac:dyDescent="0.25">
      <c r="A63" s="30" t="s">
        <v>618</v>
      </c>
      <c r="B63" s="37">
        <v>59</v>
      </c>
      <c r="C63" s="43" t="s">
        <v>3304</v>
      </c>
      <c r="D63" s="44" t="b">
        <v>0</v>
      </c>
      <c r="E63" s="37">
        <v>1</v>
      </c>
      <c r="F63" s="37">
        <v>5.8172000000000001E-2</v>
      </c>
      <c r="G63" t="str">
        <f>IFERROR(HYPERLINK("#Main!A"&amp;MATCH(A63,Main!A:A,0),"Open"),HYPERLINK("#Main!A1","Open"))</f>
        <v>Open</v>
      </c>
    </row>
    <row r="64" spans="1:8" ht="30" customHeight="1" x14ac:dyDescent="0.25">
      <c r="A64" s="33" t="s">
        <v>621</v>
      </c>
      <c r="B64" s="28">
        <v>0</v>
      </c>
      <c r="C64" s="31"/>
      <c r="D64" s="41" t="b">
        <v>1</v>
      </c>
      <c r="E64" s="28"/>
      <c r="F64" s="28">
        <v>1.861E-3</v>
      </c>
      <c r="G64" s="34" t="str">
        <f>IFERROR(HYPERLINK("#Main!A"&amp;MATCH(A64,Main!A:A,0),"Open"),HYPERLINK("#Main!A1","Open"))</f>
        <v>Open</v>
      </c>
      <c r="H64" s="34"/>
    </row>
    <row r="65" spans="1:8" ht="30" customHeight="1" x14ac:dyDescent="0.25">
      <c r="A65" s="30" t="s">
        <v>624</v>
      </c>
      <c r="B65" s="37">
        <v>0</v>
      </c>
      <c r="C65" s="43"/>
      <c r="D65" s="44" t="b">
        <v>1</v>
      </c>
      <c r="E65" s="37"/>
      <c r="F65" s="37">
        <v>1.861E-3</v>
      </c>
      <c r="G65" t="str">
        <f>IFERROR(HYPERLINK("#Main!A"&amp;MATCH(A65,Main!A:A,0),"Open"),HYPERLINK("#Main!A1","Open"))</f>
        <v>Open</v>
      </c>
    </row>
    <row r="66" spans="1:8" ht="30" customHeight="1" x14ac:dyDescent="0.25">
      <c r="A66" s="33" t="s">
        <v>626</v>
      </c>
      <c r="B66" s="28">
        <v>0</v>
      </c>
      <c r="C66" s="31"/>
      <c r="D66" s="41" t="b">
        <v>1</v>
      </c>
      <c r="E66" s="28"/>
      <c r="F66" s="28">
        <v>1.861E-3</v>
      </c>
      <c r="G66" s="34" t="str">
        <f>IFERROR(HYPERLINK("#Main!A"&amp;MATCH(A66,Main!A:A,0),"Open"),HYPERLINK("#Main!A1","Open"))</f>
        <v>Open</v>
      </c>
      <c r="H66" s="34"/>
    </row>
    <row r="67" spans="1:8" ht="30" customHeight="1" x14ac:dyDescent="0.25">
      <c r="A67" s="30" t="s">
        <v>629</v>
      </c>
      <c r="B67" s="37">
        <v>0</v>
      </c>
      <c r="C67" s="43"/>
      <c r="D67" s="44" t="b">
        <v>1</v>
      </c>
      <c r="E67" s="37"/>
      <c r="F67" s="37">
        <v>1.861E-3</v>
      </c>
      <c r="G67" t="str">
        <f>IFERROR(HYPERLINK("#Main!A"&amp;MATCH(A67,Main!A:A,0),"Open"),HYPERLINK("#Main!A1","Open"))</f>
        <v>Open</v>
      </c>
    </row>
    <row r="68" spans="1:8" ht="30" customHeight="1" x14ac:dyDescent="0.25">
      <c r="A68" s="33" t="s">
        <v>632</v>
      </c>
      <c r="B68" s="28">
        <v>3</v>
      </c>
      <c r="C68" s="31" t="s">
        <v>3313</v>
      </c>
      <c r="D68" s="41" t="b">
        <v>0</v>
      </c>
      <c r="E68" s="28">
        <v>2</v>
      </c>
      <c r="F68" s="28">
        <v>5.0340000000000003E-3</v>
      </c>
      <c r="G68" s="34" t="str">
        <f>IFERROR(HYPERLINK("#Main!A"&amp;MATCH(A68,Main!A:A,0),"Open"),HYPERLINK("#Main!A1","Open"))</f>
        <v>Open</v>
      </c>
      <c r="H68" s="34"/>
    </row>
    <row r="69" spans="1:8" ht="409.5" x14ac:dyDescent="0.25">
      <c r="A69" s="30" t="s">
        <v>635</v>
      </c>
      <c r="B69" s="37">
        <v>59</v>
      </c>
      <c r="C69" s="43" t="s">
        <v>3304</v>
      </c>
      <c r="D69" s="44" t="b">
        <v>0</v>
      </c>
      <c r="E69" s="37">
        <v>1</v>
      </c>
      <c r="F69" s="37">
        <v>5.8172000000000001E-2</v>
      </c>
      <c r="G69" t="str">
        <f>IFERROR(HYPERLINK("#Main!A"&amp;MATCH(A69,Main!A:A,0),"Open"),HYPERLINK("#Main!A1","Open"))</f>
        <v>Open</v>
      </c>
    </row>
    <row r="70" spans="1:8" ht="30" customHeight="1" x14ac:dyDescent="0.25">
      <c r="A70" s="33" t="s">
        <v>638</v>
      </c>
      <c r="B70" s="28">
        <v>59</v>
      </c>
      <c r="C70" s="31" t="s">
        <v>3304</v>
      </c>
      <c r="D70" s="41" t="b">
        <v>0</v>
      </c>
      <c r="E70" s="28">
        <v>1</v>
      </c>
      <c r="F70" s="28">
        <v>5.8172000000000001E-2</v>
      </c>
      <c r="G70" s="34" t="str">
        <f>IFERROR(HYPERLINK("#Main!A"&amp;MATCH(A70,Main!A:A,0),"Open"),HYPERLINK("#Main!A1","Open"))</f>
        <v>Open</v>
      </c>
      <c r="H70" s="34"/>
    </row>
    <row r="71" spans="1:8" ht="30" customHeight="1" x14ac:dyDescent="0.25">
      <c r="A71" s="30" t="s">
        <v>641</v>
      </c>
      <c r="B71" s="37">
        <v>81</v>
      </c>
      <c r="C71" s="43" t="s">
        <v>3314</v>
      </c>
      <c r="D71" s="44" t="b">
        <v>0</v>
      </c>
      <c r="E71" s="37">
        <v>1</v>
      </c>
      <c r="F71" s="37">
        <v>6.5322000000000005E-2</v>
      </c>
      <c r="G71" t="str">
        <f>IFERROR(HYPERLINK("#Main!A"&amp;MATCH(A71,Main!A:A,0),"Open"),HYPERLINK("#Main!A1","Open"))</f>
        <v>Open</v>
      </c>
    </row>
    <row r="72" spans="1:8" ht="30" customHeight="1" x14ac:dyDescent="0.25">
      <c r="A72" s="33" t="s">
        <v>644</v>
      </c>
      <c r="B72" s="28">
        <v>0</v>
      </c>
      <c r="C72" s="31"/>
      <c r="D72" s="41" t="b">
        <v>1</v>
      </c>
      <c r="E72" s="28"/>
      <c r="F72" s="28">
        <v>1.861E-3</v>
      </c>
      <c r="G72" s="34" t="str">
        <f>IFERROR(HYPERLINK("#Main!A"&amp;MATCH(A72,Main!A:A,0),"Open"),HYPERLINK("#Main!A1","Open"))</f>
        <v>Open</v>
      </c>
      <c r="H72" s="34"/>
    </row>
    <row r="73" spans="1:8" ht="30" customHeight="1" x14ac:dyDescent="0.25">
      <c r="A73" s="30" t="s">
        <v>647</v>
      </c>
      <c r="B73" s="37">
        <v>81</v>
      </c>
      <c r="C73" s="43" t="s">
        <v>3314</v>
      </c>
      <c r="D73" s="44" t="b">
        <v>0</v>
      </c>
      <c r="E73" s="37">
        <v>1</v>
      </c>
      <c r="F73" s="37">
        <v>6.5322000000000005E-2</v>
      </c>
      <c r="G73" t="str">
        <f>IFERROR(HYPERLINK("#Main!A"&amp;MATCH(A73,Main!A:A,0),"Open"),HYPERLINK("#Main!A1","Open"))</f>
        <v>Open</v>
      </c>
    </row>
    <row r="74" spans="1:8" ht="30" customHeight="1" x14ac:dyDescent="0.25">
      <c r="A74" s="33" t="s">
        <v>652</v>
      </c>
      <c r="B74" s="28">
        <v>22</v>
      </c>
      <c r="C74" s="31" t="s">
        <v>3312</v>
      </c>
      <c r="D74" s="41" t="b">
        <v>0</v>
      </c>
      <c r="E74" s="28">
        <v>2</v>
      </c>
      <c r="F74" s="28">
        <v>8.3590000000000001E-3</v>
      </c>
      <c r="G74" s="34" t="str">
        <f>IFERROR(HYPERLINK("#Main!A"&amp;MATCH(A74,Main!A:A,0),"Open"),HYPERLINK("#Main!A1","Open"))</f>
        <v>Open</v>
      </c>
      <c r="H74" s="34"/>
    </row>
    <row r="75" spans="1:8" ht="30" customHeight="1" x14ac:dyDescent="0.25">
      <c r="A75" s="30" t="s">
        <v>650</v>
      </c>
      <c r="B75" s="37">
        <v>0</v>
      </c>
      <c r="C75" s="43"/>
      <c r="D75" s="44" t="b">
        <v>1</v>
      </c>
      <c r="E75" s="37"/>
      <c r="F75" s="37">
        <v>1.861E-3</v>
      </c>
      <c r="G75" t="str">
        <f>IFERROR(HYPERLINK("#Main!A"&amp;MATCH(A75,Main!A:A,0),"Open"),HYPERLINK("#Main!A1","Open"))</f>
        <v>Open</v>
      </c>
    </row>
    <row r="76" spans="1:8" ht="30" customHeight="1" x14ac:dyDescent="0.25">
      <c r="A76" s="33" t="s">
        <v>655</v>
      </c>
      <c r="B76" s="28">
        <v>59</v>
      </c>
      <c r="C76" s="31" t="s">
        <v>3304</v>
      </c>
      <c r="D76" s="41" t="b">
        <v>0</v>
      </c>
      <c r="E76" s="28">
        <v>1</v>
      </c>
      <c r="F76" s="28">
        <v>5.8172000000000001E-2</v>
      </c>
      <c r="G76" s="34" t="str">
        <f>IFERROR(HYPERLINK("#Main!A"&amp;MATCH(A76,Main!A:A,0),"Open"),HYPERLINK("#Main!A1","Open"))</f>
        <v>Open</v>
      </c>
      <c r="H76" s="34"/>
    </row>
    <row r="77" spans="1:8" ht="30" customHeight="1" x14ac:dyDescent="0.25">
      <c r="A77" s="30" t="s">
        <v>658</v>
      </c>
      <c r="B77" s="37">
        <v>3</v>
      </c>
      <c r="C77" s="43" t="s">
        <v>3315</v>
      </c>
      <c r="D77" s="44" t="b">
        <v>0</v>
      </c>
      <c r="E77" s="37">
        <v>1</v>
      </c>
      <c r="F77" s="37">
        <v>8.9929999999999993E-3</v>
      </c>
      <c r="G77" t="str">
        <f>IFERROR(HYPERLINK("#Main!A"&amp;MATCH(A77,Main!A:A,0),"Open"),HYPERLINK("#Main!A1","Open"))</f>
        <v>Open</v>
      </c>
    </row>
    <row r="78" spans="1:8" ht="30" customHeight="1" x14ac:dyDescent="0.25">
      <c r="A78" s="33" t="s">
        <v>661</v>
      </c>
      <c r="B78" s="28">
        <v>0</v>
      </c>
      <c r="C78" s="31"/>
      <c r="D78" s="41" t="b">
        <v>1</v>
      </c>
      <c r="E78" s="28"/>
      <c r="F78" s="28">
        <v>1.861E-3</v>
      </c>
      <c r="G78" s="34" t="str">
        <f>IFERROR(HYPERLINK("#Main!A"&amp;MATCH(A78,Main!A:A,0),"Open"),HYPERLINK("#Main!A1","Open"))</f>
        <v>Open</v>
      </c>
      <c r="H78" s="34"/>
    </row>
    <row r="79" spans="1:8" ht="30" customHeight="1" x14ac:dyDescent="0.25">
      <c r="A79" s="30" t="s">
        <v>664</v>
      </c>
      <c r="B79" s="37">
        <v>0</v>
      </c>
      <c r="C79" s="43"/>
      <c r="D79" s="44" t="b">
        <v>1</v>
      </c>
      <c r="E79" s="37"/>
      <c r="F79" s="37">
        <v>1.861E-3</v>
      </c>
      <c r="G79" t="str">
        <f>IFERROR(HYPERLINK("#Main!A"&amp;MATCH(A79,Main!A:A,0),"Open"),HYPERLINK("#Main!A1","Open"))</f>
        <v>Open</v>
      </c>
    </row>
    <row r="80" spans="1:8" ht="30" customHeight="1" x14ac:dyDescent="0.25">
      <c r="A80" s="33" t="s">
        <v>670</v>
      </c>
      <c r="B80" s="28">
        <v>0</v>
      </c>
      <c r="C80" s="31"/>
      <c r="D80" s="41" t="b">
        <v>1</v>
      </c>
      <c r="E80" s="28"/>
      <c r="F80" s="28">
        <v>1.861E-3</v>
      </c>
      <c r="G80" s="34" t="str">
        <f>IFERROR(HYPERLINK("#Main!A"&amp;MATCH(A80,Main!A:A,0),"Open"),HYPERLINK("#Main!A1","Open"))</f>
        <v>Open</v>
      </c>
      <c r="H80" s="34"/>
    </row>
    <row r="81" spans="1:8" ht="30" customHeight="1" x14ac:dyDescent="0.25">
      <c r="A81" s="30" t="s">
        <v>667</v>
      </c>
      <c r="B81" s="37">
        <v>0</v>
      </c>
      <c r="C81" s="43"/>
      <c r="D81" s="44" t="b">
        <v>1</v>
      </c>
      <c r="E81" s="37"/>
      <c r="F81" s="37">
        <v>1.861E-3</v>
      </c>
      <c r="G81" t="str">
        <f>IFERROR(HYPERLINK("#Main!A"&amp;MATCH(A81,Main!A:A,0),"Open"),HYPERLINK("#Main!A1","Open"))</f>
        <v>Open</v>
      </c>
    </row>
    <row r="82" spans="1:8" ht="30" customHeight="1" x14ac:dyDescent="0.25">
      <c r="A82" s="33" t="s">
        <v>673</v>
      </c>
      <c r="B82" s="28">
        <v>0</v>
      </c>
      <c r="C82" s="31"/>
      <c r="D82" s="41" t="b">
        <v>1</v>
      </c>
      <c r="E82" s="28"/>
      <c r="F82" s="28">
        <v>1.861E-3</v>
      </c>
      <c r="G82" s="34" t="str">
        <f>IFERROR(HYPERLINK("#Main!A"&amp;MATCH(A82,Main!A:A,0),"Open"),HYPERLINK("#Main!A1","Open"))</f>
        <v>Open</v>
      </c>
      <c r="H82" s="34"/>
    </row>
    <row r="83" spans="1:8" ht="30" customHeight="1" x14ac:dyDescent="0.25">
      <c r="A83" s="30" t="s">
        <v>677</v>
      </c>
      <c r="B83" s="37">
        <v>0</v>
      </c>
      <c r="C83" s="43"/>
      <c r="D83" s="44" t="b">
        <v>1</v>
      </c>
      <c r="E83" s="37"/>
      <c r="F83" s="37">
        <v>1.861E-3</v>
      </c>
      <c r="G83" t="str">
        <f>IFERROR(HYPERLINK("#Main!A"&amp;MATCH(A83,Main!A:A,0),"Open"),HYPERLINK("#Main!A1","Open"))</f>
        <v>Open</v>
      </c>
    </row>
    <row r="84" spans="1:8" ht="30" customHeight="1" x14ac:dyDescent="0.25">
      <c r="A84" s="33" t="s">
        <v>680</v>
      </c>
      <c r="B84" s="28">
        <v>0</v>
      </c>
      <c r="C84" s="31"/>
      <c r="D84" s="41" t="b">
        <v>1</v>
      </c>
      <c r="E84" s="28"/>
      <c r="F84" s="28">
        <v>1.861E-3</v>
      </c>
      <c r="G84" s="34" t="str">
        <f>IFERROR(HYPERLINK("#Main!A"&amp;MATCH(A84,Main!A:A,0),"Open"),HYPERLINK("#Main!A1","Open"))</f>
        <v>Open</v>
      </c>
      <c r="H84" s="34"/>
    </row>
    <row r="85" spans="1:8" ht="30" customHeight="1" x14ac:dyDescent="0.25">
      <c r="A85" s="30" t="s">
        <v>683</v>
      </c>
      <c r="B85" s="37">
        <v>0</v>
      </c>
      <c r="C85" s="43"/>
      <c r="D85" s="44" t="b">
        <v>1</v>
      </c>
      <c r="E85" s="37"/>
      <c r="F85" s="37">
        <v>1.861E-3</v>
      </c>
      <c r="G85" t="str">
        <f>IFERROR(HYPERLINK("#Main!A"&amp;MATCH(A85,Main!A:A,0),"Open"),HYPERLINK("#Main!A1","Open"))</f>
        <v>Open</v>
      </c>
    </row>
    <row r="86" spans="1:8" ht="30" customHeight="1" x14ac:dyDescent="0.25">
      <c r="A86" s="33" t="s">
        <v>686</v>
      </c>
      <c r="B86" s="28">
        <v>0</v>
      </c>
      <c r="C86" s="31"/>
      <c r="D86" s="41" t="b">
        <v>1</v>
      </c>
      <c r="E86" s="28"/>
      <c r="F86" s="28">
        <v>1.861E-3</v>
      </c>
      <c r="G86" s="34" t="str">
        <f>IFERROR(HYPERLINK("#Main!A"&amp;MATCH(A86,Main!A:A,0),"Open"),HYPERLINK("#Main!A1","Open"))</f>
        <v>Open</v>
      </c>
      <c r="H86" s="34"/>
    </row>
  </sheetData>
  <autoFilter ref="A1:H86" xr:uid="{00000000-0009-0000-0000-000017000000}"/>
  <dataValidations count="8">
    <dataValidation type="custom" allowBlank="1" showInputMessage="1" promptTitle="URL" prompt="URL. Use this URL to inspect the page directly or jump to related tabs." sqref="A1" xr:uid="{00000000-0002-0000-1700-000000000000}">
      <formula1>TRUE</formula1>
    </dataValidation>
    <dataValidation type="custom" allowBlank="1" showInputMessage="1" promptTitle="Inlinks Count" prompt="Link quality and crawl-path metric. Fix: repair broken links and improve internal linking relevance." sqref="B1" xr:uid="{00000000-0002-0000-1700-000001000000}">
      <formula1>TRUE</formula1>
    </dataValidation>
    <dataValidation type="custom" allowBlank="1" showInputMessage="1" promptTitle="Inlinks URLs" prompt="Inlinks URLs. Use this URL to inspect the page directly or jump to related tabs." sqref="C1" xr:uid="{00000000-0002-0000-1700-000002000000}">
      <formula1>TRUE</formula1>
    </dataValidation>
    <dataValidation type="custom" allowBlank="1" showInputMessage="1" promptTitle="Orphan Candidate" prompt="Orphan Candidate. Review this metric to identify risk, then use linked tabs for details and remediation." sqref="D1" xr:uid="{00000000-0002-0000-1700-000003000000}">
      <formula1>TRUE</formula1>
    </dataValidation>
    <dataValidation type="custom" allowBlank="1" showInputMessage="1" promptTitle="Click Depth" prompt="Click Depth. Review this metric to identify risk, then use linked tabs for details and remediation." sqref="E1" xr:uid="{00000000-0002-0000-1700-000004000000}">
      <formula1>TRUE</formula1>
    </dataValidation>
    <dataValidation type="custom" allowBlank="1" showInputMessage="1" promptTitle="Internal PageRank" prompt="Internal PageRank. Review this metric to identify risk, then use linked tabs for details and remediation." sqref="F1" xr:uid="{00000000-0002-0000-1700-000005000000}">
      <formula1>TRUE</formula1>
    </dataValidation>
    <dataValidation type="custom" allowBlank="1" showInputMessage="1" promptTitle="Open in Main" prompt="Navigation helper. Click to jump directly to the related record in another tab." sqref="G1" xr:uid="{00000000-0002-0000-1700-000006000000}">
      <formula1>TRUE</formula1>
    </dataValidation>
    <dataValidation type="custom" allowBlank="1" showInputMessage="1" promptTitle="BACK TO DASHBOARD" prompt="BACK TO DASHBOARD. Review this metric to identify risk, then use linked tabs for details and remediation." sqref="H1" xr:uid="{00000000-0002-0000-1700-000007000000}">
      <formula1>TRUE</formula1>
    </dataValidation>
  </dataValidations>
  <hyperlinks>
    <hyperlink ref="H1" location="Dashboard!A1" display="BACK TO DASHBOARD" xr:uid="{00000000-0004-0000-1700-000000000000}"/>
    <hyperlink ref="A2" r:id="rId1" xr:uid="{00000000-0004-0000-1700-000001000000}"/>
    <hyperlink ref="A3" r:id="rId2" xr:uid="{00000000-0004-0000-1700-000002000000}"/>
    <hyperlink ref="A4" r:id="rId3" xr:uid="{00000000-0004-0000-1700-000003000000}"/>
    <hyperlink ref="A5" r:id="rId4" xr:uid="{00000000-0004-0000-1700-000004000000}"/>
    <hyperlink ref="A6" r:id="rId5" xr:uid="{00000000-0004-0000-1700-000005000000}"/>
    <hyperlink ref="A7" r:id="rId6" xr:uid="{00000000-0004-0000-1700-000006000000}"/>
    <hyperlink ref="A8" r:id="rId7" xr:uid="{00000000-0004-0000-1700-000007000000}"/>
    <hyperlink ref="A9" r:id="rId8" xr:uid="{00000000-0004-0000-1700-000008000000}"/>
    <hyperlink ref="A10" r:id="rId9" xr:uid="{00000000-0004-0000-1700-000009000000}"/>
    <hyperlink ref="A11" r:id="rId10" xr:uid="{00000000-0004-0000-1700-00000A000000}"/>
    <hyperlink ref="A12" r:id="rId11" xr:uid="{00000000-0004-0000-1700-00000B000000}"/>
    <hyperlink ref="A13" r:id="rId12" xr:uid="{00000000-0004-0000-1700-00000C000000}"/>
    <hyperlink ref="A14" r:id="rId13" xr:uid="{00000000-0004-0000-1700-00000D000000}"/>
    <hyperlink ref="A15" r:id="rId14" xr:uid="{00000000-0004-0000-1700-00000E000000}"/>
    <hyperlink ref="A16" r:id="rId15" xr:uid="{00000000-0004-0000-1700-00000F000000}"/>
    <hyperlink ref="A17" r:id="rId16" xr:uid="{00000000-0004-0000-1700-000010000000}"/>
    <hyperlink ref="A18" r:id="rId17" xr:uid="{00000000-0004-0000-1700-000011000000}"/>
    <hyperlink ref="A19" r:id="rId18" xr:uid="{00000000-0004-0000-1700-000012000000}"/>
    <hyperlink ref="A20" r:id="rId19" xr:uid="{00000000-0004-0000-1700-000013000000}"/>
    <hyperlink ref="A21" r:id="rId20" xr:uid="{00000000-0004-0000-1700-000014000000}"/>
    <hyperlink ref="A22" r:id="rId21" xr:uid="{00000000-0004-0000-1700-000015000000}"/>
    <hyperlink ref="A23" r:id="rId22" xr:uid="{00000000-0004-0000-1700-000016000000}"/>
    <hyperlink ref="A24" r:id="rId23" xr:uid="{00000000-0004-0000-1700-000017000000}"/>
    <hyperlink ref="A25" r:id="rId24" xr:uid="{00000000-0004-0000-1700-000018000000}"/>
    <hyperlink ref="A26" r:id="rId25" xr:uid="{00000000-0004-0000-1700-000019000000}"/>
    <hyperlink ref="A27" r:id="rId26" xr:uid="{00000000-0004-0000-1700-00001A000000}"/>
    <hyperlink ref="A28" r:id="rId27" xr:uid="{00000000-0004-0000-1700-00001B000000}"/>
    <hyperlink ref="A29" r:id="rId28" xr:uid="{00000000-0004-0000-1700-00001C000000}"/>
    <hyperlink ref="A30" r:id="rId29" xr:uid="{00000000-0004-0000-1700-00001D000000}"/>
    <hyperlink ref="A31" r:id="rId30" xr:uid="{00000000-0004-0000-1700-00001E000000}"/>
    <hyperlink ref="A32" r:id="rId31" xr:uid="{00000000-0004-0000-1700-00001F000000}"/>
    <hyperlink ref="A33" r:id="rId32" xr:uid="{00000000-0004-0000-1700-000020000000}"/>
    <hyperlink ref="A34" r:id="rId33" xr:uid="{00000000-0004-0000-1700-000021000000}"/>
    <hyperlink ref="A35" r:id="rId34" xr:uid="{00000000-0004-0000-1700-000022000000}"/>
    <hyperlink ref="A36" r:id="rId35" xr:uid="{00000000-0004-0000-1700-000023000000}"/>
    <hyperlink ref="A37" r:id="rId36" xr:uid="{00000000-0004-0000-1700-000024000000}"/>
    <hyperlink ref="A38" r:id="rId37" xr:uid="{00000000-0004-0000-1700-000025000000}"/>
    <hyperlink ref="A39" r:id="rId38" xr:uid="{00000000-0004-0000-1700-000026000000}"/>
    <hyperlink ref="A40" r:id="rId39" xr:uid="{00000000-0004-0000-1700-000027000000}"/>
    <hyperlink ref="A41" r:id="rId40" xr:uid="{00000000-0004-0000-1700-000028000000}"/>
    <hyperlink ref="A42" r:id="rId41" xr:uid="{00000000-0004-0000-1700-000029000000}"/>
    <hyperlink ref="A43" r:id="rId42" xr:uid="{00000000-0004-0000-1700-00002A000000}"/>
    <hyperlink ref="A44" r:id="rId43" xr:uid="{00000000-0004-0000-1700-00002B000000}"/>
    <hyperlink ref="A45" r:id="rId44" xr:uid="{00000000-0004-0000-1700-00002C000000}"/>
    <hyperlink ref="A46" r:id="rId45" xr:uid="{00000000-0004-0000-1700-00002D000000}"/>
    <hyperlink ref="A47" r:id="rId46" xr:uid="{00000000-0004-0000-1700-00002E000000}"/>
    <hyperlink ref="A48" r:id="rId47" xr:uid="{00000000-0004-0000-1700-00002F000000}"/>
    <hyperlink ref="A49" r:id="rId48" xr:uid="{00000000-0004-0000-1700-000030000000}"/>
    <hyperlink ref="A50" r:id="rId49" xr:uid="{00000000-0004-0000-1700-000031000000}"/>
    <hyperlink ref="A51" r:id="rId50" xr:uid="{00000000-0004-0000-1700-000032000000}"/>
    <hyperlink ref="A52" r:id="rId51" xr:uid="{00000000-0004-0000-1700-000033000000}"/>
    <hyperlink ref="A53" r:id="rId52" xr:uid="{00000000-0004-0000-1700-000034000000}"/>
    <hyperlink ref="A54" r:id="rId53" xr:uid="{00000000-0004-0000-1700-000035000000}"/>
    <hyperlink ref="A55" r:id="rId54" xr:uid="{00000000-0004-0000-1700-000036000000}"/>
    <hyperlink ref="A56" r:id="rId55" xr:uid="{00000000-0004-0000-1700-000037000000}"/>
    <hyperlink ref="A57" r:id="rId56" xr:uid="{00000000-0004-0000-1700-000038000000}"/>
    <hyperlink ref="A58" r:id="rId57" xr:uid="{00000000-0004-0000-1700-000039000000}"/>
    <hyperlink ref="A59" r:id="rId58" xr:uid="{00000000-0004-0000-1700-00003A000000}"/>
    <hyperlink ref="A60" r:id="rId59" xr:uid="{00000000-0004-0000-1700-00003B000000}"/>
    <hyperlink ref="A61" r:id="rId60" xr:uid="{00000000-0004-0000-1700-00003C000000}"/>
    <hyperlink ref="A62" r:id="rId61" xr:uid="{00000000-0004-0000-1700-00003D000000}"/>
    <hyperlink ref="A63" r:id="rId62" xr:uid="{00000000-0004-0000-1700-00003E000000}"/>
    <hyperlink ref="A64" r:id="rId63" xr:uid="{00000000-0004-0000-1700-00003F000000}"/>
    <hyperlink ref="A65" r:id="rId64" xr:uid="{00000000-0004-0000-1700-000040000000}"/>
    <hyperlink ref="A66" r:id="rId65" xr:uid="{00000000-0004-0000-1700-000041000000}"/>
    <hyperlink ref="A67" r:id="rId66" xr:uid="{00000000-0004-0000-1700-000042000000}"/>
    <hyperlink ref="A68" r:id="rId67" xr:uid="{00000000-0004-0000-1700-000043000000}"/>
    <hyperlink ref="A69" r:id="rId68" xr:uid="{00000000-0004-0000-1700-000044000000}"/>
    <hyperlink ref="A70" r:id="rId69" xr:uid="{00000000-0004-0000-1700-000045000000}"/>
    <hyperlink ref="A71" r:id="rId70" xr:uid="{00000000-0004-0000-1700-000046000000}"/>
    <hyperlink ref="A72" r:id="rId71" xr:uid="{00000000-0004-0000-1700-000047000000}"/>
    <hyperlink ref="A73" r:id="rId72" xr:uid="{00000000-0004-0000-1700-000048000000}"/>
    <hyperlink ref="A74" r:id="rId73" xr:uid="{00000000-0004-0000-1700-000049000000}"/>
    <hyperlink ref="A75" r:id="rId74" xr:uid="{00000000-0004-0000-1700-00004A000000}"/>
    <hyperlink ref="A76" r:id="rId75" xr:uid="{00000000-0004-0000-1700-00004B000000}"/>
    <hyperlink ref="A77" r:id="rId76" xr:uid="{00000000-0004-0000-1700-00004C000000}"/>
    <hyperlink ref="A78" r:id="rId77" xr:uid="{00000000-0004-0000-1700-00004D000000}"/>
    <hyperlink ref="A79" r:id="rId78" xr:uid="{00000000-0004-0000-1700-00004E000000}"/>
    <hyperlink ref="A80" r:id="rId79" xr:uid="{00000000-0004-0000-1700-00004F000000}"/>
    <hyperlink ref="A81" r:id="rId80" xr:uid="{00000000-0004-0000-1700-000050000000}"/>
    <hyperlink ref="A82" r:id="rId81" xr:uid="{00000000-0004-0000-1700-000051000000}"/>
    <hyperlink ref="A83" r:id="rId82" xr:uid="{00000000-0004-0000-1700-000052000000}"/>
    <hyperlink ref="A84" r:id="rId83" xr:uid="{00000000-0004-0000-1700-000053000000}"/>
    <hyperlink ref="A85" r:id="rId84" xr:uid="{00000000-0004-0000-1700-000054000000}"/>
    <hyperlink ref="A86" r:id="rId85" xr:uid="{00000000-0004-0000-1700-000055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27" t="s">
        <v>3316</v>
      </c>
      <c r="B1" s="27" t="s">
        <v>693</v>
      </c>
      <c r="C1" s="27" t="s">
        <v>431</v>
      </c>
      <c r="D1" s="27" t="s">
        <v>472</v>
      </c>
      <c r="E1" s="27" t="s">
        <v>471</v>
      </c>
      <c r="F1" s="27" t="s">
        <v>473</v>
      </c>
      <c r="G1" s="27" t="s">
        <v>3317</v>
      </c>
      <c r="H1" s="27" t="s">
        <v>3318</v>
      </c>
      <c r="I1" s="27" t="s">
        <v>3319</v>
      </c>
      <c r="J1" s="27" t="s">
        <v>3320</v>
      </c>
      <c r="K1" s="27" t="s">
        <v>3321</v>
      </c>
      <c r="L1" s="27" t="s">
        <v>3322</v>
      </c>
      <c r="M1" s="27" t="s">
        <v>3323</v>
      </c>
      <c r="N1" s="27" t="s">
        <v>3324</v>
      </c>
      <c r="O1" s="27" t="s">
        <v>3325</v>
      </c>
      <c r="P1" s="27" t="s">
        <v>3326</v>
      </c>
      <c r="Q1" s="36" t="s">
        <v>251</v>
      </c>
    </row>
    <row r="2" spans="1:17" x14ac:dyDescent="0.25">
      <c r="A2" s="54" t="s">
        <v>127</v>
      </c>
      <c r="B2" s="31" t="s">
        <v>127</v>
      </c>
      <c r="C2" s="35">
        <v>200</v>
      </c>
      <c r="D2" s="28" t="b">
        <v>1</v>
      </c>
      <c r="E2" s="28" t="b">
        <v>1</v>
      </c>
      <c r="F2" s="28" t="s">
        <v>482</v>
      </c>
      <c r="G2" s="35" t="b">
        <v>0</v>
      </c>
      <c r="H2" s="31" t="b">
        <v>0</v>
      </c>
      <c r="I2" s="28" t="b">
        <v>0</v>
      </c>
      <c r="J2" s="64" t="b">
        <v>0</v>
      </c>
      <c r="K2" s="35" t="b">
        <v>0</v>
      </c>
      <c r="L2" s="35" t="b">
        <v>0</v>
      </c>
      <c r="M2" s="41" t="s">
        <v>3327</v>
      </c>
      <c r="N2" s="28" t="s">
        <v>773</v>
      </c>
      <c r="O2" s="28" t="s">
        <v>774</v>
      </c>
      <c r="P2" s="28" t="s">
        <v>3328</v>
      </c>
      <c r="Q2" s="34"/>
    </row>
    <row r="3" spans="1:17" ht="30" customHeight="1" x14ac:dyDescent="0.25">
      <c r="A3" s="54" t="s">
        <v>3329</v>
      </c>
      <c r="B3" s="43" t="s">
        <v>647</v>
      </c>
      <c r="C3" s="35">
        <v>200</v>
      </c>
      <c r="D3" s="37" t="b">
        <v>1</v>
      </c>
      <c r="E3" s="37" t="b">
        <v>1</v>
      </c>
      <c r="F3" s="37" t="s">
        <v>482</v>
      </c>
      <c r="G3" s="35" t="b">
        <v>0</v>
      </c>
      <c r="H3" s="43" t="b">
        <v>0</v>
      </c>
      <c r="I3" s="37" t="b">
        <v>0</v>
      </c>
      <c r="J3" s="64" t="b">
        <v>0</v>
      </c>
      <c r="K3" s="35" t="b">
        <v>0</v>
      </c>
      <c r="L3" s="35" t="b">
        <v>0</v>
      </c>
      <c r="M3" s="44" t="s">
        <v>3330</v>
      </c>
      <c r="N3" s="37" t="s">
        <v>761</v>
      </c>
      <c r="O3" s="37" t="s">
        <v>762</v>
      </c>
      <c r="P3" s="37" t="s">
        <v>3328</v>
      </c>
    </row>
    <row r="4" spans="1:17" ht="30" customHeight="1" x14ac:dyDescent="0.25">
      <c r="A4" s="54" t="s">
        <v>3331</v>
      </c>
      <c r="B4" s="31" t="s">
        <v>644</v>
      </c>
      <c r="C4" s="35">
        <v>200</v>
      </c>
      <c r="D4" s="28" t="b">
        <v>1</v>
      </c>
      <c r="E4" s="28" t="b">
        <v>1</v>
      </c>
      <c r="F4" s="28" t="s">
        <v>482</v>
      </c>
      <c r="G4" s="35" t="b">
        <v>0</v>
      </c>
      <c r="H4" s="31" t="b">
        <v>0</v>
      </c>
      <c r="I4" s="28" t="b">
        <v>0</v>
      </c>
      <c r="J4" s="64" t="b">
        <v>0</v>
      </c>
      <c r="K4" s="35" t="b">
        <v>0</v>
      </c>
      <c r="L4" s="35" t="b">
        <v>0</v>
      </c>
      <c r="M4" s="41" t="s">
        <v>3332</v>
      </c>
      <c r="N4" s="28" t="s">
        <v>761</v>
      </c>
      <c r="O4" s="28" t="s">
        <v>762</v>
      </c>
      <c r="P4" s="28" t="s">
        <v>3328</v>
      </c>
      <c r="Q4" s="34"/>
    </row>
    <row r="5" spans="1:17" ht="30" customHeight="1" x14ac:dyDescent="0.25">
      <c r="A5" s="54" t="s">
        <v>3333</v>
      </c>
      <c r="B5" s="43" t="s">
        <v>632</v>
      </c>
      <c r="C5" s="35">
        <v>200</v>
      </c>
      <c r="D5" s="37" t="b">
        <v>1</v>
      </c>
      <c r="E5" s="37" t="b">
        <v>1</v>
      </c>
      <c r="F5" s="37" t="s">
        <v>482</v>
      </c>
      <c r="G5" s="35" t="b">
        <v>0</v>
      </c>
      <c r="H5" s="43" t="b">
        <v>0</v>
      </c>
      <c r="I5" s="37" t="b">
        <v>0</v>
      </c>
      <c r="J5" s="64" t="b">
        <v>0</v>
      </c>
      <c r="K5" s="35" t="b">
        <v>0</v>
      </c>
      <c r="L5" s="35" t="b">
        <v>0</v>
      </c>
      <c r="M5" s="44" t="s">
        <v>3334</v>
      </c>
      <c r="N5" s="37" t="s">
        <v>761</v>
      </c>
      <c r="O5" s="37" t="s">
        <v>762</v>
      </c>
      <c r="P5" s="37" t="s">
        <v>3328</v>
      </c>
    </row>
    <row r="6" spans="1:17" ht="30" customHeight="1" x14ac:dyDescent="0.25">
      <c r="A6" s="54" t="s">
        <v>3335</v>
      </c>
      <c r="B6" s="31" t="s">
        <v>503</v>
      </c>
      <c r="C6" s="35">
        <v>200</v>
      </c>
      <c r="D6" s="28" t="b">
        <v>1</v>
      </c>
      <c r="E6" s="28" t="b">
        <v>1</v>
      </c>
      <c r="F6" s="28" t="s">
        <v>482</v>
      </c>
      <c r="G6" s="35" t="b">
        <v>0</v>
      </c>
      <c r="H6" s="31" t="b">
        <v>0</v>
      </c>
      <c r="I6" s="28" t="b">
        <v>0</v>
      </c>
      <c r="J6" s="64" t="b">
        <v>0</v>
      </c>
      <c r="K6" s="35" t="b">
        <v>0</v>
      </c>
      <c r="L6" s="35" t="b">
        <v>0</v>
      </c>
      <c r="M6" s="41" t="s">
        <v>3336</v>
      </c>
      <c r="N6" s="28" t="s">
        <v>761</v>
      </c>
      <c r="O6" s="28" t="s">
        <v>762</v>
      </c>
      <c r="P6" s="28" t="s">
        <v>3328</v>
      </c>
      <c r="Q6" s="34"/>
    </row>
    <row r="7" spans="1:17" ht="30" customHeight="1" x14ac:dyDescent="0.25">
      <c r="A7" s="54" t="s">
        <v>3337</v>
      </c>
      <c r="B7" s="43" t="s">
        <v>582</v>
      </c>
      <c r="C7" s="35">
        <v>200</v>
      </c>
      <c r="D7" s="37" t="b">
        <v>1</v>
      </c>
      <c r="E7" s="37" t="b">
        <v>1</v>
      </c>
      <c r="F7" s="37" t="s">
        <v>482</v>
      </c>
      <c r="G7" s="35" t="b">
        <v>0</v>
      </c>
      <c r="H7" s="43" t="b">
        <v>0</v>
      </c>
      <c r="I7" s="37" t="b">
        <v>0</v>
      </c>
      <c r="J7" s="64" t="b">
        <v>0</v>
      </c>
      <c r="K7" s="35" t="b">
        <v>0</v>
      </c>
      <c r="L7" s="35" t="b">
        <v>0</v>
      </c>
      <c r="M7" s="44" t="s">
        <v>3338</v>
      </c>
      <c r="N7" s="37" t="s">
        <v>761</v>
      </c>
      <c r="O7" s="37" t="s">
        <v>762</v>
      </c>
      <c r="P7" s="37" t="s">
        <v>3328</v>
      </c>
    </row>
    <row r="8" spans="1:17" ht="30" customHeight="1" x14ac:dyDescent="0.25">
      <c r="A8" s="54" t="s">
        <v>3339</v>
      </c>
      <c r="B8" s="31" t="s">
        <v>585</v>
      </c>
      <c r="C8" s="35">
        <v>200</v>
      </c>
      <c r="D8" s="28" t="b">
        <v>1</v>
      </c>
      <c r="E8" s="28" t="b">
        <v>1</v>
      </c>
      <c r="F8" s="28" t="s">
        <v>482</v>
      </c>
      <c r="G8" s="35" t="b">
        <v>0</v>
      </c>
      <c r="H8" s="31" t="b">
        <v>0</v>
      </c>
      <c r="I8" s="28" t="b">
        <v>0</v>
      </c>
      <c r="J8" s="64" t="b">
        <v>0</v>
      </c>
      <c r="K8" s="35" t="b">
        <v>0</v>
      </c>
      <c r="L8" s="35" t="b">
        <v>0</v>
      </c>
      <c r="M8" s="41" t="s">
        <v>3340</v>
      </c>
      <c r="N8" s="28" t="s">
        <v>761</v>
      </c>
      <c r="O8" s="28" t="s">
        <v>762</v>
      </c>
      <c r="P8" s="28" t="s">
        <v>3328</v>
      </c>
      <c r="Q8" s="34"/>
    </row>
    <row r="9" spans="1:17" ht="30" customHeight="1" x14ac:dyDescent="0.25">
      <c r="A9" s="54" t="s">
        <v>3341</v>
      </c>
      <c r="B9" s="43" t="s">
        <v>618</v>
      </c>
      <c r="C9" s="35">
        <v>200</v>
      </c>
      <c r="D9" s="37" t="b">
        <v>1</v>
      </c>
      <c r="E9" s="37" t="b">
        <v>1</v>
      </c>
      <c r="F9" s="37" t="s">
        <v>482</v>
      </c>
      <c r="G9" s="35" t="b">
        <v>0</v>
      </c>
      <c r="H9" s="43" t="b">
        <v>0</v>
      </c>
      <c r="I9" s="37" t="b">
        <v>0</v>
      </c>
      <c r="J9" s="64" t="b">
        <v>0</v>
      </c>
      <c r="K9" s="35" t="b">
        <v>0</v>
      </c>
      <c r="L9" s="35" t="b">
        <v>0</v>
      </c>
      <c r="M9" s="44" t="s">
        <v>3342</v>
      </c>
      <c r="N9" s="37" t="s">
        <v>761</v>
      </c>
      <c r="O9" s="37" t="s">
        <v>762</v>
      </c>
      <c r="P9" s="37" t="s">
        <v>3328</v>
      </c>
    </row>
    <row r="10" spans="1:17" ht="30" customHeight="1" x14ac:dyDescent="0.25">
      <c r="A10" s="54" t="s">
        <v>3343</v>
      </c>
      <c r="B10" s="31" t="s">
        <v>573</v>
      </c>
      <c r="C10" s="35">
        <v>200</v>
      </c>
      <c r="D10" s="28" t="b">
        <v>1</v>
      </c>
      <c r="E10" s="28" t="b">
        <v>1</v>
      </c>
      <c r="F10" s="28" t="s">
        <v>482</v>
      </c>
      <c r="G10" s="35" t="b">
        <v>0</v>
      </c>
      <c r="H10" s="31" t="b">
        <v>0</v>
      </c>
      <c r="I10" s="28" t="b">
        <v>0</v>
      </c>
      <c r="J10" s="64" t="b">
        <v>0</v>
      </c>
      <c r="K10" s="35" t="b">
        <v>0</v>
      </c>
      <c r="L10" s="35" t="b">
        <v>0</v>
      </c>
      <c r="M10" s="41" t="s">
        <v>3344</v>
      </c>
      <c r="N10" s="28" t="s">
        <v>761</v>
      </c>
      <c r="O10" s="28" t="s">
        <v>762</v>
      </c>
      <c r="P10" s="28" t="s">
        <v>3328</v>
      </c>
      <c r="Q10" s="34"/>
    </row>
    <row r="11" spans="1:17" ht="30" customHeight="1" x14ac:dyDescent="0.25">
      <c r="A11" s="54" t="s">
        <v>3345</v>
      </c>
      <c r="B11" s="43" t="s">
        <v>608</v>
      </c>
      <c r="C11" s="35">
        <v>200</v>
      </c>
      <c r="D11" s="37" t="b">
        <v>1</v>
      </c>
      <c r="E11" s="37" t="b">
        <v>1</v>
      </c>
      <c r="F11" s="37" t="s">
        <v>482</v>
      </c>
      <c r="G11" s="35" t="b">
        <v>0</v>
      </c>
      <c r="H11" s="43" t="b">
        <v>0</v>
      </c>
      <c r="I11" s="37" t="b">
        <v>0</v>
      </c>
      <c r="J11" s="64" t="b">
        <v>0</v>
      </c>
      <c r="K11" s="35" t="b">
        <v>0</v>
      </c>
      <c r="L11" s="35" t="b">
        <v>0</v>
      </c>
      <c r="M11" s="44" t="s">
        <v>3346</v>
      </c>
      <c r="N11" s="37" t="s">
        <v>761</v>
      </c>
      <c r="O11" s="37" t="s">
        <v>762</v>
      </c>
      <c r="P11" s="37" t="s">
        <v>3328</v>
      </c>
    </row>
    <row r="12" spans="1:17" ht="30" customHeight="1" x14ac:dyDescent="0.25">
      <c r="A12" s="54" t="s">
        <v>3347</v>
      </c>
      <c r="B12" s="31" t="s">
        <v>638</v>
      </c>
      <c r="C12" s="35">
        <v>200</v>
      </c>
      <c r="D12" s="28" t="b">
        <v>1</v>
      </c>
      <c r="E12" s="28" t="b">
        <v>1</v>
      </c>
      <c r="F12" s="28" t="s">
        <v>482</v>
      </c>
      <c r="G12" s="35" t="b">
        <v>0</v>
      </c>
      <c r="H12" s="31" t="b">
        <v>0</v>
      </c>
      <c r="I12" s="28" t="b">
        <v>0</v>
      </c>
      <c r="J12" s="64" t="b">
        <v>0</v>
      </c>
      <c r="K12" s="35" t="b">
        <v>0</v>
      </c>
      <c r="L12" s="35" t="b">
        <v>0</v>
      </c>
      <c r="M12" s="41" t="s">
        <v>3348</v>
      </c>
      <c r="N12" s="28" t="s">
        <v>761</v>
      </c>
      <c r="O12" s="28" t="s">
        <v>762</v>
      </c>
      <c r="P12" s="28" t="s">
        <v>3328</v>
      </c>
      <c r="Q12" s="34"/>
    </row>
    <row r="13" spans="1:17" ht="30" customHeight="1" x14ac:dyDescent="0.25">
      <c r="A13" s="54" t="s">
        <v>3349</v>
      </c>
      <c r="B13" s="43" t="s">
        <v>144</v>
      </c>
      <c r="C13" s="35">
        <v>200</v>
      </c>
      <c r="D13" s="37" t="b">
        <v>1</v>
      </c>
      <c r="E13" s="37" t="b">
        <v>1</v>
      </c>
      <c r="F13" s="37" t="s">
        <v>482</v>
      </c>
      <c r="G13" s="35" t="b">
        <v>0</v>
      </c>
      <c r="H13" s="43" t="b">
        <v>0</v>
      </c>
      <c r="I13" s="37" t="b">
        <v>0</v>
      </c>
      <c r="J13" s="64" t="b">
        <v>0</v>
      </c>
      <c r="K13" s="35" t="b">
        <v>0</v>
      </c>
      <c r="L13" s="35" t="b">
        <v>0</v>
      </c>
      <c r="M13" s="44" t="s">
        <v>3350</v>
      </c>
      <c r="N13" s="37" t="s">
        <v>761</v>
      </c>
      <c r="O13" s="37" t="s">
        <v>762</v>
      </c>
      <c r="P13" s="37" t="s">
        <v>3328</v>
      </c>
    </row>
    <row r="14" spans="1:17" ht="30" x14ac:dyDescent="0.25">
      <c r="A14" s="54" t="s">
        <v>3351</v>
      </c>
      <c r="B14" s="31" t="s">
        <v>635</v>
      </c>
      <c r="C14" s="35">
        <v>200</v>
      </c>
      <c r="D14" s="28" t="b">
        <v>1</v>
      </c>
      <c r="E14" s="28" t="b">
        <v>1</v>
      </c>
      <c r="F14" s="28" t="s">
        <v>482</v>
      </c>
      <c r="G14" s="35" t="b">
        <v>0</v>
      </c>
      <c r="H14" s="31" t="b">
        <v>0</v>
      </c>
      <c r="I14" s="28" t="b">
        <v>0</v>
      </c>
      <c r="J14" s="64" t="b">
        <v>0</v>
      </c>
      <c r="K14" s="35" t="b">
        <v>0</v>
      </c>
      <c r="L14" s="35" t="b">
        <v>0</v>
      </c>
      <c r="M14" s="41" t="s">
        <v>3352</v>
      </c>
      <c r="N14" s="28" t="s">
        <v>761</v>
      </c>
      <c r="O14" s="28" t="s">
        <v>762</v>
      </c>
      <c r="P14" s="28" t="s">
        <v>3328</v>
      </c>
      <c r="Q14" s="34"/>
    </row>
    <row r="15" spans="1:17" ht="30" customHeight="1" x14ac:dyDescent="0.25">
      <c r="A15" s="54" t="s">
        <v>3353</v>
      </c>
      <c r="B15" s="43" t="s">
        <v>655</v>
      </c>
      <c r="C15" s="35">
        <v>200</v>
      </c>
      <c r="D15" s="37" t="b">
        <v>1</v>
      </c>
      <c r="E15" s="37" t="b">
        <v>1</v>
      </c>
      <c r="F15" s="37" t="s">
        <v>482</v>
      </c>
      <c r="G15" s="35" t="b">
        <v>0</v>
      </c>
      <c r="H15" s="43" t="b">
        <v>0</v>
      </c>
      <c r="I15" s="37" t="b">
        <v>0</v>
      </c>
      <c r="J15" s="64" t="b">
        <v>0</v>
      </c>
      <c r="K15" s="35" t="b">
        <v>0</v>
      </c>
      <c r="L15" s="35" t="b">
        <v>0</v>
      </c>
      <c r="M15" s="44" t="s">
        <v>3354</v>
      </c>
      <c r="N15" s="37" t="s">
        <v>761</v>
      </c>
      <c r="O15" s="37" t="s">
        <v>762</v>
      </c>
      <c r="P15" s="37" t="s">
        <v>3328</v>
      </c>
    </row>
    <row r="16" spans="1:17" ht="30" customHeight="1" x14ac:dyDescent="0.25">
      <c r="A16" s="54" t="s">
        <v>3355</v>
      </c>
      <c r="B16" s="31" t="s">
        <v>135</v>
      </c>
      <c r="C16" s="35">
        <v>200</v>
      </c>
      <c r="D16" s="28" t="b">
        <v>1</v>
      </c>
      <c r="E16" s="28" t="b">
        <v>1</v>
      </c>
      <c r="F16" s="28" t="s">
        <v>482</v>
      </c>
      <c r="G16" s="35" t="b">
        <v>0</v>
      </c>
      <c r="H16" s="31" t="b">
        <v>0</v>
      </c>
      <c r="I16" s="28" t="b">
        <v>0</v>
      </c>
      <c r="J16" s="64" t="b">
        <v>0</v>
      </c>
      <c r="K16" s="35" t="b">
        <v>0</v>
      </c>
      <c r="L16" s="35" t="b">
        <v>0</v>
      </c>
      <c r="M16" s="41" t="s">
        <v>3356</v>
      </c>
      <c r="N16" s="28" t="s">
        <v>761</v>
      </c>
      <c r="O16" s="28" t="s">
        <v>762</v>
      </c>
      <c r="P16" s="28" t="s">
        <v>3328</v>
      </c>
      <c r="Q16" s="34"/>
    </row>
    <row r="17" spans="1:17" ht="30" customHeight="1" x14ac:dyDescent="0.25">
      <c r="A17" s="54" t="s">
        <v>3357</v>
      </c>
      <c r="B17" s="43" t="s">
        <v>577</v>
      </c>
      <c r="C17" s="35">
        <v>200</v>
      </c>
      <c r="D17" s="37" t="b">
        <v>1</v>
      </c>
      <c r="E17" s="37" t="b">
        <v>1</v>
      </c>
      <c r="F17" s="37" t="s">
        <v>482</v>
      </c>
      <c r="G17" s="35" t="b">
        <v>0</v>
      </c>
      <c r="H17" s="43" t="b">
        <v>0</v>
      </c>
      <c r="I17" s="37" t="b">
        <v>0</v>
      </c>
      <c r="J17" s="64" t="b">
        <v>0</v>
      </c>
      <c r="K17" s="35" t="b">
        <v>0</v>
      </c>
      <c r="L17" s="35" t="b">
        <v>0</v>
      </c>
      <c r="M17" s="44" t="s">
        <v>3358</v>
      </c>
      <c r="N17" s="37" t="s">
        <v>761</v>
      </c>
      <c r="O17" s="37" t="s">
        <v>762</v>
      </c>
      <c r="P17" s="37" t="s">
        <v>3328</v>
      </c>
    </row>
    <row r="18" spans="1:17" ht="30" customHeight="1" x14ac:dyDescent="0.25">
      <c r="A18" s="54" t="s">
        <v>3359</v>
      </c>
      <c r="B18" s="31" t="s">
        <v>579</v>
      </c>
      <c r="C18" s="35">
        <v>200</v>
      </c>
      <c r="D18" s="28" t="b">
        <v>1</v>
      </c>
      <c r="E18" s="28" t="b">
        <v>1</v>
      </c>
      <c r="F18" s="28" t="s">
        <v>482</v>
      </c>
      <c r="G18" s="35" t="b">
        <v>0</v>
      </c>
      <c r="H18" s="31" t="b">
        <v>0</v>
      </c>
      <c r="I18" s="28" t="b">
        <v>0</v>
      </c>
      <c r="J18" s="64" t="b">
        <v>0</v>
      </c>
      <c r="K18" s="35" t="b">
        <v>0</v>
      </c>
      <c r="L18" s="35" t="b">
        <v>0</v>
      </c>
      <c r="M18" s="41" t="s">
        <v>3360</v>
      </c>
      <c r="N18" s="28" t="s">
        <v>761</v>
      </c>
      <c r="O18" s="28" t="s">
        <v>762</v>
      </c>
      <c r="P18" s="28" t="s">
        <v>3328</v>
      </c>
      <c r="Q18" s="34"/>
    </row>
    <row r="19" spans="1:17" ht="30" customHeight="1" x14ac:dyDescent="0.25">
      <c r="A19" s="54" t="s">
        <v>3361</v>
      </c>
      <c r="B19" s="43" t="s">
        <v>652</v>
      </c>
      <c r="C19" s="35">
        <v>200</v>
      </c>
      <c r="D19" s="37" t="b">
        <v>1</v>
      </c>
      <c r="E19" s="37" t="b">
        <v>1</v>
      </c>
      <c r="F19" s="37" t="s">
        <v>482</v>
      </c>
      <c r="G19" s="35" t="b">
        <v>0</v>
      </c>
      <c r="H19" s="43" t="b">
        <v>0</v>
      </c>
      <c r="I19" s="37" t="b">
        <v>0</v>
      </c>
      <c r="J19" s="64" t="b">
        <v>0</v>
      </c>
      <c r="K19" s="35" t="b">
        <v>0</v>
      </c>
      <c r="L19" s="35" t="b">
        <v>0</v>
      </c>
      <c r="M19" s="44" t="s">
        <v>3362</v>
      </c>
      <c r="N19" s="37" t="s">
        <v>761</v>
      </c>
      <c r="O19" s="37" t="s">
        <v>762</v>
      </c>
      <c r="P19" s="37" t="s">
        <v>3328</v>
      </c>
    </row>
    <row r="20" spans="1:17" ht="30" customHeight="1" x14ac:dyDescent="0.25">
      <c r="A20" s="54" t="s">
        <v>3363</v>
      </c>
      <c r="B20" s="31" t="s">
        <v>506</v>
      </c>
      <c r="C20" s="35">
        <v>200</v>
      </c>
      <c r="D20" s="28" t="b">
        <v>1</v>
      </c>
      <c r="E20" s="28" t="b">
        <v>1</v>
      </c>
      <c r="F20" s="28" t="s">
        <v>482</v>
      </c>
      <c r="G20" s="35" t="b">
        <v>0</v>
      </c>
      <c r="H20" s="31" t="b">
        <v>0</v>
      </c>
      <c r="I20" s="28" t="b">
        <v>0</v>
      </c>
      <c r="J20" s="64" t="b">
        <v>0</v>
      </c>
      <c r="K20" s="35" t="b">
        <v>0</v>
      </c>
      <c r="L20" s="35" t="b">
        <v>0</v>
      </c>
      <c r="M20" s="41" t="s">
        <v>3364</v>
      </c>
      <c r="N20" s="28" t="s">
        <v>761</v>
      </c>
      <c r="O20" s="28" t="s">
        <v>762</v>
      </c>
      <c r="P20" s="28" t="s">
        <v>3328</v>
      </c>
      <c r="Q20" s="34"/>
    </row>
    <row r="21" spans="1:17" ht="30" customHeight="1" x14ac:dyDescent="0.25">
      <c r="A21" s="54" t="s">
        <v>3365</v>
      </c>
      <c r="B21" s="43" t="s">
        <v>509</v>
      </c>
      <c r="C21" s="35">
        <v>200</v>
      </c>
      <c r="D21" s="37" t="b">
        <v>1</v>
      </c>
      <c r="E21" s="37" t="b">
        <v>1</v>
      </c>
      <c r="F21" s="37" t="s">
        <v>482</v>
      </c>
      <c r="G21" s="35" t="b">
        <v>0</v>
      </c>
      <c r="H21" s="43" t="b">
        <v>0</v>
      </c>
      <c r="I21" s="37" t="b">
        <v>0</v>
      </c>
      <c r="J21" s="64" t="b">
        <v>0</v>
      </c>
      <c r="K21" s="35" t="b">
        <v>0</v>
      </c>
      <c r="L21" s="35" t="b">
        <v>0</v>
      </c>
      <c r="M21" s="44" t="s">
        <v>3366</v>
      </c>
      <c r="N21" s="37" t="s">
        <v>761</v>
      </c>
      <c r="O21" s="37" t="s">
        <v>762</v>
      </c>
      <c r="P21" s="37" t="s">
        <v>3328</v>
      </c>
    </row>
    <row r="22" spans="1:17" ht="30" customHeight="1" x14ac:dyDescent="0.25">
      <c r="A22" s="54" t="s">
        <v>3367</v>
      </c>
      <c r="B22" s="31" t="s">
        <v>524</v>
      </c>
      <c r="C22" s="35">
        <v>200</v>
      </c>
      <c r="D22" s="28" t="b">
        <v>1</v>
      </c>
      <c r="E22" s="28" t="b">
        <v>1</v>
      </c>
      <c r="F22" s="28" t="s">
        <v>482</v>
      </c>
      <c r="G22" s="35" t="b">
        <v>0</v>
      </c>
      <c r="H22" s="31" t="b">
        <v>0</v>
      </c>
      <c r="I22" s="28" t="b">
        <v>0</v>
      </c>
      <c r="J22" s="64" t="b">
        <v>0</v>
      </c>
      <c r="K22" s="35" t="b">
        <v>0</v>
      </c>
      <c r="L22" s="35" t="b">
        <v>0</v>
      </c>
      <c r="M22" s="41" t="s">
        <v>3368</v>
      </c>
      <c r="N22" s="28" t="s">
        <v>761</v>
      </c>
      <c r="O22" s="28" t="s">
        <v>762</v>
      </c>
      <c r="P22" s="28" t="s">
        <v>3328</v>
      </c>
      <c r="Q22" s="34"/>
    </row>
    <row r="23" spans="1:17" ht="30" customHeight="1" x14ac:dyDescent="0.25">
      <c r="A23" s="54" t="s">
        <v>3369</v>
      </c>
      <c r="B23" s="43" t="s">
        <v>543</v>
      </c>
      <c r="C23" s="35">
        <v>200</v>
      </c>
      <c r="D23" s="37" t="b">
        <v>1</v>
      </c>
      <c r="E23" s="37" t="b">
        <v>1</v>
      </c>
      <c r="F23" s="37" t="s">
        <v>482</v>
      </c>
      <c r="G23" s="35" t="b">
        <v>0</v>
      </c>
      <c r="H23" s="43" t="b">
        <v>0</v>
      </c>
      <c r="I23" s="37" t="b">
        <v>0</v>
      </c>
      <c r="J23" s="64" t="b">
        <v>0</v>
      </c>
      <c r="K23" s="35" t="b">
        <v>0</v>
      </c>
      <c r="L23" s="35" t="b">
        <v>0</v>
      </c>
      <c r="M23" s="44" t="s">
        <v>3370</v>
      </c>
      <c r="N23" s="37" t="s">
        <v>761</v>
      </c>
      <c r="O23" s="37" t="s">
        <v>762</v>
      </c>
      <c r="P23" s="37" t="s">
        <v>3328</v>
      </c>
    </row>
    <row r="24" spans="1:17" ht="30" customHeight="1" x14ac:dyDescent="0.25">
      <c r="A24" s="54" t="s">
        <v>3371</v>
      </c>
      <c r="B24" s="31" t="s">
        <v>500</v>
      </c>
      <c r="C24" s="35">
        <v>200</v>
      </c>
      <c r="D24" s="28" t="b">
        <v>1</v>
      </c>
      <c r="E24" s="28" t="b">
        <v>1</v>
      </c>
      <c r="F24" s="28" t="s">
        <v>482</v>
      </c>
      <c r="G24" s="35" t="b">
        <v>0</v>
      </c>
      <c r="H24" s="31" t="b">
        <v>0</v>
      </c>
      <c r="I24" s="28" t="b">
        <v>0</v>
      </c>
      <c r="J24" s="64" t="b">
        <v>0</v>
      </c>
      <c r="K24" s="35" t="b">
        <v>0</v>
      </c>
      <c r="L24" s="35" t="b">
        <v>0</v>
      </c>
      <c r="M24" s="41" t="s">
        <v>3372</v>
      </c>
      <c r="N24" s="28" t="s">
        <v>761</v>
      </c>
      <c r="O24" s="28" t="s">
        <v>762</v>
      </c>
      <c r="P24" s="28" t="s">
        <v>3328</v>
      </c>
      <c r="Q24" s="34"/>
    </row>
    <row r="25" spans="1:17" ht="30" customHeight="1" x14ac:dyDescent="0.25">
      <c r="A25" s="54" t="s">
        <v>3373</v>
      </c>
      <c r="B25" s="43" t="s">
        <v>161</v>
      </c>
      <c r="C25" s="35">
        <v>200</v>
      </c>
      <c r="D25" s="37" t="b">
        <v>1</v>
      </c>
      <c r="E25" s="37" t="b">
        <v>1</v>
      </c>
      <c r="F25" s="37" t="s">
        <v>482</v>
      </c>
      <c r="G25" s="35" t="b">
        <v>0</v>
      </c>
      <c r="H25" s="43" t="b">
        <v>0</v>
      </c>
      <c r="I25" s="37" t="b">
        <v>0</v>
      </c>
      <c r="J25" s="64" t="b">
        <v>0</v>
      </c>
      <c r="K25" s="35" t="b">
        <v>0</v>
      </c>
      <c r="L25" s="35" t="b">
        <v>0</v>
      </c>
      <c r="M25" s="44" t="s">
        <v>3374</v>
      </c>
      <c r="N25" s="37" t="s">
        <v>761</v>
      </c>
      <c r="O25" s="37" t="s">
        <v>762</v>
      </c>
      <c r="P25" s="37" t="s">
        <v>3328</v>
      </c>
    </row>
    <row r="26" spans="1:17" ht="30" customHeight="1" x14ac:dyDescent="0.25">
      <c r="A26" s="54" t="s">
        <v>3375</v>
      </c>
      <c r="B26" s="31" t="s">
        <v>233</v>
      </c>
      <c r="C26" s="35">
        <v>200</v>
      </c>
      <c r="D26" s="28" t="b">
        <v>1</v>
      </c>
      <c r="E26" s="28" t="b">
        <v>1</v>
      </c>
      <c r="F26" s="28" t="s">
        <v>482</v>
      </c>
      <c r="G26" s="35" t="b">
        <v>0</v>
      </c>
      <c r="H26" s="31" t="b">
        <v>0</v>
      </c>
      <c r="I26" s="28" t="b">
        <v>0</v>
      </c>
      <c r="J26" s="64" t="b">
        <v>0</v>
      </c>
      <c r="K26" s="35" t="b">
        <v>0</v>
      </c>
      <c r="L26" s="35" t="b">
        <v>0</v>
      </c>
      <c r="M26" s="41" t="s">
        <v>3376</v>
      </c>
      <c r="N26" s="28" t="s">
        <v>761</v>
      </c>
      <c r="O26" s="28" t="s">
        <v>762</v>
      </c>
      <c r="P26" s="28" t="s">
        <v>3328</v>
      </c>
      <c r="Q26" s="34"/>
    </row>
    <row r="27" spans="1:17" ht="30" customHeight="1" x14ac:dyDescent="0.25">
      <c r="A27" s="54" t="s">
        <v>3377</v>
      </c>
      <c r="B27" s="43" t="s">
        <v>604</v>
      </c>
      <c r="C27" s="35">
        <v>200</v>
      </c>
      <c r="D27" s="37" t="b">
        <v>1</v>
      </c>
      <c r="E27" s="37" t="b">
        <v>1</v>
      </c>
      <c r="F27" s="37" t="s">
        <v>482</v>
      </c>
      <c r="G27" s="35" t="b">
        <v>0</v>
      </c>
      <c r="H27" s="43" t="b">
        <v>0</v>
      </c>
      <c r="I27" s="37" t="b">
        <v>0</v>
      </c>
      <c r="J27" s="64" t="b">
        <v>0</v>
      </c>
      <c r="K27" s="35" t="b">
        <v>0</v>
      </c>
      <c r="L27" s="35" t="b">
        <v>0</v>
      </c>
      <c r="M27" s="44" t="s">
        <v>3378</v>
      </c>
      <c r="N27" s="37" t="s">
        <v>761</v>
      </c>
      <c r="O27" s="37" t="s">
        <v>762</v>
      </c>
      <c r="P27" s="37" t="s">
        <v>3328</v>
      </c>
    </row>
    <row r="28" spans="1:17" ht="30" customHeight="1" x14ac:dyDescent="0.25">
      <c r="A28" s="54" t="s">
        <v>3379</v>
      </c>
      <c r="B28" s="31" t="s">
        <v>626</v>
      </c>
      <c r="C28" s="35">
        <v>200</v>
      </c>
      <c r="D28" s="28" t="b">
        <v>1</v>
      </c>
      <c r="E28" s="28" t="b">
        <v>1</v>
      </c>
      <c r="F28" s="28" t="s">
        <v>482</v>
      </c>
      <c r="G28" s="35" t="b">
        <v>0</v>
      </c>
      <c r="H28" s="31" t="b">
        <v>0</v>
      </c>
      <c r="I28" s="28" t="b">
        <v>0</v>
      </c>
      <c r="J28" s="64" t="b">
        <v>0</v>
      </c>
      <c r="K28" s="35" t="b">
        <v>0</v>
      </c>
      <c r="L28" s="35" t="b">
        <v>0</v>
      </c>
      <c r="M28" s="41" t="s">
        <v>3380</v>
      </c>
      <c r="N28" s="28" t="s">
        <v>761</v>
      </c>
      <c r="O28" s="28" t="s">
        <v>762</v>
      </c>
      <c r="P28" s="28" t="s">
        <v>3328</v>
      </c>
      <c r="Q28" s="34"/>
    </row>
    <row r="29" spans="1:17" ht="30" customHeight="1" x14ac:dyDescent="0.25">
      <c r="A29" s="54" t="s">
        <v>3381</v>
      </c>
      <c r="B29" s="43" t="s">
        <v>491</v>
      </c>
      <c r="C29" s="35">
        <v>200</v>
      </c>
      <c r="D29" s="37" t="b">
        <v>1</v>
      </c>
      <c r="E29" s="37" t="b">
        <v>1</v>
      </c>
      <c r="F29" s="37" t="s">
        <v>482</v>
      </c>
      <c r="G29" s="35" t="b">
        <v>0</v>
      </c>
      <c r="H29" s="43" t="b">
        <v>0</v>
      </c>
      <c r="I29" s="37" t="b">
        <v>0</v>
      </c>
      <c r="J29" s="64" t="b">
        <v>0</v>
      </c>
      <c r="K29" s="35" t="b">
        <v>0</v>
      </c>
      <c r="L29" s="35" t="b">
        <v>0</v>
      </c>
      <c r="M29" s="44" t="s">
        <v>3382</v>
      </c>
      <c r="N29" s="37" t="s">
        <v>761</v>
      </c>
      <c r="O29" s="37" t="s">
        <v>762</v>
      </c>
      <c r="P29" s="37" t="s">
        <v>3328</v>
      </c>
    </row>
    <row r="30" spans="1:17" ht="30" customHeight="1" x14ac:dyDescent="0.25">
      <c r="A30" s="54" t="s">
        <v>3383</v>
      </c>
      <c r="B30" s="31" t="s">
        <v>537</v>
      </c>
      <c r="C30" s="35">
        <v>200</v>
      </c>
      <c r="D30" s="28" t="b">
        <v>1</v>
      </c>
      <c r="E30" s="28" t="b">
        <v>1</v>
      </c>
      <c r="F30" s="28" t="s">
        <v>482</v>
      </c>
      <c r="G30" s="35" t="b">
        <v>0</v>
      </c>
      <c r="H30" s="31" t="b">
        <v>0</v>
      </c>
      <c r="I30" s="28" t="b">
        <v>0</v>
      </c>
      <c r="J30" s="64" t="b">
        <v>0</v>
      </c>
      <c r="K30" s="35" t="b">
        <v>0</v>
      </c>
      <c r="L30" s="35" t="b">
        <v>0</v>
      </c>
      <c r="M30" s="41" t="s">
        <v>3384</v>
      </c>
      <c r="N30" s="28" t="s">
        <v>761</v>
      </c>
      <c r="O30" s="28" t="s">
        <v>762</v>
      </c>
      <c r="P30" s="28" t="s">
        <v>3328</v>
      </c>
      <c r="Q30" s="34"/>
    </row>
    <row r="31" spans="1:17" ht="30" customHeight="1" x14ac:dyDescent="0.25">
      <c r="A31" s="54" t="s">
        <v>3385</v>
      </c>
      <c r="B31" s="43" t="s">
        <v>497</v>
      </c>
      <c r="C31" s="35">
        <v>200</v>
      </c>
      <c r="D31" s="37" t="b">
        <v>1</v>
      </c>
      <c r="E31" s="37" t="b">
        <v>1</v>
      </c>
      <c r="F31" s="37" t="s">
        <v>482</v>
      </c>
      <c r="G31" s="35" t="b">
        <v>0</v>
      </c>
      <c r="H31" s="43" t="b">
        <v>0</v>
      </c>
      <c r="I31" s="37" t="b">
        <v>0</v>
      </c>
      <c r="J31" s="64" t="b">
        <v>0</v>
      </c>
      <c r="K31" s="35" t="b">
        <v>0</v>
      </c>
      <c r="L31" s="35" t="b">
        <v>0</v>
      </c>
      <c r="M31" s="44" t="s">
        <v>3386</v>
      </c>
      <c r="N31" s="37" t="s">
        <v>761</v>
      </c>
      <c r="O31" s="37" t="s">
        <v>762</v>
      </c>
      <c r="P31" s="37" t="s">
        <v>3328</v>
      </c>
    </row>
    <row r="32" spans="1:17" ht="30" customHeight="1" x14ac:dyDescent="0.25">
      <c r="A32" s="54" t="s">
        <v>3387</v>
      </c>
      <c r="B32" s="31" t="s">
        <v>566</v>
      </c>
      <c r="C32" s="35">
        <v>200</v>
      </c>
      <c r="D32" s="28" t="b">
        <v>1</v>
      </c>
      <c r="E32" s="28" t="b">
        <v>1</v>
      </c>
      <c r="F32" s="28" t="s">
        <v>482</v>
      </c>
      <c r="G32" s="35" t="b">
        <v>0</v>
      </c>
      <c r="H32" s="31" t="b">
        <v>0</v>
      </c>
      <c r="I32" s="28" t="b">
        <v>0</v>
      </c>
      <c r="J32" s="64" t="b">
        <v>0</v>
      </c>
      <c r="K32" s="35" t="b">
        <v>0</v>
      </c>
      <c r="L32" s="35" t="b">
        <v>0</v>
      </c>
      <c r="M32" s="41" t="s">
        <v>3388</v>
      </c>
      <c r="N32" s="28" t="s">
        <v>761</v>
      </c>
      <c r="O32" s="28" t="s">
        <v>762</v>
      </c>
      <c r="P32" s="28" t="s">
        <v>3328</v>
      </c>
      <c r="Q32" s="34"/>
    </row>
    <row r="33" spans="1:17" ht="30" customHeight="1" x14ac:dyDescent="0.25">
      <c r="A33" s="54" t="s">
        <v>3389</v>
      </c>
      <c r="B33" s="43" t="s">
        <v>169</v>
      </c>
      <c r="C33" s="35">
        <v>200</v>
      </c>
      <c r="D33" s="37" t="b">
        <v>1</v>
      </c>
      <c r="E33" s="37" t="b">
        <v>1</v>
      </c>
      <c r="F33" s="37" t="s">
        <v>482</v>
      </c>
      <c r="G33" s="35" t="b">
        <v>0</v>
      </c>
      <c r="H33" s="43" t="b">
        <v>0</v>
      </c>
      <c r="I33" s="37" t="b">
        <v>0</v>
      </c>
      <c r="J33" s="64" t="b">
        <v>0</v>
      </c>
      <c r="K33" s="35" t="b">
        <v>0</v>
      </c>
      <c r="L33" s="35" t="b">
        <v>0</v>
      </c>
      <c r="M33" s="44" t="s">
        <v>3390</v>
      </c>
      <c r="N33" s="37" t="s">
        <v>761</v>
      </c>
      <c r="O33" s="37" t="s">
        <v>762</v>
      </c>
      <c r="P33" s="37" t="s">
        <v>3328</v>
      </c>
    </row>
    <row r="34" spans="1:17" x14ac:dyDescent="0.25">
      <c r="A34" s="54" t="s">
        <v>3391</v>
      </c>
      <c r="B34" s="31" t="s">
        <v>836</v>
      </c>
      <c r="C34" s="35">
        <v>200</v>
      </c>
      <c r="D34" s="28" t="b">
        <v>1</v>
      </c>
      <c r="E34" s="28" t="b">
        <v>1</v>
      </c>
      <c r="F34" s="28" t="s">
        <v>482</v>
      </c>
      <c r="G34" s="35" t="b">
        <v>0</v>
      </c>
      <c r="H34" s="31" t="b">
        <v>1</v>
      </c>
      <c r="I34" s="28" t="b">
        <v>0</v>
      </c>
      <c r="J34" s="64" t="b">
        <v>0</v>
      </c>
      <c r="K34" s="35" t="b">
        <v>0</v>
      </c>
      <c r="L34" s="35" t="b">
        <v>0</v>
      </c>
      <c r="M34" s="41" t="s">
        <v>3392</v>
      </c>
      <c r="N34" s="28" t="s">
        <v>761</v>
      </c>
      <c r="O34" s="28" t="s">
        <v>762</v>
      </c>
      <c r="P34" s="28" t="s">
        <v>3328</v>
      </c>
      <c r="Q34" s="34"/>
    </row>
    <row r="35" spans="1:17" ht="30" customHeight="1" x14ac:dyDescent="0.25">
      <c r="A35" s="54" t="s">
        <v>3393</v>
      </c>
      <c r="B35" s="43" t="s">
        <v>664</v>
      </c>
      <c r="C35" s="35">
        <v>200</v>
      </c>
      <c r="D35" s="37" t="b">
        <v>1</v>
      </c>
      <c r="E35" s="37" t="b">
        <v>1</v>
      </c>
      <c r="F35" s="37" t="s">
        <v>482</v>
      </c>
      <c r="G35" s="35" t="b">
        <v>0</v>
      </c>
      <c r="H35" s="43" t="b">
        <v>0</v>
      </c>
      <c r="I35" s="37" t="b">
        <v>0</v>
      </c>
      <c r="J35" s="64" t="b">
        <v>0</v>
      </c>
      <c r="K35" s="35" t="b">
        <v>0</v>
      </c>
      <c r="L35" s="35" t="b">
        <v>0</v>
      </c>
      <c r="M35" s="44" t="s">
        <v>3394</v>
      </c>
      <c r="N35" s="37" t="s">
        <v>761</v>
      </c>
      <c r="O35" s="37" t="s">
        <v>762</v>
      </c>
      <c r="P35" s="37" t="s">
        <v>3328</v>
      </c>
    </row>
    <row r="36" spans="1:17" ht="30" customHeight="1" x14ac:dyDescent="0.25">
      <c r="A36" s="54" t="s">
        <v>3395</v>
      </c>
      <c r="B36" s="31" t="s">
        <v>534</v>
      </c>
      <c r="C36" s="35">
        <v>200</v>
      </c>
      <c r="D36" s="28" t="b">
        <v>1</v>
      </c>
      <c r="E36" s="28" t="b">
        <v>1</v>
      </c>
      <c r="F36" s="28" t="s">
        <v>482</v>
      </c>
      <c r="G36" s="35" t="b">
        <v>0</v>
      </c>
      <c r="H36" s="31" t="b">
        <v>0</v>
      </c>
      <c r="I36" s="28" t="b">
        <v>0</v>
      </c>
      <c r="J36" s="64" t="b">
        <v>0</v>
      </c>
      <c r="K36" s="35" t="b">
        <v>0</v>
      </c>
      <c r="L36" s="35" t="b">
        <v>0</v>
      </c>
      <c r="M36" s="41" t="s">
        <v>3396</v>
      </c>
      <c r="N36" s="28" t="s">
        <v>761</v>
      </c>
      <c r="O36" s="28" t="s">
        <v>762</v>
      </c>
      <c r="P36" s="28" t="s">
        <v>3328</v>
      </c>
      <c r="Q36" s="34"/>
    </row>
    <row r="37" spans="1:17" ht="30" customHeight="1" x14ac:dyDescent="0.25">
      <c r="A37" s="54" t="s">
        <v>3397</v>
      </c>
      <c r="B37" s="43" t="s">
        <v>601</v>
      </c>
      <c r="C37" s="35">
        <v>200</v>
      </c>
      <c r="D37" s="37" t="b">
        <v>1</v>
      </c>
      <c r="E37" s="37" t="b">
        <v>1</v>
      </c>
      <c r="F37" s="37" t="s">
        <v>482</v>
      </c>
      <c r="G37" s="35" t="b">
        <v>0</v>
      </c>
      <c r="H37" s="43" t="b">
        <v>0</v>
      </c>
      <c r="I37" s="37" t="b">
        <v>0</v>
      </c>
      <c r="J37" s="64" t="b">
        <v>0</v>
      </c>
      <c r="K37" s="35" t="b">
        <v>0</v>
      </c>
      <c r="L37" s="35" t="b">
        <v>0</v>
      </c>
      <c r="M37" s="44" t="s">
        <v>3398</v>
      </c>
      <c r="N37" s="37" t="s">
        <v>761</v>
      </c>
      <c r="O37" s="37" t="s">
        <v>762</v>
      </c>
      <c r="P37" s="37" t="s">
        <v>3328</v>
      </c>
    </row>
    <row r="38" spans="1:17" ht="45" customHeight="1" x14ac:dyDescent="0.25">
      <c r="A38" s="54" t="s">
        <v>3399</v>
      </c>
      <c r="B38" s="31" t="s">
        <v>528</v>
      </c>
      <c r="C38" s="35">
        <v>200</v>
      </c>
      <c r="D38" s="28" t="b">
        <v>1</v>
      </c>
      <c r="E38" s="28" t="b">
        <v>1</v>
      </c>
      <c r="F38" s="28" t="s">
        <v>482</v>
      </c>
      <c r="G38" s="35" t="b">
        <v>0</v>
      </c>
      <c r="H38" s="31" t="b">
        <v>0</v>
      </c>
      <c r="I38" s="28" t="b">
        <v>0</v>
      </c>
      <c r="J38" s="64" t="b">
        <v>0</v>
      </c>
      <c r="K38" s="35" t="b">
        <v>0</v>
      </c>
      <c r="L38" s="35" t="b">
        <v>0</v>
      </c>
      <c r="M38" s="41" t="s">
        <v>3400</v>
      </c>
      <c r="N38" s="28" t="s">
        <v>761</v>
      </c>
      <c r="O38" s="28" t="s">
        <v>762</v>
      </c>
      <c r="P38" s="28" t="s">
        <v>3328</v>
      </c>
      <c r="Q38" s="34"/>
    </row>
    <row r="39" spans="1:17" ht="30" customHeight="1" x14ac:dyDescent="0.25">
      <c r="A39" s="54" t="s">
        <v>3401</v>
      </c>
      <c r="B39" s="43" t="s">
        <v>521</v>
      </c>
      <c r="C39" s="35">
        <v>200</v>
      </c>
      <c r="D39" s="37" t="b">
        <v>1</v>
      </c>
      <c r="E39" s="37" t="b">
        <v>1</v>
      </c>
      <c r="F39" s="37" t="s">
        <v>482</v>
      </c>
      <c r="G39" s="35" t="b">
        <v>0</v>
      </c>
      <c r="H39" s="43" t="b">
        <v>0</v>
      </c>
      <c r="I39" s="37" t="b">
        <v>0</v>
      </c>
      <c r="J39" s="64" t="b">
        <v>0</v>
      </c>
      <c r="K39" s="35" t="b">
        <v>0</v>
      </c>
      <c r="L39" s="35" t="b">
        <v>0</v>
      </c>
      <c r="M39" s="44" t="s">
        <v>3402</v>
      </c>
      <c r="N39" s="37" t="s">
        <v>761</v>
      </c>
      <c r="O39" s="37" t="s">
        <v>762</v>
      </c>
      <c r="P39" s="37" t="s">
        <v>3328</v>
      </c>
    </row>
    <row r="40" spans="1:17" ht="30" customHeight="1" x14ac:dyDescent="0.25">
      <c r="A40" s="54" t="s">
        <v>3403</v>
      </c>
      <c r="B40" s="31" t="s">
        <v>531</v>
      </c>
      <c r="C40" s="35">
        <v>200</v>
      </c>
      <c r="D40" s="28" t="b">
        <v>1</v>
      </c>
      <c r="E40" s="28" t="b">
        <v>1</v>
      </c>
      <c r="F40" s="28" t="s">
        <v>482</v>
      </c>
      <c r="G40" s="35" t="b">
        <v>0</v>
      </c>
      <c r="H40" s="31" t="b">
        <v>0</v>
      </c>
      <c r="I40" s="28" t="b">
        <v>0</v>
      </c>
      <c r="J40" s="64" t="b">
        <v>0</v>
      </c>
      <c r="K40" s="35" t="b">
        <v>0</v>
      </c>
      <c r="L40" s="35" t="b">
        <v>0</v>
      </c>
      <c r="M40" s="41" t="s">
        <v>3404</v>
      </c>
      <c r="N40" s="28" t="s">
        <v>761</v>
      </c>
      <c r="O40" s="28" t="s">
        <v>762</v>
      </c>
      <c r="P40" s="28" t="s">
        <v>3328</v>
      </c>
      <c r="Q40" s="34"/>
    </row>
    <row r="41" spans="1:17" ht="30" customHeight="1" x14ac:dyDescent="0.25">
      <c r="A41" s="54" t="s">
        <v>3405</v>
      </c>
      <c r="B41" s="43" t="s">
        <v>152</v>
      </c>
      <c r="C41" s="35">
        <v>200</v>
      </c>
      <c r="D41" s="37" t="b">
        <v>1</v>
      </c>
      <c r="E41" s="37" t="b">
        <v>1</v>
      </c>
      <c r="F41" s="37" t="s">
        <v>482</v>
      </c>
      <c r="G41" s="35" t="b">
        <v>0</v>
      </c>
      <c r="H41" s="43" t="b">
        <v>0</v>
      </c>
      <c r="I41" s="37" t="b">
        <v>0</v>
      </c>
      <c r="J41" s="64" t="b">
        <v>0</v>
      </c>
      <c r="K41" s="35" t="b">
        <v>0</v>
      </c>
      <c r="L41" s="35" t="b">
        <v>0</v>
      </c>
      <c r="M41" s="44" t="s">
        <v>3406</v>
      </c>
      <c r="N41" s="37" t="s">
        <v>761</v>
      </c>
      <c r="O41" s="37" t="s">
        <v>762</v>
      </c>
      <c r="P41" s="37" t="s">
        <v>3328</v>
      </c>
    </row>
    <row r="42" spans="1:17" ht="30" customHeight="1" x14ac:dyDescent="0.25">
      <c r="A42" s="54" t="s">
        <v>3407</v>
      </c>
      <c r="B42" s="31" t="s">
        <v>185</v>
      </c>
      <c r="C42" s="35">
        <v>200</v>
      </c>
      <c r="D42" s="28" t="b">
        <v>1</v>
      </c>
      <c r="E42" s="28" t="b">
        <v>1</v>
      </c>
      <c r="F42" s="28" t="s">
        <v>482</v>
      </c>
      <c r="G42" s="35" t="b">
        <v>0</v>
      </c>
      <c r="H42" s="31" t="b">
        <v>0</v>
      </c>
      <c r="I42" s="28" t="b">
        <v>0</v>
      </c>
      <c r="J42" s="64" t="b">
        <v>0</v>
      </c>
      <c r="K42" s="35" t="b">
        <v>0</v>
      </c>
      <c r="L42" s="35" t="b">
        <v>0</v>
      </c>
      <c r="M42" s="41" t="s">
        <v>3408</v>
      </c>
      <c r="N42" s="28" t="s">
        <v>761</v>
      </c>
      <c r="O42" s="28" t="s">
        <v>762</v>
      </c>
      <c r="P42" s="28" t="s">
        <v>3328</v>
      </c>
      <c r="Q42" s="34"/>
    </row>
    <row r="43" spans="1:17" ht="30" customHeight="1" x14ac:dyDescent="0.25">
      <c r="A43" s="54" t="s">
        <v>809</v>
      </c>
      <c r="B43" s="43" t="s">
        <v>518</v>
      </c>
      <c r="C43" s="35">
        <v>200</v>
      </c>
      <c r="D43" s="37" t="b">
        <v>1</v>
      </c>
      <c r="E43" s="37" t="b">
        <v>1</v>
      </c>
      <c r="F43" s="37" t="s">
        <v>482</v>
      </c>
      <c r="G43" s="35" t="b">
        <v>0</v>
      </c>
      <c r="H43" s="43" t="b">
        <v>0</v>
      </c>
      <c r="I43" s="37" t="b">
        <v>0</v>
      </c>
      <c r="J43" s="64" t="b">
        <v>0</v>
      </c>
      <c r="K43" s="35" t="b">
        <v>0</v>
      </c>
      <c r="L43" s="35" t="b">
        <v>0</v>
      </c>
      <c r="M43" s="44" t="s">
        <v>3409</v>
      </c>
      <c r="N43" s="37" t="s">
        <v>761</v>
      </c>
      <c r="O43" s="37" t="s">
        <v>762</v>
      </c>
      <c r="P43" s="37" t="s">
        <v>3328</v>
      </c>
    </row>
    <row r="44" spans="1:17" ht="30" customHeight="1" x14ac:dyDescent="0.25">
      <c r="A44" s="54" t="s">
        <v>3410</v>
      </c>
      <c r="B44" s="31" t="s">
        <v>518</v>
      </c>
      <c r="C44" s="35">
        <v>200</v>
      </c>
      <c r="D44" s="28" t="b">
        <v>1</v>
      </c>
      <c r="E44" s="28" t="b">
        <v>1</v>
      </c>
      <c r="F44" s="28" t="s">
        <v>482</v>
      </c>
      <c r="G44" s="35" t="b">
        <v>0</v>
      </c>
      <c r="H44" s="31" t="b">
        <v>1</v>
      </c>
      <c r="I44" s="28" t="b">
        <v>0</v>
      </c>
      <c r="J44" s="64" t="b">
        <v>0</v>
      </c>
      <c r="K44" s="35" t="b">
        <v>0</v>
      </c>
      <c r="L44" s="35" t="b">
        <v>0</v>
      </c>
      <c r="M44" s="41" t="s">
        <v>3411</v>
      </c>
      <c r="N44" s="28" t="s">
        <v>761</v>
      </c>
      <c r="O44" s="28" t="s">
        <v>762</v>
      </c>
      <c r="P44" s="28" t="s">
        <v>3328</v>
      </c>
      <c r="Q44" s="34"/>
    </row>
    <row r="45" spans="1:17" ht="45" customHeight="1" x14ac:dyDescent="0.25">
      <c r="A45" s="54" t="s">
        <v>3412</v>
      </c>
      <c r="B45" s="43" t="s">
        <v>540</v>
      </c>
      <c r="C45" s="35">
        <v>200</v>
      </c>
      <c r="D45" s="37" t="b">
        <v>1</v>
      </c>
      <c r="E45" s="37" t="b">
        <v>1</v>
      </c>
      <c r="F45" s="37" t="s">
        <v>482</v>
      </c>
      <c r="G45" s="35" t="b">
        <v>0</v>
      </c>
      <c r="H45" s="43" t="b">
        <v>0</v>
      </c>
      <c r="I45" s="37" t="b">
        <v>0</v>
      </c>
      <c r="J45" s="64" t="b">
        <v>0</v>
      </c>
      <c r="K45" s="35" t="b">
        <v>0</v>
      </c>
      <c r="L45" s="35" t="b">
        <v>0</v>
      </c>
      <c r="M45" s="44" t="s">
        <v>3413</v>
      </c>
      <c r="N45" s="37" t="s">
        <v>761</v>
      </c>
      <c r="O45" s="37" t="s">
        <v>762</v>
      </c>
      <c r="P45" s="37" t="s">
        <v>3328</v>
      </c>
    </row>
    <row r="46" spans="1:17" ht="30" customHeight="1" x14ac:dyDescent="0.25">
      <c r="A46" s="54" t="s">
        <v>3414</v>
      </c>
      <c r="B46" s="31" t="s">
        <v>549</v>
      </c>
      <c r="C46" s="35">
        <v>200</v>
      </c>
      <c r="D46" s="28" t="b">
        <v>1</v>
      </c>
      <c r="E46" s="28" t="b">
        <v>1</v>
      </c>
      <c r="F46" s="28" t="s">
        <v>482</v>
      </c>
      <c r="G46" s="35" t="b">
        <v>0</v>
      </c>
      <c r="H46" s="31" t="b">
        <v>0</v>
      </c>
      <c r="I46" s="28" t="b">
        <v>0</v>
      </c>
      <c r="J46" s="64" t="b">
        <v>0</v>
      </c>
      <c r="K46" s="35" t="b">
        <v>0</v>
      </c>
      <c r="L46" s="35" t="b">
        <v>0</v>
      </c>
      <c r="M46" s="41" t="s">
        <v>3415</v>
      </c>
      <c r="N46" s="28" t="s">
        <v>761</v>
      </c>
      <c r="O46" s="28" t="s">
        <v>762</v>
      </c>
      <c r="P46" s="28" t="s">
        <v>3328</v>
      </c>
      <c r="Q46" s="34"/>
    </row>
    <row r="47" spans="1:17" ht="30" customHeight="1" x14ac:dyDescent="0.25">
      <c r="A47" s="54" t="s">
        <v>3416</v>
      </c>
      <c r="B47" s="43" t="s">
        <v>563</v>
      </c>
      <c r="C47" s="35">
        <v>200</v>
      </c>
      <c r="D47" s="37" t="b">
        <v>1</v>
      </c>
      <c r="E47" s="37" t="b">
        <v>1</v>
      </c>
      <c r="F47" s="37" t="s">
        <v>482</v>
      </c>
      <c r="G47" s="35" t="b">
        <v>0</v>
      </c>
      <c r="H47" s="43" t="b">
        <v>0</v>
      </c>
      <c r="I47" s="37" t="b">
        <v>0</v>
      </c>
      <c r="J47" s="64" t="b">
        <v>0</v>
      </c>
      <c r="K47" s="35" t="b">
        <v>0</v>
      </c>
      <c r="L47" s="35" t="b">
        <v>0</v>
      </c>
      <c r="M47" s="44" t="s">
        <v>3417</v>
      </c>
      <c r="N47" s="37" t="s">
        <v>761</v>
      </c>
      <c r="O47" s="37" t="s">
        <v>762</v>
      </c>
      <c r="P47" s="37" t="s">
        <v>3328</v>
      </c>
    </row>
    <row r="48" spans="1:17" ht="30" customHeight="1" x14ac:dyDescent="0.25">
      <c r="A48" s="54" t="s">
        <v>3418</v>
      </c>
      <c r="B48" s="31" t="s">
        <v>570</v>
      </c>
      <c r="C48" s="35">
        <v>200</v>
      </c>
      <c r="D48" s="28" t="b">
        <v>1</v>
      </c>
      <c r="E48" s="28" t="b">
        <v>1</v>
      </c>
      <c r="F48" s="28" t="s">
        <v>482</v>
      </c>
      <c r="G48" s="35" t="b">
        <v>0</v>
      </c>
      <c r="H48" s="31" t="b">
        <v>0</v>
      </c>
      <c r="I48" s="28" t="b">
        <v>0</v>
      </c>
      <c r="J48" s="64" t="b">
        <v>0</v>
      </c>
      <c r="K48" s="35" t="b">
        <v>0</v>
      </c>
      <c r="L48" s="35" t="b">
        <v>0</v>
      </c>
      <c r="M48" s="41" t="s">
        <v>3419</v>
      </c>
      <c r="N48" s="28" t="s">
        <v>761</v>
      </c>
      <c r="O48" s="28" t="s">
        <v>762</v>
      </c>
      <c r="P48" s="28" t="s">
        <v>3328</v>
      </c>
      <c r="Q48" s="34"/>
    </row>
    <row r="49" spans="1:17" ht="30" customHeight="1" x14ac:dyDescent="0.25">
      <c r="A49" s="43" t="s">
        <v>3420</v>
      </c>
      <c r="B49" s="43" t="s">
        <v>753</v>
      </c>
      <c r="C49" s="29">
        <v>404</v>
      </c>
      <c r="D49" s="37" t="b">
        <v>1</v>
      </c>
      <c r="E49" s="37" t="b">
        <v>1</v>
      </c>
      <c r="F49" s="37" t="s">
        <v>482</v>
      </c>
      <c r="G49" s="29" t="b">
        <v>1</v>
      </c>
      <c r="H49" s="43" t="b">
        <v>1</v>
      </c>
      <c r="I49" s="37" t="b">
        <v>0</v>
      </c>
      <c r="J49" s="64" t="b">
        <v>0</v>
      </c>
      <c r="K49" s="35" t="b">
        <v>0</v>
      </c>
      <c r="L49" s="35" t="b">
        <v>0</v>
      </c>
      <c r="M49" s="44" t="s">
        <v>3421</v>
      </c>
      <c r="N49" s="37" t="s">
        <v>761</v>
      </c>
      <c r="O49" s="37" t="s">
        <v>762</v>
      </c>
      <c r="P49" s="37" t="s">
        <v>3328</v>
      </c>
    </row>
    <row r="50" spans="1:17" ht="30" customHeight="1" x14ac:dyDescent="0.25">
      <c r="A50" s="31" t="s">
        <v>3422</v>
      </c>
      <c r="B50" s="31" t="s">
        <v>764</v>
      </c>
      <c r="C50" s="29">
        <v>404</v>
      </c>
      <c r="D50" s="28" t="b">
        <v>1</v>
      </c>
      <c r="E50" s="28" t="b">
        <v>1</v>
      </c>
      <c r="F50" s="28" t="s">
        <v>482</v>
      </c>
      <c r="G50" s="29" t="b">
        <v>1</v>
      </c>
      <c r="H50" s="31" t="b">
        <v>1</v>
      </c>
      <c r="I50" s="28" t="b">
        <v>0</v>
      </c>
      <c r="J50" s="64" t="b">
        <v>0</v>
      </c>
      <c r="K50" s="35" t="b">
        <v>0</v>
      </c>
      <c r="L50" s="35" t="b">
        <v>0</v>
      </c>
      <c r="M50" s="41" t="s">
        <v>3423</v>
      </c>
      <c r="N50" s="28" t="s">
        <v>761</v>
      </c>
      <c r="O50" s="28" t="s">
        <v>762</v>
      </c>
      <c r="P50" s="28" t="s">
        <v>3328</v>
      </c>
      <c r="Q50" s="34"/>
    </row>
    <row r="51" spans="1:17" ht="30" customHeight="1" x14ac:dyDescent="0.25">
      <c r="A51" s="54" t="s">
        <v>3424</v>
      </c>
      <c r="B51" s="43" t="s">
        <v>667</v>
      </c>
      <c r="C51" s="35">
        <v>200</v>
      </c>
      <c r="D51" s="37" t="b">
        <v>1</v>
      </c>
      <c r="E51" s="37" t="b">
        <v>1</v>
      </c>
      <c r="F51" s="37" t="s">
        <v>482</v>
      </c>
      <c r="G51" s="35" t="b">
        <v>0</v>
      </c>
      <c r="H51" s="43" t="b">
        <v>0</v>
      </c>
      <c r="I51" s="37" t="b">
        <v>0</v>
      </c>
      <c r="J51" s="64" t="b">
        <v>0</v>
      </c>
      <c r="K51" s="35" t="b">
        <v>0</v>
      </c>
      <c r="L51" s="35" t="b">
        <v>0</v>
      </c>
      <c r="M51" s="44" t="s">
        <v>3425</v>
      </c>
      <c r="N51" s="37" t="s">
        <v>761</v>
      </c>
      <c r="O51" s="37" t="s">
        <v>762</v>
      </c>
      <c r="P51" s="37" t="s">
        <v>3328</v>
      </c>
    </row>
    <row r="52" spans="1:17" ht="30" customHeight="1" x14ac:dyDescent="0.25">
      <c r="A52" s="54" t="s">
        <v>3426</v>
      </c>
      <c r="B52" s="31" t="s">
        <v>615</v>
      </c>
      <c r="C52" s="35">
        <v>200</v>
      </c>
      <c r="D52" s="28" t="b">
        <v>1</v>
      </c>
      <c r="E52" s="28" t="b">
        <v>1</v>
      </c>
      <c r="F52" s="28" t="s">
        <v>482</v>
      </c>
      <c r="G52" s="35" t="b">
        <v>0</v>
      </c>
      <c r="H52" s="31" t="b">
        <v>0</v>
      </c>
      <c r="I52" s="28" t="b">
        <v>0</v>
      </c>
      <c r="J52" s="64" t="b">
        <v>0</v>
      </c>
      <c r="K52" s="35" t="b">
        <v>0</v>
      </c>
      <c r="L52" s="35" t="b">
        <v>0</v>
      </c>
      <c r="M52" s="41" t="s">
        <v>3427</v>
      </c>
      <c r="N52" s="28" t="s">
        <v>761</v>
      </c>
      <c r="O52" s="28" t="s">
        <v>762</v>
      </c>
      <c r="P52" s="28" t="s">
        <v>3328</v>
      </c>
      <c r="Q52" s="34"/>
    </row>
    <row r="53" spans="1:17" ht="30" customHeight="1" x14ac:dyDescent="0.25">
      <c r="A53" s="54" t="s">
        <v>3428</v>
      </c>
      <c r="B53" s="43" t="s">
        <v>670</v>
      </c>
      <c r="C53" s="35">
        <v>200</v>
      </c>
      <c r="D53" s="37" t="b">
        <v>1</v>
      </c>
      <c r="E53" s="37" t="b">
        <v>1</v>
      </c>
      <c r="F53" s="37" t="s">
        <v>482</v>
      </c>
      <c r="G53" s="35" t="b">
        <v>0</v>
      </c>
      <c r="H53" s="43" t="b">
        <v>0</v>
      </c>
      <c r="I53" s="37" t="b">
        <v>0</v>
      </c>
      <c r="J53" s="64" t="b">
        <v>0</v>
      </c>
      <c r="K53" s="35" t="b">
        <v>0</v>
      </c>
      <c r="L53" s="35" t="b">
        <v>0</v>
      </c>
      <c r="M53" s="44" t="s">
        <v>3429</v>
      </c>
      <c r="N53" s="37" t="s">
        <v>761</v>
      </c>
      <c r="O53" s="37" t="s">
        <v>762</v>
      </c>
      <c r="P53" s="37" t="s">
        <v>3328</v>
      </c>
    </row>
    <row r="54" spans="1:17" ht="30" customHeight="1" x14ac:dyDescent="0.25">
      <c r="A54" s="54" t="s">
        <v>3430</v>
      </c>
      <c r="B54" s="31" t="s">
        <v>658</v>
      </c>
      <c r="C54" s="35">
        <v>200</v>
      </c>
      <c r="D54" s="28" t="b">
        <v>1</v>
      </c>
      <c r="E54" s="28" t="b">
        <v>1</v>
      </c>
      <c r="F54" s="28" t="s">
        <v>482</v>
      </c>
      <c r="G54" s="35" t="b">
        <v>0</v>
      </c>
      <c r="H54" s="31" t="b">
        <v>0</v>
      </c>
      <c r="I54" s="28" t="b">
        <v>0</v>
      </c>
      <c r="J54" s="64" t="b">
        <v>0</v>
      </c>
      <c r="K54" s="35" t="b">
        <v>0</v>
      </c>
      <c r="L54" s="35" t="b">
        <v>0</v>
      </c>
      <c r="M54" s="41" t="s">
        <v>3431</v>
      </c>
      <c r="N54" s="28" t="s">
        <v>761</v>
      </c>
      <c r="O54" s="28" t="s">
        <v>762</v>
      </c>
      <c r="P54" s="28" t="s">
        <v>3328</v>
      </c>
      <c r="Q54" s="34"/>
    </row>
    <row r="55" spans="1:17" ht="30" customHeight="1" x14ac:dyDescent="0.25">
      <c r="A55" s="54" t="s">
        <v>3432</v>
      </c>
      <c r="B55" s="43" t="s">
        <v>624</v>
      </c>
      <c r="C55" s="35">
        <v>200</v>
      </c>
      <c r="D55" s="37" t="b">
        <v>1</v>
      </c>
      <c r="E55" s="37" t="b">
        <v>1</v>
      </c>
      <c r="F55" s="37" t="s">
        <v>482</v>
      </c>
      <c r="G55" s="35" t="b">
        <v>0</v>
      </c>
      <c r="H55" s="43" t="b">
        <v>0</v>
      </c>
      <c r="I55" s="37" t="b">
        <v>0</v>
      </c>
      <c r="J55" s="64" t="b">
        <v>0</v>
      </c>
      <c r="K55" s="35" t="b">
        <v>0</v>
      </c>
      <c r="L55" s="35" t="b">
        <v>0</v>
      </c>
      <c r="M55" s="44" t="s">
        <v>3433</v>
      </c>
      <c r="N55" s="37" t="s">
        <v>761</v>
      </c>
      <c r="O55" s="37" t="s">
        <v>762</v>
      </c>
      <c r="P55" s="37" t="s">
        <v>3328</v>
      </c>
    </row>
    <row r="56" spans="1:17" ht="30" customHeight="1" x14ac:dyDescent="0.25">
      <c r="A56" s="54" t="s">
        <v>3434</v>
      </c>
      <c r="B56" s="31" t="s">
        <v>591</v>
      </c>
      <c r="C56" s="35">
        <v>200</v>
      </c>
      <c r="D56" s="28" t="b">
        <v>1</v>
      </c>
      <c r="E56" s="28" t="b">
        <v>1</v>
      </c>
      <c r="F56" s="28" t="s">
        <v>482</v>
      </c>
      <c r="G56" s="35" t="b">
        <v>0</v>
      </c>
      <c r="H56" s="31" t="b">
        <v>0</v>
      </c>
      <c r="I56" s="28" t="b">
        <v>0</v>
      </c>
      <c r="J56" s="64" t="b">
        <v>0</v>
      </c>
      <c r="K56" s="35" t="b">
        <v>0</v>
      </c>
      <c r="L56" s="35" t="b">
        <v>0</v>
      </c>
      <c r="M56" s="41" t="s">
        <v>3435</v>
      </c>
      <c r="N56" s="28" t="s">
        <v>761</v>
      </c>
      <c r="O56" s="28" t="s">
        <v>762</v>
      </c>
      <c r="P56" s="28" t="s">
        <v>3328</v>
      </c>
      <c r="Q56" s="34"/>
    </row>
    <row r="57" spans="1:17" ht="30" customHeight="1" x14ac:dyDescent="0.25">
      <c r="A57" s="54" t="s">
        <v>3436</v>
      </c>
      <c r="B57" s="43" t="s">
        <v>588</v>
      </c>
      <c r="C57" s="35">
        <v>200</v>
      </c>
      <c r="D57" s="37" t="b">
        <v>1</v>
      </c>
      <c r="E57" s="37" t="b">
        <v>1</v>
      </c>
      <c r="F57" s="37" t="s">
        <v>482</v>
      </c>
      <c r="G57" s="35" t="b">
        <v>0</v>
      </c>
      <c r="H57" s="43" t="b">
        <v>0</v>
      </c>
      <c r="I57" s="37" t="b">
        <v>0</v>
      </c>
      <c r="J57" s="64" t="b">
        <v>0</v>
      </c>
      <c r="K57" s="35" t="b">
        <v>0</v>
      </c>
      <c r="L57" s="35" t="b">
        <v>0</v>
      </c>
      <c r="M57" s="44" t="s">
        <v>3437</v>
      </c>
      <c r="N57" s="37" t="s">
        <v>761</v>
      </c>
      <c r="O57" s="37" t="s">
        <v>762</v>
      </c>
      <c r="P57" s="37" t="s">
        <v>3328</v>
      </c>
    </row>
    <row r="58" spans="1:17" ht="30" customHeight="1" x14ac:dyDescent="0.25">
      <c r="A58" s="54" t="s">
        <v>3438</v>
      </c>
      <c r="B58" s="31" t="s">
        <v>611</v>
      </c>
      <c r="C58" s="35">
        <v>200</v>
      </c>
      <c r="D58" s="28" t="b">
        <v>1</v>
      </c>
      <c r="E58" s="28" t="b">
        <v>1</v>
      </c>
      <c r="F58" s="28" t="s">
        <v>482</v>
      </c>
      <c r="G58" s="35" t="b">
        <v>0</v>
      </c>
      <c r="H58" s="31" t="b">
        <v>0</v>
      </c>
      <c r="I58" s="28" t="b">
        <v>0</v>
      </c>
      <c r="J58" s="64" t="b">
        <v>0</v>
      </c>
      <c r="K58" s="35" t="b">
        <v>0</v>
      </c>
      <c r="L58" s="35" t="b">
        <v>0</v>
      </c>
      <c r="M58" s="41" t="s">
        <v>3439</v>
      </c>
      <c r="N58" s="28" t="s">
        <v>761</v>
      </c>
      <c r="O58" s="28" t="s">
        <v>762</v>
      </c>
      <c r="P58" s="28" t="s">
        <v>3328</v>
      </c>
      <c r="Q58" s="34"/>
    </row>
    <row r="59" spans="1:17" ht="30" customHeight="1" x14ac:dyDescent="0.25">
      <c r="A59" s="54" t="s">
        <v>3440</v>
      </c>
      <c r="B59" s="43" t="s">
        <v>677</v>
      </c>
      <c r="C59" s="35">
        <v>200</v>
      </c>
      <c r="D59" s="37" t="b">
        <v>1</v>
      </c>
      <c r="E59" s="37" t="b">
        <v>1</v>
      </c>
      <c r="F59" s="37" t="s">
        <v>482</v>
      </c>
      <c r="G59" s="35" t="b">
        <v>0</v>
      </c>
      <c r="H59" s="43" t="b">
        <v>0</v>
      </c>
      <c r="I59" s="37" t="b">
        <v>0</v>
      </c>
      <c r="J59" s="64" t="b">
        <v>0</v>
      </c>
      <c r="K59" s="35" t="b">
        <v>0</v>
      </c>
      <c r="L59" s="35" t="b">
        <v>0</v>
      </c>
      <c r="M59" s="44" t="s">
        <v>3441</v>
      </c>
      <c r="N59" s="37" t="s">
        <v>761</v>
      </c>
      <c r="O59" s="37" t="s">
        <v>762</v>
      </c>
      <c r="P59" s="37" t="s">
        <v>3328</v>
      </c>
    </row>
    <row r="60" spans="1:17" ht="30" customHeight="1" x14ac:dyDescent="0.25">
      <c r="A60" s="54" t="s">
        <v>3442</v>
      </c>
      <c r="B60" s="31" t="s">
        <v>494</v>
      </c>
      <c r="C60" s="35">
        <v>200</v>
      </c>
      <c r="D60" s="28" t="b">
        <v>1</v>
      </c>
      <c r="E60" s="28" t="b">
        <v>1</v>
      </c>
      <c r="F60" s="28" t="s">
        <v>482</v>
      </c>
      <c r="G60" s="35" t="b">
        <v>0</v>
      </c>
      <c r="H60" s="31" t="b">
        <v>0</v>
      </c>
      <c r="I60" s="28" t="b">
        <v>0</v>
      </c>
      <c r="J60" s="64" t="b">
        <v>0</v>
      </c>
      <c r="K60" s="35" t="b">
        <v>0</v>
      </c>
      <c r="L60" s="35" t="b">
        <v>0</v>
      </c>
      <c r="M60" s="41" t="s">
        <v>3443</v>
      </c>
      <c r="N60" s="28" t="s">
        <v>761</v>
      </c>
      <c r="O60" s="28" t="s">
        <v>762</v>
      </c>
      <c r="P60" s="28" t="s">
        <v>3328</v>
      </c>
      <c r="Q60" s="34"/>
    </row>
    <row r="61" spans="1:17" ht="30" customHeight="1" x14ac:dyDescent="0.25">
      <c r="A61" s="54" t="s">
        <v>3444</v>
      </c>
      <c r="B61" s="43" t="s">
        <v>680</v>
      </c>
      <c r="C61" s="35">
        <v>200</v>
      </c>
      <c r="D61" s="37" t="b">
        <v>1</v>
      </c>
      <c r="E61" s="37" t="b">
        <v>1</v>
      </c>
      <c r="F61" s="37" t="s">
        <v>482</v>
      </c>
      <c r="G61" s="35" t="b">
        <v>0</v>
      </c>
      <c r="H61" s="43" t="b">
        <v>0</v>
      </c>
      <c r="I61" s="37" t="b">
        <v>0</v>
      </c>
      <c r="J61" s="64" t="b">
        <v>0</v>
      </c>
      <c r="K61" s="35" t="b">
        <v>0</v>
      </c>
      <c r="L61" s="35" t="b">
        <v>0</v>
      </c>
      <c r="M61" s="44" t="s">
        <v>3445</v>
      </c>
      <c r="N61" s="37" t="s">
        <v>761</v>
      </c>
      <c r="O61" s="37" t="s">
        <v>762</v>
      </c>
      <c r="P61" s="37" t="s">
        <v>3328</v>
      </c>
    </row>
    <row r="62" spans="1:17" ht="30" customHeight="1" x14ac:dyDescent="0.25">
      <c r="A62" s="54" t="s">
        <v>3446</v>
      </c>
      <c r="B62" s="31" t="s">
        <v>621</v>
      </c>
      <c r="C62" s="35">
        <v>200</v>
      </c>
      <c r="D62" s="28" t="b">
        <v>1</v>
      </c>
      <c r="E62" s="28" t="b">
        <v>1</v>
      </c>
      <c r="F62" s="28" t="s">
        <v>482</v>
      </c>
      <c r="G62" s="35" t="b">
        <v>0</v>
      </c>
      <c r="H62" s="31" t="b">
        <v>0</v>
      </c>
      <c r="I62" s="28" t="b">
        <v>0</v>
      </c>
      <c r="J62" s="64" t="b">
        <v>0</v>
      </c>
      <c r="K62" s="35" t="b">
        <v>0</v>
      </c>
      <c r="L62" s="35" t="b">
        <v>0</v>
      </c>
      <c r="M62" s="41" t="s">
        <v>3447</v>
      </c>
      <c r="N62" s="28" t="s">
        <v>761</v>
      </c>
      <c r="O62" s="28" t="s">
        <v>762</v>
      </c>
      <c r="P62" s="28" t="s">
        <v>3328</v>
      </c>
      <c r="Q62" s="34"/>
    </row>
    <row r="63" spans="1:17" ht="30" customHeight="1" x14ac:dyDescent="0.25">
      <c r="A63" s="54" t="s">
        <v>3448</v>
      </c>
      <c r="B63" s="43" t="s">
        <v>546</v>
      </c>
      <c r="C63" s="35">
        <v>200</v>
      </c>
      <c r="D63" s="37" t="b">
        <v>1</v>
      </c>
      <c r="E63" s="37" t="b">
        <v>1</v>
      </c>
      <c r="F63" s="37" t="s">
        <v>482</v>
      </c>
      <c r="G63" s="35" t="b">
        <v>0</v>
      </c>
      <c r="H63" s="43" t="b">
        <v>0</v>
      </c>
      <c r="I63" s="37" t="b">
        <v>0</v>
      </c>
      <c r="J63" s="64" t="b">
        <v>0</v>
      </c>
      <c r="K63" s="35" t="b">
        <v>0</v>
      </c>
      <c r="L63" s="35" t="b">
        <v>0</v>
      </c>
      <c r="M63" s="44" t="s">
        <v>3449</v>
      </c>
      <c r="N63" s="37" t="s">
        <v>761</v>
      </c>
      <c r="O63" s="37" t="s">
        <v>762</v>
      </c>
      <c r="P63" s="37" t="s">
        <v>3328</v>
      </c>
    </row>
    <row r="64" spans="1:17" ht="30" customHeight="1" x14ac:dyDescent="0.25">
      <c r="A64" s="54" t="s">
        <v>3450</v>
      </c>
      <c r="B64" s="31" t="s">
        <v>193</v>
      </c>
      <c r="C64" s="35">
        <v>200</v>
      </c>
      <c r="D64" s="28" t="b">
        <v>1</v>
      </c>
      <c r="E64" s="28" t="b">
        <v>1</v>
      </c>
      <c r="F64" s="28" t="s">
        <v>482</v>
      </c>
      <c r="G64" s="35" t="b">
        <v>0</v>
      </c>
      <c r="H64" s="31" t="b">
        <v>0</v>
      </c>
      <c r="I64" s="28" t="b">
        <v>0</v>
      </c>
      <c r="J64" s="64" t="b">
        <v>0</v>
      </c>
      <c r="K64" s="35" t="b">
        <v>0</v>
      </c>
      <c r="L64" s="35" t="b">
        <v>0</v>
      </c>
      <c r="M64" s="41" t="s">
        <v>3451</v>
      </c>
      <c r="N64" s="28" t="s">
        <v>761</v>
      </c>
      <c r="O64" s="28" t="s">
        <v>762</v>
      </c>
      <c r="P64" s="28" t="s">
        <v>3328</v>
      </c>
      <c r="Q64" s="34"/>
    </row>
    <row r="65" spans="1:17" ht="30" customHeight="1" x14ac:dyDescent="0.25">
      <c r="A65" s="54" t="s">
        <v>3452</v>
      </c>
      <c r="B65" s="43" t="s">
        <v>485</v>
      </c>
      <c r="C65" s="35">
        <v>200</v>
      </c>
      <c r="D65" s="37" t="b">
        <v>1</v>
      </c>
      <c r="E65" s="37" t="b">
        <v>1</v>
      </c>
      <c r="F65" s="37" t="s">
        <v>482</v>
      </c>
      <c r="G65" s="35" t="b">
        <v>0</v>
      </c>
      <c r="H65" s="43" t="b">
        <v>0</v>
      </c>
      <c r="I65" s="37" t="b">
        <v>0</v>
      </c>
      <c r="J65" s="64" t="b">
        <v>0</v>
      </c>
      <c r="K65" s="35" t="b">
        <v>0</v>
      </c>
      <c r="L65" s="35" t="b">
        <v>0</v>
      </c>
      <c r="M65" s="44" t="s">
        <v>3453</v>
      </c>
      <c r="N65" s="37" t="s">
        <v>761</v>
      </c>
      <c r="O65" s="37" t="s">
        <v>762</v>
      </c>
      <c r="P65" s="37" t="s">
        <v>3328</v>
      </c>
    </row>
    <row r="66" spans="1:17" ht="30" customHeight="1" x14ac:dyDescent="0.25">
      <c r="A66" s="54" t="s">
        <v>3454</v>
      </c>
      <c r="B66" s="31" t="s">
        <v>241</v>
      </c>
      <c r="C66" s="35">
        <v>200</v>
      </c>
      <c r="D66" s="28" t="b">
        <v>1</v>
      </c>
      <c r="E66" s="28" t="b">
        <v>1</v>
      </c>
      <c r="F66" s="28" t="s">
        <v>482</v>
      </c>
      <c r="G66" s="35" t="b">
        <v>0</v>
      </c>
      <c r="H66" s="31" t="b">
        <v>0</v>
      </c>
      <c r="I66" s="28" t="b">
        <v>0</v>
      </c>
      <c r="J66" s="64" t="b">
        <v>0</v>
      </c>
      <c r="K66" s="35" t="b">
        <v>0</v>
      </c>
      <c r="L66" s="35" t="b">
        <v>0</v>
      </c>
      <c r="M66" s="41" t="s">
        <v>3455</v>
      </c>
      <c r="N66" s="28" t="s">
        <v>761</v>
      </c>
      <c r="O66" s="28" t="s">
        <v>762</v>
      </c>
      <c r="P66" s="28" t="s">
        <v>3328</v>
      </c>
      <c r="Q66" s="34"/>
    </row>
    <row r="67" spans="1:17" ht="30" customHeight="1" x14ac:dyDescent="0.25">
      <c r="A67" s="54" t="s">
        <v>3456</v>
      </c>
      <c r="B67" s="43" t="s">
        <v>488</v>
      </c>
      <c r="C67" s="35">
        <v>200</v>
      </c>
      <c r="D67" s="37" t="b">
        <v>1</v>
      </c>
      <c r="E67" s="37" t="b">
        <v>1</v>
      </c>
      <c r="F67" s="37" t="s">
        <v>482</v>
      </c>
      <c r="G67" s="35" t="b">
        <v>0</v>
      </c>
      <c r="H67" s="43" t="b">
        <v>0</v>
      </c>
      <c r="I67" s="37" t="b">
        <v>0</v>
      </c>
      <c r="J67" s="64" t="b">
        <v>0</v>
      </c>
      <c r="K67" s="35" t="b">
        <v>0</v>
      </c>
      <c r="L67" s="35" t="b">
        <v>0</v>
      </c>
      <c r="M67" s="44" t="s">
        <v>3457</v>
      </c>
      <c r="N67" s="37" t="s">
        <v>761</v>
      </c>
      <c r="O67" s="37" t="s">
        <v>762</v>
      </c>
      <c r="P67" s="37" t="s">
        <v>3328</v>
      </c>
    </row>
    <row r="68" spans="1:17" ht="30" customHeight="1" x14ac:dyDescent="0.25">
      <c r="A68" s="54" t="s">
        <v>3458</v>
      </c>
      <c r="B68" s="31" t="s">
        <v>594</v>
      </c>
      <c r="C68" s="35">
        <v>200</v>
      </c>
      <c r="D68" s="28" t="b">
        <v>1</v>
      </c>
      <c r="E68" s="28" t="b">
        <v>1</v>
      </c>
      <c r="F68" s="28" t="s">
        <v>482</v>
      </c>
      <c r="G68" s="35" t="b">
        <v>0</v>
      </c>
      <c r="H68" s="31" t="b">
        <v>0</v>
      </c>
      <c r="I68" s="28" t="b">
        <v>0</v>
      </c>
      <c r="J68" s="64" t="b">
        <v>0</v>
      </c>
      <c r="K68" s="35" t="b">
        <v>0</v>
      </c>
      <c r="L68" s="35" t="b">
        <v>0</v>
      </c>
      <c r="M68" s="41" t="s">
        <v>3459</v>
      </c>
      <c r="N68" s="28" t="s">
        <v>761</v>
      </c>
      <c r="O68" s="28" t="s">
        <v>762</v>
      </c>
      <c r="P68" s="28" t="s">
        <v>3328</v>
      </c>
      <c r="Q68" s="34"/>
    </row>
    <row r="69" spans="1:17" ht="30" customHeight="1" x14ac:dyDescent="0.25">
      <c r="A69" s="54" t="s">
        <v>3460</v>
      </c>
      <c r="B69" s="43" t="s">
        <v>201</v>
      </c>
      <c r="C69" s="35">
        <v>200</v>
      </c>
      <c r="D69" s="37" t="b">
        <v>1</v>
      </c>
      <c r="E69" s="37" t="b">
        <v>1</v>
      </c>
      <c r="F69" s="37" t="s">
        <v>482</v>
      </c>
      <c r="G69" s="35" t="b">
        <v>0</v>
      </c>
      <c r="H69" s="43" t="b">
        <v>0</v>
      </c>
      <c r="I69" s="37" t="b">
        <v>0</v>
      </c>
      <c r="J69" s="64" t="b">
        <v>0</v>
      </c>
      <c r="K69" s="35" t="b">
        <v>0</v>
      </c>
      <c r="L69" s="35" t="b">
        <v>0</v>
      </c>
      <c r="M69" s="44" t="s">
        <v>3461</v>
      </c>
      <c r="N69" s="37" t="s">
        <v>761</v>
      </c>
      <c r="O69" s="37" t="s">
        <v>762</v>
      </c>
      <c r="P69" s="37" t="s">
        <v>3328</v>
      </c>
    </row>
    <row r="70" spans="1:17" ht="30" customHeight="1" x14ac:dyDescent="0.25">
      <c r="A70" s="54" t="s">
        <v>3462</v>
      </c>
      <c r="B70" s="31" t="s">
        <v>208</v>
      </c>
      <c r="C70" s="35">
        <v>200</v>
      </c>
      <c r="D70" s="28" t="b">
        <v>1</v>
      </c>
      <c r="E70" s="28" t="b">
        <v>1</v>
      </c>
      <c r="F70" s="28" t="s">
        <v>482</v>
      </c>
      <c r="G70" s="35" t="b">
        <v>0</v>
      </c>
      <c r="H70" s="31" t="b">
        <v>0</v>
      </c>
      <c r="I70" s="28" t="b">
        <v>0</v>
      </c>
      <c r="J70" s="64" t="b">
        <v>0</v>
      </c>
      <c r="K70" s="35" t="b">
        <v>0</v>
      </c>
      <c r="L70" s="35" t="b">
        <v>0</v>
      </c>
      <c r="M70" s="41" t="s">
        <v>3463</v>
      </c>
      <c r="N70" s="28" t="s">
        <v>761</v>
      </c>
      <c r="O70" s="28" t="s">
        <v>762</v>
      </c>
      <c r="P70" s="28" t="s">
        <v>3328</v>
      </c>
      <c r="Q70" s="34"/>
    </row>
    <row r="71" spans="1:17" ht="30" customHeight="1" x14ac:dyDescent="0.25">
      <c r="A71" s="54" t="s">
        <v>3464</v>
      </c>
      <c r="B71" s="43" t="s">
        <v>224</v>
      </c>
      <c r="C71" s="35">
        <v>200</v>
      </c>
      <c r="D71" s="37" t="b">
        <v>1</v>
      </c>
      <c r="E71" s="37" t="b">
        <v>1</v>
      </c>
      <c r="F71" s="37" t="s">
        <v>482</v>
      </c>
      <c r="G71" s="35" t="b">
        <v>0</v>
      </c>
      <c r="H71" s="43" t="b">
        <v>0</v>
      </c>
      <c r="I71" s="37" t="b">
        <v>0</v>
      </c>
      <c r="J71" s="64" t="b">
        <v>0</v>
      </c>
      <c r="K71" s="35" t="b">
        <v>0</v>
      </c>
      <c r="L71" s="35" t="b">
        <v>0</v>
      </c>
      <c r="M71" s="44" t="s">
        <v>3465</v>
      </c>
      <c r="N71" s="37" t="s">
        <v>761</v>
      </c>
      <c r="O71" s="37" t="s">
        <v>762</v>
      </c>
      <c r="P71" s="37" t="s">
        <v>3328</v>
      </c>
    </row>
    <row r="72" spans="1:17" ht="30" customHeight="1" x14ac:dyDescent="0.25">
      <c r="A72" s="54" t="s">
        <v>3466</v>
      </c>
      <c r="B72" s="31" t="s">
        <v>216</v>
      </c>
      <c r="C72" s="35">
        <v>200</v>
      </c>
      <c r="D72" s="28" t="b">
        <v>1</v>
      </c>
      <c r="E72" s="28" t="b">
        <v>1</v>
      </c>
      <c r="F72" s="28" t="s">
        <v>482</v>
      </c>
      <c r="G72" s="35" t="b">
        <v>0</v>
      </c>
      <c r="H72" s="31" t="b">
        <v>0</v>
      </c>
      <c r="I72" s="28" t="b">
        <v>0</v>
      </c>
      <c r="J72" s="64" t="b">
        <v>0</v>
      </c>
      <c r="K72" s="35" t="b">
        <v>0</v>
      </c>
      <c r="L72" s="35" t="b">
        <v>0</v>
      </c>
      <c r="M72" s="41" t="s">
        <v>3467</v>
      </c>
      <c r="N72" s="28" t="s">
        <v>761</v>
      </c>
      <c r="O72" s="28" t="s">
        <v>762</v>
      </c>
      <c r="P72" s="28" t="s">
        <v>3328</v>
      </c>
      <c r="Q72" s="34"/>
    </row>
    <row r="73" spans="1:17" ht="30" customHeight="1" x14ac:dyDescent="0.25">
      <c r="A73" s="54" t="s">
        <v>3468</v>
      </c>
      <c r="B73" s="43" t="s">
        <v>515</v>
      </c>
      <c r="C73" s="35">
        <v>200</v>
      </c>
      <c r="D73" s="37" t="b">
        <v>1</v>
      </c>
      <c r="E73" s="37" t="b">
        <v>1</v>
      </c>
      <c r="F73" s="37" t="s">
        <v>482</v>
      </c>
      <c r="G73" s="35" t="b">
        <v>0</v>
      </c>
      <c r="H73" s="43" t="b">
        <v>0</v>
      </c>
      <c r="I73" s="37" t="b">
        <v>0</v>
      </c>
      <c r="J73" s="64" t="b">
        <v>0</v>
      </c>
      <c r="K73" s="35" t="b">
        <v>0</v>
      </c>
      <c r="L73" s="35" t="b">
        <v>0</v>
      </c>
      <c r="M73" s="44" t="s">
        <v>3469</v>
      </c>
      <c r="N73" s="37" t="s">
        <v>761</v>
      </c>
      <c r="O73" s="37" t="s">
        <v>762</v>
      </c>
      <c r="P73" s="37" t="s">
        <v>3328</v>
      </c>
    </row>
    <row r="74" spans="1:17" ht="30" customHeight="1" x14ac:dyDescent="0.25">
      <c r="A74" s="54" t="s">
        <v>3470</v>
      </c>
      <c r="B74" s="31" t="s">
        <v>683</v>
      </c>
      <c r="C74" s="35">
        <v>200</v>
      </c>
      <c r="D74" s="28" t="b">
        <v>1</v>
      </c>
      <c r="E74" s="28" t="b">
        <v>1</v>
      </c>
      <c r="F74" s="28" t="s">
        <v>482</v>
      </c>
      <c r="G74" s="35" t="b">
        <v>0</v>
      </c>
      <c r="H74" s="31" t="b">
        <v>0</v>
      </c>
      <c r="I74" s="28" t="b">
        <v>0</v>
      </c>
      <c r="J74" s="64" t="b">
        <v>0</v>
      </c>
      <c r="K74" s="35" t="b">
        <v>0</v>
      </c>
      <c r="L74" s="35" t="b">
        <v>0</v>
      </c>
      <c r="M74" s="41" t="s">
        <v>3471</v>
      </c>
      <c r="N74" s="28" t="s">
        <v>761</v>
      </c>
      <c r="O74" s="28" t="s">
        <v>762</v>
      </c>
      <c r="P74" s="28" t="s">
        <v>3328</v>
      </c>
      <c r="Q74" s="34"/>
    </row>
    <row r="75" spans="1:17" ht="30" customHeight="1" x14ac:dyDescent="0.25">
      <c r="A75" s="54" t="s">
        <v>3472</v>
      </c>
      <c r="B75" s="43" t="s">
        <v>673</v>
      </c>
      <c r="C75" s="35">
        <v>200</v>
      </c>
      <c r="D75" s="37" t="b">
        <v>1</v>
      </c>
      <c r="E75" s="37" t="b">
        <v>1</v>
      </c>
      <c r="F75" s="37" t="s">
        <v>482</v>
      </c>
      <c r="G75" s="35" t="b">
        <v>0</v>
      </c>
      <c r="H75" s="43" t="b">
        <v>0</v>
      </c>
      <c r="I75" s="37" t="b">
        <v>0</v>
      </c>
      <c r="J75" s="64" t="b">
        <v>0</v>
      </c>
      <c r="K75" s="35" t="b">
        <v>0</v>
      </c>
      <c r="L75" s="35" t="b">
        <v>0</v>
      </c>
      <c r="M75" s="44" t="s">
        <v>3473</v>
      </c>
      <c r="N75" s="37" t="s">
        <v>761</v>
      </c>
      <c r="O75" s="37" t="s">
        <v>762</v>
      </c>
      <c r="P75" s="37" t="s">
        <v>3328</v>
      </c>
    </row>
    <row r="76" spans="1:17" ht="30" customHeight="1" x14ac:dyDescent="0.25">
      <c r="A76" s="54" t="s">
        <v>3474</v>
      </c>
      <c r="B76" s="31" t="s">
        <v>560</v>
      </c>
      <c r="C76" s="35">
        <v>200</v>
      </c>
      <c r="D76" s="28" t="b">
        <v>1</v>
      </c>
      <c r="E76" s="28" t="b">
        <v>1</v>
      </c>
      <c r="F76" s="28" t="s">
        <v>482</v>
      </c>
      <c r="G76" s="35" t="b">
        <v>0</v>
      </c>
      <c r="H76" s="31" t="b">
        <v>0</v>
      </c>
      <c r="I76" s="28" t="b">
        <v>0</v>
      </c>
      <c r="J76" s="64" t="b">
        <v>0</v>
      </c>
      <c r="K76" s="35" t="b">
        <v>0</v>
      </c>
      <c r="L76" s="35" t="b">
        <v>0</v>
      </c>
      <c r="M76" s="41" t="s">
        <v>3475</v>
      </c>
      <c r="N76" s="28" t="s">
        <v>761</v>
      </c>
      <c r="O76" s="28" t="s">
        <v>762</v>
      </c>
      <c r="P76" s="28" t="s">
        <v>3328</v>
      </c>
      <c r="Q76" s="34"/>
    </row>
    <row r="77" spans="1:17" ht="30" customHeight="1" x14ac:dyDescent="0.25">
      <c r="A77" s="54" t="s">
        <v>3476</v>
      </c>
      <c r="B77" s="43" t="s">
        <v>552</v>
      </c>
      <c r="C77" s="35">
        <v>200</v>
      </c>
      <c r="D77" s="37" t="b">
        <v>1</v>
      </c>
      <c r="E77" s="37" t="b">
        <v>1</v>
      </c>
      <c r="F77" s="37" t="s">
        <v>482</v>
      </c>
      <c r="G77" s="35" t="b">
        <v>0</v>
      </c>
      <c r="H77" s="43" t="b">
        <v>0</v>
      </c>
      <c r="I77" s="37" t="b">
        <v>0</v>
      </c>
      <c r="J77" s="64" t="b">
        <v>0</v>
      </c>
      <c r="K77" s="35" t="b">
        <v>0</v>
      </c>
      <c r="L77" s="35" t="b">
        <v>0</v>
      </c>
      <c r="M77" s="44" t="s">
        <v>3477</v>
      </c>
      <c r="N77" s="37" t="s">
        <v>761</v>
      </c>
      <c r="O77" s="37" t="s">
        <v>762</v>
      </c>
      <c r="P77" s="37" t="s">
        <v>3328</v>
      </c>
    </row>
    <row r="78" spans="1:17" ht="30" customHeight="1" x14ac:dyDescent="0.25">
      <c r="A78" s="54" t="s">
        <v>3478</v>
      </c>
      <c r="B78" s="31" t="s">
        <v>557</v>
      </c>
      <c r="C78" s="35">
        <v>200</v>
      </c>
      <c r="D78" s="28" t="b">
        <v>1</v>
      </c>
      <c r="E78" s="28" t="b">
        <v>1</v>
      </c>
      <c r="F78" s="28" t="s">
        <v>482</v>
      </c>
      <c r="G78" s="35" t="b">
        <v>0</v>
      </c>
      <c r="H78" s="31" t="b">
        <v>0</v>
      </c>
      <c r="I78" s="28" t="b">
        <v>0</v>
      </c>
      <c r="J78" s="64" t="b">
        <v>0</v>
      </c>
      <c r="K78" s="35" t="b">
        <v>0</v>
      </c>
      <c r="L78" s="35" t="b">
        <v>0</v>
      </c>
      <c r="M78" s="41" t="s">
        <v>3479</v>
      </c>
      <c r="N78" s="28" t="s">
        <v>761</v>
      </c>
      <c r="O78" s="28" t="s">
        <v>762</v>
      </c>
      <c r="P78" s="28" t="s">
        <v>3328</v>
      </c>
      <c r="Q78" s="34"/>
    </row>
    <row r="79" spans="1:17" ht="30" customHeight="1" x14ac:dyDescent="0.25">
      <c r="A79" s="54" t="s">
        <v>3480</v>
      </c>
      <c r="B79" s="43" t="s">
        <v>555</v>
      </c>
      <c r="C79" s="35">
        <v>200</v>
      </c>
      <c r="D79" s="37" t="b">
        <v>1</v>
      </c>
      <c r="E79" s="37" t="b">
        <v>1</v>
      </c>
      <c r="F79" s="37" t="s">
        <v>482</v>
      </c>
      <c r="G79" s="35" t="b">
        <v>0</v>
      </c>
      <c r="H79" s="43" t="b">
        <v>0</v>
      </c>
      <c r="I79" s="37" t="b">
        <v>0</v>
      </c>
      <c r="J79" s="64" t="b">
        <v>0</v>
      </c>
      <c r="K79" s="35" t="b">
        <v>0</v>
      </c>
      <c r="L79" s="35" t="b">
        <v>0</v>
      </c>
      <c r="M79" s="44" t="s">
        <v>3481</v>
      </c>
      <c r="N79" s="37" t="s">
        <v>761</v>
      </c>
      <c r="O79" s="37" t="s">
        <v>762</v>
      </c>
      <c r="P79" s="37" t="s">
        <v>3328</v>
      </c>
    </row>
    <row r="80" spans="1:17" ht="30" customHeight="1" x14ac:dyDescent="0.25">
      <c r="A80" s="54" t="s">
        <v>3482</v>
      </c>
      <c r="B80" s="31" t="s">
        <v>512</v>
      </c>
      <c r="C80" s="35">
        <v>200</v>
      </c>
      <c r="D80" s="28" t="b">
        <v>1</v>
      </c>
      <c r="E80" s="28" t="b">
        <v>1</v>
      </c>
      <c r="F80" s="28" t="s">
        <v>482</v>
      </c>
      <c r="G80" s="35" t="b">
        <v>0</v>
      </c>
      <c r="H80" s="31" t="b">
        <v>0</v>
      </c>
      <c r="I80" s="28" t="b">
        <v>0</v>
      </c>
      <c r="J80" s="64" t="b">
        <v>0</v>
      </c>
      <c r="K80" s="35" t="b">
        <v>0</v>
      </c>
      <c r="L80" s="35" t="b">
        <v>0</v>
      </c>
      <c r="M80" s="41" t="s">
        <v>3483</v>
      </c>
      <c r="N80" s="28" t="s">
        <v>761</v>
      </c>
      <c r="O80" s="28" t="s">
        <v>762</v>
      </c>
      <c r="P80" s="28" t="s">
        <v>3328</v>
      </c>
      <c r="Q80" s="34"/>
    </row>
    <row r="81" spans="1:17" ht="30" customHeight="1" x14ac:dyDescent="0.25">
      <c r="A81" s="54" t="s">
        <v>3484</v>
      </c>
      <c r="B81" s="43" t="s">
        <v>686</v>
      </c>
      <c r="C81" s="35">
        <v>200</v>
      </c>
      <c r="D81" s="37" t="b">
        <v>1</v>
      </c>
      <c r="E81" s="37" t="b">
        <v>1</v>
      </c>
      <c r="F81" s="37" t="s">
        <v>482</v>
      </c>
      <c r="G81" s="35" t="b">
        <v>0</v>
      </c>
      <c r="H81" s="43" t="b">
        <v>0</v>
      </c>
      <c r="I81" s="37" t="b">
        <v>0</v>
      </c>
      <c r="J81" s="64" t="b">
        <v>0</v>
      </c>
      <c r="K81" s="35" t="b">
        <v>0</v>
      </c>
      <c r="L81" s="35" t="b">
        <v>0</v>
      </c>
      <c r="M81" s="44" t="s">
        <v>3485</v>
      </c>
      <c r="N81" s="37" t="s">
        <v>761</v>
      </c>
      <c r="O81" s="37" t="s">
        <v>762</v>
      </c>
      <c r="P81" s="37" t="s">
        <v>3328</v>
      </c>
    </row>
    <row r="82" spans="1:17" ht="30" customHeight="1" x14ac:dyDescent="0.25">
      <c r="A82" s="54" t="s">
        <v>3486</v>
      </c>
      <c r="B82" s="31" t="s">
        <v>661</v>
      </c>
      <c r="C82" s="35">
        <v>200</v>
      </c>
      <c r="D82" s="28" t="b">
        <v>1</v>
      </c>
      <c r="E82" s="28" t="b">
        <v>1</v>
      </c>
      <c r="F82" s="28" t="s">
        <v>482</v>
      </c>
      <c r="G82" s="35" t="b">
        <v>0</v>
      </c>
      <c r="H82" s="31" t="b">
        <v>0</v>
      </c>
      <c r="I82" s="28" t="b">
        <v>0</v>
      </c>
      <c r="J82" s="64" t="b">
        <v>0</v>
      </c>
      <c r="K82" s="35" t="b">
        <v>0</v>
      </c>
      <c r="L82" s="35" t="b">
        <v>0</v>
      </c>
      <c r="M82" s="41" t="s">
        <v>3487</v>
      </c>
      <c r="N82" s="28" t="s">
        <v>761</v>
      </c>
      <c r="O82" s="28" t="s">
        <v>762</v>
      </c>
      <c r="P82" s="28" t="s">
        <v>3328</v>
      </c>
      <c r="Q82" s="34"/>
    </row>
    <row r="83" spans="1:17" ht="30" customHeight="1" x14ac:dyDescent="0.25">
      <c r="A83" s="54" t="s">
        <v>3488</v>
      </c>
      <c r="B83" s="43" t="s">
        <v>629</v>
      </c>
      <c r="C83" s="35">
        <v>200</v>
      </c>
      <c r="D83" s="37" t="b">
        <v>1</v>
      </c>
      <c r="E83" s="37" t="b">
        <v>1</v>
      </c>
      <c r="F83" s="37" t="s">
        <v>482</v>
      </c>
      <c r="G83" s="35" t="b">
        <v>0</v>
      </c>
      <c r="H83" s="43" t="b">
        <v>0</v>
      </c>
      <c r="I83" s="37" t="b">
        <v>0</v>
      </c>
      <c r="J83" s="64" t="b">
        <v>0</v>
      </c>
      <c r="K83" s="35" t="b">
        <v>0</v>
      </c>
      <c r="L83" s="35" t="b">
        <v>0</v>
      </c>
      <c r="M83" s="44" t="s">
        <v>3489</v>
      </c>
      <c r="N83" s="37" t="s">
        <v>761</v>
      </c>
      <c r="O83" s="37" t="s">
        <v>762</v>
      </c>
      <c r="P83" s="37" t="s">
        <v>3328</v>
      </c>
    </row>
    <row r="84" spans="1:17" ht="30" customHeight="1" x14ac:dyDescent="0.25">
      <c r="A84" s="54" t="s">
        <v>3490</v>
      </c>
      <c r="B84" s="31" t="s">
        <v>177</v>
      </c>
      <c r="C84" s="35">
        <v>200</v>
      </c>
      <c r="D84" s="28" t="b">
        <v>1</v>
      </c>
      <c r="E84" s="28" t="b">
        <v>1</v>
      </c>
      <c r="F84" s="28" t="s">
        <v>482</v>
      </c>
      <c r="G84" s="35" t="b">
        <v>0</v>
      </c>
      <c r="H84" s="31" t="b">
        <v>0</v>
      </c>
      <c r="I84" s="28" t="b">
        <v>0</v>
      </c>
      <c r="J84" s="64" t="b">
        <v>0</v>
      </c>
      <c r="K84" s="35" t="b">
        <v>0</v>
      </c>
      <c r="L84" s="35" t="b">
        <v>0</v>
      </c>
      <c r="M84" s="41" t="s">
        <v>3491</v>
      </c>
      <c r="N84" s="28" t="s">
        <v>761</v>
      </c>
      <c r="O84" s="28" t="s">
        <v>762</v>
      </c>
      <c r="P84" s="28" t="s">
        <v>3328</v>
      </c>
      <c r="Q84" s="34"/>
    </row>
    <row r="85" spans="1:17" ht="30" customHeight="1" x14ac:dyDescent="0.25">
      <c r="A85" s="54" t="s">
        <v>3492</v>
      </c>
      <c r="B85" s="43" t="s">
        <v>650</v>
      </c>
      <c r="C85" s="35">
        <v>200</v>
      </c>
      <c r="D85" s="37" t="b">
        <v>1</v>
      </c>
      <c r="E85" s="37" t="b">
        <v>1</v>
      </c>
      <c r="F85" s="37" t="s">
        <v>482</v>
      </c>
      <c r="G85" s="35" t="b">
        <v>0</v>
      </c>
      <c r="H85" s="43" t="b">
        <v>0</v>
      </c>
      <c r="I85" s="37" t="b">
        <v>0</v>
      </c>
      <c r="J85" s="64" t="b">
        <v>0</v>
      </c>
      <c r="K85" s="35" t="b">
        <v>0</v>
      </c>
      <c r="L85" s="35" t="b">
        <v>0</v>
      </c>
      <c r="M85" s="44" t="s">
        <v>3493</v>
      </c>
      <c r="N85" s="37" t="s">
        <v>761</v>
      </c>
      <c r="O85" s="37" t="s">
        <v>762</v>
      </c>
      <c r="P85" s="37" t="s">
        <v>3328</v>
      </c>
    </row>
    <row r="86" spans="1:17" ht="30" customHeight="1" x14ac:dyDescent="0.25">
      <c r="A86" s="54" t="s">
        <v>3494</v>
      </c>
      <c r="B86" s="31" t="s">
        <v>641</v>
      </c>
      <c r="C86" s="35">
        <v>200</v>
      </c>
      <c r="D86" s="28" t="b">
        <v>1</v>
      </c>
      <c r="E86" s="28" t="b">
        <v>1</v>
      </c>
      <c r="F86" s="28" t="s">
        <v>482</v>
      </c>
      <c r="G86" s="35" t="b">
        <v>0</v>
      </c>
      <c r="H86" s="31" t="b">
        <v>0</v>
      </c>
      <c r="I86" s="28" t="b">
        <v>0</v>
      </c>
      <c r="J86" s="64" t="b">
        <v>0</v>
      </c>
      <c r="K86" s="35" t="b">
        <v>0</v>
      </c>
      <c r="L86" s="35" t="b">
        <v>0</v>
      </c>
      <c r="M86" s="41" t="s">
        <v>3495</v>
      </c>
      <c r="N86" s="28" t="s">
        <v>761</v>
      </c>
      <c r="O86" s="28" t="s">
        <v>762</v>
      </c>
      <c r="P86" s="28" t="s">
        <v>3328</v>
      </c>
      <c r="Q86" s="34"/>
    </row>
  </sheetData>
  <autoFilter ref="A1:Q86" xr:uid="{00000000-0009-0000-0000-000018000000}"/>
  <conditionalFormatting sqref="C2:C86">
    <cfRule type="cellIs" dxfId="2" priority="1" operator="equal">
      <formula>200</formula>
    </cfRule>
    <cfRule type="cellIs" dxfId="1" priority="2" operator="between">
      <formula>300</formula>
      <formula>399</formula>
    </cfRule>
    <cfRule type="cellIs" dxfId="0" priority="3" operator="greaterThanOrEqual">
      <formula>400</formula>
    </cfRule>
  </conditionalFormatting>
  <dataValidations count="17">
    <dataValidation type="custom" allowBlank="1" showInputMessage="1" promptTitle="Sitemap URL" prompt="Sitemap URL. Use this URL to inspect the page directly or jump to related tabs." sqref="A1" xr:uid="{00000000-0002-0000-1800-000000000000}">
      <formula1>TRUE</formula1>
    </dataValidation>
    <dataValidation type="custom" allowBlank="1" showInputMessage="1" promptTitle="Final URL" prompt="Final URL. Use this URL to inspect the page directly or jump to related tabs." sqref="B1" xr:uid="{00000000-0002-0000-1800-000001000000}">
      <formula1>TRUE</formula1>
    </dataValidation>
    <dataValidation type="custom" allowBlank="1" showInputMessage="1" promptTitle="Status Code" prompt="HTTP response code returned for this page/resource. Fix: Resolve 4xx/5xx errors and reduce unnecessary redirects." sqref="C1" xr:uid="{00000000-0002-0000-1800-000002000000}">
      <formula1>TRUE</formula1>
    </dataValidation>
    <dataValidation type="custom" allowBlank="1" showInputMessage="1" promptTitle="Found via Crawl" prompt="Found via Crawl. Review this metric to identify risk, then use linked tabs for details and remediation." sqref="D1" xr:uid="{00000000-0002-0000-1800-000003000000}">
      <formula1>TRUE</formula1>
    </dataValidation>
    <dataValidation type="custom" allowBlank="1" showInputMessage="1" promptTitle="Found via Sitemap" prompt="Found via Sitemap. Review this metric to identify risk, then use linked tabs for details and remediation." sqref="E1" xr:uid="{00000000-0002-0000-1800-000004000000}">
      <formula1>TRUE</formula1>
    </dataValidation>
    <dataValidation type="custom" allowBlank="1" showInputMessage="1" promptTitle="Discovery Source" prompt="Discovery Source. Review this metric to identify risk, then use linked tabs for details and remediation." sqref="F1" xr:uid="{00000000-0002-0000-1800-000005000000}">
      <formula1>TRUE</formula1>
    </dataValidation>
    <dataValidation type="custom" allowBlank="1" showInputMessage="1" promptTitle="In Sitemap but Non-200" prompt="In Sitemap but Non-200. Review this metric to identify risk, then use linked tabs for details and remediation." sqref="G1" xr:uid="{00000000-0002-0000-1800-000006000000}">
      <formula1>TRUE</formula1>
    </dataValidation>
    <dataValidation type="custom" allowBlank="1" showInputMessage="1" promptTitle="Sitemap URL Redirects" prompt="Sitemap URL Redirects. Use this URL to inspect the page directly or jump to related tabs." sqref="H1" xr:uid="{00000000-0002-0000-1800-000007000000}">
      <formula1>TRUE</formula1>
    </dataValidation>
    <dataValidation type="custom" allowBlank="1" showInputMessage="1" promptTitle="In Sitemap but Canonicalized Els" prompt="Indexing/canonicalization signal. Fix: ensure indexable pages use correct canonicals and non-conflicting directives." sqref="I1" xr:uid="{00000000-0002-0000-1800-000008000000}">
      <formula1>TRUE</formula1>
    </dataValidation>
    <dataValidation type="custom" allowBlank="1" showInputMessage="1" promptTitle="Missing &lt;lastmod&gt;" prompt="Missing &lt;lastmod&gt;. Review this metric to identify risk, then use linked tabs for details and remediation." sqref="J1" xr:uid="{00000000-0002-0000-1800-000009000000}">
      <formula1>TRUE</formula1>
    </dataValidation>
    <dataValidation type="custom" allowBlank="1" showInputMessage="1" promptTitle="Missing &lt;changefreq&gt;" prompt="Missing &lt;changefreq&gt;. Review this metric to identify risk, then use linked tabs for details and remediation." sqref="K1" xr:uid="{00000000-0002-0000-1800-00000A000000}">
      <formula1>TRUE</formula1>
    </dataValidation>
    <dataValidation type="custom" allowBlank="1" showInputMessage="1" promptTitle="Missing &lt;priority&gt;" prompt="Missing &lt;priority&gt;. Review this metric to identify risk, then use linked tabs for details and remediation." sqref="L1" xr:uid="{00000000-0002-0000-1800-00000B000000}">
      <formula1>TRUE</formula1>
    </dataValidation>
    <dataValidation type="custom" allowBlank="1" showInputMessage="1" promptTitle="Sitemap &lt;lastmod&gt;" prompt="Sitemap &lt;lastmod&gt;. Review this metric to identify risk, then use linked tabs for details and remediation." sqref="M1" xr:uid="{00000000-0002-0000-1800-00000C000000}">
      <formula1>TRUE</formula1>
    </dataValidation>
    <dataValidation type="custom" allowBlank="1" showInputMessage="1" promptTitle="Sitemap &lt;changefreq&gt;" prompt="Sitemap &lt;changefreq&gt;. Review this metric to identify risk, then use linked tabs for details and remediation." sqref="N1" xr:uid="{00000000-0002-0000-1800-00000D000000}">
      <formula1>TRUE</formula1>
    </dataValidation>
    <dataValidation type="custom" allowBlank="1" showInputMessage="1" promptTitle="Sitemap &lt;priority&gt;" prompt="Sitemap &lt;priority&gt;. Review this metric to identify risk, then use linked tabs for details and remediation." sqref="O1" xr:uid="{00000000-0002-0000-1800-00000E000000}">
      <formula1>TRUE</formula1>
    </dataValidation>
    <dataValidation type="custom" allowBlank="1" showInputMessage="1" promptTitle="Source Sitemap" prompt="Source Sitemap. Review this metric to identify risk, then use linked tabs for details and remediation." sqref="P1" xr:uid="{00000000-0002-0000-1800-00000F000000}">
      <formula1>TRUE</formula1>
    </dataValidation>
    <dataValidation type="custom" allowBlank="1" showInputMessage="1" promptTitle="BACK TO DASHBOARD" prompt="BACK TO DASHBOARD. Review this metric to identify risk, then use linked tabs for details and remediation." sqref="Q1" xr:uid="{00000000-0002-0000-1800-000010000000}">
      <formula1>TRUE</formula1>
    </dataValidation>
  </dataValidations>
  <hyperlinks>
    <hyperlink ref="Q1" location="Dashboard!A1" display="BACK TO DASHBOARD" xr:uid="{00000000-0004-0000-1800-000000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27" t="s">
        <v>3496</v>
      </c>
      <c r="B1" s="27" t="s">
        <v>65</v>
      </c>
      <c r="C1" s="36" t="s">
        <v>251</v>
      </c>
    </row>
    <row r="2" spans="1:3" x14ac:dyDescent="0.25">
      <c r="A2" s="35" t="s">
        <v>3497</v>
      </c>
      <c r="B2" s="28">
        <v>85</v>
      </c>
      <c r="C2" s="34"/>
    </row>
    <row r="3" spans="1:3" x14ac:dyDescent="0.25">
      <c r="A3" s="35" t="s">
        <v>3498</v>
      </c>
      <c r="B3" s="37">
        <v>0</v>
      </c>
    </row>
    <row r="4" spans="1:3" x14ac:dyDescent="0.25">
      <c r="A4" s="35" t="s">
        <v>3499</v>
      </c>
      <c r="B4" s="28">
        <v>0</v>
      </c>
      <c r="C4" s="34"/>
    </row>
    <row r="5" spans="1:3" x14ac:dyDescent="0.25">
      <c r="A5" s="35" t="s">
        <v>3500</v>
      </c>
      <c r="B5" s="37">
        <v>0</v>
      </c>
    </row>
    <row r="6" spans="1:3" x14ac:dyDescent="0.25">
      <c r="A6" s="35" t="s">
        <v>3501</v>
      </c>
      <c r="B6" s="28">
        <v>0</v>
      </c>
      <c r="C6" s="34"/>
    </row>
    <row r="7" spans="1:3" x14ac:dyDescent="0.25">
      <c r="A7" s="35" t="s">
        <v>3502</v>
      </c>
      <c r="B7" s="37">
        <v>0</v>
      </c>
    </row>
    <row r="8" spans="1:3" x14ac:dyDescent="0.25">
      <c r="A8" s="35" t="s">
        <v>3503</v>
      </c>
      <c r="B8" s="28">
        <v>0</v>
      </c>
      <c r="C8" s="34"/>
    </row>
    <row r="9" spans="1:3" x14ac:dyDescent="0.25">
      <c r="A9" s="35" t="s">
        <v>3504</v>
      </c>
      <c r="B9" s="37">
        <v>0</v>
      </c>
    </row>
    <row r="10" spans="1:3" x14ac:dyDescent="0.25">
      <c r="A10" s="35" t="s">
        <v>3505</v>
      </c>
      <c r="B10" s="28">
        <v>0</v>
      </c>
      <c r="C10" s="34"/>
    </row>
    <row r="11" spans="1:3" x14ac:dyDescent="0.25">
      <c r="A11" s="35" t="s">
        <v>3506</v>
      </c>
      <c r="B11" s="37">
        <v>0</v>
      </c>
    </row>
    <row r="12" spans="1:3" x14ac:dyDescent="0.25">
      <c r="A12" s="35" t="s">
        <v>3507</v>
      </c>
      <c r="B12" s="28">
        <v>0</v>
      </c>
      <c r="C12" s="34"/>
    </row>
    <row r="13" spans="1:3" x14ac:dyDescent="0.25">
      <c r="A13" s="35" t="s">
        <v>3508</v>
      </c>
      <c r="B13" s="37">
        <v>0</v>
      </c>
    </row>
    <row r="14" spans="1:3" x14ac:dyDescent="0.25">
      <c r="A14" s="35" t="s">
        <v>3509</v>
      </c>
      <c r="B14" s="28">
        <v>0</v>
      </c>
      <c r="C14" s="34"/>
    </row>
    <row r="15" spans="1:3" x14ac:dyDescent="0.25">
      <c r="A15" s="35" t="s">
        <v>3510</v>
      </c>
      <c r="B15" s="37">
        <v>0</v>
      </c>
    </row>
    <row r="16" spans="1:3" x14ac:dyDescent="0.25">
      <c r="A16" s="35" t="s">
        <v>3511</v>
      </c>
      <c r="B16" s="28">
        <v>0</v>
      </c>
      <c r="C16" s="34"/>
    </row>
    <row r="17" spans="1:3" x14ac:dyDescent="0.25">
      <c r="A17" s="35" t="s">
        <v>3512</v>
      </c>
      <c r="B17" s="37">
        <v>0</v>
      </c>
    </row>
    <row r="18" spans="1:3" x14ac:dyDescent="0.25">
      <c r="A18" s="35" t="s">
        <v>3513</v>
      </c>
      <c r="B18" s="28">
        <v>0</v>
      </c>
      <c r="C18" s="34"/>
    </row>
    <row r="19" spans="1:3" x14ac:dyDescent="0.25">
      <c r="A19" s="35" t="s">
        <v>3514</v>
      </c>
      <c r="B19" s="37">
        <v>0</v>
      </c>
    </row>
    <row r="20" spans="1:3" x14ac:dyDescent="0.25">
      <c r="A20" s="35" t="s">
        <v>3515</v>
      </c>
      <c r="B20" s="28">
        <v>0</v>
      </c>
      <c r="C20" s="34"/>
    </row>
    <row r="21" spans="1:3" x14ac:dyDescent="0.25">
      <c r="A21" s="35" t="s">
        <v>3516</v>
      </c>
      <c r="B21" s="37">
        <v>0</v>
      </c>
    </row>
    <row r="22" spans="1:3" x14ac:dyDescent="0.25">
      <c r="A22" s="35" t="s">
        <v>3517</v>
      </c>
      <c r="B22" s="28">
        <v>0</v>
      </c>
      <c r="C22" s="34"/>
    </row>
    <row r="23" spans="1:3" x14ac:dyDescent="0.25">
      <c r="A23" s="35" t="s">
        <v>3518</v>
      </c>
      <c r="B23" s="37">
        <v>0</v>
      </c>
    </row>
    <row r="24" spans="1:3" x14ac:dyDescent="0.25">
      <c r="A24" s="35" t="s">
        <v>3519</v>
      </c>
      <c r="B24" s="28">
        <v>0</v>
      </c>
      <c r="C24" s="34"/>
    </row>
    <row r="25" spans="1:3" x14ac:dyDescent="0.25">
      <c r="A25" s="35" t="s">
        <v>3520</v>
      </c>
      <c r="B25" s="37">
        <v>0</v>
      </c>
    </row>
    <row r="26" spans="1:3" x14ac:dyDescent="0.25">
      <c r="A26" s="35" t="s">
        <v>3521</v>
      </c>
      <c r="B26" s="28">
        <v>0</v>
      </c>
      <c r="C26" s="34"/>
    </row>
    <row r="27" spans="1:3" x14ac:dyDescent="0.25">
      <c r="A27" s="35" t="s">
        <v>3522</v>
      </c>
      <c r="B27" s="37">
        <v>0</v>
      </c>
    </row>
    <row r="28" spans="1:3" x14ac:dyDescent="0.25">
      <c r="A28" s="35" t="s">
        <v>3523</v>
      </c>
      <c r="B28" s="28">
        <v>0</v>
      </c>
      <c r="C28" s="34"/>
    </row>
    <row r="29" spans="1:3" x14ac:dyDescent="0.25">
      <c r="A29" s="35" t="s">
        <v>3524</v>
      </c>
      <c r="B29" s="37">
        <v>0</v>
      </c>
    </row>
    <row r="30" spans="1:3" x14ac:dyDescent="0.25">
      <c r="A30" s="35" t="s">
        <v>3525</v>
      </c>
      <c r="B30" s="28">
        <v>0</v>
      </c>
      <c r="C30" s="34"/>
    </row>
    <row r="31" spans="1:3" x14ac:dyDescent="0.25">
      <c r="A31" s="35" t="s">
        <v>3526</v>
      </c>
      <c r="B31" s="37">
        <v>0</v>
      </c>
    </row>
    <row r="32" spans="1:3" x14ac:dyDescent="0.25">
      <c r="A32" s="35" t="s">
        <v>3527</v>
      </c>
      <c r="B32" s="28">
        <v>0</v>
      </c>
      <c r="C32" s="34"/>
    </row>
    <row r="33" spans="1:3" x14ac:dyDescent="0.25">
      <c r="A33" s="35" t="s">
        <v>3528</v>
      </c>
      <c r="B33" s="37">
        <v>0</v>
      </c>
    </row>
    <row r="34" spans="1:3" x14ac:dyDescent="0.25">
      <c r="A34" s="35" t="s">
        <v>3529</v>
      </c>
      <c r="B34" s="28">
        <v>0</v>
      </c>
      <c r="C34" s="34"/>
    </row>
    <row r="35" spans="1:3" x14ac:dyDescent="0.25">
      <c r="A35" s="35" t="s">
        <v>3530</v>
      </c>
      <c r="B35" s="37">
        <v>0</v>
      </c>
    </row>
    <row r="36" spans="1:3" x14ac:dyDescent="0.25">
      <c r="A36" s="35" t="s">
        <v>3531</v>
      </c>
      <c r="B36" s="28">
        <v>0</v>
      </c>
      <c r="C36" s="34"/>
    </row>
    <row r="37" spans="1:3" x14ac:dyDescent="0.25">
      <c r="A37" s="35" t="s">
        <v>3532</v>
      </c>
      <c r="B37" s="37">
        <v>0</v>
      </c>
    </row>
    <row r="38" spans="1:3" x14ac:dyDescent="0.25">
      <c r="A38" s="35" t="s">
        <v>3533</v>
      </c>
      <c r="B38" s="28">
        <v>0</v>
      </c>
      <c r="C38" s="34"/>
    </row>
    <row r="39" spans="1:3" x14ac:dyDescent="0.25">
      <c r="A39" s="35" t="s">
        <v>3534</v>
      </c>
      <c r="B39" s="37">
        <v>0</v>
      </c>
    </row>
  </sheetData>
  <dataValidations count="3">
    <dataValidation type="custom" allowBlank="1" showInputMessage="1" promptTitle="Metric" prompt="Metric. Review this metric to identify risk, then use linked tabs for details and remediation." sqref="A1" xr:uid="{00000000-0002-0000-1900-000000000000}">
      <formula1>TRUE</formula1>
    </dataValidation>
    <dataValidation type="custom" allowBlank="1" showInputMessage="1" promptTitle="Count" prompt="Count. Review this metric to identify risk, then use linked tabs for details and remediation." sqref="B1" xr:uid="{00000000-0002-0000-1900-000001000000}">
      <formula1>TRUE</formula1>
    </dataValidation>
    <dataValidation type="custom" allowBlank="1" showInputMessage="1" promptTitle="BACK TO DASHBOARD" prompt="BACK TO DASHBOARD. Review this metric to identify risk, then use linked tabs for details and remediation." sqref="C1" xr:uid="{00000000-0002-0000-1900-000002000000}">
      <formula1>TRUE</formula1>
    </dataValidation>
  </dataValidations>
  <hyperlinks>
    <hyperlink ref="C1" location="Dashboard!A1" display="BACK TO DASHBOARD" xr:uid="{00000000-0004-0000-1900-000000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27" t="s">
        <v>3535</v>
      </c>
      <c r="B1" s="27" t="s">
        <v>63</v>
      </c>
      <c r="C1" s="36" t="s">
        <v>251</v>
      </c>
    </row>
    <row r="2" spans="1:3" x14ac:dyDescent="0.25">
      <c r="A2" s="35" t="s">
        <v>3536</v>
      </c>
      <c r="B2" s="39" t="s">
        <v>3537</v>
      </c>
      <c r="C2" s="34"/>
    </row>
    <row r="3" spans="1:3" x14ac:dyDescent="0.25">
      <c r="A3" s="35" t="s">
        <v>3538</v>
      </c>
      <c r="B3" s="42">
        <v>85</v>
      </c>
    </row>
    <row r="4" spans="1:3" x14ac:dyDescent="0.25">
      <c r="A4" s="35" t="s">
        <v>3539</v>
      </c>
      <c r="B4" s="39" t="s">
        <v>3540</v>
      </c>
      <c r="C4" s="34"/>
    </row>
    <row r="5" spans="1:3" x14ac:dyDescent="0.25">
      <c r="A5" s="35" t="s">
        <v>3541</v>
      </c>
      <c r="B5" s="42">
        <v>2</v>
      </c>
    </row>
    <row r="6" spans="1:3" x14ac:dyDescent="0.25">
      <c r="A6" s="35" t="s">
        <v>3542</v>
      </c>
      <c r="B6" s="39">
        <v>4</v>
      </c>
      <c r="C6" s="34"/>
    </row>
    <row r="7" spans="1:3" x14ac:dyDescent="0.25">
      <c r="A7" s="35" t="s">
        <v>3543</v>
      </c>
      <c r="B7" s="42">
        <v>3</v>
      </c>
    </row>
    <row r="8" spans="1:3" x14ac:dyDescent="0.25">
      <c r="A8" s="35" t="s">
        <v>3544</v>
      </c>
      <c r="B8" s="39">
        <v>20</v>
      </c>
      <c r="C8" s="34"/>
    </row>
    <row r="9" spans="1:3" x14ac:dyDescent="0.25">
      <c r="A9" s="35" t="s">
        <v>3545</v>
      </c>
      <c r="B9" s="42">
        <v>0</v>
      </c>
    </row>
    <row r="10" spans="1:3" x14ac:dyDescent="0.25">
      <c r="A10" s="35" t="s">
        <v>3546</v>
      </c>
      <c r="B10" s="39" t="s">
        <v>3547</v>
      </c>
      <c r="C10" s="34"/>
    </row>
  </sheetData>
  <dataValidations count="3">
    <dataValidation type="custom" allowBlank="1" showInputMessage="1" promptTitle="Key" prompt="Key. Review this metric to identify risk, then use linked tabs for details and remediation." sqref="A1" xr:uid="{00000000-0002-0000-1A00-000000000000}">
      <formula1>TRUE</formula1>
    </dataValidation>
    <dataValidation type="custom" allowBlank="1" showInputMessage="1" promptTitle="Value" prompt="Value. Review this metric to identify risk, then use linked tabs for details and remediation." sqref="B1" xr:uid="{00000000-0002-0000-1A00-000001000000}">
      <formula1>TRUE</formula1>
    </dataValidation>
    <dataValidation type="custom" allowBlank="1" showInputMessage="1" promptTitle="BACK TO DASHBOARD" prompt="BACK TO DASHBOARD. Review this metric to identify risk, then use linked tabs for details and remediation." sqref="C1" xr:uid="{00000000-0002-0000-1A00-000002000000}">
      <formula1>TRUE</formula1>
    </dataValidation>
  </dataValidations>
  <hyperlinks>
    <hyperlink ref="C1" location="Dashboard!A1" display="BACK TO DASHBOARD" xr:uid="{00000000-0004-0000-1A00-000000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27" t="s">
        <v>974</v>
      </c>
      <c r="B1" s="27" t="s">
        <v>968</v>
      </c>
      <c r="C1" s="27" t="s">
        <v>102</v>
      </c>
      <c r="D1" s="27" t="s">
        <v>122</v>
      </c>
      <c r="E1" s="36" t="s">
        <v>251</v>
      </c>
    </row>
    <row r="2" spans="1:5" x14ac:dyDescent="0.25">
      <c r="A2" s="35"/>
      <c r="B2" s="28" t="s">
        <v>3548</v>
      </c>
      <c r="C2" s="31"/>
      <c r="D2" s="34" t="str">
        <f>IFERROR(HYPERLINK("#Main!A"&amp;MATCH(C2,Main!A:A,0),"Open"),HYPERLINK("#Main!A1","Open"))</f>
        <v>Open</v>
      </c>
      <c r="E2" s="34"/>
    </row>
  </sheetData>
  <dataValidations count="5">
    <dataValidation type="custom" allowBlank="1" showInputMessage="1" promptTitle="Stable Issue ID" prompt="Stable Issue ID. Review this metric to identify risk, then use linked tabs for details and remediation." sqref="A1" xr:uid="{00000000-0002-0000-1B00-000000000000}">
      <formula1>TRUE</formula1>
    </dataValidation>
    <dataValidation type="custom" allowBlank="1" showInputMessage="1" promptTitle="Issue" prompt="Issue. Review this metric to identify risk, then use linked tabs for details and remediation." sqref="B1" xr:uid="{00000000-0002-0000-1B00-000001000000}">
      <formula1>TRUE</formula1>
    </dataValidation>
    <dataValidation type="custom" allowBlank="1" showInputMessage="1" promptTitle="URL" prompt="URL. Use this URL to inspect the page directly or jump to related tabs." sqref="C1" xr:uid="{00000000-0002-0000-1B00-000002000000}">
      <formula1>TRUE</formula1>
    </dataValidation>
    <dataValidation type="custom" allowBlank="1" showInputMessage="1" promptTitle="Open in Main" prompt="Navigation helper. Click to jump directly to the related record in another tab." sqref="D1" xr:uid="{00000000-0002-0000-1B00-000003000000}">
      <formula1>TRUE</formula1>
    </dataValidation>
    <dataValidation type="custom" allowBlank="1" showInputMessage="1" promptTitle="BACK TO DASHBOARD" prompt="BACK TO DASHBOARD. Review this metric to identify risk, then use linked tabs for details and remediation." sqref="E1" xr:uid="{00000000-0002-0000-1B00-000004000000}">
      <formula1>TRUE</formula1>
    </dataValidation>
  </dataValidations>
  <hyperlinks>
    <hyperlink ref="E1" location="Dashboard!A1" display="BACK TO DASHBOARD" xr:uid="{00000000-0004-0000-1B00-000000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4"/>
  <sheetViews>
    <sheetView workbookViewId="0">
      <pane xSplit="2" ySplit="1" topLeftCell="C2" activePane="bottomRight" state="frozen"/>
      <selection pane="topRight"/>
      <selection pane="bottomLeft"/>
      <selection pane="bottomRight"/>
    </sheetView>
  </sheetViews>
  <sheetFormatPr defaultRowHeight="15" x14ac:dyDescent="0.25"/>
  <cols>
    <col min="1" max="2" width="31" customWidth="1"/>
    <col min="3" max="3" width="60" customWidth="1"/>
    <col min="4" max="5" width="38" customWidth="1"/>
  </cols>
  <sheetData>
    <row r="1" spans="1:6" ht="45" x14ac:dyDescent="0.25">
      <c r="A1" s="27" t="s">
        <v>1</v>
      </c>
      <c r="B1" s="27" t="s">
        <v>3549</v>
      </c>
      <c r="C1" s="27" t="s">
        <v>3550</v>
      </c>
      <c r="D1" s="27" t="s">
        <v>3551</v>
      </c>
      <c r="E1" s="27" t="s">
        <v>3552</v>
      </c>
      <c r="F1" s="36" t="s">
        <v>251</v>
      </c>
    </row>
    <row r="2" spans="1:6" x14ac:dyDescent="0.25">
      <c r="A2" s="35" t="s">
        <v>3553</v>
      </c>
      <c r="B2" s="28" t="s">
        <v>3554</v>
      </c>
      <c r="C2" s="28" t="s">
        <v>3555</v>
      </c>
      <c r="D2" s="28" t="s">
        <v>3556</v>
      </c>
      <c r="E2" s="28" t="s">
        <v>3557</v>
      </c>
      <c r="F2" s="34"/>
    </row>
    <row r="3" spans="1:6" x14ac:dyDescent="0.25">
      <c r="A3" s="35" t="s">
        <v>3553</v>
      </c>
      <c r="B3" s="37" t="s">
        <v>3558</v>
      </c>
      <c r="C3" s="37" t="s">
        <v>3559</v>
      </c>
      <c r="D3" s="37" t="s">
        <v>3560</v>
      </c>
      <c r="E3" s="37" t="s">
        <v>3561</v>
      </c>
    </row>
    <row r="4" spans="1:6" x14ac:dyDescent="0.25">
      <c r="A4" s="35" t="s">
        <v>3553</v>
      </c>
      <c r="B4" s="28" t="s">
        <v>3562</v>
      </c>
      <c r="C4" s="28" t="s">
        <v>3563</v>
      </c>
      <c r="D4" s="28" t="s">
        <v>3564</v>
      </c>
      <c r="E4" s="28" t="s">
        <v>3565</v>
      </c>
      <c r="F4" s="34"/>
    </row>
    <row r="5" spans="1:6" x14ac:dyDescent="0.25">
      <c r="A5" s="35" t="s">
        <v>3566</v>
      </c>
      <c r="B5" s="37" t="s">
        <v>3567</v>
      </c>
      <c r="C5" s="37" t="s">
        <v>3568</v>
      </c>
      <c r="D5" s="37" t="s">
        <v>3569</v>
      </c>
      <c r="E5" s="37" t="s">
        <v>3570</v>
      </c>
    </row>
    <row r="6" spans="1:6" x14ac:dyDescent="0.25">
      <c r="A6" s="35" t="s">
        <v>3566</v>
      </c>
      <c r="B6" s="28" t="s">
        <v>3571</v>
      </c>
      <c r="C6" s="28" t="s">
        <v>3572</v>
      </c>
      <c r="D6" s="28" t="s">
        <v>3573</v>
      </c>
      <c r="E6" s="28" t="s">
        <v>3574</v>
      </c>
      <c r="F6" s="34"/>
    </row>
    <row r="7" spans="1:6" x14ac:dyDescent="0.25">
      <c r="A7" s="35" t="s">
        <v>77</v>
      </c>
      <c r="B7" s="37" t="s">
        <v>71</v>
      </c>
      <c r="C7" s="37" t="s">
        <v>3575</v>
      </c>
      <c r="D7" s="37" t="s">
        <v>3576</v>
      </c>
      <c r="E7" s="37" t="s">
        <v>3570</v>
      </c>
    </row>
    <row r="8" spans="1:6" x14ac:dyDescent="0.25">
      <c r="A8" s="35" t="s">
        <v>77</v>
      </c>
      <c r="B8" s="28" t="s">
        <v>72</v>
      </c>
      <c r="C8" s="28" t="s">
        <v>3577</v>
      </c>
      <c r="D8" s="28" t="s">
        <v>3578</v>
      </c>
      <c r="E8" s="28" t="s">
        <v>3570</v>
      </c>
      <c r="F8" s="34"/>
    </row>
    <row r="9" spans="1:6" x14ac:dyDescent="0.25">
      <c r="A9" s="35" t="s">
        <v>77</v>
      </c>
      <c r="B9" s="37" t="s">
        <v>388</v>
      </c>
      <c r="C9" s="37" t="s">
        <v>3579</v>
      </c>
      <c r="D9" s="37" t="s">
        <v>3580</v>
      </c>
      <c r="E9" s="37" t="s">
        <v>3581</v>
      </c>
    </row>
    <row r="10" spans="1:6" x14ac:dyDescent="0.25">
      <c r="A10" s="35" t="s">
        <v>3582</v>
      </c>
      <c r="B10" s="28" t="s">
        <v>435</v>
      </c>
      <c r="C10" s="28" t="s">
        <v>3583</v>
      </c>
      <c r="D10" s="28" t="s">
        <v>3584</v>
      </c>
      <c r="E10" s="28" t="s">
        <v>3585</v>
      </c>
      <c r="F10" s="34"/>
    </row>
    <row r="11" spans="1:6" x14ac:dyDescent="0.25">
      <c r="A11" s="35" t="s">
        <v>3582</v>
      </c>
      <c r="B11" s="37" t="s">
        <v>885</v>
      </c>
      <c r="C11" s="37" t="s">
        <v>3586</v>
      </c>
      <c r="D11" s="37" t="s">
        <v>3587</v>
      </c>
      <c r="E11" s="37" t="s">
        <v>20</v>
      </c>
    </row>
    <row r="12" spans="1:6" x14ac:dyDescent="0.25">
      <c r="A12" s="35" t="s">
        <v>3588</v>
      </c>
      <c r="B12" s="28" t="s">
        <v>690</v>
      </c>
      <c r="C12" s="28" t="s">
        <v>3589</v>
      </c>
      <c r="D12" s="28" t="s">
        <v>3590</v>
      </c>
      <c r="E12" s="28" t="s">
        <v>3591</v>
      </c>
      <c r="F12" s="34"/>
    </row>
    <row r="13" spans="1:6" x14ac:dyDescent="0.25">
      <c r="A13" s="35" t="s">
        <v>24</v>
      </c>
      <c r="B13" s="37" t="s">
        <v>907</v>
      </c>
      <c r="C13" s="37" t="s">
        <v>3592</v>
      </c>
      <c r="D13" s="37" t="s">
        <v>3593</v>
      </c>
      <c r="E13" s="37" t="s">
        <v>3594</v>
      </c>
    </row>
    <row r="14" spans="1:6" x14ac:dyDescent="0.25">
      <c r="A14" s="35" t="s">
        <v>18</v>
      </c>
      <c r="B14" s="28" t="s">
        <v>872</v>
      </c>
      <c r="C14" s="28" t="s">
        <v>3595</v>
      </c>
      <c r="D14" s="28" t="s">
        <v>3596</v>
      </c>
      <c r="E14" s="28" t="s">
        <v>18</v>
      </c>
      <c r="F14" s="34"/>
    </row>
    <row r="15" spans="1:6" x14ac:dyDescent="0.25">
      <c r="A15" s="35" t="s">
        <v>20</v>
      </c>
      <c r="B15" s="37" t="s">
        <v>888</v>
      </c>
      <c r="C15" s="37" t="s">
        <v>3597</v>
      </c>
      <c r="D15" s="37" t="s">
        <v>3598</v>
      </c>
      <c r="E15" s="37" t="s">
        <v>20</v>
      </c>
    </row>
    <row r="16" spans="1:6" x14ac:dyDescent="0.25">
      <c r="A16" s="35" t="s">
        <v>3599</v>
      </c>
      <c r="B16" s="28" t="s">
        <v>3600</v>
      </c>
      <c r="C16" s="28" t="s">
        <v>3601</v>
      </c>
      <c r="D16" s="28" t="s">
        <v>3602</v>
      </c>
      <c r="E16" s="28" t="s">
        <v>3603</v>
      </c>
      <c r="F16" s="34"/>
    </row>
    <row r="17" spans="1:6" x14ac:dyDescent="0.25">
      <c r="A17" s="35" t="s">
        <v>3599</v>
      </c>
      <c r="B17" s="37" t="s">
        <v>3604</v>
      </c>
      <c r="C17" s="37" t="s">
        <v>3605</v>
      </c>
      <c r="D17" s="37" t="s">
        <v>3606</v>
      </c>
      <c r="E17" s="37" t="s">
        <v>3607</v>
      </c>
    </row>
    <row r="18" spans="1:6" x14ac:dyDescent="0.25">
      <c r="A18" s="35" t="s">
        <v>3599</v>
      </c>
      <c r="B18" s="28" t="s">
        <v>278</v>
      </c>
      <c r="C18" s="28" t="s">
        <v>3608</v>
      </c>
      <c r="D18" s="28" t="s">
        <v>3609</v>
      </c>
      <c r="E18" s="28" t="s">
        <v>3610</v>
      </c>
      <c r="F18" s="34"/>
    </row>
    <row r="19" spans="1:6" x14ac:dyDescent="0.25">
      <c r="A19" s="35" t="s">
        <v>3599</v>
      </c>
      <c r="B19" s="37" t="s">
        <v>3611</v>
      </c>
      <c r="C19" s="37" t="s">
        <v>3612</v>
      </c>
      <c r="D19" s="37" t="s">
        <v>3613</v>
      </c>
      <c r="E19" s="37" t="s">
        <v>3614</v>
      </c>
    </row>
    <row r="20" spans="1:6" x14ac:dyDescent="0.25">
      <c r="A20" s="35" t="s">
        <v>3599</v>
      </c>
      <c r="B20" s="28" t="s">
        <v>3615</v>
      </c>
      <c r="C20" s="28" t="s">
        <v>3616</v>
      </c>
      <c r="D20" s="28" t="s">
        <v>3617</v>
      </c>
      <c r="E20" s="28" t="s">
        <v>3607</v>
      </c>
      <c r="F20" s="34"/>
    </row>
    <row r="21" spans="1:6" x14ac:dyDescent="0.25">
      <c r="A21" s="35" t="s">
        <v>3618</v>
      </c>
      <c r="B21" s="37" t="s">
        <v>3619</v>
      </c>
      <c r="C21" s="37" t="s">
        <v>3620</v>
      </c>
      <c r="D21" s="37" t="s">
        <v>3621</v>
      </c>
      <c r="E21" s="37" t="s">
        <v>3622</v>
      </c>
    </row>
    <row r="22" spans="1:6" x14ac:dyDescent="0.25">
      <c r="A22" s="35" t="s">
        <v>3618</v>
      </c>
      <c r="B22" s="28" t="s">
        <v>3623</v>
      </c>
      <c r="C22" s="28" t="s">
        <v>3624</v>
      </c>
      <c r="D22" s="28" t="s">
        <v>3625</v>
      </c>
      <c r="E22" s="28" t="s">
        <v>3622</v>
      </c>
      <c r="F22" s="34"/>
    </row>
    <row r="23" spans="1:6" x14ac:dyDescent="0.25">
      <c r="A23" s="35" t="s">
        <v>3618</v>
      </c>
      <c r="B23" s="37" t="s">
        <v>3626</v>
      </c>
      <c r="C23" s="37" t="s">
        <v>3627</v>
      </c>
      <c r="D23" s="37" t="s">
        <v>3628</v>
      </c>
      <c r="E23" s="37" t="s">
        <v>3622</v>
      </c>
    </row>
    <row r="24" spans="1:6" x14ac:dyDescent="0.25">
      <c r="A24" s="35" t="s">
        <v>3618</v>
      </c>
      <c r="B24" s="28" t="s">
        <v>3629</v>
      </c>
      <c r="C24" s="28" t="s">
        <v>3630</v>
      </c>
      <c r="D24" s="28" t="s">
        <v>3631</v>
      </c>
      <c r="E24" s="28" t="s">
        <v>3622</v>
      </c>
      <c r="F24" s="34"/>
    </row>
  </sheetData>
  <autoFilter ref="A1:F24" xr:uid="{00000000-0009-0000-0000-00001C000000}"/>
  <dataValidations count="6">
    <dataValidation type="custom" allowBlank="1" showInputMessage="1" promptTitle="Section" prompt="Summary grouping/navigation field. Use with hyperlinks to jump into detailed tabs." sqref="A1" xr:uid="{00000000-0002-0000-1C00-000000000000}">
      <formula1>TRUE</formula1>
    </dataValidation>
    <dataValidation type="custom" allowBlank="1" showInputMessage="1" promptTitle="Term" prompt="Term. Review this metric to identify risk, then use linked tabs for details and remediation." sqref="B1" xr:uid="{00000000-0002-0000-1C00-000001000000}">
      <formula1>TRUE</formula1>
    </dataValidation>
    <dataValidation type="custom" allowBlank="1" showInputMessage="1" promptTitle="Meaning" prompt="Meaning. Review this metric to identify risk, then use linked tabs for details and remediation." sqref="C1" xr:uid="{00000000-0002-0000-1C00-000002000000}">
      <formula1>TRUE</formula1>
    </dataValidation>
    <dataValidation type="custom" allowBlank="1" showInputMessage="1" promptTitle="Values/Threshold" prompt="Values/Threshold. Review this metric to identify risk, then use linked tabs for details and remediation." sqref="D1" xr:uid="{00000000-0002-0000-1C00-000003000000}">
      <formula1>TRUE</formula1>
    </dataValidation>
    <dataValidation type="custom" allowBlank="1" showInputMessage="1" promptTitle="Related Tabs" prompt="Related Tabs. Review this metric to identify risk, then use linked tabs for details and remediation." sqref="E1" xr:uid="{00000000-0002-0000-1C00-000004000000}">
      <formula1>TRUE</formula1>
    </dataValidation>
    <dataValidation type="custom" allowBlank="1" showInputMessage="1" promptTitle="BACK TO DASHBOARD" prompt="BACK TO DASHBOARD. Review this metric to identify risk, then use linked tabs for details and remediation." sqref="F1" xr:uid="{00000000-0002-0000-1C00-000005000000}">
      <formula1>TRUE</formula1>
    </dataValidation>
  </dataValidations>
  <hyperlinks>
    <hyperlink ref="F1" location="Dashboard!A1" display="BACK TO DASHBOARD" xr:uid="{00000000-0004-0000-1C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Table of Contents</vt:lpstr>
      <vt:lpstr>Dashboard</vt:lpstr>
      <vt:lpstr>Content Optimization Hub</vt:lpstr>
      <vt:lpstr>Quick Reference Guide</vt:lpstr>
      <vt:lpstr>FixPlan</vt:lpstr>
      <vt:lpstr>Main</vt:lpstr>
      <vt:lpstr>Technical</vt:lpstr>
      <vt:lpstr>Content</vt:lpstr>
      <vt:lpstr>AEO</vt:lpstr>
      <vt:lpstr>Schema &amp; Metadata</vt:lpstr>
      <vt:lpstr>Links</vt:lpstr>
      <vt:lpstr>Indexability</vt:lpstr>
      <vt:lpstr>Redirects</vt:lpstr>
      <vt:lpstr>Priority URLs</vt:lpstr>
      <vt:lpstr>AIOSEO</vt:lpstr>
      <vt:lpstr>Security</vt:lpstr>
      <vt:lpstr>Summary</vt:lpstr>
      <vt:lpstr>LinksDetail</vt:lpstr>
      <vt:lpstr>Media</vt:lpstr>
      <vt:lpstr>Duplicates</vt:lpstr>
      <vt:lpstr>Pattern and Template Issues</vt:lpstr>
      <vt:lpstr>PSI Performance</vt:lpstr>
      <vt:lpstr>IssueInventory</vt:lpstr>
      <vt:lpstr>CrawlGraph</vt:lpstr>
      <vt:lpstr>SitemapQA</vt:lpstr>
      <vt:lpstr>DeltaFromPreviousRun</vt:lpstr>
      <vt:lpstr>RunMetadata</vt:lpstr>
      <vt:lpstr>ResolvedIssues</vt:lpstr>
      <vt:lpstr>Glossary &amp;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2026-05-02T18:16:00Z</dcterms:created>
  <dcterms:modified xsi:type="dcterms:W3CDTF">2026-05-03T08:19:03Z</dcterms:modified>
</cp:coreProperties>
</file>