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Legend" sheetId="2" state="visible" r:id="rId2"/>
    <sheet xmlns:r="http://schemas.openxmlformats.org/officeDocument/2006/relationships" name="Summary" sheetId="3" state="visible" r:id="rId3"/>
    <sheet xmlns:r="http://schemas.openxmlformats.org/officeDocument/2006/relationships" name="Main" sheetId="4" state="visible" r:id="rId4"/>
    <sheet xmlns:r="http://schemas.openxmlformats.org/officeDocument/2006/relationships" name="Technical" sheetId="5" state="visible" r:id="rId5"/>
    <sheet xmlns:r="http://schemas.openxmlformats.org/officeDocument/2006/relationships" name="FixPlan" sheetId="6" state="visible" r:id="rId6"/>
    <sheet xmlns:r="http://schemas.openxmlformats.org/officeDocument/2006/relationships" name="Priority URLs" sheetId="7" state="visible" r:id="rId7"/>
    <sheet xmlns:r="http://schemas.openxmlformats.org/officeDocument/2006/relationships" name="Indexability" sheetId="8" state="visible" r:id="rId8"/>
    <sheet xmlns:r="http://schemas.openxmlformats.org/officeDocument/2006/relationships" name="Content" sheetId="9" state="visible" r:id="rId9"/>
    <sheet xmlns:r="http://schemas.openxmlformats.org/officeDocument/2006/relationships" name="Redirects" sheetId="10" state="visible" r:id="rId10"/>
    <sheet xmlns:r="http://schemas.openxmlformats.org/officeDocument/2006/relationships" name="Links" sheetId="11" state="visible" r:id="rId11"/>
    <sheet xmlns:r="http://schemas.openxmlformats.org/officeDocument/2006/relationships" name="LinksDetail" sheetId="12" state="visible" r:id="rId12"/>
    <sheet xmlns:r="http://schemas.openxmlformats.org/officeDocument/2006/relationships" name="AEO" sheetId="13" state="visible" r:id="rId13"/>
    <sheet xmlns:r="http://schemas.openxmlformats.org/officeDocument/2006/relationships" name="AIOSEO" sheetId="14" state="visible" r:id="rId14"/>
    <sheet xmlns:r="http://schemas.openxmlformats.org/officeDocument/2006/relationships" name="SnippetCandidates" sheetId="15" state="visible" r:id="rId15"/>
    <sheet xmlns:r="http://schemas.openxmlformats.org/officeDocument/2006/relationships" name="Media" sheetId="16" state="visible" r:id="rId16"/>
    <sheet xmlns:r="http://schemas.openxmlformats.org/officeDocument/2006/relationships" name="StructuredData" sheetId="17" state="visible" r:id="rId17"/>
    <sheet xmlns:r="http://schemas.openxmlformats.org/officeDocument/2006/relationships" name="Social" sheetId="18" state="visible" r:id="rId18"/>
    <sheet xmlns:r="http://schemas.openxmlformats.org/officeDocument/2006/relationships" name="Security" sheetId="19" state="visible" r:id="rId19"/>
    <sheet xmlns:r="http://schemas.openxmlformats.org/officeDocument/2006/relationships" name="Duplicates" sheetId="20" state="visible" r:id="rId20"/>
    <sheet xmlns:r="http://schemas.openxmlformats.org/officeDocument/2006/relationships" name="TemplateClusters" sheetId="21" state="visible" r:id="rId21"/>
    <sheet xmlns:r="http://schemas.openxmlformats.org/officeDocument/2006/relationships" name="IssueInventory" sheetId="22" state="visible" r:id="rId22"/>
    <sheet xmlns:r="http://schemas.openxmlformats.org/officeDocument/2006/relationships" name="CrawlGraph" sheetId="23" state="visible" r:id="rId23"/>
    <sheet xmlns:r="http://schemas.openxmlformats.org/officeDocument/2006/relationships" name="SitemapQA" sheetId="24" state="visible" r:id="rId24"/>
    <sheet xmlns:r="http://schemas.openxmlformats.org/officeDocument/2006/relationships" name="DeltaFromPreviousRun" sheetId="25" state="hidden" r:id="rId25"/>
    <sheet xmlns:r="http://schemas.openxmlformats.org/officeDocument/2006/relationships" name="RunMetadata" sheetId="26" state="hidden" r:id="rId26"/>
  </sheets>
  <definedNames>
    <definedName name="_xlnm._FilterDatabase" localSheetId="0" hidden="1">'Dashboard'!$A$1:$J$31</definedName>
    <definedName name="_xlnm._FilterDatabase" localSheetId="1" hidden="1">'Legend'!$A$1:$E$19</definedName>
    <definedName name="_xlnm._FilterDatabase" localSheetId="2" hidden="1">'Summary'!$A$1:$F$56</definedName>
    <definedName name="_xlnm._FilterDatabase" localSheetId="3" hidden="1">'Main'!$A$1:$Z$16</definedName>
    <definedName name="_xlnm._FilterDatabase" localSheetId="4" hidden="1">'Technical'!$A$1:$BG$16</definedName>
    <definedName name="_xlnm._FilterDatabase" localSheetId="5" hidden="1">'FixPlan'!$A$1:$S$27</definedName>
    <definedName name="_xlnm._FilterDatabase" localSheetId="6" hidden="1">'Priority URLs'!$A$1:$N$16</definedName>
    <definedName name="_xlnm._FilterDatabase" localSheetId="7" hidden="1">'Indexability'!$A$1:$K$16</definedName>
    <definedName name="_xlnm._FilterDatabase" localSheetId="8" hidden="1">'Content'!$A$1:$L$16</definedName>
    <definedName name="_xlnm._FilterDatabase" localSheetId="9" hidden="1">'Redirects'!$A$1:$H$16</definedName>
    <definedName name="_xlnm._FilterDatabase" localSheetId="10" hidden="1">'Links'!$A$1:$J$16</definedName>
    <definedName name="_xlnm._FilterDatabase" localSheetId="11" hidden="1">'LinksDetail'!$A$1:$A$1</definedName>
    <definedName name="_xlnm._FilterDatabase" localSheetId="12" hidden="1">'AEO'!$A$1:$N$16</definedName>
    <definedName name="_xlnm._FilterDatabase" localSheetId="13" hidden="1">'AIOSEO'!$A$1:$P$127</definedName>
    <definedName name="_xlnm._FilterDatabase" localSheetId="14" hidden="1">'SnippetCandidates'!$A$1:$D$6</definedName>
    <definedName name="_xlnm._FilterDatabase" localSheetId="15" hidden="1">'Media'!$A$1:$J$16</definedName>
    <definedName name="_xlnm._FilterDatabase" localSheetId="16" hidden="1">'StructuredData'!$A$1:$D$16</definedName>
    <definedName name="_xlnm._FilterDatabase" localSheetId="17" hidden="1">'Social'!$A$1:$F$16</definedName>
    <definedName name="_xlnm._FilterDatabase" localSheetId="18" hidden="1">'Security'!$A$1:$K$16</definedName>
    <definedName name="_xlnm._FilterDatabase" localSheetId="19" hidden="1">'Duplicates'!$A$1:$E$16</definedName>
    <definedName name="_xlnm._FilterDatabase" localSheetId="20" hidden="1">'TemplateClusters'!$A$1:$I$16</definedName>
    <definedName name="_xlnm._FilterDatabase" localSheetId="21" hidden="1">'IssueInventory'!$A$1:$H$133</definedName>
    <definedName name="_xlnm._FilterDatabase" localSheetId="22" hidden="1">'CrawlGraph'!$A$1:$D$16</definedName>
    <definedName name="_xlnm._FilterDatabase" localSheetId="23" hidden="1">'SitemapQA'!$A$1:$L$16</definedName>
    <definedName name="_xlnm._FilterDatabase" localSheetId="24" hidden="1">'DeltaFromPreviousRun'!$A$1:$B$30</definedName>
    <definedName name="_xlnm._FilterDatabase" localSheetId="25" hidden="1">'RunMetadata'!$A$1:$B$9</definedName>
  </definedNames>
  <calcPr calcId="124519" fullCalcOnLoad="1"/>
</workbook>
</file>

<file path=xl/styles.xml><?xml version="1.0" encoding="utf-8"?>
<styleSheet xmlns="http://schemas.openxmlformats.org/spreadsheetml/2006/main">
  <numFmts count="4">
    <numFmt numFmtId="164" formatCode="[$-en-ZA]#,##0.00"/>
    <numFmt numFmtId="165" formatCode="[$-en-ZA]#,##0"/>
    <numFmt numFmtId="166" formatCode="[$-en-ZA]dd/mm/yyyy hh:mm:ss"/>
    <numFmt numFmtId="167" formatCode="[$-en-ZA]0.00%"/>
  </numFmts>
  <fonts count="12">
    <font>
      <name val="Calibri"/>
      <family val="2"/>
      <color theme="1"/>
      <sz val="11"/>
      <scheme val="minor"/>
    </font>
    <font>
      <b val="1"/>
      <color rgb="00FFFFFF"/>
    </font>
    <font>
      <name val="Calibri"/>
      <family val="2"/>
      <color theme="10"/>
      <sz val="12"/>
      <scheme val="minor"/>
    </font>
    <font>
      <b val="1"/>
      <color rgb="000563C1"/>
      <u val="single"/>
    </font>
    <font>
      <b val="1"/>
    </font>
    <font>
      <b val="1"/>
      <color rgb="001F4E78"/>
      <sz val="12"/>
    </font>
    <font>
      <b val="1"/>
      <color rgb="001F4E78"/>
      <sz val="16"/>
    </font>
    <font>
      <b val="1"/>
      <color rgb="00FFFFFF"/>
      <sz val="12"/>
    </font>
    <font>
      <b val="1"/>
      <color rgb="001F2937"/>
      <sz val="12"/>
    </font>
    <font>
      <b val="1"/>
      <color rgb="001F2937"/>
      <sz val="14"/>
    </font>
    <font>
      <b val="1"/>
      <color rgb="000563C1"/>
      <sz val="12"/>
      <u val="single"/>
    </font>
    <font>
      <b val="1"/>
      <color rgb="00FFFFFF"/>
      <sz val="11"/>
    </font>
  </fonts>
  <fills count="16">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4CCCC"/>
        <bgColor rgb="00F4CCCC"/>
      </patternFill>
    </fill>
    <fill>
      <patternFill patternType="solid">
        <fgColor rgb="00F4B183"/>
        <bgColor rgb="00F4B183"/>
      </patternFill>
    </fill>
    <fill>
      <patternFill patternType="solid">
        <fgColor rgb="00F7F7F7"/>
        <bgColor rgb="00F7F7F7"/>
      </patternFill>
    </fill>
    <fill>
      <patternFill patternType="solid">
        <fgColor rgb="001F4E78"/>
      </patternFill>
    </fill>
    <fill>
      <patternFill patternType="solid">
        <fgColor rgb="00F5F7FA"/>
      </patternFill>
    </fill>
    <fill>
      <patternFill patternType="solid">
        <fgColor rgb="00C6EFCE"/>
      </patternFill>
    </fill>
    <fill>
      <patternFill patternType="solid">
        <fgColor rgb="00FFCC99"/>
      </patternFill>
    </fill>
    <fill>
      <patternFill patternType="solid">
        <fgColor rgb="00FFC1C1"/>
      </patternFill>
    </fill>
    <fill>
      <patternFill patternType="solid">
        <fgColor rgb="00FFEB9C"/>
      </patternFill>
    </fill>
    <fill>
      <patternFill patternType="solid">
        <fgColor rgb="00FFC7CE"/>
      </patternFill>
    </fill>
    <fill>
      <patternFill patternType="solid">
        <fgColor rgb="00FFF2CC"/>
        <bgColor rgb="00FFF2CC"/>
      </patternFill>
    </fill>
    <fill>
      <patternFill patternType="solid">
        <fgColor rgb="00D9D2E9"/>
        <bgColor rgb="00D9D2E9"/>
      </patternFill>
    </fill>
  </fills>
  <borders count="2">
    <border>
      <left/>
      <right/>
      <top/>
      <bottom/>
      <diagonal/>
    </border>
    <border>
      <left style="thin"/>
      <right style="thin"/>
      <top style="thin"/>
      <bottom style="thin"/>
    </border>
  </borders>
  <cellStyleXfs count="2">
    <xf numFmtId="0" fontId="0" fillId="0" borderId="0"/>
    <xf numFmtId="0" fontId="2" fillId="0" borderId="0"/>
  </cellStyleXfs>
  <cellXfs count="66">
    <xf numFmtId="0" fontId="0" fillId="0" borderId="0" pivotButton="0" quotePrefix="0" xfId="0"/>
    <xf numFmtId="0" fontId="1" fillId="2" borderId="1" applyAlignment="1" pivotButton="0" quotePrefix="0" xfId="0">
      <alignment horizontal="center" vertical="center" wrapText="1"/>
    </xf>
    <xf numFmtId="0" fontId="5"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0" fillId="3" borderId="0" applyAlignment="1" pivotButton="0" quotePrefix="0" xfId="0">
      <alignment vertical="top"/>
    </xf>
    <xf numFmtId="165" fontId="6" fillId="0" borderId="0" applyAlignment="1" pivotButton="0" quotePrefix="0" xfId="0">
      <alignment horizontal="left" vertical="center"/>
    </xf>
    <xf numFmtId="0" fontId="0" fillId="0" borderId="0" applyAlignment="1" pivotButton="0" quotePrefix="0" xfId="0">
      <alignment vertical="top"/>
    </xf>
    <xf numFmtId="165" fontId="0" fillId="0" borderId="0" applyAlignment="1" pivotButton="0" quotePrefix="0" xfId="0">
      <alignment vertical="top"/>
    </xf>
    <xf numFmtId="165" fontId="7" fillId="7" borderId="0" applyAlignment="1" pivotButton="0" quotePrefix="0" xfId="0">
      <alignment horizontal="center" vertical="center"/>
    </xf>
    <xf numFmtId="0" fontId="7" fillId="7" borderId="0" applyAlignment="1" pivotButton="0" quotePrefix="0" xfId="0">
      <alignment horizontal="center" vertical="center"/>
    </xf>
    <xf numFmtId="0" fontId="11" fillId="7" borderId="0" applyAlignment="1" pivotButton="0" quotePrefix="0" xfId="0">
      <alignment horizontal="center" vertical="center"/>
    </xf>
    <xf numFmtId="165" fontId="10" fillId="8" borderId="0" applyAlignment="1" pivotButton="0" quotePrefix="0" xfId="0">
      <alignment horizontal="center" vertical="center"/>
    </xf>
    <xf numFmtId="0" fontId="9" fillId="8" borderId="0" applyAlignment="1" pivotButton="0" quotePrefix="0" xfId="0">
      <alignment horizontal="center" vertical="center"/>
    </xf>
    <xf numFmtId="10" fontId="9" fillId="12" borderId="0" applyAlignment="1" pivotButton="0" quotePrefix="0" xfId="0">
      <alignment horizontal="center" vertical="center"/>
    </xf>
    <xf numFmtId="0" fontId="0" fillId="8" borderId="0" applyAlignment="1" pivotButton="0" quotePrefix="0" xfId="0">
      <alignment horizontal="center" vertical="center"/>
    </xf>
    <xf numFmtId="10" fontId="9" fillId="13" borderId="0" applyAlignment="1" pivotButton="0" quotePrefix="0" xfId="0">
      <alignment horizontal="center" vertical="center"/>
    </xf>
    <xf numFmtId="0" fontId="4" fillId="3" borderId="1" applyAlignment="1" pivotButton="0" quotePrefix="0" xfId="0">
      <alignment vertical="top"/>
    </xf>
    <xf numFmtId="165" fontId="10" fillId="8" borderId="1" applyAlignment="1" pivotButton="0" quotePrefix="0" xfId="0">
      <alignment horizontal="center" vertical="center"/>
    </xf>
    <xf numFmtId="0" fontId="9" fillId="8" borderId="1" applyAlignment="1" pivotButton="0" quotePrefix="0" xfId="0">
      <alignment horizontal="center" vertical="center"/>
    </xf>
    <xf numFmtId="0" fontId="4" fillId="0" borderId="1" applyAlignment="1" pivotButton="0" quotePrefix="0" xfId="0">
      <alignment vertical="top"/>
    </xf>
    <xf numFmtId="10" fontId="9" fillId="9" borderId="0" applyAlignment="1" pivotButton="0" quotePrefix="0" xfId="0">
      <alignment horizontal="center" vertical="center"/>
    </xf>
    <xf numFmtId="165" fontId="11" fillId="7" borderId="0" applyAlignment="1" pivotButton="0" quotePrefix="0" xfId="0">
      <alignment horizontal="center" vertical="center"/>
    </xf>
    <xf numFmtId="165" fontId="0" fillId="9" borderId="0" applyAlignment="1" pivotButton="0" quotePrefix="0" xfId="0">
      <alignment horizontal="center" vertical="center"/>
    </xf>
    <xf numFmtId="0" fontId="0" fillId="9" borderId="0" applyAlignment="1" pivotButton="0" quotePrefix="0" xfId="0">
      <alignment horizontal="center" vertical="center"/>
    </xf>
    <xf numFmtId="165" fontId="0" fillId="10" borderId="0" applyAlignment="1" pivotButton="0" quotePrefix="0" xfId="0">
      <alignment horizontal="center" vertical="center"/>
    </xf>
    <xf numFmtId="0" fontId="0" fillId="10" borderId="0" applyAlignment="1" pivotButton="0" quotePrefix="0" xfId="0">
      <alignment horizontal="center" vertical="center"/>
    </xf>
    <xf numFmtId="165" fontId="0" fillId="11" borderId="0" applyAlignment="1" pivotButton="0" quotePrefix="0" xfId="0">
      <alignment horizontal="center" vertical="center"/>
    </xf>
    <xf numFmtId="0" fontId="0" fillId="11" borderId="0" applyAlignment="1" pivotButton="0" quotePrefix="0" xfId="0">
      <alignment horizontal="center" vertical="center"/>
    </xf>
    <xf numFmtId="165" fontId="0" fillId="0" borderId="0" applyAlignment="1" pivotButton="0" quotePrefix="0" xfId="0">
      <alignment horizontal="center" vertical="center"/>
    </xf>
    <xf numFmtId="0" fontId="0" fillId="0" borderId="0" applyAlignment="1" pivotButton="0" quotePrefix="0" xfId="0">
      <alignment horizontal="center" vertical="center"/>
    </xf>
    <xf numFmtId="165" fontId="4" fillId="10" borderId="1" applyAlignment="1" pivotButton="0" quotePrefix="0" xfId="0">
      <alignment horizontal="center" vertical="center"/>
    </xf>
    <xf numFmtId="0" fontId="4" fillId="10" borderId="1" applyAlignment="1" pivotButton="0" quotePrefix="0" xfId="0">
      <alignment horizontal="center" vertical="center"/>
    </xf>
    <xf numFmtId="165" fontId="0" fillId="8" borderId="0" applyAlignment="1" pivotButton="0" quotePrefix="0" xfId="0">
      <alignment vertical="top"/>
    </xf>
    <xf numFmtId="0" fontId="0" fillId="8" borderId="0" applyAlignment="1" pivotButton="0" quotePrefix="0" xfId="0">
      <alignment vertical="top"/>
    </xf>
    <xf numFmtId="0" fontId="0" fillId="8" borderId="0" pivotButton="0" quotePrefix="0" xfId="0"/>
    <xf numFmtId="0" fontId="3" fillId="8" borderId="0" pivotButton="0" quotePrefix="0" xfId="0"/>
    <xf numFmtId="0" fontId="3" fillId="0" borderId="0" applyAlignment="1" pivotButton="0" quotePrefix="0" xfId="1">
      <alignment horizontal="left"/>
    </xf>
    <xf numFmtId="0" fontId="0" fillId="6" borderId="0" applyAlignment="1" pivotButton="0" quotePrefix="0" xfId="0">
      <alignment vertical="top"/>
    </xf>
    <xf numFmtId="0" fontId="0" fillId="5" borderId="0" applyAlignment="1" pivotButton="0" quotePrefix="0" xfId="0">
      <alignment vertical="top"/>
    </xf>
    <xf numFmtId="0" fontId="2" fillId="0" borderId="0" pivotButton="0" quotePrefix="0" xfId="1"/>
    <xf numFmtId="0" fontId="0" fillId="6" borderId="0" applyAlignment="1" pivotButton="0" quotePrefix="0" xfId="0">
      <alignment vertical="top" wrapText="1"/>
    </xf>
    <xf numFmtId="0" fontId="2" fillId="6" borderId="0" applyAlignment="1" pivotButton="0" quotePrefix="0" xfId="1">
      <alignment vertical="top"/>
    </xf>
    <xf numFmtId="0" fontId="0" fillId="15"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1">
      <alignment vertical="top"/>
    </xf>
    <xf numFmtId="0" fontId="0" fillId="4" borderId="0" applyAlignment="1" pivotButton="0" quotePrefix="0" xfId="0">
      <alignment vertical="top"/>
    </xf>
    <xf numFmtId="0" fontId="2" fillId="0" borderId="0" applyAlignment="1" pivotButton="0" quotePrefix="0" xfId="1">
      <alignment vertical="top" wrapText="1"/>
    </xf>
    <xf numFmtId="164" fontId="0" fillId="4" borderId="0" applyAlignment="1" pivotButton="0" quotePrefix="0" xfId="0">
      <alignment vertical="top"/>
    </xf>
    <xf numFmtId="164" fontId="0" fillId="6" borderId="0" applyAlignment="1" pivotButton="0" quotePrefix="0" xfId="0">
      <alignment vertical="top"/>
    </xf>
    <xf numFmtId="0" fontId="0" fillId="6" borderId="0" applyAlignment="1" pivotButton="0" quotePrefix="0" xfId="0">
      <alignment vertical="top" shrinkToFit="1"/>
    </xf>
    <xf numFmtId="0" fontId="0" fillId="14" borderId="0" applyAlignment="1" pivotButton="0" quotePrefix="0" xfId="0">
      <alignment vertical="top"/>
    </xf>
    <xf numFmtId="166" fontId="0" fillId="6"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shrinkToFit="1"/>
    </xf>
    <xf numFmtId="166" fontId="0" fillId="0" borderId="0" applyAlignment="1" pivotButton="0" quotePrefix="0" xfId="0">
      <alignment vertical="top"/>
    </xf>
    <xf numFmtId="165" fontId="0" fillId="4" borderId="0" applyAlignment="1" pivotButton="0" quotePrefix="0" xfId="0">
      <alignment vertical="top"/>
    </xf>
    <xf numFmtId="165" fontId="0" fillId="6" borderId="0" applyAlignment="1" pivotButton="0" quotePrefix="0" xfId="0">
      <alignment vertical="top"/>
    </xf>
    <xf numFmtId="165" fontId="0" fillId="14" borderId="0" applyAlignment="1" pivotButton="0" quotePrefix="0" xfId="0">
      <alignment vertical="top"/>
    </xf>
    <xf numFmtId="165" fontId="0" fillId="3" borderId="0" applyAlignment="1" pivotButton="0" quotePrefix="0" xfId="0">
      <alignment vertical="top"/>
    </xf>
    <xf numFmtId="165" fontId="0" fillId="15" borderId="0" applyAlignment="1" pivotButton="0" quotePrefix="0" xfId="0">
      <alignment vertical="top"/>
    </xf>
    <xf numFmtId="167" fontId="0" fillId="6" borderId="0" applyAlignment="1" pivotButton="0" quotePrefix="0" xfId="0">
      <alignment vertical="top"/>
    </xf>
    <xf numFmtId="167" fontId="0" fillId="0" borderId="0" applyAlignment="1" pivotButton="0" quotePrefix="0" xfId="0">
      <alignment vertical="top"/>
    </xf>
    <xf numFmtId="167" fontId="0" fillId="4" borderId="0" applyAlignment="1" pivotButton="0" quotePrefix="0" xfId="0">
      <alignment vertical="top"/>
    </xf>
    <xf numFmtId="167" fontId="0" fillId="3" borderId="0" applyAlignment="1" pivotButton="0" quotePrefix="0" xfId="0">
      <alignment vertical="top"/>
    </xf>
    <xf numFmtId="0" fontId="0" fillId="3" borderId="0" applyAlignment="1" pivotButton="0" quotePrefix="0" xfId="0">
      <alignment vertical="top" wrapText="1"/>
    </xf>
    <xf numFmtId="166" fontId="0" fillId="3" borderId="0" applyAlignment="1" pivotButton="0" quotePrefix="0" xfId="0">
      <alignment vertical="top"/>
    </xf>
  </cellXfs>
  <cellStyles count="2">
    <cellStyle name="Normal" xfId="0" builtinId="0" hidden="0"/>
    <cellStyle name="Hyperlink" xfId="1" builtinId="8" hidden="0"/>
  </cellStyles>
  <dxfs count="8">
    <dxf>
      <fill>
        <patternFill patternType="solid">
          <fgColor rgb="00C6EFCE"/>
        </patternFill>
      </fill>
    </dxf>
    <dxf>
      <fill>
        <patternFill patternType="solid">
          <fgColor rgb="00FFEB9C"/>
        </patternFill>
      </fill>
    </dxf>
    <dxf>
      <fill>
        <patternFill patternType="solid">
          <fgColor rgb="00FFC7CE"/>
        </patternFill>
      </fill>
    </dxf>
    <dxf>
      <fill>
        <patternFill patternType="solid">
          <fgColor rgb="00FFCC99"/>
        </patternFill>
      </fill>
    </dxf>
    <dxf>
      <fill>
        <patternFill patternType="solid">
          <fgColor rgb="00D9EAD3"/>
        </patternFill>
      </fill>
    </dxf>
    <dxf>
      <fill>
        <patternFill patternType="solid">
          <fgColor rgb="00FFF2CC"/>
        </patternFill>
      </fill>
    </dxf>
    <dxf>
      <font>
        <b val="1"/>
        <color rgb="009C0006"/>
      </font>
      <fill>
        <patternFill patternType="solid">
          <fgColor rgb="00FFC7CE"/>
        </patternFill>
      </fill>
    </dxf>
    <dxf>
      <font>
        <b val="1"/>
        <color rgb="009C5700"/>
      </font>
      <fill>
        <patternFill patternType="solid">
          <f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Dashboard!A1" TargetMode="External" Id="rId1"/></Relationships>
</file>

<file path=xl/worksheets/_rels/sheet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FixPlan!A16" TargetMode="External" Id="rId2"/><Relationship Type="http://schemas.openxmlformats.org/officeDocument/2006/relationships/hyperlink" Target="#AEO!A1" TargetMode="External" Id="rId3"/><Relationship Type="http://schemas.openxmlformats.org/officeDocument/2006/relationships/hyperlink" Target="#FixPlan!A25" TargetMode="External" Id="rId4"/><Relationship Type="http://schemas.openxmlformats.org/officeDocument/2006/relationships/hyperlink" Target="#AEO!A1" TargetMode="External" Id="rId5"/><Relationship Type="http://schemas.openxmlformats.org/officeDocument/2006/relationships/hyperlink" Target="#FixPlan!A24" TargetMode="External" Id="rId6"/><Relationship Type="http://schemas.openxmlformats.org/officeDocument/2006/relationships/hyperlink" Target="#AEO!A1" TargetMode="External" Id="rId7"/><Relationship Type="http://schemas.openxmlformats.org/officeDocument/2006/relationships/hyperlink" Target="#FixPlan!A27" TargetMode="External" Id="rId8"/><Relationship Type="http://schemas.openxmlformats.org/officeDocument/2006/relationships/hyperlink" Target="#AEO!A1" TargetMode="External" Id="rId9"/><Relationship Type="http://schemas.openxmlformats.org/officeDocument/2006/relationships/hyperlink" Target="#FixPlan!A26" TargetMode="External" Id="rId10"/><Relationship Type="http://schemas.openxmlformats.org/officeDocument/2006/relationships/hyperlink" Target="#AEO!A1" TargetMode="External" Id="rId11"/><Relationship Type="http://schemas.openxmlformats.org/officeDocument/2006/relationships/hyperlink" Target="#FixPlan!A6" TargetMode="External" Id="rId12"/><Relationship Type="http://schemas.openxmlformats.org/officeDocument/2006/relationships/hyperlink" Target="#Links!A1" TargetMode="External" Id="rId13"/><Relationship Type="http://schemas.openxmlformats.org/officeDocument/2006/relationships/hyperlink" Target="#FixPlan!A4" TargetMode="External" Id="rId14"/><Relationship Type="http://schemas.openxmlformats.org/officeDocument/2006/relationships/hyperlink" Target="#Indexability!A1" TargetMode="External" Id="rId15"/><Relationship Type="http://schemas.openxmlformats.org/officeDocument/2006/relationships/hyperlink" Target="#FixPlan!A3" TargetMode="External" Id="rId16"/><Relationship Type="http://schemas.openxmlformats.org/officeDocument/2006/relationships/hyperlink" Target="#Indexability!A1" TargetMode="External" Id="rId17"/><Relationship Type="http://schemas.openxmlformats.org/officeDocument/2006/relationships/hyperlink" Target="#FixPlan!A2" TargetMode="External" Id="rId18"/><Relationship Type="http://schemas.openxmlformats.org/officeDocument/2006/relationships/hyperlink" Target="#Technical!A1" TargetMode="External" Id="rId19"/><Relationship Type="http://schemas.openxmlformats.org/officeDocument/2006/relationships/hyperlink" Target="#FixPlan!A5" TargetMode="External" Id="rId20"/><Relationship Type="http://schemas.openxmlformats.org/officeDocument/2006/relationships/hyperlink" Target="#Technical!A1" TargetMode="External" Id="rId21"/><Relationship Type="http://schemas.openxmlformats.org/officeDocument/2006/relationships/hyperlink" Target="#FixPlan!A16" TargetMode="External" Id="rId22"/><Relationship Type="http://schemas.openxmlformats.org/officeDocument/2006/relationships/hyperlink" Target="#AEO!A1" TargetMode="External" Id="rId23"/><Relationship Type="http://schemas.openxmlformats.org/officeDocument/2006/relationships/hyperlink" Target="#FixPlan!A17" TargetMode="External" Id="rId24"/><Relationship Type="http://schemas.openxmlformats.org/officeDocument/2006/relationships/hyperlink" Target="#Technical!A1" TargetMode="External" Id="rId25"/><Relationship Type="http://schemas.openxmlformats.org/officeDocument/2006/relationships/hyperlink" Target="#FixPlan!A15" TargetMode="External" Id="rId26"/><Relationship Type="http://schemas.openxmlformats.org/officeDocument/2006/relationships/hyperlink" Target="#Technical!A1" TargetMode="External" Id="rId27"/><Relationship Type="http://schemas.openxmlformats.org/officeDocument/2006/relationships/hyperlink" Target="#FixPlan!A13" TargetMode="External" Id="rId28"/><Relationship Type="http://schemas.openxmlformats.org/officeDocument/2006/relationships/hyperlink" Target="#Indexability!A1" TargetMode="External" Id="rId29"/><Relationship Type="http://schemas.openxmlformats.org/officeDocument/2006/relationships/hyperlink" Target="#FixPlan!A14" TargetMode="External" Id="rId30"/><Relationship Type="http://schemas.openxmlformats.org/officeDocument/2006/relationships/hyperlink" Target="#Technical!A1" TargetMode="External" Id="rId31"/><Relationship Type="http://schemas.openxmlformats.org/officeDocument/2006/relationships/hyperlink" Target="#FixPlan!A11" TargetMode="External" Id="rId32"/><Relationship Type="http://schemas.openxmlformats.org/officeDocument/2006/relationships/hyperlink" Target="#Technical!A1" TargetMode="External" Id="rId33"/><Relationship Type="http://schemas.openxmlformats.org/officeDocument/2006/relationships/hyperlink" Target="#FixPlan!A9" TargetMode="External" Id="rId34"/><Relationship Type="http://schemas.openxmlformats.org/officeDocument/2006/relationships/hyperlink" Target="#Technical!A1" TargetMode="External" Id="rId35"/><Relationship Type="http://schemas.openxmlformats.org/officeDocument/2006/relationships/hyperlink" Target="#FixPlan!A8" TargetMode="External" Id="rId36"/><Relationship Type="http://schemas.openxmlformats.org/officeDocument/2006/relationships/hyperlink" Target="#Technical!A1" TargetMode="External" Id="rId37"/><Relationship Type="http://schemas.openxmlformats.org/officeDocument/2006/relationships/hyperlink" Target="#FixPlan!A12" TargetMode="External" Id="rId38"/><Relationship Type="http://schemas.openxmlformats.org/officeDocument/2006/relationships/hyperlink" Target="#Technical!A1" TargetMode="External" Id="rId39"/><Relationship Type="http://schemas.openxmlformats.org/officeDocument/2006/relationships/hyperlink" Target="#FixPlan!A10" TargetMode="External" Id="rId40"/><Relationship Type="http://schemas.openxmlformats.org/officeDocument/2006/relationships/hyperlink" Target="#Technical!A1" TargetMode="External" Id="rId41"/><Relationship Type="http://schemas.openxmlformats.org/officeDocument/2006/relationships/hyperlink" Target="#FixPlan!A7" TargetMode="External" Id="rId42"/><Relationship Type="http://schemas.openxmlformats.org/officeDocument/2006/relationships/hyperlink" Target="#Technical!A1" TargetMode="External" Id="rId43"/><Relationship Type="http://schemas.openxmlformats.org/officeDocument/2006/relationships/hyperlink" Target="#FixPlan!A25" TargetMode="External" Id="rId44"/><Relationship Type="http://schemas.openxmlformats.org/officeDocument/2006/relationships/hyperlink" Target="#Technical!A1" TargetMode="External" Id="rId45"/><Relationship Type="http://schemas.openxmlformats.org/officeDocument/2006/relationships/hyperlink" Target="#FixPlan!A22" TargetMode="External" Id="rId46"/><Relationship Type="http://schemas.openxmlformats.org/officeDocument/2006/relationships/hyperlink" Target="#Technical!A1" TargetMode="External" Id="rId47"/><Relationship Type="http://schemas.openxmlformats.org/officeDocument/2006/relationships/hyperlink" Target="#FixPlan!A21" TargetMode="External" Id="rId48"/><Relationship Type="http://schemas.openxmlformats.org/officeDocument/2006/relationships/hyperlink" Target="#Technical!A1" TargetMode="External" Id="rId49"/><Relationship Type="http://schemas.openxmlformats.org/officeDocument/2006/relationships/hyperlink" Target="#FixPlan!A23" TargetMode="External" Id="rId50"/><Relationship Type="http://schemas.openxmlformats.org/officeDocument/2006/relationships/hyperlink" Target="#Technical!A1" TargetMode="External" Id="rId51"/><Relationship Type="http://schemas.openxmlformats.org/officeDocument/2006/relationships/hyperlink" Target="#FixPlan!A24" TargetMode="External" Id="rId52"/><Relationship Type="http://schemas.openxmlformats.org/officeDocument/2006/relationships/hyperlink" Target="#AEO!A1" TargetMode="External" Id="rId53"/><Relationship Type="http://schemas.openxmlformats.org/officeDocument/2006/relationships/hyperlink" Target="#FixPlan!A27" TargetMode="External" Id="rId54"/><Relationship Type="http://schemas.openxmlformats.org/officeDocument/2006/relationships/hyperlink" Target="#Technical!A1" TargetMode="External" Id="rId55"/><Relationship Type="http://schemas.openxmlformats.org/officeDocument/2006/relationships/hyperlink" Target="#FixPlan!A26" TargetMode="External" Id="rId56"/><Relationship Type="http://schemas.openxmlformats.org/officeDocument/2006/relationships/hyperlink" Target="#AEO!A1" TargetMode="External" Id="rId57"/><Relationship Type="http://schemas.openxmlformats.org/officeDocument/2006/relationships/hyperlink" Target="#FixPlan!A19" TargetMode="External" Id="rId58"/><Relationship Type="http://schemas.openxmlformats.org/officeDocument/2006/relationships/hyperlink" Target="#Technical!A1" TargetMode="External" Id="rId59"/><Relationship Type="http://schemas.openxmlformats.org/officeDocument/2006/relationships/hyperlink" Target="#FixPlan!A20" TargetMode="External" Id="rId60"/><Relationship Type="http://schemas.openxmlformats.org/officeDocument/2006/relationships/hyperlink" Target="#Technical!A1" TargetMode="External" Id="rId61"/><Relationship Type="http://schemas.openxmlformats.org/officeDocument/2006/relationships/hyperlink" Target="#FixPlan!A18" TargetMode="External" Id="rId62"/><Relationship Type="http://schemas.openxmlformats.org/officeDocument/2006/relationships/hyperlink" Target="#Technical!A1" TargetMode="External" Id="rId63"/><Relationship Type="http://schemas.openxmlformats.org/officeDocument/2006/relationships/hyperlink" Target="#TemplateClusters!A1" TargetMode="External" Id="rId64"/><Relationship Type="http://schemas.openxmlformats.org/officeDocument/2006/relationships/hyperlink" Target="#TemplateClusters!A1" TargetMode="External" Id="rId65"/><Relationship Type="http://schemas.openxmlformats.org/officeDocument/2006/relationships/hyperlink" Target="#TemplateClusters!A1" TargetMode="External" Id="rId66"/><Relationship Type="http://schemas.openxmlformats.org/officeDocument/2006/relationships/hyperlink" Target="#TemplateClusters!A1" TargetMode="External" Id="rId67"/><Relationship Type="http://schemas.openxmlformats.org/officeDocument/2006/relationships/hyperlink" Target="#TemplateClusters!A1" TargetMode="External" Id="rId68"/><Relationship Type="http://schemas.openxmlformats.org/officeDocument/2006/relationships/hyperlink" Target="#TemplateClusters!A1" TargetMode="External" Id="rId69"/><Relationship Type="http://schemas.openxmlformats.org/officeDocument/2006/relationships/hyperlink" Target="#TemplateClusters!A1" TargetMode="External" Id="rId70"/><Relationship Type="http://schemas.openxmlformats.org/officeDocument/2006/relationships/hyperlink" Target="#TemplateClusters!A1" TargetMode="External" Id="rId71"/><Relationship Type="http://schemas.openxmlformats.org/officeDocument/2006/relationships/hyperlink" Target="#TemplateClusters!A1" TargetMode="External" Id="rId72"/><Relationship Type="http://schemas.openxmlformats.org/officeDocument/2006/relationships/hyperlink" Target="#TemplateClusters!A1" TargetMode="External" Id="rId73"/><Relationship Type="http://schemas.openxmlformats.org/officeDocument/2006/relationships/hyperlink" Target="#TemplateClusters!A1" TargetMode="External" Id="rId74"/><Relationship Type="http://schemas.openxmlformats.org/officeDocument/2006/relationships/hyperlink" Target="#TemplateClusters!A1" TargetMode="External" Id="rId75"/><Relationship Type="http://schemas.openxmlformats.org/officeDocument/2006/relationships/hyperlink" Target="#TemplateClusters!A1" TargetMode="External" Id="rId76"/><Relationship Type="http://schemas.openxmlformats.org/officeDocument/2006/relationships/hyperlink" Target="#TemplateClusters!A1" TargetMode="External" Id="rId77"/><Relationship Type="http://schemas.openxmlformats.org/officeDocument/2006/relationships/hyperlink" Target="#TemplateClusters!A1" TargetMode="External" Id="rId78"/><Relationship Type="http://schemas.openxmlformats.org/officeDocument/2006/relationships/hyperlink" Target="#TemplateClusters!A1" TargetMode="External" Id="rId79"/><Relationship Type="http://schemas.openxmlformats.org/officeDocument/2006/relationships/hyperlink" Target="#TemplateClusters!A1" TargetMode="External" Id="rId80"/><Relationship Type="http://schemas.openxmlformats.org/officeDocument/2006/relationships/hyperlink" Target="#TemplateClusters!A1" TargetMode="External" Id="rId81"/><Relationship Type="http://schemas.openxmlformats.org/officeDocument/2006/relationships/hyperlink" Target="#TemplateClusters!A1" TargetMode="External" Id="rId82"/><Relationship Type="http://schemas.openxmlformats.org/officeDocument/2006/relationships/hyperlink" Target="#TemplateClusters!A1" TargetMode="External" Id="rId83"/></Relationships>
</file>

<file path=xl/worksheets/_rels/sheet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 TargetMode="External" Id="rId2"/><Relationship Type="http://schemas.openxmlformats.org/officeDocument/2006/relationships/hyperlink" Target="https://asconafrica.org/2026-ascon-awards/" TargetMode="External" Id="rId3"/><Relationship Type="http://schemas.openxmlformats.org/officeDocument/2006/relationships/hyperlink" Target="https://asconafrica.org/2026-ascon-awards/thank-you-for-your-nomination/" TargetMode="External" Id="rId4"/><Relationship Type="http://schemas.openxmlformats.org/officeDocument/2006/relationships/hyperlink" Target="https://asconafrica.org/2026-ascon-conference/" TargetMode="External" Id="rId5"/><Relationship Type="http://schemas.openxmlformats.org/officeDocument/2006/relationships/hyperlink" Target="https://asconafrica.org/2026-ascon-conference/thank-you-for-signing-up/"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contact-us/" TargetMode="External" Id="rId8"/><Relationship Type="http://schemas.openxmlformats.org/officeDocument/2006/relationships/hyperlink" Target="https://asconafrica.org/launch-event-2026-ascon-conference/" TargetMode="External" Id="rId9"/><Relationship Type="http://schemas.openxmlformats.org/officeDocument/2006/relationships/hyperlink" Target="https://asconafrica.org/launch-event-2026-ascon-conference/thank-you-for-registering-conference-launch/" TargetMode="External" Id="rId10"/><Relationship Type="http://schemas.openxmlformats.org/officeDocument/2006/relationships/hyperlink" Target="https://asconafrica.org/news/" TargetMode="External" Id="rId11"/><Relationship Type="http://schemas.openxmlformats.org/officeDocument/2006/relationships/hyperlink" Target="https://asconafrica.org/our-members/" TargetMode="External" Id="rId12"/><Relationship Type="http://schemas.openxmlformats.org/officeDocument/2006/relationships/hyperlink" Target="https://asconafrica.org/privacy-policy/" TargetMode="External" Id="rId13"/><Relationship Type="http://schemas.openxmlformats.org/officeDocument/2006/relationships/hyperlink" Target="https://asconafrica.org/thank-you-for-signing-up-for-updates/" TargetMode="External" Id="rId14"/><Relationship Type="http://schemas.openxmlformats.org/officeDocument/2006/relationships/hyperlink" Target="https://asconafrica.org/unsubscribe-form/" TargetMode="External" Id="rId15"/><Relationship Type="http://schemas.openxmlformats.org/officeDocument/2006/relationships/hyperlink" Target="https://asconafrica.org/unsubscribe-form/successfully-unsubscribed/" TargetMode="External" Id="rId16"/></Relationships>
</file>

<file path=xl/worksheets/_rels/sheet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 TargetMode="External" Id="rId2"/><Relationship Type="http://schemas.openxmlformats.org/officeDocument/2006/relationships/hyperlink" Target="https://asconafrica.org/2026-ascon-awards/" TargetMode="External" Id="rId3"/><Relationship Type="http://schemas.openxmlformats.org/officeDocument/2006/relationships/hyperlink" Target="https://asconafrica.org/2026-ascon-awards/thank-you-for-your-nomination/" TargetMode="External" Id="rId4"/><Relationship Type="http://schemas.openxmlformats.org/officeDocument/2006/relationships/hyperlink" Target="https://asconafrica.org/2026-ascon-conference/" TargetMode="External" Id="rId5"/><Relationship Type="http://schemas.openxmlformats.org/officeDocument/2006/relationships/hyperlink" Target="https://asconafrica.org/2026-ascon-conference/thank-you-for-signing-up/"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contact-us/" TargetMode="External" Id="rId8"/><Relationship Type="http://schemas.openxmlformats.org/officeDocument/2006/relationships/hyperlink" Target="https://asconafrica.org/launch-event-2026-ascon-conference/" TargetMode="External" Id="rId9"/><Relationship Type="http://schemas.openxmlformats.org/officeDocument/2006/relationships/hyperlink" Target="https://asconafrica.org/launch-event-2026-ascon-conference/thank-you-for-registering-conference-launch/" TargetMode="External" Id="rId10"/><Relationship Type="http://schemas.openxmlformats.org/officeDocument/2006/relationships/hyperlink" Target="https://asconafrica.org/news/" TargetMode="External" Id="rId11"/><Relationship Type="http://schemas.openxmlformats.org/officeDocument/2006/relationships/hyperlink" Target="https://asconafrica.org/our-members/" TargetMode="External" Id="rId12"/><Relationship Type="http://schemas.openxmlformats.org/officeDocument/2006/relationships/hyperlink" Target="https://asconafrica.org/privacy-policy/" TargetMode="External" Id="rId13"/><Relationship Type="http://schemas.openxmlformats.org/officeDocument/2006/relationships/hyperlink" Target="https://asconafrica.org/thank-you-for-signing-up-for-updates/" TargetMode="External" Id="rId14"/><Relationship Type="http://schemas.openxmlformats.org/officeDocument/2006/relationships/hyperlink" Target="https://asconafrica.org/unsubscribe-form/" TargetMode="External" Id="rId15"/><Relationship Type="http://schemas.openxmlformats.org/officeDocument/2006/relationships/hyperlink" Target="https://asconafrica.org/unsubscribe-form/successfully-unsubscribed/" TargetMode="External" Id="rId16"/></Relationships>
</file>

<file path=xl/worksheets/_rels/sheet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 TargetMode="External" Id="rId2"/><Relationship Type="http://schemas.openxmlformats.org/officeDocument/2006/relationships/hyperlink" Target="https://asconafrica.org/2026-ascon-awards/" TargetMode="External" Id="rId3"/><Relationship Type="http://schemas.openxmlformats.org/officeDocument/2006/relationships/hyperlink" Target="https://asconafrica.org/our-members/" TargetMode="External" Id="rId4"/><Relationship Type="http://schemas.openxmlformats.org/officeDocument/2006/relationships/hyperlink" Target="https://asconafrica.org/2026-ascon-awards/" TargetMode="External" Id="rId5"/><Relationship Type="http://schemas.openxmlformats.org/officeDocument/2006/relationships/hyperlink" Target="https://asconafrica.org/2026-ascon-awards/" TargetMode="External" Id="rId6"/><Relationship Type="http://schemas.openxmlformats.org/officeDocument/2006/relationships/hyperlink" Target="https://asconafrica.org/2026-ascon-awards/" TargetMode="External" Id="rId7"/><Relationship Type="http://schemas.openxmlformats.org/officeDocument/2006/relationships/hyperlink" Target="https://asconafrica.org/2026-ascon-awards/" TargetMode="External" Id="rId8"/><Relationship Type="http://schemas.openxmlformats.org/officeDocument/2006/relationships/hyperlink" Target="https://asconafrica.org/2026-ascon-awards/" TargetMode="External" Id="rId9"/><Relationship Type="http://schemas.openxmlformats.org/officeDocument/2006/relationships/hyperlink" Target="https://asconafrica.org/2026-ascon-awards/" TargetMode="External" Id="rId10"/><Relationship Type="http://schemas.openxmlformats.org/officeDocument/2006/relationships/hyperlink" Target="https://asconafrica.org/2026-ascon-awards/" TargetMode="External" Id="rId11"/></Relationships>
</file>

<file path=xl/worksheets/_rels/sheet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unsubscribe-form/" TargetMode="External" Id="rId2"/><Relationship Type="http://schemas.openxmlformats.org/officeDocument/2006/relationships/hyperlink" Target="https://asconafrica.org/unsubscribe-form/successfully-unsubscribed/" TargetMode="External" Id="rId3"/><Relationship Type="http://schemas.openxmlformats.org/officeDocument/2006/relationships/hyperlink" Target="https://asconafrica.org/contact-us/" TargetMode="External" Id="rId4"/><Relationship Type="http://schemas.openxmlformats.org/officeDocument/2006/relationships/hyperlink" Target="https://asconafrica.org/" TargetMode="External" Id="rId5"/><Relationship Type="http://schemas.openxmlformats.org/officeDocument/2006/relationships/hyperlink" Target="https://asconafrica.org/news/" TargetMode="External" Id="rId6"/><Relationship Type="http://schemas.openxmlformats.org/officeDocument/2006/relationships/hyperlink" Target="https://asconafrica.org/our-members/" TargetMode="External" Id="rId7"/><Relationship Type="http://schemas.openxmlformats.org/officeDocument/2006/relationships/hyperlink" Target="https://asconafrica.org/2026-ascon-conference/thank-you-for-signing-up/" TargetMode="External" Id="rId8"/><Relationship Type="http://schemas.openxmlformats.org/officeDocument/2006/relationships/hyperlink" Target="https://asconafrica.org/thank-you-for-signing-up-for-updates/" TargetMode="External" Id="rId9"/><Relationship Type="http://schemas.openxmlformats.org/officeDocument/2006/relationships/hyperlink" Target="https://asconafrica.org/launch-event-2026-ascon-conference/thank-you-for-registering-conference-launch/" TargetMode="External" Id="rId10"/><Relationship Type="http://schemas.openxmlformats.org/officeDocument/2006/relationships/hyperlink" Target="https://asconafrica.org/2026-ascon-awards/thank-you-for-your-nomination/" TargetMode="External" Id="rId11"/><Relationship Type="http://schemas.openxmlformats.org/officeDocument/2006/relationships/hyperlink" Target="https://asconafrica.org/privacy-policy/" TargetMode="External" Id="rId12"/><Relationship Type="http://schemas.openxmlformats.org/officeDocument/2006/relationships/hyperlink" Target="https://asconafrica.org/2026-ascon-awards/" TargetMode="External" Id="rId13"/><Relationship Type="http://schemas.openxmlformats.org/officeDocument/2006/relationships/hyperlink" Target="https://asconafrica.org/2026-ascon-conference/" TargetMode="External" Id="rId14"/><Relationship Type="http://schemas.openxmlformats.org/officeDocument/2006/relationships/hyperlink" Target="https://asconafrica.org/about-us/" TargetMode="External" Id="rId15"/><Relationship Type="http://schemas.openxmlformats.org/officeDocument/2006/relationships/hyperlink" Target="https://asconafrica.org/launch-event-2026-ascon-conference/" TargetMode="External" Id="rId16"/></Relationships>
</file>

<file path=xl/worksheets/_rels/sheet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https://asconafrica.org/" TargetMode="External" Id="rId3"/><Relationship Type="http://schemas.openxmlformats.org/officeDocument/2006/relationships/hyperlink" Target="https://asconafrica.org/news/" TargetMode="External" Id="rId4"/><Relationship Type="http://schemas.openxmlformats.org/officeDocument/2006/relationships/hyperlink" Target="https://asconafrica.org/our-members/" TargetMode="External" Id="rId5"/><Relationship Type="http://schemas.openxmlformats.org/officeDocument/2006/relationships/hyperlink" Target="https://asconafrica.org/2026-ascon-conference/"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privacy-policy/" TargetMode="External" Id="rId8"/><Relationship Type="http://schemas.openxmlformats.org/officeDocument/2006/relationships/hyperlink" Target="https://asconafrica.org/2026-ascon-conference/thank-you-for-signing-up/" TargetMode="External" Id="rId9"/><Relationship Type="http://schemas.openxmlformats.org/officeDocument/2006/relationships/hyperlink" Target="https://asconafrica.org/thank-you-for-signing-up-for-updates/" TargetMode="External" Id="rId10"/><Relationship Type="http://schemas.openxmlformats.org/officeDocument/2006/relationships/hyperlink" Target="https://asconafrica.org/launch-event-2026-ascon-conference/thank-you-for-registering-conference-launch/" TargetMode="External" Id="rId11"/><Relationship Type="http://schemas.openxmlformats.org/officeDocument/2006/relationships/hyperlink" Target="https://asconafrica.org/launch-event-2026-ascon-conference/" TargetMode="External" Id="rId12"/><Relationship Type="http://schemas.openxmlformats.org/officeDocument/2006/relationships/hyperlink" Target="https://asconafrica.org/2026-ascon-awards/thank-you-for-your-nomination/" TargetMode="External" Id="rId13"/><Relationship Type="http://schemas.openxmlformats.org/officeDocument/2006/relationships/hyperlink" Target="https://asconafrica.org/unsubscribe-form/" TargetMode="External" Id="rId14"/><Relationship Type="http://schemas.openxmlformats.org/officeDocument/2006/relationships/hyperlink" Target="https://asconafrica.org/unsubscribe-form/successfully-unsubscribed/" TargetMode="External" Id="rId15"/><Relationship Type="http://schemas.openxmlformats.org/officeDocument/2006/relationships/hyperlink" Target="https://asconafrica.org/contact-us/" TargetMode="External" Id="rId16"/></Relationships>
</file>

<file path=xl/worksheets/_rels/sheet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https://asconafrica.org/" TargetMode="External" Id="rId3"/><Relationship Type="http://schemas.openxmlformats.org/officeDocument/2006/relationships/hyperlink" Target="https://asconafrica.org/news/" TargetMode="External" Id="rId4"/><Relationship Type="http://schemas.openxmlformats.org/officeDocument/2006/relationships/hyperlink" Target="https://asconafrica.org/our-members/" TargetMode="External" Id="rId5"/><Relationship Type="http://schemas.openxmlformats.org/officeDocument/2006/relationships/hyperlink" Target="https://asconafrica.org/2026-ascon-conference/"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privacy-policy/" TargetMode="External" Id="rId8"/><Relationship Type="http://schemas.openxmlformats.org/officeDocument/2006/relationships/hyperlink" Target="https://asconafrica.org/2026-ascon-conference/thank-you-for-signing-up/" TargetMode="External" Id="rId9"/><Relationship Type="http://schemas.openxmlformats.org/officeDocument/2006/relationships/hyperlink" Target="https://asconafrica.org/thank-you-for-signing-up-for-updates/" TargetMode="External" Id="rId10"/><Relationship Type="http://schemas.openxmlformats.org/officeDocument/2006/relationships/hyperlink" Target="https://asconafrica.org/launch-event-2026-ascon-conference/thank-you-for-registering-conference-launch/" TargetMode="External" Id="rId11"/><Relationship Type="http://schemas.openxmlformats.org/officeDocument/2006/relationships/hyperlink" Target="https://asconafrica.org/launch-event-2026-ascon-conference/" TargetMode="External" Id="rId12"/><Relationship Type="http://schemas.openxmlformats.org/officeDocument/2006/relationships/hyperlink" Target="https://asconafrica.org/2026-ascon-awards/thank-you-for-your-nomination/" TargetMode="External" Id="rId13"/><Relationship Type="http://schemas.openxmlformats.org/officeDocument/2006/relationships/hyperlink" Target="https://asconafrica.org/unsubscribe-form/" TargetMode="External" Id="rId14"/><Relationship Type="http://schemas.openxmlformats.org/officeDocument/2006/relationships/hyperlink" Target="https://asconafrica.org/unsubscribe-form/successfully-unsubscribed/" TargetMode="External" Id="rId15"/><Relationship Type="http://schemas.openxmlformats.org/officeDocument/2006/relationships/hyperlink" Target="https://asconafrica.org/contact-us/" TargetMode="External" Id="rId16"/></Relationships>
</file>

<file path=xl/worksheets/_rels/sheet1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https://asconafrica.org/" TargetMode="External" Id="rId3"/><Relationship Type="http://schemas.openxmlformats.org/officeDocument/2006/relationships/hyperlink" Target="https://asconafrica.org/news/" TargetMode="External" Id="rId4"/><Relationship Type="http://schemas.openxmlformats.org/officeDocument/2006/relationships/hyperlink" Target="https://asconafrica.org/our-members/" TargetMode="External" Id="rId5"/><Relationship Type="http://schemas.openxmlformats.org/officeDocument/2006/relationships/hyperlink" Target="https://asconafrica.org/2026-ascon-conference/"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privacy-policy/" TargetMode="External" Id="rId8"/><Relationship Type="http://schemas.openxmlformats.org/officeDocument/2006/relationships/hyperlink" Target="https://asconafrica.org/2026-ascon-conference/thank-you-for-signing-up/" TargetMode="External" Id="rId9"/><Relationship Type="http://schemas.openxmlformats.org/officeDocument/2006/relationships/hyperlink" Target="https://asconafrica.org/thank-you-for-signing-up-for-updates/" TargetMode="External" Id="rId10"/><Relationship Type="http://schemas.openxmlformats.org/officeDocument/2006/relationships/hyperlink" Target="https://asconafrica.org/launch-event-2026-ascon-conference/thank-you-for-registering-conference-launch/" TargetMode="External" Id="rId11"/><Relationship Type="http://schemas.openxmlformats.org/officeDocument/2006/relationships/hyperlink" Target="https://asconafrica.org/launch-event-2026-ascon-conference/" TargetMode="External" Id="rId12"/><Relationship Type="http://schemas.openxmlformats.org/officeDocument/2006/relationships/hyperlink" Target="https://asconafrica.org/2026-ascon-awards/thank-you-for-your-nomination/" TargetMode="External" Id="rId13"/><Relationship Type="http://schemas.openxmlformats.org/officeDocument/2006/relationships/hyperlink" Target="https://asconafrica.org/unsubscribe-form/" TargetMode="External" Id="rId14"/><Relationship Type="http://schemas.openxmlformats.org/officeDocument/2006/relationships/hyperlink" Target="https://asconafrica.org/unsubscribe-form/successfully-unsubscribed/" TargetMode="External" Id="rId15"/><Relationship Type="http://schemas.openxmlformats.org/officeDocument/2006/relationships/hyperlink" Target="https://asconafrica.org/contact-us/" TargetMode="External" Id="rId16"/></Relationships>
</file>

<file path=xl/worksheets/_rels/sheet11.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https://asconafrica.org/" TargetMode="External" Id="rId3"/><Relationship Type="http://schemas.openxmlformats.org/officeDocument/2006/relationships/hyperlink" Target="https://asconafrica.org/news/" TargetMode="External" Id="rId4"/><Relationship Type="http://schemas.openxmlformats.org/officeDocument/2006/relationships/hyperlink" Target="https://asconafrica.org/our-members/" TargetMode="External" Id="rId5"/><Relationship Type="http://schemas.openxmlformats.org/officeDocument/2006/relationships/hyperlink" Target="https://asconafrica.org/2026-ascon-conference/"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privacy-policy/" TargetMode="External" Id="rId8"/><Relationship Type="http://schemas.openxmlformats.org/officeDocument/2006/relationships/hyperlink" Target="https://asconafrica.org/2026-ascon-conference/thank-you-for-signing-up/" TargetMode="External" Id="rId9"/><Relationship Type="http://schemas.openxmlformats.org/officeDocument/2006/relationships/hyperlink" Target="https://asconafrica.org/thank-you-for-signing-up-for-updates/" TargetMode="External" Id="rId10"/><Relationship Type="http://schemas.openxmlformats.org/officeDocument/2006/relationships/hyperlink" Target="https://asconafrica.org/launch-event-2026-ascon-conference/thank-you-for-registering-conference-launch/" TargetMode="External" Id="rId11"/><Relationship Type="http://schemas.openxmlformats.org/officeDocument/2006/relationships/hyperlink" Target="https://asconafrica.org/launch-event-2026-ascon-conference/" TargetMode="External" Id="rId12"/><Relationship Type="http://schemas.openxmlformats.org/officeDocument/2006/relationships/hyperlink" Target="https://asconafrica.org/2026-ascon-awards/thank-you-for-your-nomination/" TargetMode="External" Id="rId13"/><Relationship Type="http://schemas.openxmlformats.org/officeDocument/2006/relationships/hyperlink" Target="https://asconafrica.org/unsubscribe-form/" TargetMode="External" Id="rId14"/><Relationship Type="http://schemas.openxmlformats.org/officeDocument/2006/relationships/hyperlink" Target="https://asconafrica.org/unsubscribe-form/successfully-unsubscribed/" TargetMode="External" Id="rId15"/><Relationship Type="http://schemas.openxmlformats.org/officeDocument/2006/relationships/hyperlink" Target="https://asconafrica.org/contact-us/" TargetMode="External" Id="rId16"/></Relationships>
</file>

<file path=xl/worksheets/_rels/sheet12.xml.rels><Relationships xmlns="http://schemas.openxmlformats.org/package/2006/relationships"><Relationship Type="http://schemas.openxmlformats.org/officeDocument/2006/relationships/hyperlink" Target="#Dashboard!A1" TargetMode="External" Id="rId1"/></Relationships>
</file>

<file path=xl/worksheets/_rels/sheet1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https://asconafrica.org/" TargetMode="External" Id="rId3"/><Relationship Type="http://schemas.openxmlformats.org/officeDocument/2006/relationships/hyperlink" Target="https://asconafrica.org/news/" TargetMode="External" Id="rId4"/><Relationship Type="http://schemas.openxmlformats.org/officeDocument/2006/relationships/hyperlink" Target="https://asconafrica.org/our-members/" TargetMode="External" Id="rId5"/><Relationship Type="http://schemas.openxmlformats.org/officeDocument/2006/relationships/hyperlink" Target="https://asconafrica.org/2026-ascon-conference/"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privacy-policy/" TargetMode="External" Id="rId8"/><Relationship Type="http://schemas.openxmlformats.org/officeDocument/2006/relationships/hyperlink" Target="https://asconafrica.org/2026-ascon-conference/thank-you-for-signing-up/" TargetMode="External" Id="rId9"/><Relationship Type="http://schemas.openxmlformats.org/officeDocument/2006/relationships/hyperlink" Target="https://asconafrica.org/thank-you-for-signing-up-for-updates/" TargetMode="External" Id="rId10"/><Relationship Type="http://schemas.openxmlformats.org/officeDocument/2006/relationships/hyperlink" Target="https://asconafrica.org/launch-event-2026-ascon-conference/thank-you-for-registering-conference-launch/" TargetMode="External" Id="rId11"/><Relationship Type="http://schemas.openxmlformats.org/officeDocument/2006/relationships/hyperlink" Target="https://asconafrica.org/launch-event-2026-ascon-conference/" TargetMode="External" Id="rId12"/><Relationship Type="http://schemas.openxmlformats.org/officeDocument/2006/relationships/hyperlink" Target="https://asconafrica.org/2026-ascon-awards/thank-you-for-your-nomination/" TargetMode="External" Id="rId13"/><Relationship Type="http://schemas.openxmlformats.org/officeDocument/2006/relationships/hyperlink" Target="https://asconafrica.org/unsubscribe-form/" TargetMode="External" Id="rId14"/><Relationship Type="http://schemas.openxmlformats.org/officeDocument/2006/relationships/hyperlink" Target="https://asconafrica.org/unsubscribe-form/successfully-unsubscribed/" TargetMode="External" Id="rId15"/><Relationship Type="http://schemas.openxmlformats.org/officeDocument/2006/relationships/hyperlink" Target="https://asconafrica.org/contact-us/" TargetMode="External" Id="rId16"/></Relationships>
</file>

<file path=xl/worksheets/_rels/sheet14.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 TargetMode="External" Id="rId2"/><Relationship Type="http://schemas.openxmlformats.org/officeDocument/2006/relationships/hyperlink" Target="#AEO!A1" TargetMode="External" Id="rId3"/><Relationship Type="http://schemas.openxmlformats.org/officeDocument/2006/relationships/hyperlink" Target="https://asconafrica.org/2026-ascon-awards/" TargetMode="External" Id="rId4"/><Relationship Type="http://schemas.openxmlformats.org/officeDocument/2006/relationships/hyperlink" Target="#AEO!A1" TargetMode="External" Id="rId5"/><Relationship Type="http://schemas.openxmlformats.org/officeDocument/2006/relationships/hyperlink" Target="https://asconafrica.org/2026-ascon-awards/thank-you-for-your-nomination/" TargetMode="External" Id="rId6"/><Relationship Type="http://schemas.openxmlformats.org/officeDocument/2006/relationships/hyperlink" Target="#AEO!A1" TargetMode="External" Id="rId7"/><Relationship Type="http://schemas.openxmlformats.org/officeDocument/2006/relationships/hyperlink" Target="https://asconafrica.org/2026-ascon-conference/" TargetMode="External" Id="rId8"/><Relationship Type="http://schemas.openxmlformats.org/officeDocument/2006/relationships/hyperlink" Target="#AEO!A1" TargetMode="External" Id="rId9"/><Relationship Type="http://schemas.openxmlformats.org/officeDocument/2006/relationships/hyperlink" Target="https://asconafrica.org/2026-ascon-conference/thank-you-for-signing-up/" TargetMode="External" Id="rId10"/><Relationship Type="http://schemas.openxmlformats.org/officeDocument/2006/relationships/hyperlink" Target="#AEO!A1" TargetMode="External" Id="rId11"/><Relationship Type="http://schemas.openxmlformats.org/officeDocument/2006/relationships/hyperlink" Target="https://asconafrica.org/about-us/" TargetMode="External" Id="rId12"/><Relationship Type="http://schemas.openxmlformats.org/officeDocument/2006/relationships/hyperlink" Target="#AEO!A1" TargetMode="External" Id="rId13"/><Relationship Type="http://schemas.openxmlformats.org/officeDocument/2006/relationships/hyperlink" Target="https://asconafrica.org/contact-us/" TargetMode="External" Id="rId14"/><Relationship Type="http://schemas.openxmlformats.org/officeDocument/2006/relationships/hyperlink" Target="#AEO!A1" TargetMode="External" Id="rId15"/><Relationship Type="http://schemas.openxmlformats.org/officeDocument/2006/relationships/hyperlink" Target="https://asconafrica.org/launch-event-2026-ascon-conference/" TargetMode="External" Id="rId16"/><Relationship Type="http://schemas.openxmlformats.org/officeDocument/2006/relationships/hyperlink" Target="#AEO!A1" TargetMode="External" Id="rId17"/><Relationship Type="http://schemas.openxmlformats.org/officeDocument/2006/relationships/hyperlink" Target="https://asconafrica.org/launch-event-2026-ascon-conference/thank-you-for-registering-conference-launch/" TargetMode="External" Id="rId18"/><Relationship Type="http://schemas.openxmlformats.org/officeDocument/2006/relationships/hyperlink" Target="#AEO!A1" TargetMode="External" Id="rId19"/><Relationship Type="http://schemas.openxmlformats.org/officeDocument/2006/relationships/hyperlink" Target="https://asconafrica.org/news/" TargetMode="External" Id="rId20"/><Relationship Type="http://schemas.openxmlformats.org/officeDocument/2006/relationships/hyperlink" Target="#AEO!A1" TargetMode="External" Id="rId21"/><Relationship Type="http://schemas.openxmlformats.org/officeDocument/2006/relationships/hyperlink" Target="https://asconafrica.org/our-members/" TargetMode="External" Id="rId22"/><Relationship Type="http://schemas.openxmlformats.org/officeDocument/2006/relationships/hyperlink" Target="#AEO!A1" TargetMode="External" Id="rId23"/><Relationship Type="http://schemas.openxmlformats.org/officeDocument/2006/relationships/hyperlink" Target="https://asconafrica.org/privacy-policy/" TargetMode="External" Id="rId24"/><Relationship Type="http://schemas.openxmlformats.org/officeDocument/2006/relationships/hyperlink" Target="#AEO!A1" TargetMode="External" Id="rId25"/><Relationship Type="http://schemas.openxmlformats.org/officeDocument/2006/relationships/hyperlink" Target="https://asconafrica.org/thank-you-for-signing-up-for-updates/" TargetMode="External" Id="rId26"/><Relationship Type="http://schemas.openxmlformats.org/officeDocument/2006/relationships/hyperlink" Target="#AEO!A1" TargetMode="External" Id="rId27"/><Relationship Type="http://schemas.openxmlformats.org/officeDocument/2006/relationships/hyperlink" Target="https://asconafrica.org/unsubscribe-form/" TargetMode="External" Id="rId28"/><Relationship Type="http://schemas.openxmlformats.org/officeDocument/2006/relationships/hyperlink" Target="#AEO!A1" TargetMode="External" Id="rId29"/><Relationship Type="http://schemas.openxmlformats.org/officeDocument/2006/relationships/hyperlink" Target="https://asconafrica.org/unsubscribe-form/successfully-unsubscribed/" TargetMode="External" Id="rId30"/><Relationship Type="http://schemas.openxmlformats.org/officeDocument/2006/relationships/hyperlink" Target="#AEO!A1" TargetMode="External" Id="rId31"/><Relationship Type="http://schemas.openxmlformats.org/officeDocument/2006/relationships/hyperlink" Target="https://asconafrica.org/" TargetMode="External" Id="rId32"/><Relationship Type="http://schemas.openxmlformats.org/officeDocument/2006/relationships/hyperlink" Target="#Content!A1" TargetMode="External" Id="rId33"/><Relationship Type="http://schemas.openxmlformats.org/officeDocument/2006/relationships/hyperlink" Target="https://asconafrica.org/2026-ascon-awards/thank-you-for-your-nomination/" TargetMode="External" Id="rId34"/><Relationship Type="http://schemas.openxmlformats.org/officeDocument/2006/relationships/hyperlink" Target="#Content!A1" TargetMode="External" Id="rId35"/><Relationship Type="http://schemas.openxmlformats.org/officeDocument/2006/relationships/hyperlink" Target="https://asconafrica.org/2026-ascon-conference/thank-you-for-signing-up/" TargetMode="External" Id="rId36"/><Relationship Type="http://schemas.openxmlformats.org/officeDocument/2006/relationships/hyperlink" Target="#Content!A1" TargetMode="External" Id="rId37"/><Relationship Type="http://schemas.openxmlformats.org/officeDocument/2006/relationships/hyperlink" Target="https://asconafrica.org/contact-us/" TargetMode="External" Id="rId38"/><Relationship Type="http://schemas.openxmlformats.org/officeDocument/2006/relationships/hyperlink" Target="#Content!A1" TargetMode="External" Id="rId39"/><Relationship Type="http://schemas.openxmlformats.org/officeDocument/2006/relationships/hyperlink" Target="https://asconafrica.org/contact-us/" TargetMode="External" Id="rId40"/><Relationship Type="http://schemas.openxmlformats.org/officeDocument/2006/relationships/hyperlink" Target="#Content!A1" TargetMode="External" Id="rId41"/><Relationship Type="http://schemas.openxmlformats.org/officeDocument/2006/relationships/hyperlink" Target="https://asconafrica.org/launch-event-2026-ascon-conference/thank-you-for-registering-conference-launch/" TargetMode="External" Id="rId42"/><Relationship Type="http://schemas.openxmlformats.org/officeDocument/2006/relationships/hyperlink" Target="#Content!A1" TargetMode="External" Id="rId43"/><Relationship Type="http://schemas.openxmlformats.org/officeDocument/2006/relationships/hyperlink" Target="https://asconafrica.org/news/" TargetMode="External" Id="rId44"/><Relationship Type="http://schemas.openxmlformats.org/officeDocument/2006/relationships/hyperlink" Target="#Content!A1" TargetMode="External" Id="rId45"/><Relationship Type="http://schemas.openxmlformats.org/officeDocument/2006/relationships/hyperlink" Target="https://asconafrica.org/our-members/" TargetMode="External" Id="rId46"/><Relationship Type="http://schemas.openxmlformats.org/officeDocument/2006/relationships/hyperlink" Target="#Content!A1" TargetMode="External" Id="rId47"/><Relationship Type="http://schemas.openxmlformats.org/officeDocument/2006/relationships/hyperlink" Target="https://asconafrica.org/privacy-policy/" TargetMode="External" Id="rId48"/><Relationship Type="http://schemas.openxmlformats.org/officeDocument/2006/relationships/hyperlink" Target="#Content!A1" TargetMode="External" Id="rId49"/><Relationship Type="http://schemas.openxmlformats.org/officeDocument/2006/relationships/hyperlink" Target="https://asconafrica.org/thank-you-for-signing-up-for-updates/" TargetMode="External" Id="rId50"/><Relationship Type="http://schemas.openxmlformats.org/officeDocument/2006/relationships/hyperlink" Target="#Content!A1" TargetMode="External" Id="rId51"/><Relationship Type="http://schemas.openxmlformats.org/officeDocument/2006/relationships/hyperlink" Target="https://asconafrica.org/unsubscribe-form/" TargetMode="External" Id="rId52"/><Relationship Type="http://schemas.openxmlformats.org/officeDocument/2006/relationships/hyperlink" Target="#Content!A1" TargetMode="External" Id="rId53"/><Relationship Type="http://schemas.openxmlformats.org/officeDocument/2006/relationships/hyperlink" Target="https://asconafrica.org/unsubscribe-form/" TargetMode="External" Id="rId54"/><Relationship Type="http://schemas.openxmlformats.org/officeDocument/2006/relationships/hyperlink" Target="#Content!A1" TargetMode="External" Id="rId55"/><Relationship Type="http://schemas.openxmlformats.org/officeDocument/2006/relationships/hyperlink" Target="https://asconafrica.org/unsubscribe-form/successfully-unsubscribed/" TargetMode="External" Id="rId56"/><Relationship Type="http://schemas.openxmlformats.org/officeDocument/2006/relationships/hyperlink" Target="#Content!A1" TargetMode="External" Id="rId57"/><Relationship Type="http://schemas.openxmlformats.org/officeDocument/2006/relationships/hyperlink" Target="https://asconafrica.org/unsubscribe-form/successfully-unsubscribed/" TargetMode="External" Id="rId58"/><Relationship Type="http://schemas.openxmlformats.org/officeDocument/2006/relationships/hyperlink" Target="#Content!A1" TargetMode="External" Id="rId59"/><Relationship Type="http://schemas.openxmlformats.org/officeDocument/2006/relationships/hyperlink" Target="https://asconafrica.org/" TargetMode="External" Id="rId60"/><Relationship Type="http://schemas.openxmlformats.org/officeDocument/2006/relationships/hyperlink" Target="#StructuredData!A1" TargetMode="External" Id="rId61"/><Relationship Type="http://schemas.openxmlformats.org/officeDocument/2006/relationships/hyperlink" Target="https://asconafrica.org/2026-ascon-awards/" TargetMode="External" Id="rId62"/><Relationship Type="http://schemas.openxmlformats.org/officeDocument/2006/relationships/hyperlink" Target="#StructuredData!A1" TargetMode="External" Id="rId63"/><Relationship Type="http://schemas.openxmlformats.org/officeDocument/2006/relationships/hyperlink" Target="https://asconafrica.org/2026-ascon-awards/thank-you-for-your-nomination/" TargetMode="External" Id="rId64"/><Relationship Type="http://schemas.openxmlformats.org/officeDocument/2006/relationships/hyperlink" Target="#StructuredData!A1" TargetMode="External" Id="rId65"/><Relationship Type="http://schemas.openxmlformats.org/officeDocument/2006/relationships/hyperlink" Target="https://asconafrica.org/2026-ascon-conference/" TargetMode="External" Id="rId66"/><Relationship Type="http://schemas.openxmlformats.org/officeDocument/2006/relationships/hyperlink" Target="#StructuredData!A1" TargetMode="External" Id="rId67"/><Relationship Type="http://schemas.openxmlformats.org/officeDocument/2006/relationships/hyperlink" Target="https://asconafrica.org/2026-ascon-conference/thank-you-for-signing-up/" TargetMode="External" Id="rId68"/><Relationship Type="http://schemas.openxmlformats.org/officeDocument/2006/relationships/hyperlink" Target="#StructuredData!A1" TargetMode="External" Id="rId69"/><Relationship Type="http://schemas.openxmlformats.org/officeDocument/2006/relationships/hyperlink" Target="https://asconafrica.org/about-us/" TargetMode="External" Id="rId70"/><Relationship Type="http://schemas.openxmlformats.org/officeDocument/2006/relationships/hyperlink" Target="#StructuredData!A1" TargetMode="External" Id="rId71"/><Relationship Type="http://schemas.openxmlformats.org/officeDocument/2006/relationships/hyperlink" Target="https://asconafrica.org/contact-us/" TargetMode="External" Id="rId72"/><Relationship Type="http://schemas.openxmlformats.org/officeDocument/2006/relationships/hyperlink" Target="#StructuredData!A1" TargetMode="External" Id="rId73"/><Relationship Type="http://schemas.openxmlformats.org/officeDocument/2006/relationships/hyperlink" Target="https://asconafrica.org/launch-event-2026-ascon-conference/" TargetMode="External" Id="rId74"/><Relationship Type="http://schemas.openxmlformats.org/officeDocument/2006/relationships/hyperlink" Target="#StructuredData!A1" TargetMode="External" Id="rId75"/><Relationship Type="http://schemas.openxmlformats.org/officeDocument/2006/relationships/hyperlink" Target="https://asconafrica.org/launch-event-2026-ascon-conference/thank-you-for-registering-conference-launch/" TargetMode="External" Id="rId76"/><Relationship Type="http://schemas.openxmlformats.org/officeDocument/2006/relationships/hyperlink" Target="#StructuredData!A1" TargetMode="External" Id="rId77"/><Relationship Type="http://schemas.openxmlformats.org/officeDocument/2006/relationships/hyperlink" Target="https://asconafrica.org/news/" TargetMode="External" Id="rId78"/><Relationship Type="http://schemas.openxmlformats.org/officeDocument/2006/relationships/hyperlink" Target="#StructuredData!A1" TargetMode="External" Id="rId79"/><Relationship Type="http://schemas.openxmlformats.org/officeDocument/2006/relationships/hyperlink" Target="https://asconafrica.org/our-members/" TargetMode="External" Id="rId80"/><Relationship Type="http://schemas.openxmlformats.org/officeDocument/2006/relationships/hyperlink" Target="#StructuredData!A1" TargetMode="External" Id="rId81"/><Relationship Type="http://schemas.openxmlformats.org/officeDocument/2006/relationships/hyperlink" Target="https://asconafrica.org/privacy-policy/" TargetMode="External" Id="rId82"/><Relationship Type="http://schemas.openxmlformats.org/officeDocument/2006/relationships/hyperlink" Target="#StructuredData!A1" TargetMode="External" Id="rId83"/><Relationship Type="http://schemas.openxmlformats.org/officeDocument/2006/relationships/hyperlink" Target="https://asconafrica.org/thank-you-for-signing-up-for-updates/" TargetMode="External" Id="rId84"/><Relationship Type="http://schemas.openxmlformats.org/officeDocument/2006/relationships/hyperlink" Target="#StructuredData!A1" TargetMode="External" Id="rId85"/><Relationship Type="http://schemas.openxmlformats.org/officeDocument/2006/relationships/hyperlink" Target="https://asconafrica.org/unsubscribe-form/" TargetMode="External" Id="rId86"/><Relationship Type="http://schemas.openxmlformats.org/officeDocument/2006/relationships/hyperlink" Target="#StructuredData!A1" TargetMode="External" Id="rId87"/><Relationship Type="http://schemas.openxmlformats.org/officeDocument/2006/relationships/hyperlink" Target="https://asconafrica.org/unsubscribe-form/successfully-unsubscribed/" TargetMode="External" Id="rId88"/><Relationship Type="http://schemas.openxmlformats.org/officeDocument/2006/relationships/hyperlink" Target="#StructuredData!A1" TargetMode="External" Id="rId89"/><Relationship Type="http://schemas.openxmlformats.org/officeDocument/2006/relationships/hyperlink" Target="https://asconafrica.org/" TargetMode="External" Id="rId90"/><Relationship Type="http://schemas.openxmlformats.org/officeDocument/2006/relationships/hyperlink" Target="#Main!A1" TargetMode="External" Id="rId91"/><Relationship Type="http://schemas.openxmlformats.org/officeDocument/2006/relationships/hyperlink" Target="https://asconafrica.org/" TargetMode="External" Id="rId92"/><Relationship Type="http://schemas.openxmlformats.org/officeDocument/2006/relationships/hyperlink" Target="#Links!A1" TargetMode="External" Id="rId93"/><Relationship Type="http://schemas.openxmlformats.org/officeDocument/2006/relationships/hyperlink" Target="https://asconafrica.org/2026-ascon-awards/" TargetMode="External" Id="rId94"/><Relationship Type="http://schemas.openxmlformats.org/officeDocument/2006/relationships/hyperlink" Target="#Main!A1" TargetMode="External" Id="rId95"/><Relationship Type="http://schemas.openxmlformats.org/officeDocument/2006/relationships/hyperlink" Target="https://asconafrica.org/2026-ascon-awards/" TargetMode="External" Id="rId96"/><Relationship Type="http://schemas.openxmlformats.org/officeDocument/2006/relationships/hyperlink" Target="#Links!A1" TargetMode="External" Id="rId97"/><Relationship Type="http://schemas.openxmlformats.org/officeDocument/2006/relationships/hyperlink" Target="https://asconafrica.org/2026-ascon-awards/thank-you-for-your-nomination/" TargetMode="External" Id="rId98"/><Relationship Type="http://schemas.openxmlformats.org/officeDocument/2006/relationships/hyperlink" Target="#Main!A1" TargetMode="External" Id="rId99"/><Relationship Type="http://schemas.openxmlformats.org/officeDocument/2006/relationships/hyperlink" Target="https://asconafrica.org/2026-ascon-awards/thank-you-for-your-nomination/" TargetMode="External" Id="rId100"/><Relationship Type="http://schemas.openxmlformats.org/officeDocument/2006/relationships/hyperlink" Target="#Links!A1" TargetMode="External" Id="rId101"/><Relationship Type="http://schemas.openxmlformats.org/officeDocument/2006/relationships/hyperlink" Target="https://asconafrica.org/2026-ascon-conference/" TargetMode="External" Id="rId102"/><Relationship Type="http://schemas.openxmlformats.org/officeDocument/2006/relationships/hyperlink" Target="#Main!A1" TargetMode="External" Id="rId103"/><Relationship Type="http://schemas.openxmlformats.org/officeDocument/2006/relationships/hyperlink" Target="https://asconafrica.org/2026-ascon-conference/" TargetMode="External" Id="rId104"/><Relationship Type="http://schemas.openxmlformats.org/officeDocument/2006/relationships/hyperlink" Target="#Links!A1" TargetMode="External" Id="rId105"/><Relationship Type="http://schemas.openxmlformats.org/officeDocument/2006/relationships/hyperlink" Target="https://asconafrica.org/2026-ascon-conference/thank-you-for-signing-up/" TargetMode="External" Id="rId106"/><Relationship Type="http://schemas.openxmlformats.org/officeDocument/2006/relationships/hyperlink" Target="#Main!A1" TargetMode="External" Id="rId107"/><Relationship Type="http://schemas.openxmlformats.org/officeDocument/2006/relationships/hyperlink" Target="https://asconafrica.org/2026-ascon-conference/thank-you-for-signing-up/" TargetMode="External" Id="rId108"/><Relationship Type="http://schemas.openxmlformats.org/officeDocument/2006/relationships/hyperlink" Target="#Links!A1" TargetMode="External" Id="rId109"/><Relationship Type="http://schemas.openxmlformats.org/officeDocument/2006/relationships/hyperlink" Target="https://asconafrica.org/about-us/" TargetMode="External" Id="rId110"/><Relationship Type="http://schemas.openxmlformats.org/officeDocument/2006/relationships/hyperlink" Target="#Main!A1" TargetMode="External" Id="rId111"/><Relationship Type="http://schemas.openxmlformats.org/officeDocument/2006/relationships/hyperlink" Target="https://asconafrica.org/about-us/" TargetMode="External" Id="rId112"/><Relationship Type="http://schemas.openxmlformats.org/officeDocument/2006/relationships/hyperlink" Target="#Links!A1" TargetMode="External" Id="rId113"/><Relationship Type="http://schemas.openxmlformats.org/officeDocument/2006/relationships/hyperlink" Target="https://asconafrica.org/contact-us/" TargetMode="External" Id="rId114"/><Relationship Type="http://schemas.openxmlformats.org/officeDocument/2006/relationships/hyperlink" Target="#Main!A1" TargetMode="External" Id="rId115"/><Relationship Type="http://schemas.openxmlformats.org/officeDocument/2006/relationships/hyperlink" Target="https://asconafrica.org/contact-us/" TargetMode="External" Id="rId116"/><Relationship Type="http://schemas.openxmlformats.org/officeDocument/2006/relationships/hyperlink" Target="#Links!A1" TargetMode="External" Id="rId117"/><Relationship Type="http://schemas.openxmlformats.org/officeDocument/2006/relationships/hyperlink" Target="https://asconafrica.org/launch-event-2026-ascon-conference/" TargetMode="External" Id="rId118"/><Relationship Type="http://schemas.openxmlformats.org/officeDocument/2006/relationships/hyperlink" Target="#Main!A1" TargetMode="External" Id="rId119"/><Relationship Type="http://schemas.openxmlformats.org/officeDocument/2006/relationships/hyperlink" Target="https://asconafrica.org/launch-event-2026-ascon-conference/" TargetMode="External" Id="rId120"/><Relationship Type="http://schemas.openxmlformats.org/officeDocument/2006/relationships/hyperlink" Target="#Links!A1" TargetMode="External" Id="rId121"/><Relationship Type="http://schemas.openxmlformats.org/officeDocument/2006/relationships/hyperlink" Target="https://asconafrica.org/launch-event-2026-ascon-conference/thank-you-for-registering-conference-launch/" TargetMode="External" Id="rId122"/><Relationship Type="http://schemas.openxmlformats.org/officeDocument/2006/relationships/hyperlink" Target="#Main!A1" TargetMode="External" Id="rId123"/><Relationship Type="http://schemas.openxmlformats.org/officeDocument/2006/relationships/hyperlink" Target="https://asconafrica.org/launch-event-2026-ascon-conference/thank-you-for-registering-conference-launch/" TargetMode="External" Id="rId124"/><Relationship Type="http://schemas.openxmlformats.org/officeDocument/2006/relationships/hyperlink" Target="#Links!A1" TargetMode="External" Id="rId125"/><Relationship Type="http://schemas.openxmlformats.org/officeDocument/2006/relationships/hyperlink" Target="https://asconafrica.org/news/" TargetMode="External" Id="rId126"/><Relationship Type="http://schemas.openxmlformats.org/officeDocument/2006/relationships/hyperlink" Target="#Main!A1" TargetMode="External" Id="rId127"/><Relationship Type="http://schemas.openxmlformats.org/officeDocument/2006/relationships/hyperlink" Target="https://asconafrica.org/news/" TargetMode="External" Id="rId128"/><Relationship Type="http://schemas.openxmlformats.org/officeDocument/2006/relationships/hyperlink" Target="#Links!A1" TargetMode="External" Id="rId129"/><Relationship Type="http://schemas.openxmlformats.org/officeDocument/2006/relationships/hyperlink" Target="https://asconafrica.org/our-members/" TargetMode="External" Id="rId130"/><Relationship Type="http://schemas.openxmlformats.org/officeDocument/2006/relationships/hyperlink" Target="#Main!A1" TargetMode="External" Id="rId131"/><Relationship Type="http://schemas.openxmlformats.org/officeDocument/2006/relationships/hyperlink" Target="https://asconafrica.org/our-members/" TargetMode="External" Id="rId132"/><Relationship Type="http://schemas.openxmlformats.org/officeDocument/2006/relationships/hyperlink" Target="#Links!A1" TargetMode="External" Id="rId133"/><Relationship Type="http://schemas.openxmlformats.org/officeDocument/2006/relationships/hyperlink" Target="https://asconafrica.org/privacy-policy/" TargetMode="External" Id="rId134"/><Relationship Type="http://schemas.openxmlformats.org/officeDocument/2006/relationships/hyperlink" Target="#Main!A1" TargetMode="External" Id="rId135"/><Relationship Type="http://schemas.openxmlformats.org/officeDocument/2006/relationships/hyperlink" Target="https://asconafrica.org/privacy-policy/" TargetMode="External" Id="rId136"/><Relationship Type="http://schemas.openxmlformats.org/officeDocument/2006/relationships/hyperlink" Target="#Links!A1" TargetMode="External" Id="rId137"/><Relationship Type="http://schemas.openxmlformats.org/officeDocument/2006/relationships/hyperlink" Target="https://asconafrica.org/thank-you-for-signing-up-for-updates/" TargetMode="External" Id="rId138"/><Relationship Type="http://schemas.openxmlformats.org/officeDocument/2006/relationships/hyperlink" Target="#Links!A1" TargetMode="External" Id="rId139"/><Relationship Type="http://schemas.openxmlformats.org/officeDocument/2006/relationships/hyperlink" Target="https://asconafrica.org/unsubscribe-form/" TargetMode="External" Id="rId140"/><Relationship Type="http://schemas.openxmlformats.org/officeDocument/2006/relationships/hyperlink" Target="#Main!A1" TargetMode="External" Id="rId141"/><Relationship Type="http://schemas.openxmlformats.org/officeDocument/2006/relationships/hyperlink" Target="https://asconafrica.org/unsubscribe-form/" TargetMode="External" Id="rId142"/><Relationship Type="http://schemas.openxmlformats.org/officeDocument/2006/relationships/hyperlink" Target="#Links!A1" TargetMode="External" Id="rId143"/><Relationship Type="http://schemas.openxmlformats.org/officeDocument/2006/relationships/hyperlink" Target="https://asconafrica.org/unsubscribe-form/successfully-unsubscribed/" TargetMode="External" Id="rId144"/><Relationship Type="http://schemas.openxmlformats.org/officeDocument/2006/relationships/hyperlink" Target="#Main!A1" TargetMode="External" Id="rId145"/><Relationship Type="http://schemas.openxmlformats.org/officeDocument/2006/relationships/hyperlink" Target="https://asconafrica.org/unsubscribe-form/successfully-unsubscribed/" TargetMode="External" Id="rId146"/><Relationship Type="http://schemas.openxmlformats.org/officeDocument/2006/relationships/hyperlink" Target="#Links!A1" TargetMode="External" Id="rId147"/><Relationship Type="http://schemas.openxmlformats.org/officeDocument/2006/relationships/hyperlink" Target="https://asconafrica.org/" TargetMode="External" Id="rId148"/><Relationship Type="http://schemas.openxmlformats.org/officeDocument/2006/relationships/hyperlink" Target="#AEO!A1" TargetMode="External" Id="rId149"/><Relationship Type="http://schemas.openxmlformats.org/officeDocument/2006/relationships/hyperlink" Target="https://asconafrica.org/2026-ascon-awards/" TargetMode="External" Id="rId150"/><Relationship Type="http://schemas.openxmlformats.org/officeDocument/2006/relationships/hyperlink" Target="#AEO!A1" TargetMode="External" Id="rId151"/><Relationship Type="http://schemas.openxmlformats.org/officeDocument/2006/relationships/hyperlink" Target="https://asconafrica.org/2026-ascon-awards/thank-you-for-your-nomination/" TargetMode="External" Id="rId152"/><Relationship Type="http://schemas.openxmlformats.org/officeDocument/2006/relationships/hyperlink" Target="#AEO!A1" TargetMode="External" Id="rId153"/><Relationship Type="http://schemas.openxmlformats.org/officeDocument/2006/relationships/hyperlink" Target="https://asconafrica.org/2026-ascon-conference/" TargetMode="External" Id="rId154"/><Relationship Type="http://schemas.openxmlformats.org/officeDocument/2006/relationships/hyperlink" Target="#AEO!A1" TargetMode="External" Id="rId155"/><Relationship Type="http://schemas.openxmlformats.org/officeDocument/2006/relationships/hyperlink" Target="https://asconafrica.org/2026-ascon-conference/thank-you-for-signing-up/" TargetMode="External" Id="rId156"/><Relationship Type="http://schemas.openxmlformats.org/officeDocument/2006/relationships/hyperlink" Target="#AEO!A1" TargetMode="External" Id="rId157"/><Relationship Type="http://schemas.openxmlformats.org/officeDocument/2006/relationships/hyperlink" Target="https://asconafrica.org/about-us/" TargetMode="External" Id="rId158"/><Relationship Type="http://schemas.openxmlformats.org/officeDocument/2006/relationships/hyperlink" Target="#AEO!A1" TargetMode="External" Id="rId159"/><Relationship Type="http://schemas.openxmlformats.org/officeDocument/2006/relationships/hyperlink" Target="https://asconafrica.org/contact-us/" TargetMode="External" Id="rId160"/><Relationship Type="http://schemas.openxmlformats.org/officeDocument/2006/relationships/hyperlink" Target="#AEO!A1" TargetMode="External" Id="rId161"/><Relationship Type="http://schemas.openxmlformats.org/officeDocument/2006/relationships/hyperlink" Target="https://asconafrica.org/launch-event-2026-ascon-conference/" TargetMode="External" Id="rId162"/><Relationship Type="http://schemas.openxmlformats.org/officeDocument/2006/relationships/hyperlink" Target="#AEO!A1" TargetMode="External" Id="rId163"/><Relationship Type="http://schemas.openxmlformats.org/officeDocument/2006/relationships/hyperlink" Target="https://asconafrica.org/launch-event-2026-ascon-conference/thank-you-for-registering-conference-launch/" TargetMode="External" Id="rId164"/><Relationship Type="http://schemas.openxmlformats.org/officeDocument/2006/relationships/hyperlink" Target="#AEO!A1" TargetMode="External" Id="rId165"/><Relationship Type="http://schemas.openxmlformats.org/officeDocument/2006/relationships/hyperlink" Target="https://asconafrica.org/news/" TargetMode="External" Id="rId166"/><Relationship Type="http://schemas.openxmlformats.org/officeDocument/2006/relationships/hyperlink" Target="#AEO!A1" TargetMode="External" Id="rId167"/><Relationship Type="http://schemas.openxmlformats.org/officeDocument/2006/relationships/hyperlink" Target="https://asconafrica.org/our-members/" TargetMode="External" Id="rId168"/><Relationship Type="http://schemas.openxmlformats.org/officeDocument/2006/relationships/hyperlink" Target="#AEO!A1" TargetMode="External" Id="rId169"/><Relationship Type="http://schemas.openxmlformats.org/officeDocument/2006/relationships/hyperlink" Target="https://asconafrica.org/thank-you-for-signing-up-for-updates/" TargetMode="External" Id="rId170"/><Relationship Type="http://schemas.openxmlformats.org/officeDocument/2006/relationships/hyperlink" Target="#AEO!A1" TargetMode="External" Id="rId171"/><Relationship Type="http://schemas.openxmlformats.org/officeDocument/2006/relationships/hyperlink" Target="https://asconafrica.org/unsubscribe-form/" TargetMode="External" Id="rId172"/><Relationship Type="http://schemas.openxmlformats.org/officeDocument/2006/relationships/hyperlink" Target="#AEO!A1" TargetMode="External" Id="rId173"/><Relationship Type="http://schemas.openxmlformats.org/officeDocument/2006/relationships/hyperlink" Target="https://asconafrica.org/unsubscribe-form/successfully-unsubscribed/" TargetMode="External" Id="rId174"/><Relationship Type="http://schemas.openxmlformats.org/officeDocument/2006/relationships/hyperlink" Target="#AEO!A1" TargetMode="External" Id="rId175"/><Relationship Type="http://schemas.openxmlformats.org/officeDocument/2006/relationships/hyperlink" Target="https://asconafrica.org/" TargetMode="External" Id="rId176"/><Relationship Type="http://schemas.openxmlformats.org/officeDocument/2006/relationships/hyperlink" Target="#AEO!A1" TargetMode="External" Id="rId177"/><Relationship Type="http://schemas.openxmlformats.org/officeDocument/2006/relationships/hyperlink" Target="https://asconafrica.org/2026-ascon-awards/" TargetMode="External" Id="rId178"/><Relationship Type="http://schemas.openxmlformats.org/officeDocument/2006/relationships/hyperlink" Target="#AEO!A1" TargetMode="External" Id="rId179"/><Relationship Type="http://schemas.openxmlformats.org/officeDocument/2006/relationships/hyperlink" Target="https://asconafrica.org/2026-ascon-awards/thank-you-for-your-nomination/" TargetMode="External" Id="rId180"/><Relationship Type="http://schemas.openxmlformats.org/officeDocument/2006/relationships/hyperlink" Target="#AEO!A1" TargetMode="External" Id="rId181"/><Relationship Type="http://schemas.openxmlformats.org/officeDocument/2006/relationships/hyperlink" Target="https://asconafrica.org/2026-ascon-conference/" TargetMode="External" Id="rId182"/><Relationship Type="http://schemas.openxmlformats.org/officeDocument/2006/relationships/hyperlink" Target="#AEO!A1" TargetMode="External" Id="rId183"/><Relationship Type="http://schemas.openxmlformats.org/officeDocument/2006/relationships/hyperlink" Target="https://asconafrica.org/2026-ascon-conference/thank-you-for-signing-up/" TargetMode="External" Id="rId184"/><Relationship Type="http://schemas.openxmlformats.org/officeDocument/2006/relationships/hyperlink" Target="#AEO!A1" TargetMode="External" Id="rId185"/><Relationship Type="http://schemas.openxmlformats.org/officeDocument/2006/relationships/hyperlink" Target="https://asconafrica.org/about-us/" TargetMode="External" Id="rId186"/><Relationship Type="http://schemas.openxmlformats.org/officeDocument/2006/relationships/hyperlink" Target="#AEO!A1" TargetMode="External" Id="rId187"/><Relationship Type="http://schemas.openxmlformats.org/officeDocument/2006/relationships/hyperlink" Target="https://asconafrica.org/contact-us/" TargetMode="External" Id="rId188"/><Relationship Type="http://schemas.openxmlformats.org/officeDocument/2006/relationships/hyperlink" Target="#AEO!A1" TargetMode="External" Id="rId189"/><Relationship Type="http://schemas.openxmlformats.org/officeDocument/2006/relationships/hyperlink" Target="https://asconafrica.org/launch-event-2026-ascon-conference/" TargetMode="External" Id="rId190"/><Relationship Type="http://schemas.openxmlformats.org/officeDocument/2006/relationships/hyperlink" Target="#AEO!A1" TargetMode="External" Id="rId191"/><Relationship Type="http://schemas.openxmlformats.org/officeDocument/2006/relationships/hyperlink" Target="https://asconafrica.org/launch-event-2026-ascon-conference/thank-you-for-registering-conference-launch/" TargetMode="External" Id="rId192"/><Relationship Type="http://schemas.openxmlformats.org/officeDocument/2006/relationships/hyperlink" Target="#AEO!A1" TargetMode="External" Id="rId193"/><Relationship Type="http://schemas.openxmlformats.org/officeDocument/2006/relationships/hyperlink" Target="https://asconafrica.org/news/" TargetMode="External" Id="rId194"/><Relationship Type="http://schemas.openxmlformats.org/officeDocument/2006/relationships/hyperlink" Target="#AEO!A1" TargetMode="External" Id="rId195"/><Relationship Type="http://schemas.openxmlformats.org/officeDocument/2006/relationships/hyperlink" Target="https://asconafrica.org/our-members/" TargetMode="External" Id="rId196"/><Relationship Type="http://schemas.openxmlformats.org/officeDocument/2006/relationships/hyperlink" Target="#AEO!A1" TargetMode="External" Id="rId197"/><Relationship Type="http://schemas.openxmlformats.org/officeDocument/2006/relationships/hyperlink" Target="https://asconafrica.org/thank-you-for-signing-up-for-updates/" TargetMode="External" Id="rId198"/><Relationship Type="http://schemas.openxmlformats.org/officeDocument/2006/relationships/hyperlink" Target="#AEO!A1" TargetMode="External" Id="rId199"/><Relationship Type="http://schemas.openxmlformats.org/officeDocument/2006/relationships/hyperlink" Target="https://asconafrica.org/unsubscribe-form/" TargetMode="External" Id="rId200"/><Relationship Type="http://schemas.openxmlformats.org/officeDocument/2006/relationships/hyperlink" Target="#AEO!A1" TargetMode="External" Id="rId201"/><Relationship Type="http://schemas.openxmlformats.org/officeDocument/2006/relationships/hyperlink" Target="https://asconafrica.org/unsubscribe-form/successfully-unsubscribed/" TargetMode="External" Id="rId202"/><Relationship Type="http://schemas.openxmlformats.org/officeDocument/2006/relationships/hyperlink" Target="#AEO!A1" TargetMode="External" Id="rId203"/><Relationship Type="http://schemas.openxmlformats.org/officeDocument/2006/relationships/hyperlink" Target="https://asconafrica.org/" TargetMode="External" Id="rId204"/><Relationship Type="http://schemas.openxmlformats.org/officeDocument/2006/relationships/hyperlink" Target="#AEO!A1" TargetMode="External" Id="rId205"/><Relationship Type="http://schemas.openxmlformats.org/officeDocument/2006/relationships/hyperlink" Target="https://asconafrica.org/2026-ascon-awards/" TargetMode="External" Id="rId206"/><Relationship Type="http://schemas.openxmlformats.org/officeDocument/2006/relationships/hyperlink" Target="#AEO!A1" TargetMode="External" Id="rId207"/><Relationship Type="http://schemas.openxmlformats.org/officeDocument/2006/relationships/hyperlink" Target="https://asconafrica.org/2026-ascon-awards/thank-you-for-your-nomination/" TargetMode="External" Id="rId208"/><Relationship Type="http://schemas.openxmlformats.org/officeDocument/2006/relationships/hyperlink" Target="#AEO!A1" TargetMode="External" Id="rId209"/><Relationship Type="http://schemas.openxmlformats.org/officeDocument/2006/relationships/hyperlink" Target="https://asconafrica.org/2026-ascon-conference/" TargetMode="External" Id="rId210"/><Relationship Type="http://schemas.openxmlformats.org/officeDocument/2006/relationships/hyperlink" Target="#AEO!A1" TargetMode="External" Id="rId211"/><Relationship Type="http://schemas.openxmlformats.org/officeDocument/2006/relationships/hyperlink" Target="https://asconafrica.org/2026-ascon-conference/thank-you-for-signing-up/" TargetMode="External" Id="rId212"/><Relationship Type="http://schemas.openxmlformats.org/officeDocument/2006/relationships/hyperlink" Target="#AEO!A1" TargetMode="External" Id="rId213"/><Relationship Type="http://schemas.openxmlformats.org/officeDocument/2006/relationships/hyperlink" Target="https://asconafrica.org/about-us/" TargetMode="External" Id="rId214"/><Relationship Type="http://schemas.openxmlformats.org/officeDocument/2006/relationships/hyperlink" Target="#AEO!A1" TargetMode="External" Id="rId215"/><Relationship Type="http://schemas.openxmlformats.org/officeDocument/2006/relationships/hyperlink" Target="https://asconafrica.org/contact-us/" TargetMode="External" Id="rId216"/><Relationship Type="http://schemas.openxmlformats.org/officeDocument/2006/relationships/hyperlink" Target="#AEO!A1" TargetMode="External" Id="rId217"/><Relationship Type="http://schemas.openxmlformats.org/officeDocument/2006/relationships/hyperlink" Target="https://asconafrica.org/launch-event-2026-ascon-conference/" TargetMode="External" Id="rId218"/><Relationship Type="http://schemas.openxmlformats.org/officeDocument/2006/relationships/hyperlink" Target="#AEO!A1" TargetMode="External" Id="rId219"/><Relationship Type="http://schemas.openxmlformats.org/officeDocument/2006/relationships/hyperlink" Target="https://asconafrica.org/launch-event-2026-ascon-conference/thank-you-for-registering-conference-launch/" TargetMode="External" Id="rId220"/><Relationship Type="http://schemas.openxmlformats.org/officeDocument/2006/relationships/hyperlink" Target="#AEO!A1" TargetMode="External" Id="rId221"/><Relationship Type="http://schemas.openxmlformats.org/officeDocument/2006/relationships/hyperlink" Target="https://asconafrica.org/news/" TargetMode="External" Id="rId222"/><Relationship Type="http://schemas.openxmlformats.org/officeDocument/2006/relationships/hyperlink" Target="#AEO!A1" TargetMode="External" Id="rId223"/><Relationship Type="http://schemas.openxmlformats.org/officeDocument/2006/relationships/hyperlink" Target="https://asconafrica.org/our-members/" TargetMode="External" Id="rId224"/><Relationship Type="http://schemas.openxmlformats.org/officeDocument/2006/relationships/hyperlink" Target="#AEO!A1" TargetMode="External" Id="rId225"/><Relationship Type="http://schemas.openxmlformats.org/officeDocument/2006/relationships/hyperlink" Target="https://asconafrica.org/privacy-policy/" TargetMode="External" Id="rId226"/><Relationship Type="http://schemas.openxmlformats.org/officeDocument/2006/relationships/hyperlink" Target="#AEO!A1" TargetMode="External" Id="rId227"/><Relationship Type="http://schemas.openxmlformats.org/officeDocument/2006/relationships/hyperlink" Target="https://asconafrica.org/thank-you-for-signing-up-for-updates/" TargetMode="External" Id="rId228"/><Relationship Type="http://schemas.openxmlformats.org/officeDocument/2006/relationships/hyperlink" Target="#AEO!A1" TargetMode="External" Id="rId229"/><Relationship Type="http://schemas.openxmlformats.org/officeDocument/2006/relationships/hyperlink" Target="https://asconafrica.org/unsubscribe-form/" TargetMode="External" Id="rId230"/><Relationship Type="http://schemas.openxmlformats.org/officeDocument/2006/relationships/hyperlink" Target="#AEO!A1" TargetMode="External" Id="rId231"/><Relationship Type="http://schemas.openxmlformats.org/officeDocument/2006/relationships/hyperlink" Target="https://asconafrica.org/unsubscribe-form/successfully-unsubscribed/" TargetMode="External" Id="rId232"/><Relationship Type="http://schemas.openxmlformats.org/officeDocument/2006/relationships/hyperlink" Target="#AEO!A1" TargetMode="External" Id="rId233"/><Relationship Type="http://schemas.openxmlformats.org/officeDocument/2006/relationships/hyperlink" Target="https://asconafrica.org/" TargetMode="External" Id="rId234"/><Relationship Type="http://schemas.openxmlformats.org/officeDocument/2006/relationships/hyperlink" Target="#Main!A1" TargetMode="External" Id="rId235"/><Relationship Type="http://schemas.openxmlformats.org/officeDocument/2006/relationships/hyperlink" Target="https://asconafrica.org/2026-ascon-awards/" TargetMode="External" Id="rId236"/><Relationship Type="http://schemas.openxmlformats.org/officeDocument/2006/relationships/hyperlink" Target="#Main!A1" TargetMode="External" Id="rId237"/><Relationship Type="http://schemas.openxmlformats.org/officeDocument/2006/relationships/hyperlink" Target="https://asconafrica.org/2026-ascon-conference/" TargetMode="External" Id="rId238"/><Relationship Type="http://schemas.openxmlformats.org/officeDocument/2006/relationships/hyperlink" Target="#Main!A1" TargetMode="External" Id="rId239"/><Relationship Type="http://schemas.openxmlformats.org/officeDocument/2006/relationships/hyperlink" Target="https://asconafrica.org/about-us/" TargetMode="External" Id="rId240"/><Relationship Type="http://schemas.openxmlformats.org/officeDocument/2006/relationships/hyperlink" Target="#Main!A1" TargetMode="External" Id="rId241"/><Relationship Type="http://schemas.openxmlformats.org/officeDocument/2006/relationships/hyperlink" Target="https://asconafrica.org/contact-us/" TargetMode="External" Id="rId242"/><Relationship Type="http://schemas.openxmlformats.org/officeDocument/2006/relationships/hyperlink" Target="#Main!A1" TargetMode="External" Id="rId243"/><Relationship Type="http://schemas.openxmlformats.org/officeDocument/2006/relationships/hyperlink" Target="https://asconafrica.org/news/" TargetMode="External" Id="rId244"/><Relationship Type="http://schemas.openxmlformats.org/officeDocument/2006/relationships/hyperlink" Target="#Main!A1" TargetMode="External" Id="rId245"/><Relationship Type="http://schemas.openxmlformats.org/officeDocument/2006/relationships/hyperlink" Target="https://asconafrica.org/our-members/" TargetMode="External" Id="rId246"/><Relationship Type="http://schemas.openxmlformats.org/officeDocument/2006/relationships/hyperlink" Target="#Main!A1" TargetMode="External" Id="rId247"/><Relationship Type="http://schemas.openxmlformats.org/officeDocument/2006/relationships/hyperlink" Target="https://asconafrica.org/privacy-policy/" TargetMode="External" Id="rId248"/><Relationship Type="http://schemas.openxmlformats.org/officeDocument/2006/relationships/hyperlink" Target="#Main!A1" TargetMode="External" Id="rId249"/><Relationship Type="http://schemas.openxmlformats.org/officeDocument/2006/relationships/hyperlink" Target="https://asconafrica.org/unsubscribe-form/" TargetMode="External" Id="rId250"/><Relationship Type="http://schemas.openxmlformats.org/officeDocument/2006/relationships/hyperlink" Target="#Main!A1" TargetMode="External" Id="rId251"/><Relationship Type="http://schemas.openxmlformats.org/officeDocument/2006/relationships/hyperlink" Target="https://asconafrica.org/unsubscribe-form/successfully-unsubscribed/" TargetMode="External" Id="rId252"/><Relationship Type="http://schemas.openxmlformats.org/officeDocument/2006/relationships/hyperlink" Target="#Main!A1" TargetMode="External" Id="rId253"/></Relationships>
</file>

<file path=xl/worksheets/_rels/sheet15.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privacy-policy/" TargetMode="External" Id="rId2"/><Relationship Type="http://schemas.openxmlformats.org/officeDocument/2006/relationships/hyperlink" Target="https://asconafrica.org/privacy-policy/" TargetMode="External" Id="rId3"/><Relationship Type="http://schemas.openxmlformats.org/officeDocument/2006/relationships/hyperlink" Target="https://asconafrica.org/privacy-policy/" TargetMode="External" Id="rId4"/><Relationship Type="http://schemas.openxmlformats.org/officeDocument/2006/relationships/hyperlink" Target="https://asconafrica.org/privacy-policy/" TargetMode="External" Id="rId5"/><Relationship Type="http://schemas.openxmlformats.org/officeDocument/2006/relationships/hyperlink" Target="https://asconafrica.org/privacy-policy/" TargetMode="External" Id="rId6"/></Relationships>
</file>

<file path=xl/worksheets/_rels/sheet16.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https://asconafrica.org/" TargetMode="External" Id="rId3"/><Relationship Type="http://schemas.openxmlformats.org/officeDocument/2006/relationships/hyperlink" Target="https://asconafrica.org/news/" TargetMode="External" Id="rId4"/><Relationship Type="http://schemas.openxmlformats.org/officeDocument/2006/relationships/hyperlink" Target="https://asconafrica.org/our-members/" TargetMode="External" Id="rId5"/><Relationship Type="http://schemas.openxmlformats.org/officeDocument/2006/relationships/hyperlink" Target="https://asconafrica.org/2026-ascon-conference/"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privacy-policy/" TargetMode="External" Id="rId8"/><Relationship Type="http://schemas.openxmlformats.org/officeDocument/2006/relationships/hyperlink" Target="https://asconafrica.org/2026-ascon-conference/thank-you-for-signing-up/" TargetMode="External" Id="rId9"/><Relationship Type="http://schemas.openxmlformats.org/officeDocument/2006/relationships/hyperlink" Target="https://asconafrica.org/thank-you-for-signing-up-for-updates/" TargetMode="External" Id="rId10"/><Relationship Type="http://schemas.openxmlformats.org/officeDocument/2006/relationships/hyperlink" Target="https://asconafrica.org/launch-event-2026-ascon-conference/thank-you-for-registering-conference-launch/" TargetMode="External" Id="rId11"/><Relationship Type="http://schemas.openxmlformats.org/officeDocument/2006/relationships/hyperlink" Target="https://asconafrica.org/launch-event-2026-ascon-conference/" TargetMode="External" Id="rId12"/><Relationship Type="http://schemas.openxmlformats.org/officeDocument/2006/relationships/hyperlink" Target="https://asconafrica.org/2026-ascon-awards/thank-you-for-your-nomination/" TargetMode="External" Id="rId13"/><Relationship Type="http://schemas.openxmlformats.org/officeDocument/2006/relationships/hyperlink" Target="https://asconafrica.org/unsubscribe-form/" TargetMode="External" Id="rId14"/><Relationship Type="http://schemas.openxmlformats.org/officeDocument/2006/relationships/hyperlink" Target="https://asconafrica.org/unsubscribe-form/successfully-unsubscribed/" TargetMode="External" Id="rId15"/><Relationship Type="http://schemas.openxmlformats.org/officeDocument/2006/relationships/hyperlink" Target="https://asconafrica.org/contact-us/" TargetMode="External" Id="rId16"/></Relationships>
</file>

<file path=xl/worksheets/_rels/sheet17.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https://asconafrica.org/" TargetMode="External" Id="rId3"/><Relationship Type="http://schemas.openxmlformats.org/officeDocument/2006/relationships/hyperlink" Target="https://asconafrica.org/news/" TargetMode="External" Id="rId4"/><Relationship Type="http://schemas.openxmlformats.org/officeDocument/2006/relationships/hyperlink" Target="https://asconafrica.org/our-members/" TargetMode="External" Id="rId5"/><Relationship Type="http://schemas.openxmlformats.org/officeDocument/2006/relationships/hyperlink" Target="https://asconafrica.org/2026-ascon-conference/"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privacy-policy/" TargetMode="External" Id="rId8"/><Relationship Type="http://schemas.openxmlformats.org/officeDocument/2006/relationships/hyperlink" Target="https://asconafrica.org/2026-ascon-conference/thank-you-for-signing-up/" TargetMode="External" Id="rId9"/><Relationship Type="http://schemas.openxmlformats.org/officeDocument/2006/relationships/hyperlink" Target="https://asconafrica.org/thank-you-for-signing-up-for-updates/" TargetMode="External" Id="rId10"/><Relationship Type="http://schemas.openxmlformats.org/officeDocument/2006/relationships/hyperlink" Target="https://asconafrica.org/launch-event-2026-ascon-conference/thank-you-for-registering-conference-launch/" TargetMode="External" Id="rId11"/><Relationship Type="http://schemas.openxmlformats.org/officeDocument/2006/relationships/hyperlink" Target="https://asconafrica.org/launch-event-2026-ascon-conference/" TargetMode="External" Id="rId12"/><Relationship Type="http://schemas.openxmlformats.org/officeDocument/2006/relationships/hyperlink" Target="https://asconafrica.org/2026-ascon-awards/thank-you-for-your-nomination/" TargetMode="External" Id="rId13"/><Relationship Type="http://schemas.openxmlformats.org/officeDocument/2006/relationships/hyperlink" Target="https://asconafrica.org/unsubscribe-form/" TargetMode="External" Id="rId14"/><Relationship Type="http://schemas.openxmlformats.org/officeDocument/2006/relationships/hyperlink" Target="https://asconafrica.org/unsubscribe-form/successfully-unsubscribed/" TargetMode="External" Id="rId15"/><Relationship Type="http://schemas.openxmlformats.org/officeDocument/2006/relationships/hyperlink" Target="https://asconafrica.org/contact-us/" TargetMode="External" Id="rId16"/></Relationships>
</file>

<file path=xl/worksheets/_rels/sheet18.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https://asconafrica.org/" TargetMode="External" Id="rId3"/><Relationship Type="http://schemas.openxmlformats.org/officeDocument/2006/relationships/hyperlink" Target="https://asconafrica.org/news/" TargetMode="External" Id="rId4"/><Relationship Type="http://schemas.openxmlformats.org/officeDocument/2006/relationships/hyperlink" Target="https://asconafrica.org/our-members/" TargetMode="External" Id="rId5"/><Relationship Type="http://schemas.openxmlformats.org/officeDocument/2006/relationships/hyperlink" Target="https://asconafrica.org/2026-ascon-conference/"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privacy-policy/" TargetMode="External" Id="rId8"/><Relationship Type="http://schemas.openxmlformats.org/officeDocument/2006/relationships/hyperlink" Target="https://asconafrica.org/2026-ascon-conference/thank-you-for-signing-up/" TargetMode="External" Id="rId9"/><Relationship Type="http://schemas.openxmlformats.org/officeDocument/2006/relationships/hyperlink" Target="https://asconafrica.org/thank-you-for-signing-up-for-updates/" TargetMode="External" Id="rId10"/><Relationship Type="http://schemas.openxmlformats.org/officeDocument/2006/relationships/hyperlink" Target="https://asconafrica.org/launch-event-2026-ascon-conference/thank-you-for-registering-conference-launch/" TargetMode="External" Id="rId11"/><Relationship Type="http://schemas.openxmlformats.org/officeDocument/2006/relationships/hyperlink" Target="https://asconafrica.org/launch-event-2026-ascon-conference/" TargetMode="External" Id="rId12"/><Relationship Type="http://schemas.openxmlformats.org/officeDocument/2006/relationships/hyperlink" Target="https://asconafrica.org/2026-ascon-awards/thank-you-for-your-nomination/" TargetMode="External" Id="rId13"/><Relationship Type="http://schemas.openxmlformats.org/officeDocument/2006/relationships/hyperlink" Target="https://asconafrica.org/unsubscribe-form/" TargetMode="External" Id="rId14"/><Relationship Type="http://schemas.openxmlformats.org/officeDocument/2006/relationships/hyperlink" Target="https://asconafrica.org/unsubscribe-form/successfully-unsubscribed/" TargetMode="External" Id="rId15"/><Relationship Type="http://schemas.openxmlformats.org/officeDocument/2006/relationships/hyperlink" Target="https://asconafrica.org/contact-us/" TargetMode="External" Id="rId16"/></Relationships>
</file>

<file path=xl/worksheets/_rels/sheet19.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https://asconafrica.org/" TargetMode="External" Id="rId3"/><Relationship Type="http://schemas.openxmlformats.org/officeDocument/2006/relationships/hyperlink" Target="https://asconafrica.org/news/" TargetMode="External" Id="rId4"/><Relationship Type="http://schemas.openxmlformats.org/officeDocument/2006/relationships/hyperlink" Target="https://asconafrica.org/our-members/" TargetMode="External" Id="rId5"/><Relationship Type="http://schemas.openxmlformats.org/officeDocument/2006/relationships/hyperlink" Target="https://asconafrica.org/2026-ascon-conference/"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privacy-policy/" TargetMode="External" Id="rId8"/><Relationship Type="http://schemas.openxmlformats.org/officeDocument/2006/relationships/hyperlink" Target="https://asconafrica.org/2026-ascon-conference/thank-you-for-signing-up/" TargetMode="External" Id="rId9"/><Relationship Type="http://schemas.openxmlformats.org/officeDocument/2006/relationships/hyperlink" Target="https://asconafrica.org/thank-you-for-signing-up-for-updates/" TargetMode="External" Id="rId10"/><Relationship Type="http://schemas.openxmlformats.org/officeDocument/2006/relationships/hyperlink" Target="https://asconafrica.org/launch-event-2026-ascon-conference/thank-you-for-registering-conference-launch/" TargetMode="External" Id="rId11"/><Relationship Type="http://schemas.openxmlformats.org/officeDocument/2006/relationships/hyperlink" Target="https://asconafrica.org/launch-event-2026-ascon-conference/" TargetMode="External" Id="rId12"/><Relationship Type="http://schemas.openxmlformats.org/officeDocument/2006/relationships/hyperlink" Target="https://asconafrica.org/2026-ascon-awards/thank-you-for-your-nomination/" TargetMode="External" Id="rId13"/><Relationship Type="http://schemas.openxmlformats.org/officeDocument/2006/relationships/hyperlink" Target="https://asconafrica.org/unsubscribe-form/" TargetMode="External" Id="rId14"/><Relationship Type="http://schemas.openxmlformats.org/officeDocument/2006/relationships/hyperlink" Target="https://asconafrica.org/unsubscribe-form/successfully-unsubscribed/" TargetMode="External" Id="rId15"/><Relationship Type="http://schemas.openxmlformats.org/officeDocument/2006/relationships/hyperlink" Target="https://asconafrica.org/contact-us/" TargetMode="External" Id="rId16"/></Relationships>
</file>

<file path=xl/worksheets/_rels/sheet20.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https://asconafrica.org/" TargetMode="External" Id="rId3"/><Relationship Type="http://schemas.openxmlformats.org/officeDocument/2006/relationships/hyperlink" Target="https://asconafrica.org/news/" TargetMode="External" Id="rId4"/><Relationship Type="http://schemas.openxmlformats.org/officeDocument/2006/relationships/hyperlink" Target="https://asconafrica.org/our-members/" TargetMode="External" Id="rId5"/><Relationship Type="http://schemas.openxmlformats.org/officeDocument/2006/relationships/hyperlink" Target="https://asconafrica.org/2026-ascon-conference/"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privacy-policy/" TargetMode="External" Id="rId8"/><Relationship Type="http://schemas.openxmlformats.org/officeDocument/2006/relationships/hyperlink" Target="https://asconafrica.org/2026-ascon-conference/thank-you-for-signing-up/" TargetMode="External" Id="rId9"/><Relationship Type="http://schemas.openxmlformats.org/officeDocument/2006/relationships/hyperlink" Target="https://asconafrica.org/thank-you-for-signing-up-for-updates/" TargetMode="External" Id="rId10"/><Relationship Type="http://schemas.openxmlformats.org/officeDocument/2006/relationships/hyperlink" Target="https://asconafrica.org/launch-event-2026-ascon-conference/thank-you-for-registering-conference-launch/" TargetMode="External" Id="rId11"/><Relationship Type="http://schemas.openxmlformats.org/officeDocument/2006/relationships/hyperlink" Target="https://asconafrica.org/launch-event-2026-ascon-conference/" TargetMode="External" Id="rId12"/><Relationship Type="http://schemas.openxmlformats.org/officeDocument/2006/relationships/hyperlink" Target="https://asconafrica.org/2026-ascon-awards/thank-you-for-your-nomination/" TargetMode="External" Id="rId13"/><Relationship Type="http://schemas.openxmlformats.org/officeDocument/2006/relationships/hyperlink" Target="https://asconafrica.org/unsubscribe-form/" TargetMode="External" Id="rId14"/><Relationship Type="http://schemas.openxmlformats.org/officeDocument/2006/relationships/hyperlink" Target="https://asconafrica.org/unsubscribe-form/successfully-unsubscribed/" TargetMode="External" Id="rId15"/><Relationship Type="http://schemas.openxmlformats.org/officeDocument/2006/relationships/hyperlink" Target="https://asconafrica.org/contact-us/" TargetMode="External" Id="rId16"/></Relationships>
</file>

<file path=xl/worksheets/_rels/sheet21.xml.rels><Relationships xmlns="http://schemas.openxmlformats.org/package/2006/relationships"><Relationship Type="http://schemas.openxmlformats.org/officeDocument/2006/relationships/hyperlink" Target="#Dashboard!A1" TargetMode="External" Id="rId1"/></Relationships>
</file>

<file path=xl/worksheets/_rels/sheet22.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FixPlan!A16" TargetMode="External" Id="rId3"/><Relationship Type="http://schemas.openxmlformats.org/officeDocument/2006/relationships/hyperlink" Target="#AEO!A1" TargetMode="External" Id="rId4"/><Relationship Type="http://schemas.openxmlformats.org/officeDocument/2006/relationships/hyperlink" Target="https://asconafrica.org/2026-ascon-awards/" TargetMode="External" Id="rId5"/><Relationship Type="http://schemas.openxmlformats.org/officeDocument/2006/relationships/hyperlink" Target="#FixPlan!A21" TargetMode="External" Id="rId6"/><Relationship Type="http://schemas.openxmlformats.org/officeDocument/2006/relationships/hyperlink" Target="#Technical!A1" TargetMode="External" Id="rId7"/><Relationship Type="http://schemas.openxmlformats.org/officeDocument/2006/relationships/hyperlink" Target="https://asconafrica.org/2026-ascon-awards/" TargetMode="External" Id="rId8"/><Relationship Type="http://schemas.openxmlformats.org/officeDocument/2006/relationships/hyperlink" Target="#FixPlan!A22" TargetMode="External" Id="rId9"/><Relationship Type="http://schemas.openxmlformats.org/officeDocument/2006/relationships/hyperlink" Target="#Technical!A1" TargetMode="External" Id="rId10"/><Relationship Type="http://schemas.openxmlformats.org/officeDocument/2006/relationships/hyperlink" Target="https://asconafrica.org/2026-ascon-awards/" TargetMode="External" Id="rId11"/><Relationship Type="http://schemas.openxmlformats.org/officeDocument/2006/relationships/hyperlink" Target="#FixPlan!A23" TargetMode="External" Id="rId12"/><Relationship Type="http://schemas.openxmlformats.org/officeDocument/2006/relationships/hyperlink" Target="#Technical!A1" TargetMode="External" Id="rId13"/><Relationship Type="http://schemas.openxmlformats.org/officeDocument/2006/relationships/hyperlink" Target="https://asconafrica.org/2026-ascon-awards/" TargetMode="External" Id="rId14"/><Relationship Type="http://schemas.openxmlformats.org/officeDocument/2006/relationships/hyperlink" Target="#FixPlan!A24" TargetMode="External" Id="rId15"/><Relationship Type="http://schemas.openxmlformats.org/officeDocument/2006/relationships/hyperlink" Target="#AEO!A1" TargetMode="External" Id="rId16"/><Relationship Type="http://schemas.openxmlformats.org/officeDocument/2006/relationships/hyperlink" Target="https://asconafrica.org/2026-ascon-awards/" TargetMode="External" Id="rId17"/><Relationship Type="http://schemas.openxmlformats.org/officeDocument/2006/relationships/hyperlink" Target="#FixPlan!A26" TargetMode="External" Id="rId18"/><Relationship Type="http://schemas.openxmlformats.org/officeDocument/2006/relationships/hyperlink" Target="#AEO!A1" TargetMode="External" Id="rId19"/><Relationship Type="http://schemas.openxmlformats.org/officeDocument/2006/relationships/hyperlink" Target="https://asconafrica.org/2026-ascon-awards/" TargetMode="External" Id="rId20"/><Relationship Type="http://schemas.openxmlformats.org/officeDocument/2006/relationships/hyperlink" Target="#FixPlan!A25" TargetMode="External" Id="rId21"/><Relationship Type="http://schemas.openxmlformats.org/officeDocument/2006/relationships/hyperlink" Target="#Technical!A1" TargetMode="External" Id="rId22"/><Relationship Type="http://schemas.openxmlformats.org/officeDocument/2006/relationships/hyperlink" Target="https://asconafrica.org/2026-ascon-awards/" TargetMode="External" Id="rId23"/><Relationship Type="http://schemas.openxmlformats.org/officeDocument/2006/relationships/hyperlink" Target="#FixPlan!A27" TargetMode="External" Id="rId24"/><Relationship Type="http://schemas.openxmlformats.org/officeDocument/2006/relationships/hyperlink" Target="#Technical!A1" TargetMode="External" Id="rId25"/><Relationship Type="http://schemas.openxmlformats.org/officeDocument/2006/relationships/hyperlink" Target="https://asconafrica.org/" TargetMode="External" Id="rId26"/><Relationship Type="http://schemas.openxmlformats.org/officeDocument/2006/relationships/hyperlink" Target="#FixPlan!A15" TargetMode="External" Id="rId27"/><Relationship Type="http://schemas.openxmlformats.org/officeDocument/2006/relationships/hyperlink" Target="#Technical!A1" TargetMode="External" Id="rId28"/><Relationship Type="http://schemas.openxmlformats.org/officeDocument/2006/relationships/hyperlink" Target="https://asconafrica.org/" TargetMode="External" Id="rId29"/><Relationship Type="http://schemas.openxmlformats.org/officeDocument/2006/relationships/hyperlink" Target="#FixPlan!A16" TargetMode="External" Id="rId30"/><Relationship Type="http://schemas.openxmlformats.org/officeDocument/2006/relationships/hyperlink" Target="#AEO!A1" TargetMode="External" Id="rId31"/><Relationship Type="http://schemas.openxmlformats.org/officeDocument/2006/relationships/hyperlink" Target="https://asconafrica.org/" TargetMode="External" Id="rId32"/><Relationship Type="http://schemas.openxmlformats.org/officeDocument/2006/relationships/hyperlink" Target="#FixPlan!A21" TargetMode="External" Id="rId33"/><Relationship Type="http://schemas.openxmlformats.org/officeDocument/2006/relationships/hyperlink" Target="#Technical!A1" TargetMode="External" Id="rId34"/><Relationship Type="http://schemas.openxmlformats.org/officeDocument/2006/relationships/hyperlink" Target="https://asconafrica.org/" TargetMode="External" Id="rId35"/><Relationship Type="http://schemas.openxmlformats.org/officeDocument/2006/relationships/hyperlink" Target="#FixPlan!A22" TargetMode="External" Id="rId36"/><Relationship Type="http://schemas.openxmlformats.org/officeDocument/2006/relationships/hyperlink" Target="#Technical!A1" TargetMode="External" Id="rId37"/><Relationship Type="http://schemas.openxmlformats.org/officeDocument/2006/relationships/hyperlink" Target="https://asconafrica.org/" TargetMode="External" Id="rId38"/><Relationship Type="http://schemas.openxmlformats.org/officeDocument/2006/relationships/hyperlink" Target="#FixPlan!A23" TargetMode="External" Id="rId39"/><Relationship Type="http://schemas.openxmlformats.org/officeDocument/2006/relationships/hyperlink" Target="#Technical!A1" TargetMode="External" Id="rId40"/><Relationship Type="http://schemas.openxmlformats.org/officeDocument/2006/relationships/hyperlink" Target="https://asconafrica.org/" TargetMode="External" Id="rId41"/><Relationship Type="http://schemas.openxmlformats.org/officeDocument/2006/relationships/hyperlink" Target="#FixPlan!A24" TargetMode="External" Id="rId42"/><Relationship Type="http://schemas.openxmlformats.org/officeDocument/2006/relationships/hyperlink" Target="#AEO!A1" TargetMode="External" Id="rId43"/><Relationship Type="http://schemas.openxmlformats.org/officeDocument/2006/relationships/hyperlink" Target="https://asconafrica.org/" TargetMode="External" Id="rId44"/><Relationship Type="http://schemas.openxmlformats.org/officeDocument/2006/relationships/hyperlink" Target="#FixPlan!A26" TargetMode="External" Id="rId45"/><Relationship Type="http://schemas.openxmlformats.org/officeDocument/2006/relationships/hyperlink" Target="#AEO!A1" TargetMode="External" Id="rId46"/><Relationship Type="http://schemas.openxmlformats.org/officeDocument/2006/relationships/hyperlink" Target="https://asconafrica.org/" TargetMode="External" Id="rId47"/><Relationship Type="http://schemas.openxmlformats.org/officeDocument/2006/relationships/hyperlink" Target="#FixPlan!A25" TargetMode="External" Id="rId48"/><Relationship Type="http://schemas.openxmlformats.org/officeDocument/2006/relationships/hyperlink" Target="#Technical!A1" TargetMode="External" Id="rId49"/><Relationship Type="http://schemas.openxmlformats.org/officeDocument/2006/relationships/hyperlink" Target="https://asconafrica.org/" TargetMode="External" Id="rId50"/><Relationship Type="http://schemas.openxmlformats.org/officeDocument/2006/relationships/hyperlink" Target="#FixPlan!A27" TargetMode="External" Id="rId51"/><Relationship Type="http://schemas.openxmlformats.org/officeDocument/2006/relationships/hyperlink" Target="#Technical!A1" TargetMode="External" Id="rId52"/><Relationship Type="http://schemas.openxmlformats.org/officeDocument/2006/relationships/hyperlink" Target="https://asconafrica.org/news/" TargetMode="External" Id="rId53"/><Relationship Type="http://schemas.openxmlformats.org/officeDocument/2006/relationships/hyperlink" Target="#FixPlan!A15" TargetMode="External" Id="rId54"/><Relationship Type="http://schemas.openxmlformats.org/officeDocument/2006/relationships/hyperlink" Target="#Technical!A1" TargetMode="External" Id="rId55"/><Relationship Type="http://schemas.openxmlformats.org/officeDocument/2006/relationships/hyperlink" Target="https://asconafrica.org/news/" TargetMode="External" Id="rId56"/><Relationship Type="http://schemas.openxmlformats.org/officeDocument/2006/relationships/hyperlink" Target="#FixPlan!A16" TargetMode="External" Id="rId57"/><Relationship Type="http://schemas.openxmlformats.org/officeDocument/2006/relationships/hyperlink" Target="#AEO!A1" TargetMode="External" Id="rId58"/><Relationship Type="http://schemas.openxmlformats.org/officeDocument/2006/relationships/hyperlink" Target="https://asconafrica.org/news/" TargetMode="External" Id="rId59"/><Relationship Type="http://schemas.openxmlformats.org/officeDocument/2006/relationships/hyperlink" Target="#FixPlan!A21" TargetMode="External" Id="rId60"/><Relationship Type="http://schemas.openxmlformats.org/officeDocument/2006/relationships/hyperlink" Target="#Technical!A1" TargetMode="External" Id="rId61"/><Relationship Type="http://schemas.openxmlformats.org/officeDocument/2006/relationships/hyperlink" Target="https://asconafrica.org/news/" TargetMode="External" Id="rId62"/><Relationship Type="http://schemas.openxmlformats.org/officeDocument/2006/relationships/hyperlink" Target="#FixPlan!A22" TargetMode="External" Id="rId63"/><Relationship Type="http://schemas.openxmlformats.org/officeDocument/2006/relationships/hyperlink" Target="#Technical!A1" TargetMode="External" Id="rId64"/><Relationship Type="http://schemas.openxmlformats.org/officeDocument/2006/relationships/hyperlink" Target="https://asconafrica.org/news/" TargetMode="External" Id="rId65"/><Relationship Type="http://schemas.openxmlformats.org/officeDocument/2006/relationships/hyperlink" Target="#FixPlan!A23" TargetMode="External" Id="rId66"/><Relationship Type="http://schemas.openxmlformats.org/officeDocument/2006/relationships/hyperlink" Target="#Technical!A1" TargetMode="External" Id="rId67"/><Relationship Type="http://schemas.openxmlformats.org/officeDocument/2006/relationships/hyperlink" Target="https://asconafrica.org/news/" TargetMode="External" Id="rId68"/><Relationship Type="http://schemas.openxmlformats.org/officeDocument/2006/relationships/hyperlink" Target="#FixPlan!A24" TargetMode="External" Id="rId69"/><Relationship Type="http://schemas.openxmlformats.org/officeDocument/2006/relationships/hyperlink" Target="#AEO!A1" TargetMode="External" Id="rId70"/><Relationship Type="http://schemas.openxmlformats.org/officeDocument/2006/relationships/hyperlink" Target="https://asconafrica.org/news/" TargetMode="External" Id="rId71"/><Relationship Type="http://schemas.openxmlformats.org/officeDocument/2006/relationships/hyperlink" Target="#FixPlan!A26" TargetMode="External" Id="rId72"/><Relationship Type="http://schemas.openxmlformats.org/officeDocument/2006/relationships/hyperlink" Target="#AEO!A1" TargetMode="External" Id="rId73"/><Relationship Type="http://schemas.openxmlformats.org/officeDocument/2006/relationships/hyperlink" Target="https://asconafrica.org/news/" TargetMode="External" Id="rId74"/><Relationship Type="http://schemas.openxmlformats.org/officeDocument/2006/relationships/hyperlink" Target="#FixPlan!A25" TargetMode="External" Id="rId75"/><Relationship Type="http://schemas.openxmlformats.org/officeDocument/2006/relationships/hyperlink" Target="#Technical!A1" TargetMode="External" Id="rId76"/><Relationship Type="http://schemas.openxmlformats.org/officeDocument/2006/relationships/hyperlink" Target="https://asconafrica.org/news/" TargetMode="External" Id="rId77"/><Relationship Type="http://schemas.openxmlformats.org/officeDocument/2006/relationships/hyperlink" Target="#FixPlan!A27" TargetMode="External" Id="rId78"/><Relationship Type="http://schemas.openxmlformats.org/officeDocument/2006/relationships/hyperlink" Target="#Technical!A1" TargetMode="External" Id="rId79"/><Relationship Type="http://schemas.openxmlformats.org/officeDocument/2006/relationships/hyperlink" Target="https://asconafrica.org/our-members/" TargetMode="External" Id="rId80"/><Relationship Type="http://schemas.openxmlformats.org/officeDocument/2006/relationships/hyperlink" Target="#FixPlan!A17" TargetMode="External" Id="rId81"/><Relationship Type="http://schemas.openxmlformats.org/officeDocument/2006/relationships/hyperlink" Target="#Technical!A1" TargetMode="External" Id="rId82"/><Relationship Type="http://schemas.openxmlformats.org/officeDocument/2006/relationships/hyperlink" Target="https://asconafrica.org/our-members/" TargetMode="External" Id="rId83"/><Relationship Type="http://schemas.openxmlformats.org/officeDocument/2006/relationships/hyperlink" Target="#FixPlan!A16" TargetMode="External" Id="rId84"/><Relationship Type="http://schemas.openxmlformats.org/officeDocument/2006/relationships/hyperlink" Target="#AEO!A1" TargetMode="External" Id="rId85"/><Relationship Type="http://schemas.openxmlformats.org/officeDocument/2006/relationships/hyperlink" Target="https://asconafrica.org/our-members/" TargetMode="External" Id="rId86"/><Relationship Type="http://schemas.openxmlformats.org/officeDocument/2006/relationships/hyperlink" Target="#FixPlan!A21" TargetMode="External" Id="rId87"/><Relationship Type="http://schemas.openxmlformats.org/officeDocument/2006/relationships/hyperlink" Target="#Technical!A1" TargetMode="External" Id="rId88"/><Relationship Type="http://schemas.openxmlformats.org/officeDocument/2006/relationships/hyperlink" Target="https://asconafrica.org/our-members/" TargetMode="External" Id="rId89"/><Relationship Type="http://schemas.openxmlformats.org/officeDocument/2006/relationships/hyperlink" Target="#FixPlan!A22" TargetMode="External" Id="rId90"/><Relationship Type="http://schemas.openxmlformats.org/officeDocument/2006/relationships/hyperlink" Target="#Technical!A1" TargetMode="External" Id="rId91"/><Relationship Type="http://schemas.openxmlformats.org/officeDocument/2006/relationships/hyperlink" Target="https://asconafrica.org/our-members/" TargetMode="External" Id="rId92"/><Relationship Type="http://schemas.openxmlformats.org/officeDocument/2006/relationships/hyperlink" Target="#FixPlan!A23" TargetMode="External" Id="rId93"/><Relationship Type="http://schemas.openxmlformats.org/officeDocument/2006/relationships/hyperlink" Target="#Technical!A1" TargetMode="External" Id="rId94"/><Relationship Type="http://schemas.openxmlformats.org/officeDocument/2006/relationships/hyperlink" Target="https://asconafrica.org/our-members/" TargetMode="External" Id="rId95"/><Relationship Type="http://schemas.openxmlformats.org/officeDocument/2006/relationships/hyperlink" Target="#FixPlan!A24" TargetMode="External" Id="rId96"/><Relationship Type="http://schemas.openxmlformats.org/officeDocument/2006/relationships/hyperlink" Target="#AEO!A1" TargetMode="External" Id="rId97"/><Relationship Type="http://schemas.openxmlformats.org/officeDocument/2006/relationships/hyperlink" Target="https://asconafrica.org/our-members/" TargetMode="External" Id="rId98"/><Relationship Type="http://schemas.openxmlformats.org/officeDocument/2006/relationships/hyperlink" Target="#FixPlan!A26" TargetMode="External" Id="rId99"/><Relationship Type="http://schemas.openxmlformats.org/officeDocument/2006/relationships/hyperlink" Target="#AEO!A1" TargetMode="External" Id="rId100"/><Relationship Type="http://schemas.openxmlformats.org/officeDocument/2006/relationships/hyperlink" Target="https://asconafrica.org/our-members/" TargetMode="External" Id="rId101"/><Relationship Type="http://schemas.openxmlformats.org/officeDocument/2006/relationships/hyperlink" Target="#FixPlan!A25" TargetMode="External" Id="rId102"/><Relationship Type="http://schemas.openxmlformats.org/officeDocument/2006/relationships/hyperlink" Target="#Technical!A1" TargetMode="External" Id="rId103"/><Relationship Type="http://schemas.openxmlformats.org/officeDocument/2006/relationships/hyperlink" Target="https://asconafrica.org/our-members/" TargetMode="External" Id="rId104"/><Relationship Type="http://schemas.openxmlformats.org/officeDocument/2006/relationships/hyperlink" Target="#FixPlan!A27" TargetMode="External" Id="rId105"/><Relationship Type="http://schemas.openxmlformats.org/officeDocument/2006/relationships/hyperlink" Target="#Technical!A1" TargetMode="External" Id="rId106"/><Relationship Type="http://schemas.openxmlformats.org/officeDocument/2006/relationships/hyperlink" Target="https://asconafrica.org/2026-ascon-conference/" TargetMode="External" Id="rId107"/><Relationship Type="http://schemas.openxmlformats.org/officeDocument/2006/relationships/hyperlink" Target="#FixPlan!A16" TargetMode="External" Id="rId108"/><Relationship Type="http://schemas.openxmlformats.org/officeDocument/2006/relationships/hyperlink" Target="#AEO!A1" TargetMode="External" Id="rId109"/><Relationship Type="http://schemas.openxmlformats.org/officeDocument/2006/relationships/hyperlink" Target="https://asconafrica.org/2026-ascon-conference/" TargetMode="External" Id="rId110"/><Relationship Type="http://schemas.openxmlformats.org/officeDocument/2006/relationships/hyperlink" Target="#FixPlan!A21" TargetMode="External" Id="rId111"/><Relationship Type="http://schemas.openxmlformats.org/officeDocument/2006/relationships/hyperlink" Target="#Technical!A1" TargetMode="External" Id="rId112"/><Relationship Type="http://schemas.openxmlformats.org/officeDocument/2006/relationships/hyperlink" Target="https://asconafrica.org/2026-ascon-conference/" TargetMode="External" Id="rId113"/><Relationship Type="http://schemas.openxmlformats.org/officeDocument/2006/relationships/hyperlink" Target="#FixPlan!A22" TargetMode="External" Id="rId114"/><Relationship Type="http://schemas.openxmlformats.org/officeDocument/2006/relationships/hyperlink" Target="#Technical!A1" TargetMode="External" Id="rId115"/><Relationship Type="http://schemas.openxmlformats.org/officeDocument/2006/relationships/hyperlink" Target="https://asconafrica.org/2026-ascon-conference/" TargetMode="External" Id="rId116"/><Relationship Type="http://schemas.openxmlformats.org/officeDocument/2006/relationships/hyperlink" Target="#FixPlan!A23" TargetMode="External" Id="rId117"/><Relationship Type="http://schemas.openxmlformats.org/officeDocument/2006/relationships/hyperlink" Target="#Technical!A1" TargetMode="External" Id="rId118"/><Relationship Type="http://schemas.openxmlformats.org/officeDocument/2006/relationships/hyperlink" Target="https://asconafrica.org/2026-ascon-conference/" TargetMode="External" Id="rId119"/><Relationship Type="http://schemas.openxmlformats.org/officeDocument/2006/relationships/hyperlink" Target="#FixPlan!A24" TargetMode="External" Id="rId120"/><Relationship Type="http://schemas.openxmlformats.org/officeDocument/2006/relationships/hyperlink" Target="#AEO!A1" TargetMode="External" Id="rId121"/><Relationship Type="http://schemas.openxmlformats.org/officeDocument/2006/relationships/hyperlink" Target="https://asconafrica.org/2026-ascon-conference/" TargetMode="External" Id="rId122"/><Relationship Type="http://schemas.openxmlformats.org/officeDocument/2006/relationships/hyperlink" Target="#FixPlan!A26" TargetMode="External" Id="rId123"/><Relationship Type="http://schemas.openxmlformats.org/officeDocument/2006/relationships/hyperlink" Target="#AEO!A1" TargetMode="External" Id="rId124"/><Relationship Type="http://schemas.openxmlformats.org/officeDocument/2006/relationships/hyperlink" Target="https://asconafrica.org/2026-ascon-conference/" TargetMode="External" Id="rId125"/><Relationship Type="http://schemas.openxmlformats.org/officeDocument/2006/relationships/hyperlink" Target="#FixPlan!A25" TargetMode="External" Id="rId126"/><Relationship Type="http://schemas.openxmlformats.org/officeDocument/2006/relationships/hyperlink" Target="#Technical!A1" TargetMode="External" Id="rId127"/><Relationship Type="http://schemas.openxmlformats.org/officeDocument/2006/relationships/hyperlink" Target="https://asconafrica.org/2026-ascon-conference/" TargetMode="External" Id="rId128"/><Relationship Type="http://schemas.openxmlformats.org/officeDocument/2006/relationships/hyperlink" Target="#FixPlan!A27" TargetMode="External" Id="rId129"/><Relationship Type="http://schemas.openxmlformats.org/officeDocument/2006/relationships/hyperlink" Target="#Technical!A1" TargetMode="External" Id="rId130"/><Relationship Type="http://schemas.openxmlformats.org/officeDocument/2006/relationships/hyperlink" Target="https://asconafrica.org/about-us/" TargetMode="External" Id="rId131"/><Relationship Type="http://schemas.openxmlformats.org/officeDocument/2006/relationships/hyperlink" Target="#FixPlan!A16" TargetMode="External" Id="rId132"/><Relationship Type="http://schemas.openxmlformats.org/officeDocument/2006/relationships/hyperlink" Target="#AEO!A1" TargetMode="External" Id="rId133"/><Relationship Type="http://schemas.openxmlformats.org/officeDocument/2006/relationships/hyperlink" Target="https://asconafrica.org/about-us/" TargetMode="External" Id="rId134"/><Relationship Type="http://schemas.openxmlformats.org/officeDocument/2006/relationships/hyperlink" Target="#FixPlan!A21" TargetMode="External" Id="rId135"/><Relationship Type="http://schemas.openxmlformats.org/officeDocument/2006/relationships/hyperlink" Target="#Technical!A1" TargetMode="External" Id="rId136"/><Relationship Type="http://schemas.openxmlformats.org/officeDocument/2006/relationships/hyperlink" Target="https://asconafrica.org/about-us/" TargetMode="External" Id="rId137"/><Relationship Type="http://schemas.openxmlformats.org/officeDocument/2006/relationships/hyperlink" Target="#FixPlan!A22" TargetMode="External" Id="rId138"/><Relationship Type="http://schemas.openxmlformats.org/officeDocument/2006/relationships/hyperlink" Target="#Technical!A1" TargetMode="External" Id="rId139"/><Relationship Type="http://schemas.openxmlformats.org/officeDocument/2006/relationships/hyperlink" Target="https://asconafrica.org/about-us/" TargetMode="External" Id="rId140"/><Relationship Type="http://schemas.openxmlformats.org/officeDocument/2006/relationships/hyperlink" Target="#FixPlan!A23" TargetMode="External" Id="rId141"/><Relationship Type="http://schemas.openxmlformats.org/officeDocument/2006/relationships/hyperlink" Target="#Technical!A1" TargetMode="External" Id="rId142"/><Relationship Type="http://schemas.openxmlformats.org/officeDocument/2006/relationships/hyperlink" Target="https://asconafrica.org/about-us/" TargetMode="External" Id="rId143"/><Relationship Type="http://schemas.openxmlformats.org/officeDocument/2006/relationships/hyperlink" Target="#FixPlan!A24" TargetMode="External" Id="rId144"/><Relationship Type="http://schemas.openxmlformats.org/officeDocument/2006/relationships/hyperlink" Target="#AEO!A1" TargetMode="External" Id="rId145"/><Relationship Type="http://schemas.openxmlformats.org/officeDocument/2006/relationships/hyperlink" Target="https://asconafrica.org/about-us/" TargetMode="External" Id="rId146"/><Relationship Type="http://schemas.openxmlformats.org/officeDocument/2006/relationships/hyperlink" Target="#FixPlan!A26" TargetMode="External" Id="rId147"/><Relationship Type="http://schemas.openxmlformats.org/officeDocument/2006/relationships/hyperlink" Target="#AEO!A1" TargetMode="External" Id="rId148"/><Relationship Type="http://schemas.openxmlformats.org/officeDocument/2006/relationships/hyperlink" Target="https://asconafrica.org/about-us/" TargetMode="External" Id="rId149"/><Relationship Type="http://schemas.openxmlformats.org/officeDocument/2006/relationships/hyperlink" Target="#FixPlan!A25" TargetMode="External" Id="rId150"/><Relationship Type="http://schemas.openxmlformats.org/officeDocument/2006/relationships/hyperlink" Target="#Technical!A1" TargetMode="External" Id="rId151"/><Relationship Type="http://schemas.openxmlformats.org/officeDocument/2006/relationships/hyperlink" Target="https://asconafrica.org/about-us/" TargetMode="External" Id="rId152"/><Relationship Type="http://schemas.openxmlformats.org/officeDocument/2006/relationships/hyperlink" Target="#FixPlan!A27" TargetMode="External" Id="rId153"/><Relationship Type="http://schemas.openxmlformats.org/officeDocument/2006/relationships/hyperlink" Target="#Technical!A1" TargetMode="External" Id="rId154"/><Relationship Type="http://schemas.openxmlformats.org/officeDocument/2006/relationships/hyperlink" Target="https://asconafrica.org/privacy-policy/" TargetMode="External" Id="rId155"/><Relationship Type="http://schemas.openxmlformats.org/officeDocument/2006/relationships/hyperlink" Target="#FixPlan!A15" TargetMode="External" Id="rId156"/><Relationship Type="http://schemas.openxmlformats.org/officeDocument/2006/relationships/hyperlink" Target="#Technical!A1" TargetMode="External" Id="rId157"/><Relationship Type="http://schemas.openxmlformats.org/officeDocument/2006/relationships/hyperlink" Target="https://asconafrica.org/privacy-policy/" TargetMode="External" Id="rId158"/><Relationship Type="http://schemas.openxmlformats.org/officeDocument/2006/relationships/hyperlink" Target="#FixPlan!A16" TargetMode="External" Id="rId159"/><Relationship Type="http://schemas.openxmlformats.org/officeDocument/2006/relationships/hyperlink" Target="#AEO!A1" TargetMode="External" Id="rId160"/><Relationship Type="http://schemas.openxmlformats.org/officeDocument/2006/relationships/hyperlink" Target="https://asconafrica.org/privacy-policy/" TargetMode="External" Id="rId161"/><Relationship Type="http://schemas.openxmlformats.org/officeDocument/2006/relationships/hyperlink" Target="#FixPlan!A21" TargetMode="External" Id="rId162"/><Relationship Type="http://schemas.openxmlformats.org/officeDocument/2006/relationships/hyperlink" Target="#Technical!A1" TargetMode="External" Id="rId163"/><Relationship Type="http://schemas.openxmlformats.org/officeDocument/2006/relationships/hyperlink" Target="https://asconafrica.org/privacy-policy/" TargetMode="External" Id="rId164"/><Relationship Type="http://schemas.openxmlformats.org/officeDocument/2006/relationships/hyperlink" Target="#FixPlan!A22" TargetMode="External" Id="rId165"/><Relationship Type="http://schemas.openxmlformats.org/officeDocument/2006/relationships/hyperlink" Target="#Technical!A1" TargetMode="External" Id="rId166"/><Relationship Type="http://schemas.openxmlformats.org/officeDocument/2006/relationships/hyperlink" Target="https://asconafrica.org/privacy-policy/" TargetMode="External" Id="rId167"/><Relationship Type="http://schemas.openxmlformats.org/officeDocument/2006/relationships/hyperlink" Target="#FixPlan!A23" TargetMode="External" Id="rId168"/><Relationship Type="http://schemas.openxmlformats.org/officeDocument/2006/relationships/hyperlink" Target="#Technical!A1" TargetMode="External" Id="rId169"/><Relationship Type="http://schemas.openxmlformats.org/officeDocument/2006/relationships/hyperlink" Target="https://asconafrica.org/privacy-policy/" TargetMode="External" Id="rId170"/><Relationship Type="http://schemas.openxmlformats.org/officeDocument/2006/relationships/hyperlink" Target="#FixPlan!A24" TargetMode="External" Id="rId171"/><Relationship Type="http://schemas.openxmlformats.org/officeDocument/2006/relationships/hyperlink" Target="#AEO!A1" TargetMode="External" Id="rId172"/><Relationship Type="http://schemas.openxmlformats.org/officeDocument/2006/relationships/hyperlink" Target="https://asconafrica.org/privacy-policy/" TargetMode="External" Id="rId173"/><Relationship Type="http://schemas.openxmlformats.org/officeDocument/2006/relationships/hyperlink" Target="#FixPlan!A25" TargetMode="External" Id="rId174"/><Relationship Type="http://schemas.openxmlformats.org/officeDocument/2006/relationships/hyperlink" Target="#Technical!A1" TargetMode="External" Id="rId175"/><Relationship Type="http://schemas.openxmlformats.org/officeDocument/2006/relationships/hyperlink" Target="https://asconafrica.org/2026-ascon-conference/thank-you-for-signing-up/" TargetMode="External" Id="rId176"/><Relationship Type="http://schemas.openxmlformats.org/officeDocument/2006/relationships/hyperlink" Target="#FixPlan!A17" TargetMode="External" Id="rId177"/><Relationship Type="http://schemas.openxmlformats.org/officeDocument/2006/relationships/hyperlink" Target="#Technical!A1" TargetMode="External" Id="rId178"/><Relationship Type="http://schemas.openxmlformats.org/officeDocument/2006/relationships/hyperlink" Target="https://asconafrica.org/2026-ascon-conference/thank-you-for-signing-up/" TargetMode="External" Id="rId179"/><Relationship Type="http://schemas.openxmlformats.org/officeDocument/2006/relationships/hyperlink" Target="#FixPlan!A16" TargetMode="External" Id="rId180"/><Relationship Type="http://schemas.openxmlformats.org/officeDocument/2006/relationships/hyperlink" Target="#AEO!A1" TargetMode="External" Id="rId181"/><Relationship Type="http://schemas.openxmlformats.org/officeDocument/2006/relationships/hyperlink" Target="https://asconafrica.org/2026-ascon-conference/thank-you-for-signing-up/" TargetMode="External" Id="rId182"/><Relationship Type="http://schemas.openxmlformats.org/officeDocument/2006/relationships/hyperlink" Target="#FixPlan!A21" TargetMode="External" Id="rId183"/><Relationship Type="http://schemas.openxmlformats.org/officeDocument/2006/relationships/hyperlink" Target="#Technical!A1" TargetMode="External" Id="rId184"/><Relationship Type="http://schemas.openxmlformats.org/officeDocument/2006/relationships/hyperlink" Target="https://asconafrica.org/2026-ascon-conference/thank-you-for-signing-up/" TargetMode="External" Id="rId185"/><Relationship Type="http://schemas.openxmlformats.org/officeDocument/2006/relationships/hyperlink" Target="#FixPlan!A22" TargetMode="External" Id="rId186"/><Relationship Type="http://schemas.openxmlformats.org/officeDocument/2006/relationships/hyperlink" Target="#Technical!A1" TargetMode="External" Id="rId187"/><Relationship Type="http://schemas.openxmlformats.org/officeDocument/2006/relationships/hyperlink" Target="https://asconafrica.org/2026-ascon-conference/thank-you-for-signing-up/" TargetMode="External" Id="rId188"/><Relationship Type="http://schemas.openxmlformats.org/officeDocument/2006/relationships/hyperlink" Target="#FixPlan!A23" TargetMode="External" Id="rId189"/><Relationship Type="http://schemas.openxmlformats.org/officeDocument/2006/relationships/hyperlink" Target="#Technical!A1" TargetMode="External" Id="rId190"/><Relationship Type="http://schemas.openxmlformats.org/officeDocument/2006/relationships/hyperlink" Target="https://asconafrica.org/2026-ascon-conference/thank-you-for-signing-up/" TargetMode="External" Id="rId191"/><Relationship Type="http://schemas.openxmlformats.org/officeDocument/2006/relationships/hyperlink" Target="#FixPlan!A24" TargetMode="External" Id="rId192"/><Relationship Type="http://schemas.openxmlformats.org/officeDocument/2006/relationships/hyperlink" Target="#AEO!A1" TargetMode="External" Id="rId193"/><Relationship Type="http://schemas.openxmlformats.org/officeDocument/2006/relationships/hyperlink" Target="https://asconafrica.org/2026-ascon-conference/thank-you-for-signing-up/" TargetMode="External" Id="rId194"/><Relationship Type="http://schemas.openxmlformats.org/officeDocument/2006/relationships/hyperlink" Target="#FixPlan!A26" TargetMode="External" Id="rId195"/><Relationship Type="http://schemas.openxmlformats.org/officeDocument/2006/relationships/hyperlink" Target="#AEO!A1" TargetMode="External" Id="rId196"/><Relationship Type="http://schemas.openxmlformats.org/officeDocument/2006/relationships/hyperlink" Target="https://asconafrica.org/2026-ascon-conference/thank-you-for-signing-up/" TargetMode="External" Id="rId197"/><Relationship Type="http://schemas.openxmlformats.org/officeDocument/2006/relationships/hyperlink" Target="#FixPlan!A25" TargetMode="External" Id="rId198"/><Relationship Type="http://schemas.openxmlformats.org/officeDocument/2006/relationships/hyperlink" Target="#Technical!A1" TargetMode="External" Id="rId199"/><Relationship Type="http://schemas.openxmlformats.org/officeDocument/2006/relationships/hyperlink" Target="https://asconafrica.org/2026-ascon-conference/thank-you-for-signing-up/" TargetMode="External" Id="rId200"/><Relationship Type="http://schemas.openxmlformats.org/officeDocument/2006/relationships/hyperlink" Target="#FixPlan!A27" TargetMode="External" Id="rId201"/><Relationship Type="http://schemas.openxmlformats.org/officeDocument/2006/relationships/hyperlink" Target="#Technical!A1" TargetMode="External" Id="rId202"/><Relationship Type="http://schemas.openxmlformats.org/officeDocument/2006/relationships/hyperlink" Target="https://asconafrica.org/thank-you-for-signing-up-for-updates/" TargetMode="External" Id="rId203"/><Relationship Type="http://schemas.openxmlformats.org/officeDocument/2006/relationships/hyperlink" Target="#FixPlan!A17" TargetMode="External" Id="rId204"/><Relationship Type="http://schemas.openxmlformats.org/officeDocument/2006/relationships/hyperlink" Target="#Technical!A1" TargetMode="External" Id="rId205"/><Relationship Type="http://schemas.openxmlformats.org/officeDocument/2006/relationships/hyperlink" Target="https://asconafrica.org/thank-you-for-signing-up-for-updates/" TargetMode="External" Id="rId206"/><Relationship Type="http://schemas.openxmlformats.org/officeDocument/2006/relationships/hyperlink" Target="#FixPlan!A16" TargetMode="External" Id="rId207"/><Relationship Type="http://schemas.openxmlformats.org/officeDocument/2006/relationships/hyperlink" Target="#AEO!A1" TargetMode="External" Id="rId208"/><Relationship Type="http://schemas.openxmlformats.org/officeDocument/2006/relationships/hyperlink" Target="https://asconafrica.org/thank-you-for-signing-up-for-updates/" TargetMode="External" Id="rId209"/><Relationship Type="http://schemas.openxmlformats.org/officeDocument/2006/relationships/hyperlink" Target="#FixPlan!A21" TargetMode="External" Id="rId210"/><Relationship Type="http://schemas.openxmlformats.org/officeDocument/2006/relationships/hyperlink" Target="#Technical!A1" TargetMode="External" Id="rId211"/><Relationship Type="http://schemas.openxmlformats.org/officeDocument/2006/relationships/hyperlink" Target="https://asconafrica.org/thank-you-for-signing-up-for-updates/" TargetMode="External" Id="rId212"/><Relationship Type="http://schemas.openxmlformats.org/officeDocument/2006/relationships/hyperlink" Target="#FixPlan!A22" TargetMode="External" Id="rId213"/><Relationship Type="http://schemas.openxmlformats.org/officeDocument/2006/relationships/hyperlink" Target="#Technical!A1" TargetMode="External" Id="rId214"/><Relationship Type="http://schemas.openxmlformats.org/officeDocument/2006/relationships/hyperlink" Target="https://asconafrica.org/thank-you-for-signing-up-for-updates/" TargetMode="External" Id="rId215"/><Relationship Type="http://schemas.openxmlformats.org/officeDocument/2006/relationships/hyperlink" Target="#FixPlan!A23" TargetMode="External" Id="rId216"/><Relationship Type="http://schemas.openxmlformats.org/officeDocument/2006/relationships/hyperlink" Target="#Technical!A1" TargetMode="External" Id="rId217"/><Relationship Type="http://schemas.openxmlformats.org/officeDocument/2006/relationships/hyperlink" Target="https://asconafrica.org/thank-you-for-signing-up-for-updates/" TargetMode="External" Id="rId218"/><Relationship Type="http://schemas.openxmlformats.org/officeDocument/2006/relationships/hyperlink" Target="#FixPlan!A24" TargetMode="External" Id="rId219"/><Relationship Type="http://schemas.openxmlformats.org/officeDocument/2006/relationships/hyperlink" Target="#AEO!A1" TargetMode="External" Id="rId220"/><Relationship Type="http://schemas.openxmlformats.org/officeDocument/2006/relationships/hyperlink" Target="https://asconafrica.org/thank-you-for-signing-up-for-updates/" TargetMode="External" Id="rId221"/><Relationship Type="http://schemas.openxmlformats.org/officeDocument/2006/relationships/hyperlink" Target="#FixPlan!A26" TargetMode="External" Id="rId222"/><Relationship Type="http://schemas.openxmlformats.org/officeDocument/2006/relationships/hyperlink" Target="#AEO!A1" TargetMode="External" Id="rId223"/><Relationship Type="http://schemas.openxmlformats.org/officeDocument/2006/relationships/hyperlink" Target="https://asconafrica.org/thank-you-for-signing-up-for-updates/" TargetMode="External" Id="rId224"/><Relationship Type="http://schemas.openxmlformats.org/officeDocument/2006/relationships/hyperlink" Target="#FixPlan!A25" TargetMode="External" Id="rId225"/><Relationship Type="http://schemas.openxmlformats.org/officeDocument/2006/relationships/hyperlink" Target="#Technical!A1" TargetMode="External" Id="rId226"/><Relationship Type="http://schemas.openxmlformats.org/officeDocument/2006/relationships/hyperlink" Target="https://asconafrica.org/thank-you-for-signing-up-for-updates/" TargetMode="External" Id="rId227"/><Relationship Type="http://schemas.openxmlformats.org/officeDocument/2006/relationships/hyperlink" Target="#FixPlan!A27" TargetMode="External" Id="rId228"/><Relationship Type="http://schemas.openxmlformats.org/officeDocument/2006/relationships/hyperlink" Target="#Technical!A1" TargetMode="External" Id="rId229"/><Relationship Type="http://schemas.openxmlformats.org/officeDocument/2006/relationships/hyperlink" Target="https://asconafrica.org/launch-event-2026-ascon-conference/thank-you-for-registering-conference-launch/" TargetMode="External" Id="rId230"/><Relationship Type="http://schemas.openxmlformats.org/officeDocument/2006/relationships/hyperlink" Target="#FixPlan!A17" TargetMode="External" Id="rId231"/><Relationship Type="http://schemas.openxmlformats.org/officeDocument/2006/relationships/hyperlink" Target="#Technical!A1" TargetMode="External" Id="rId232"/><Relationship Type="http://schemas.openxmlformats.org/officeDocument/2006/relationships/hyperlink" Target="https://asconafrica.org/launch-event-2026-ascon-conference/thank-you-for-registering-conference-launch/" TargetMode="External" Id="rId233"/><Relationship Type="http://schemas.openxmlformats.org/officeDocument/2006/relationships/hyperlink" Target="#FixPlan!A16" TargetMode="External" Id="rId234"/><Relationship Type="http://schemas.openxmlformats.org/officeDocument/2006/relationships/hyperlink" Target="#AEO!A1" TargetMode="External" Id="rId235"/><Relationship Type="http://schemas.openxmlformats.org/officeDocument/2006/relationships/hyperlink" Target="https://asconafrica.org/launch-event-2026-ascon-conference/thank-you-for-registering-conference-launch/" TargetMode="External" Id="rId236"/><Relationship Type="http://schemas.openxmlformats.org/officeDocument/2006/relationships/hyperlink" Target="#FixPlan!A21" TargetMode="External" Id="rId237"/><Relationship Type="http://schemas.openxmlformats.org/officeDocument/2006/relationships/hyperlink" Target="#Technical!A1" TargetMode="External" Id="rId238"/><Relationship Type="http://schemas.openxmlformats.org/officeDocument/2006/relationships/hyperlink" Target="https://asconafrica.org/launch-event-2026-ascon-conference/thank-you-for-registering-conference-launch/" TargetMode="External" Id="rId239"/><Relationship Type="http://schemas.openxmlformats.org/officeDocument/2006/relationships/hyperlink" Target="#FixPlan!A22" TargetMode="External" Id="rId240"/><Relationship Type="http://schemas.openxmlformats.org/officeDocument/2006/relationships/hyperlink" Target="#Technical!A1" TargetMode="External" Id="rId241"/><Relationship Type="http://schemas.openxmlformats.org/officeDocument/2006/relationships/hyperlink" Target="https://asconafrica.org/launch-event-2026-ascon-conference/thank-you-for-registering-conference-launch/" TargetMode="External" Id="rId242"/><Relationship Type="http://schemas.openxmlformats.org/officeDocument/2006/relationships/hyperlink" Target="#FixPlan!A23" TargetMode="External" Id="rId243"/><Relationship Type="http://schemas.openxmlformats.org/officeDocument/2006/relationships/hyperlink" Target="#Technical!A1" TargetMode="External" Id="rId244"/><Relationship Type="http://schemas.openxmlformats.org/officeDocument/2006/relationships/hyperlink" Target="https://asconafrica.org/launch-event-2026-ascon-conference/thank-you-for-registering-conference-launch/" TargetMode="External" Id="rId245"/><Relationship Type="http://schemas.openxmlformats.org/officeDocument/2006/relationships/hyperlink" Target="#FixPlan!A24" TargetMode="External" Id="rId246"/><Relationship Type="http://schemas.openxmlformats.org/officeDocument/2006/relationships/hyperlink" Target="#AEO!A1" TargetMode="External" Id="rId247"/><Relationship Type="http://schemas.openxmlformats.org/officeDocument/2006/relationships/hyperlink" Target="https://asconafrica.org/launch-event-2026-ascon-conference/thank-you-for-registering-conference-launch/" TargetMode="External" Id="rId248"/><Relationship Type="http://schemas.openxmlformats.org/officeDocument/2006/relationships/hyperlink" Target="#FixPlan!A26" TargetMode="External" Id="rId249"/><Relationship Type="http://schemas.openxmlformats.org/officeDocument/2006/relationships/hyperlink" Target="#AEO!A1" TargetMode="External" Id="rId250"/><Relationship Type="http://schemas.openxmlformats.org/officeDocument/2006/relationships/hyperlink" Target="https://asconafrica.org/launch-event-2026-ascon-conference/thank-you-for-registering-conference-launch/" TargetMode="External" Id="rId251"/><Relationship Type="http://schemas.openxmlformats.org/officeDocument/2006/relationships/hyperlink" Target="#FixPlan!A25" TargetMode="External" Id="rId252"/><Relationship Type="http://schemas.openxmlformats.org/officeDocument/2006/relationships/hyperlink" Target="#Technical!A1" TargetMode="External" Id="rId253"/><Relationship Type="http://schemas.openxmlformats.org/officeDocument/2006/relationships/hyperlink" Target="https://asconafrica.org/launch-event-2026-ascon-conference/thank-you-for-registering-conference-launch/" TargetMode="External" Id="rId254"/><Relationship Type="http://schemas.openxmlformats.org/officeDocument/2006/relationships/hyperlink" Target="#FixPlan!A27" TargetMode="External" Id="rId255"/><Relationship Type="http://schemas.openxmlformats.org/officeDocument/2006/relationships/hyperlink" Target="#Technical!A1" TargetMode="External" Id="rId256"/><Relationship Type="http://schemas.openxmlformats.org/officeDocument/2006/relationships/hyperlink" Target="https://asconafrica.org/launch-event-2026-ascon-conference/" TargetMode="External" Id="rId257"/><Relationship Type="http://schemas.openxmlformats.org/officeDocument/2006/relationships/hyperlink" Target="#FixPlan!A16" TargetMode="External" Id="rId258"/><Relationship Type="http://schemas.openxmlformats.org/officeDocument/2006/relationships/hyperlink" Target="#AEO!A1" TargetMode="External" Id="rId259"/><Relationship Type="http://schemas.openxmlformats.org/officeDocument/2006/relationships/hyperlink" Target="https://asconafrica.org/launch-event-2026-ascon-conference/" TargetMode="External" Id="rId260"/><Relationship Type="http://schemas.openxmlformats.org/officeDocument/2006/relationships/hyperlink" Target="#FixPlan!A21" TargetMode="External" Id="rId261"/><Relationship Type="http://schemas.openxmlformats.org/officeDocument/2006/relationships/hyperlink" Target="#Technical!A1" TargetMode="External" Id="rId262"/><Relationship Type="http://schemas.openxmlformats.org/officeDocument/2006/relationships/hyperlink" Target="https://asconafrica.org/launch-event-2026-ascon-conference/" TargetMode="External" Id="rId263"/><Relationship Type="http://schemas.openxmlformats.org/officeDocument/2006/relationships/hyperlink" Target="#FixPlan!A22" TargetMode="External" Id="rId264"/><Relationship Type="http://schemas.openxmlformats.org/officeDocument/2006/relationships/hyperlink" Target="#Technical!A1" TargetMode="External" Id="rId265"/><Relationship Type="http://schemas.openxmlformats.org/officeDocument/2006/relationships/hyperlink" Target="https://asconafrica.org/launch-event-2026-ascon-conference/" TargetMode="External" Id="rId266"/><Relationship Type="http://schemas.openxmlformats.org/officeDocument/2006/relationships/hyperlink" Target="#FixPlan!A23" TargetMode="External" Id="rId267"/><Relationship Type="http://schemas.openxmlformats.org/officeDocument/2006/relationships/hyperlink" Target="#Technical!A1" TargetMode="External" Id="rId268"/><Relationship Type="http://schemas.openxmlformats.org/officeDocument/2006/relationships/hyperlink" Target="https://asconafrica.org/launch-event-2026-ascon-conference/" TargetMode="External" Id="rId269"/><Relationship Type="http://schemas.openxmlformats.org/officeDocument/2006/relationships/hyperlink" Target="#FixPlan!A24" TargetMode="External" Id="rId270"/><Relationship Type="http://schemas.openxmlformats.org/officeDocument/2006/relationships/hyperlink" Target="#AEO!A1" TargetMode="External" Id="rId271"/><Relationship Type="http://schemas.openxmlformats.org/officeDocument/2006/relationships/hyperlink" Target="https://asconafrica.org/launch-event-2026-ascon-conference/" TargetMode="External" Id="rId272"/><Relationship Type="http://schemas.openxmlformats.org/officeDocument/2006/relationships/hyperlink" Target="#FixPlan!A26" TargetMode="External" Id="rId273"/><Relationship Type="http://schemas.openxmlformats.org/officeDocument/2006/relationships/hyperlink" Target="#AEO!A1" TargetMode="External" Id="rId274"/><Relationship Type="http://schemas.openxmlformats.org/officeDocument/2006/relationships/hyperlink" Target="https://asconafrica.org/launch-event-2026-ascon-conference/" TargetMode="External" Id="rId275"/><Relationship Type="http://schemas.openxmlformats.org/officeDocument/2006/relationships/hyperlink" Target="#FixPlan!A25" TargetMode="External" Id="rId276"/><Relationship Type="http://schemas.openxmlformats.org/officeDocument/2006/relationships/hyperlink" Target="#Technical!A1" TargetMode="External" Id="rId277"/><Relationship Type="http://schemas.openxmlformats.org/officeDocument/2006/relationships/hyperlink" Target="https://asconafrica.org/launch-event-2026-ascon-conference/" TargetMode="External" Id="rId278"/><Relationship Type="http://schemas.openxmlformats.org/officeDocument/2006/relationships/hyperlink" Target="#FixPlan!A27" TargetMode="External" Id="rId279"/><Relationship Type="http://schemas.openxmlformats.org/officeDocument/2006/relationships/hyperlink" Target="#Technical!A1" TargetMode="External" Id="rId280"/><Relationship Type="http://schemas.openxmlformats.org/officeDocument/2006/relationships/hyperlink" Target="https://asconafrica.org/2026-ascon-awards/thank-you-for-your-nomination/" TargetMode="External" Id="rId281"/><Relationship Type="http://schemas.openxmlformats.org/officeDocument/2006/relationships/hyperlink" Target="#FixPlan!A17" TargetMode="External" Id="rId282"/><Relationship Type="http://schemas.openxmlformats.org/officeDocument/2006/relationships/hyperlink" Target="#Technical!A1" TargetMode="External" Id="rId283"/><Relationship Type="http://schemas.openxmlformats.org/officeDocument/2006/relationships/hyperlink" Target="https://asconafrica.org/2026-ascon-awards/thank-you-for-your-nomination/" TargetMode="External" Id="rId284"/><Relationship Type="http://schemas.openxmlformats.org/officeDocument/2006/relationships/hyperlink" Target="#FixPlan!A16" TargetMode="External" Id="rId285"/><Relationship Type="http://schemas.openxmlformats.org/officeDocument/2006/relationships/hyperlink" Target="#AEO!A1" TargetMode="External" Id="rId286"/><Relationship Type="http://schemas.openxmlformats.org/officeDocument/2006/relationships/hyperlink" Target="https://asconafrica.org/2026-ascon-awards/thank-you-for-your-nomination/" TargetMode="External" Id="rId287"/><Relationship Type="http://schemas.openxmlformats.org/officeDocument/2006/relationships/hyperlink" Target="#FixPlan!A21" TargetMode="External" Id="rId288"/><Relationship Type="http://schemas.openxmlformats.org/officeDocument/2006/relationships/hyperlink" Target="#Technical!A1" TargetMode="External" Id="rId289"/><Relationship Type="http://schemas.openxmlformats.org/officeDocument/2006/relationships/hyperlink" Target="https://asconafrica.org/2026-ascon-awards/thank-you-for-your-nomination/" TargetMode="External" Id="rId290"/><Relationship Type="http://schemas.openxmlformats.org/officeDocument/2006/relationships/hyperlink" Target="#FixPlan!A22" TargetMode="External" Id="rId291"/><Relationship Type="http://schemas.openxmlformats.org/officeDocument/2006/relationships/hyperlink" Target="#Technical!A1" TargetMode="External" Id="rId292"/><Relationship Type="http://schemas.openxmlformats.org/officeDocument/2006/relationships/hyperlink" Target="https://asconafrica.org/2026-ascon-awards/thank-you-for-your-nomination/" TargetMode="External" Id="rId293"/><Relationship Type="http://schemas.openxmlformats.org/officeDocument/2006/relationships/hyperlink" Target="#FixPlan!A23" TargetMode="External" Id="rId294"/><Relationship Type="http://schemas.openxmlformats.org/officeDocument/2006/relationships/hyperlink" Target="#Technical!A1" TargetMode="External" Id="rId295"/><Relationship Type="http://schemas.openxmlformats.org/officeDocument/2006/relationships/hyperlink" Target="https://asconafrica.org/2026-ascon-awards/thank-you-for-your-nomination/" TargetMode="External" Id="rId296"/><Relationship Type="http://schemas.openxmlformats.org/officeDocument/2006/relationships/hyperlink" Target="#FixPlan!A24" TargetMode="External" Id="rId297"/><Relationship Type="http://schemas.openxmlformats.org/officeDocument/2006/relationships/hyperlink" Target="#AEO!A1" TargetMode="External" Id="rId298"/><Relationship Type="http://schemas.openxmlformats.org/officeDocument/2006/relationships/hyperlink" Target="https://asconafrica.org/2026-ascon-awards/thank-you-for-your-nomination/" TargetMode="External" Id="rId299"/><Relationship Type="http://schemas.openxmlformats.org/officeDocument/2006/relationships/hyperlink" Target="#FixPlan!A26" TargetMode="External" Id="rId300"/><Relationship Type="http://schemas.openxmlformats.org/officeDocument/2006/relationships/hyperlink" Target="#AEO!A1" TargetMode="External" Id="rId301"/><Relationship Type="http://schemas.openxmlformats.org/officeDocument/2006/relationships/hyperlink" Target="https://asconafrica.org/2026-ascon-awards/thank-you-for-your-nomination/" TargetMode="External" Id="rId302"/><Relationship Type="http://schemas.openxmlformats.org/officeDocument/2006/relationships/hyperlink" Target="#FixPlan!A25" TargetMode="External" Id="rId303"/><Relationship Type="http://schemas.openxmlformats.org/officeDocument/2006/relationships/hyperlink" Target="#Technical!A1" TargetMode="External" Id="rId304"/><Relationship Type="http://schemas.openxmlformats.org/officeDocument/2006/relationships/hyperlink" Target="https://asconafrica.org/2026-ascon-awards/thank-you-for-your-nomination/" TargetMode="External" Id="rId305"/><Relationship Type="http://schemas.openxmlformats.org/officeDocument/2006/relationships/hyperlink" Target="#FixPlan!A27" TargetMode="External" Id="rId306"/><Relationship Type="http://schemas.openxmlformats.org/officeDocument/2006/relationships/hyperlink" Target="#Technical!A1" TargetMode="External" Id="rId307"/><Relationship Type="http://schemas.openxmlformats.org/officeDocument/2006/relationships/hyperlink" Target="https://asconafrica.org/unsubscribe-form/" TargetMode="External" Id="rId308"/><Relationship Type="http://schemas.openxmlformats.org/officeDocument/2006/relationships/hyperlink" Target="#FixPlan!A15" TargetMode="External" Id="rId309"/><Relationship Type="http://schemas.openxmlformats.org/officeDocument/2006/relationships/hyperlink" Target="#Technical!A1" TargetMode="External" Id="rId310"/><Relationship Type="http://schemas.openxmlformats.org/officeDocument/2006/relationships/hyperlink" Target="https://asconafrica.org/unsubscribe-form/" TargetMode="External" Id="rId311"/><Relationship Type="http://schemas.openxmlformats.org/officeDocument/2006/relationships/hyperlink" Target="#FixPlan!A17" TargetMode="External" Id="rId312"/><Relationship Type="http://schemas.openxmlformats.org/officeDocument/2006/relationships/hyperlink" Target="#Technical!A1" TargetMode="External" Id="rId313"/><Relationship Type="http://schemas.openxmlformats.org/officeDocument/2006/relationships/hyperlink" Target="https://asconafrica.org/unsubscribe-form/" TargetMode="External" Id="rId314"/><Relationship Type="http://schemas.openxmlformats.org/officeDocument/2006/relationships/hyperlink" Target="#FixPlan!A16" TargetMode="External" Id="rId315"/><Relationship Type="http://schemas.openxmlformats.org/officeDocument/2006/relationships/hyperlink" Target="#AEO!A1" TargetMode="External" Id="rId316"/><Relationship Type="http://schemas.openxmlformats.org/officeDocument/2006/relationships/hyperlink" Target="https://asconafrica.org/unsubscribe-form/" TargetMode="External" Id="rId317"/><Relationship Type="http://schemas.openxmlformats.org/officeDocument/2006/relationships/hyperlink" Target="#FixPlan!A21" TargetMode="External" Id="rId318"/><Relationship Type="http://schemas.openxmlformats.org/officeDocument/2006/relationships/hyperlink" Target="#Technical!A1" TargetMode="External" Id="rId319"/><Relationship Type="http://schemas.openxmlformats.org/officeDocument/2006/relationships/hyperlink" Target="https://asconafrica.org/unsubscribe-form/" TargetMode="External" Id="rId320"/><Relationship Type="http://schemas.openxmlformats.org/officeDocument/2006/relationships/hyperlink" Target="#FixPlan!A22" TargetMode="External" Id="rId321"/><Relationship Type="http://schemas.openxmlformats.org/officeDocument/2006/relationships/hyperlink" Target="#Technical!A1" TargetMode="External" Id="rId322"/><Relationship Type="http://schemas.openxmlformats.org/officeDocument/2006/relationships/hyperlink" Target="https://asconafrica.org/unsubscribe-form/" TargetMode="External" Id="rId323"/><Relationship Type="http://schemas.openxmlformats.org/officeDocument/2006/relationships/hyperlink" Target="#FixPlan!A23" TargetMode="External" Id="rId324"/><Relationship Type="http://schemas.openxmlformats.org/officeDocument/2006/relationships/hyperlink" Target="#Technical!A1" TargetMode="External" Id="rId325"/><Relationship Type="http://schemas.openxmlformats.org/officeDocument/2006/relationships/hyperlink" Target="https://asconafrica.org/unsubscribe-form/" TargetMode="External" Id="rId326"/><Relationship Type="http://schemas.openxmlformats.org/officeDocument/2006/relationships/hyperlink" Target="#FixPlan!A24" TargetMode="External" Id="rId327"/><Relationship Type="http://schemas.openxmlformats.org/officeDocument/2006/relationships/hyperlink" Target="#AEO!A1" TargetMode="External" Id="rId328"/><Relationship Type="http://schemas.openxmlformats.org/officeDocument/2006/relationships/hyperlink" Target="https://asconafrica.org/unsubscribe-form/" TargetMode="External" Id="rId329"/><Relationship Type="http://schemas.openxmlformats.org/officeDocument/2006/relationships/hyperlink" Target="#FixPlan!A26" TargetMode="External" Id="rId330"/><Relationship Type="http://schemas.openxmlformats.org/officeDocument/2006/relationships/hyperlink" Target="#AEO!A1" TargetMode="External" Id="rId331"/><Relationship Type="http://schemas.openxmlformats.org/officeDocument/2006/relationships/hyperlink" Target="https://asconafrica.org/unsubscribe-form/" TargetMode="External" Id="rId332"/><Relationship Type="http://schemas.openxmlformats.org/officeDocument/2006/relationships/hyperlink" Target="#FixPlan!A25" TargetMode="External" Id="rId333"/><Relationship Type="http://schemas.openxmlformats.org/officeDocument/2006/relationships/hyperlink" Target="#Technical!A1" TargetMode="External" Id="rId334"/><Relationship Type="http://schemas.openxmlformats.org/officeDocument/2006/relationships/hyperlink" Target="https://asconafrica.org/unsubscribe-form/" TargetMode="External" Id="rId335"/><Relationship Type="http://schemas.openxmlformats.org/officeDocument/2006/relationships/hyperlink" Target="#FixPlan!A27" TargetMode="External" Id="rId336"/><Relationship Type="http://schemas.openxmlformats.org/officeDocument/2006/relationships/hyperlink" Target="#Technical!A1" TargetMode="External" Id="rId337"/><Relationship Type="http://schemas.openxmlformats.org/officeDocument/2006/relationships/hyperlink" Target="https://asconafrica.org/unsubscribe-form/successfully-unsubscribed/" TargetMode="External" Id="rId338"/><Relationship Type="http://schemas.openxmlformats.org/officeDocument/2006/relationships/hyperlink" Target="#FixPlan!A15" TargetMode="External" Id="rId339"/><Relationship Type="http://schemas.openxmlformats.org/officeDocument/2006/relationships/hyperlink" Target="#Technical!A1" TargetMode="External" Id="rId340"/><Relationship Type="http://schemas.openxmlformats.org/officeDocument/2006/relationships/hyperlink" Target="https://asconafrica.org/unsubscribe-form/successfully-unsubscribed/" TargetMode="External" Id="rId341"/><Relationship Type="http://schemas.openxmlformats.org/officeDocument/2006/relationships/hyperlink" Target="#FixPlan!A17" TargetMode="External" Id="rId342"/><Relationship Type="http://schemas.openxmlformats.org/officeDocument/2006/relationships/hyperlink" Target="#Technical!A1" TargetMode="External" Id="rId343"/><Relationship Type="http://schemas.openxmlformats.org/officeDocument/2006/relationships/hyperlink" Target="https://asconafrica.org/unsubscribe-form/successfully-unsubscribed/" TargetMode="External" Id="rId344"/><Relationship Type="http://schemas.openxmlformats.org/officeDocument/2006/relationships/hyperlink" Target="#FixPlan!A16" TargetMode="External" Id="rId345"/><Relationship Type="http://schemas.openxmlformats.org/officeDocument/2006/relationships/hyperlink" Target="#AEO!A1" TargetMode="External" Id="rId346"/><Relationship Type="http://schemas.openxmlformats.org/officeDocument/2006/relationships/hyperlink" Target="https://asconafrica.org/unsubscribe-form/successfully-unsubscribed/" TargetMode="External" Id="rId347"/><Relationship Type="http://schemas.openxmlformats.org/officeDocument/2006/relationships/hyperlink" Target="#FixPlan!A21" TargetMode="External" Id="rId348"/><Relationship Type="http://schemas.openxmlformats.org/officeDocument/2006/relationships/hyperlink" Target="#Technical!A1" TargetMode="External" Id="rId349"/><Relationship Type="http://schemas.openxmlformats.org/officeDocument/2006/relationships/hyperlink" Target="https://asconafrica.org/unsubscribe-form/successfully-unsubscribed/" TargetMode="External" Id="rId350"/><Relationship Type="http://schemas.openxmlformats.org/officeDocument/2006/relationships/hyperlink" Target="#FixPlan!A22" TargetMode="External" Id="rId351"/><Relationship Type="http://schemas.openxmlformats.org/officeDocument/2006/relationships/hyperlink" Target="#Technical!A1" TargetMode="External" Id="rId352"/><Relationship Type="http://schemas.openxmlformats.org/officeDocument/2006/relationships/hyperlink" Target="https://asconafrica.org/unsubscribe-form/successfully-unsubscribed/" TargetMode="External" Id="rId353"/><Relationship Type="http://schemas.openxmlformats.org/officeDocument/2006/relationships/hyperlink" Target="#FixPlan!A23" TargetMode="External" Id="rId354"/><Relationship Type="http://schemas.openxmlformats.org/officeDocument/2006/relationships/hyperlink" Target="#Technical!A1" TargetMode="External" Id="rId355"/><Relationship Type="http://schemas.openxmlformats.org/officeDocument/2006/relationships/hyperlink" Target="https://asconafrica.org/unsubscribe-form/successfully-unsubscribed/" TargetMode="External" Id="rId356"/><Relationship Type="http://schemas.openxmlformats.org/officeDocument/2006/relationships/hyperlink" Target="#FixPlan!A24" TargetMode="External" Id="rId357"/><Relationship Type="http://schemas.openxmlformats.org/officeDocument/2006/relationships/hyperlink" Target="#AEO!A1" TargetMode="External" Id="rId358"/><Relationship Type="http://schemas.openxmlformats.org/officeDocument/2006/relationships/hyperlink" Target="https://asconafrica.org/unsubscribe-form/successfully-unsubscribed/" TargetMode="External" Id="rId359"/><Relationship Type="http://schemas.openxmlformats.org/officeDocument/2006/relationships/hyperlink" Target="#FixPlan!A26" TargetMode="External" Id="rId360"/><Relationship Type="http://schemas.openxmlformats.org/officeDocument/2006/relationships/hyperlink" Target="#AEO!A1" TargetMode="External" Id="rId361"/><Relationship Type="http://schemas.openxmlformats.org/officeDocument/2006/relationships/hyperlink" Target="https://asconafrica.org/unsubscribe-form/successfully-unsubscribed/" TargetMode="External" Id="rId362"/><Relationship Type="http://schemas.openxmlformats.org/officeDocument/2006/relationships/hyperlink" Target="#FixPlan!A25" TargetMode="External" Id="rId363"/><Relationship Type="http://schemas.openxmlformats.org/officeDocument/2006/relationships/hyperlink" Target="#Technical!A1" TargetMode="External" Id="rId364"/><Relationship Type="http://schemas.openxmlformats.org/officeDocument/2006/relationships/hyperlink" Target="https://asconafrica.org/unsubscribe-form/successfully-unsubscribed/" TargetMode="External" Id="rId365"/><Relationship Type="http://schemas.openxmlformats.org/officeDocument/2006/relationships/hyperlink" Target="#FixPlan!A27" TargetMode="External" Id="rId366"/><Relationship Type="http://schemas.openxmlformats.org/officeDocument/2006/relationships/hyperlink" Target="#Technical!A1" TargetMode="External" Id="rId367"/><Relationship Type="http://schemas.openxmlformats.org/officeDocument/2006/relationships/hyperlink" Target="https://asconafrica.org/contact-us/" TargetMode="External" Id="rId368"/><Relationship Type="http://schemas.openxmlformats.org/officeDocument/2006/relationships/hyperlink" Target="#FixPlan!A15" TargetMode="External" Id="rId369"/><Relationship Type="http://schemas.openxmlformats.org/officeDocument/2006/relationships/hyperlink" Target="#Technical!A1" TargetMode="External" Id="rId370"/><Relationship Type="http://schemas.openxmlformats.org/officeDocument/2006/relationships/hyperlink" Target="https://asconafrica.org/contact-us/" TargetMode="External" Id="rId371"/><Relationship Type="http://schemas.openxmlformats.org/officeDocument/2006/relationships/hyperlink" Target="#FixPlan!A17" TargetMode="External" Id="rId372"/><Relationship Type="http://schemas.openxmlformats.org/officeDocument/2006/relationships/hyperlink" Target="#Technical!A1" TargetMode="External" Id="rId373"/><Relationship Type="http://schemas.openxmlformats.org/officeDocument/2006/relationships/hyperlink" Target="https://asconafrica.org/contact-us/" TargetMode="External" Id="rId374"/><Relationship Type="http://schemas.openxmlformats.org/officeDocument/2006/relationships/hyperlink" Target="#FixPlan!A16" TargetMode="External" Id="rId375"/><Relationship Type="http://schemas.openxmlformats.org/officeDocument/2006/relationships/hyperlink" Target="#AEO!A1" TargetMode="External" Id="rId376"/><Relationship Type="http://schemas.openxmlformats.org/officeDocument/2006/relationships/hyperlink" Target="https://asconafrica.org/contact-us/" TargetMode="External" Id="rId377"/><Relationship Type="http://schemas.openxmlformats.org/officeDocument/2006/relationships/hyperlink" Target="#FixPlan!A21" TargetMode="External" Id="rId378"/><Relationship Type="http://schemas.openxmlformats.org/officeDocument/2006/relationships/hyperlink" Target="#Technical!A1" TargetMode="External" Id="rId379"/><Relationship Type="http://schemas.openxmlformats.org/officeDocument/2006/relationships/hyperlink" Target="https://asconafrica.org/contact-us/" TargetMode="External" Id="rId380"/><Relationship Type="http://schemas.openxmlformats.org/officeDocument/2006/relationships/hyperlink" Target="#FixPlan!A22" TargetMode="External" Id="rId381"/><Relationship Type="http://schemas.openxmlformats.org/officeDocument/2006/relationships/hyperlink" Target="#Technical!A1" TargetMode="External" Id="rId382"/><Relationship Type="http://schemas.openxmlformats.org/officeDocument/2006/relationships/hyperlink" Target="https://asconafrica.org/contact-us/" TargetMode="External" Id="rId383"/><Relationship Type="http://schemas.openxmlformats.org/officeDocument/2006/relationships/hyperlink" Target="#FixPlan!A23" TargetMode="External" Id="rId384"/><Relationship Type="http://schemas.openxmlformats.org/officeDocument/2006/relationships/hyperlink" Target="#Technical!A1" TargetMode="External" Id="rId385"/><Relationship Type="http://schemas.openxmlformats.org/officeDocument/2006/relationships/hyperlink" Target="https://asconafrica.org/contact-us/" TargetMode="External" Id="rId386"/><Relationship Type="http://schemas.openxmlformats.org/officeDocument/2006/relationships/hyperlink" Target="#FixPlan!A24" TargetMode="External" Id="rId387"/><Relationship Type="http://schemas.openxmlformats.org/officeDocument/2006/relationships/hyperlink" Target="#AEO!A1" TargetMode="External" Id="rId388"/><Relationship Type="http://schemas.openxmlformats.org/officeDocument/2006/relationships/hyperlink" Target="https://asconafrica.org/contact-us/" TargetMode="External" Id="rId389"/><Relationship Type="http://schemas.openxmlformats.org/officeDocument/2006/relationships/hyperlink" Target="#FixPlan!A26" TargetMode="External" Id="rId390"/><Relationship Type="http://schemas.openxmlformats.org/officeDocument/2006/relationships/hyperlink" Target="#AEO!A1" TargetMode="External" Id="rId391"/><Relationship Type="http://schemas.openxmlformats.org/officeDocument/2006/relationships/hyperlink" Target="https://asconafrica.org/contact-us/" TargetMode="External" Id="rId392"/><Relationship Type="http://schemas.openxmlformats.org/officeDocument/2006/relationships/hyperlink" Target="#FixPlan!A25" TargetMode="External" Id="rId393"/><Relationship Type="http://schemas.openxmlformats.org/officeDocument/2006/relationships/hyperlink" Target="#Technical!A1" TargetMode="External" Id="rId394"/><Relationship Type="http://schemas.openxmlformats.org/officeDocument/2006/relationships/hyperlink" Target="https://asconafrica.org/contact-us/" TargetMode="External" Id="rId395"/><Relationship Type="http://schemas.openxmlformats.org/officeDocument/2006/relationships/hyperlink" Target="#FixPlan!A27" TargetMode="External" Id="rId396"/><Relationship Type="http://schemas.openxmlformats.org/officeDocument/2006/relationships/hyperlink" Target="#Technical!A1" TargetMode="External" Id="rId397"/></Relationships>
</file>

<file path=xl/worksheets/_rels/sheet23.xml.rels><Relationships xmlns="http://schemas.openxmlformats.org/package/2006/relationships"><Relationship Type="http://schemas.openxmlformats.org/officeDocument/2006/relationships/hyperlink" Target="#Dashboard!A1" TargetMode="External" Id="rId1"/><Relationship Type="http://schemas.openxmlformats.org/officeDocument/2006/relationships/hyperlink" Target="https://asconafrica.org/2026-ascon-awards/" TargetMode="External" Id="rId2"/><Relationship Type="http://schemas.openxmlformats.org/officeDocument/2006/relationships/hyperlink" Target="https://asconafrica.org/" TargetMode="External" Id="rId3"/><Relationship Type="http://schemas.openxmlformats.org/officeDocument/2006/relationships/hyperlink" Target="https://asconafrica.org/news/" TargetMode="External" Id="rId4"/><Relationship Type="http://schemas.openxmlformats.org/officeDocument/2006/relationships/hyperlink" Target="https://asconafrica.org/our-members/" TargetMode="External" Id="rId5"/><Relationship Type="http://schemas.openxmlformats.org/officeDocument/2006/relationships/hyperlink" Target="https://asconafrica.org/2026-ascon-conference/" TargetMode="External" Id="rId6"/><Relationship Type="http://schemas.openxmlformats.org/officeDocument/2006/relationships/hyperlink" Target="https://asconafrica.org/about-us/" TargetMode="External" Id="rId7"/><Relationship Type="http://schemas.openxmlformats.org/officeDocument/2006/relationships/hyperlink" Target="https://asconafrica.org/privacy-policy/" TargetMode="External" Id="rId8"/><Relationship Type="http://schemas.openxmlformats.org/officeDocument/2006/relationships/hyperlink" Target="https://asconafrica.org/2026-ascon-conference/thank-you-for-signing-up/" TargetMode="External" Id="rId9"/><Relationship Type="http://schemas.openxmlformats.org/officeDocument/2006/relationships/hyperlink" Target="https://asconafrica.org/thank-you-for-signing-up-for-updates/" TargetMode="External" Id="rId10"/><Relationship Type="http://schemas.openxmlformats.org/officeDocument/2006/relationships/hyperlink" Target="https://asconafrica.org/launch-event-2026-ascon-conference/thank-you-for-registering-conference-launch/" TargetMode="External" Id="rId11"/><Relationship Type="http://schemas.openxmlformats.org/officeDocument/2006/relationships/hyperlink" Target="https://asconafrica.org/launch-event-2026-ascon-conference/" TargetMode="External" Id="rId12"/><Relationship Type="http://schemas.openxmlformats.org/officeDocument/2006/relationships/hyperlink" Target="https://asconafrica.org/2026-ascon-awards/thank-you-for-your-nomination/" TargetMode="External" Id="rId13"/><Relationship Type="http://schemas.openxmlformats.org/officeDocument/2006/relationships/hyperlink" Target="https://asconafrica.org/unsubscribe-form/" TargetMode="External" Id="rId14"/><Relationship Type="http://schemas.openxmlformats.org/officeDocument/2006/relationships/hyperlink" Target="https://asconafrica.org/unsubscribe-form/successfully-unsubscribed/" TargetMode="External" Id="rId15"/><Relationship Type="http://schemas.openxmlformats.org/officeDocument/2006/relationships/hyperlink" Target="https://asconafrica.org/contact-us/" TargetMode="External" Id="rId16"/></Relationships>
</file>

<file path=xl/worksheets/_rels/sheet24.xml.rels><Relationships xmlns="http://schemas.openxmlformats.org/package/2006/relationships"><Relationship Type="http://schemas.openxmlformats.org/officeDocument/2006/relationships/hyperlink" Target="#Dashboard!A1" TargetMode="External" Id="rId1"/></Relationships>
</file>

<file path=xl/worksheets/_rels/sheet25.xml.rels><Relationships xmlns="http://schemas.openxmlformats.org/package/2006/relationships"><Relationship Type="http://schemas.openxmlformats.org/officeDocument/2006/relationships/hyperlink" Target="#Dashboard!A1" TargetMode="External" Id="rId1"/></Relationships>
</file>

<file path=xl/worksheets/_rels/sheet26.xml.rels><Relationships xmlns="http://schemas.openxmlformats.org/package/2006/relationships"><Relationship Type="http://schemas.openxmlformats.org/officeDocument/2006/relationships/hyperlink" Target="#Dashboard!A1" TargetMode="External" Id="rId1"/></Relationships>
</file>

<file path=xl/worksheets/sheet1.xml><?xml version="1.0" encoding="utf-8"?>
<worksheet xmlns="http://schemas.openxmlformats.org/spreadsheetml/2006/main">
  <sheetPr>
    <outlinePr summaryBelow="1" summaryRight="1"/>
    <pageSetUpPr/>
  </sheetPr>
  <dimension ref="A1:Y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 customWidth="1" min="1" max="1"/>
    <col width="35" customWidth="1" min="2" max="2"/>
    <col width="20" customWidth="1" min="3" max="3"/>
    <col width="17" customWidth="1" min="4" max="4"/>
    <col width="22" customWidth="1" min="5" max="5"/>
    <col width="12" customWidth="1" min="6" max="6"/>
    <col width="14" customWidth="1" min="7" max="7"/>
    <col width="10" customWidth="1" min="8" max="8"/>
    <col width="10" customWidth="1" min="9" max="9"/>
    <col width="10" customWidth="1" min="10" max="10"/>
  </cols>
  <sheetData>
    <row r="1">
      <c r="A1" s="1" t="inlineStr">
        <is>
          <t>Metric</t>
        </is>
      </c>
      <c r="B1" s="2" t="inlineStr">
        <is>
          <t>Technical Audit Dashboard</t>
        </is>
      </c>
      <c r="C1" s="3" t="n"/>
      <c r="D1" s="3" t="n"/>
      <c r="E1" s="3" t="n"/>
      <c r="F1" s="3" t="n"/>
      <c r="G1" s="3" t="n"/>
      <c r="H1" s="3" t="n"/>
      <c r="I1" s="3" t="n"/>
      <c r="J1" s="3" t="n"/>
    </row>
    <row r="2" ht="30" customHeight="1">
      <c r="A2" s="4" t="inlineStr">
        <is>
          <t>URLs Crawled</t>
        </is>
      </c>
      <c r="B2" s="5" t="inlineStr">
        <is>
          <t>Executive SEO Performance Report</t>
        </is>
      </c>
      <c r="C2" s="6" t="n"/>
      <c r="D2" s="6" t="n"/>
      <c r="E2" s="6" t="n"/>
      <c r="F2" s="6" t="n"/>
      <c r="G2" s="6" t="n"/>
      <c r="H2" s="6" t="n"/>
      <c r="I2" s="6" t="n"/>
      <c r="J2" s="6" t="n"/>
    </row>
    <row r="3">
      <c r="A3" s="4" t="inlineStr">
        <is>
          <t>Pass Rate (%)</t>
        </is>
      </c>
      <c r="B3" s="7" t="n">
        <v>0</v>
      </c>
      <c r="C3" s="6" t="n"/>
      <c r="D3" s="6" t="n"/>
      <c r="E3" s="6" t="n"/>
      <c r="F3" s="6" t="n"/>
      <c r="G3" s="6" t="n"/>
      <c r="H3" s="6" t="n"/>
      <c r="I3" s="6" t="n"/>
      <c r="J3" s="6" t="n"/>
    </row>
    <row r="4">
      <c r="A4" s="4" t="inlineStr">
        <is>
          <t>Critical URL Count</t>
        </is>
      </c>
      <c r="B4" s="8" t="inlineStr">
        <is>
          <t>EXECUTIVE METRICS</t>
        </is>
      </c>
      <c r="C4" s="9" t="inlineStr">
        <is>
          <t>Value</t>
        </is>
      </c>
      <c r="D4" s="6" t="n"/>
      <c r="E4" s="10" t="inlineStr">
        <is>
          <t>OWNER ISSUE SUMMARY (PIVOT)</t>
        </is>
      </c>
    </row>
    <row r="5">
      <c r="A5" s="4" t="inlineStr">
        <is>
          <t>Warning URL Count</t>
        </is>
      </c>
      <c r="B5" s="11">
        <f>HYPERLINK("#Main!A1","Total URLs")</f>
        <v/>
      </c>
      <c r="C5" s="12" t="n">
        <v>15</v>
      </c>
      <c r="D5" s="6" t="n"/>
      <c r="E5" s="10" t="inlineStr">
        <is>
          <t>Owner</t>
        </is>
      </c>
      <c r="F5" s="10" t="inlineStr">
        <is>
          <t>Issue Rows</t>
        </is>
      </c>
      <c r="G5" s="10" t="inlineStr">
        <is>
          <t>Affected URLs</t>
        </is>
      </c>
      <c r="H5" s="10" t="inlineStr">
        <is>
          <t>Critical</t>
        </is>
      </c>
      <c r="I5" s="10" t="inlineStr">
        <is>
          <t>Warning</t>
        </is>
      </c>
      <c r="J5" s="10" t="inlineStr">
        <is>
          <t>Info</t>
        </is>
      </c>
    </row>
    <row r="6">
      <c r="A6" s="4" t="inlineStr">
        <is>
          <t>Status Distribution</t>
        </is>
      </c>
      <c r="B6" s="11">
        <f>HYPERLINK("#Summary!A1","Overall Health Score")</f>
        <v/>
      </c>
      <c r="C6" s="13">
        <f>IFERROR(60.07/100,0)</f>
        <v/>
      </c>
      <c r="D6" s="6" t="n"/>
      <c r="E6" s="14">
        <f>HYPERLINK("#FixPlan!A1","Copy Writer")</f>
        <v/>
      </c>
      <c r="F6" s="14" t="n">
        <v>13</v>
      </c>
      <c r="G6" s="14" t="n">
        <v>72</v>
      </c>
      <c r="H6" s="14" t="n">
        <v>0</v>
      </c>
      <c r="I6" s="14" t="n">
        <v>8</v>
      </c>
      <c r="J6" s="14" t="n">
        <v>5</v>
      </c>
    </row>
    <row r="7">
      <c r="A7" s="4" t="inlineStr">
        <is>
          <t>Score Bands</t>
        </is>
      </c>
      <c r="B7" s="11">
        <f>HYPERLINK("#Summary!A1","SEO Pass Rate %")</f>
        <v/>
      </c>
      <c r="C7" s="15">
        <f>IFERROR(0/15,0)</f>
        <v/>
      </c>
      <c r="D7" s="6" t="n"/>
      <c r="E7" s="14">
        <f>HYPERLINK("#FixPlan!A1","Server/Host")</f>
        <v/>
      </c>
      <c r="F7" s="14" t="n">
        <v>5</v>
      </c>
      <c r="G7" s="14" t="n">
        <v>45</v>
      </c>
      <c r="H7" s="14" t="n">
        <v>2</v>
      </c>
      <c r="I7" s="14" t="n">
        <v>0</v>
      </c>
      <c r="J7" s="14" t="n">
        <v>3</v>
      </c>
    </row>
    <row r="8">
      <c r="A8" s="4" t="n"/>
      <c r="B8" s="11">
        <f>HYPERLINK("#Technical!A1","Pass URLs")</f>
        <v/>
      </c>
      <c r="C8" s="12" t="n">
        <v>0</v>
      </c>
      <c r="D8" s="6" t="n"/>
      <c r="E8" s="14">
        <f>HYPERLINK("#FixPlan!A1","Dev")</f>
        <v/>
      </c>
      <c r="F8" s="14" t="n">
        <v>8</v>
      </c>
      <c r="G8" s="14" t="n">
        <v>15</v>
      </c>
      <c r="H8" s="14" t="n">
        <v>3</v>
      </c>
      <c r="I8" s="14" t="n">
        <v>3</v>
      </c>
      <c r="J8" s="14" t="n">
        <v>2</v>
      </c>
    </row>
    <row r="9">
      <c r="A9" s="4" t="n"/>
      <c r="B9" s="11">
        <f>HYPERLINK("#FixPlan!A1","Critical URLs")</f>
        <v/>
      </c>
      <c r="C9" s="12" t="n">
        <v>0</v>
      </c>
      <c r="D9" s="6" t="n"/>
      <c r="E9" s="6" t="n"/>
      <c r="F9" s="6" t="n"/>
      <c r="G9" s="6" t="n"/>
      <c r="H9" s="6" t="n"/>
      <c r="I9" s="6" t="n"/>
      <c r="J9" s="6" t="n"/>
    </row>
    <row r="10">
      <c r="A10" s="16" t="inlineStr">
        <is>
          <t>Issue Type</t>
        </is>
      </c>
      <c r="B10" s="17">
        <f>HYPERLINK("#Technical!A1","Warning URLs")</f>
        <v/>
      </c>
      <c r="C10" s="18" t="n">
        <v>30</v>
      </c>
      <c r="D10" s="6" t="n"/>
      <c r="E10" s="6" t="n"/>
      <c r="F10" s="19" t="inlineStr">
        <is>
          <t>Status Class</t>
        </is>
      </c>
      <c r="G10" s="19" t="inlineStr">
        <is>
          <t>Count</t>
        </is>
      </c>
      <c r="H10" s="6" t="n"/>
      <c r="I10" s="19" t="inlineStr">
        <is>
          <t>Score Band</t>
        </is>
      </c>
      <c r="J10" s="19" t="inlineStr">
        <is>
          <t>Count</t>
        </is>
      </c>
    </row>
    <row r="11">
      <c r="A11" s="4" t="inlineStr">
        <is>
          <t>No Compression Header</t>
        </is>
      </c>
      <c r="B11" s="11">
        <f>HYPERLINK("#Technical!A1","Error Rate % (4xx/5xx)")</f>
        <v/>
      </c>
      <c r="C11" s="20">
        <f>IFERROR(0/15,0)</f>
        <v/>
      </c>
      <c r="D11" s="6" t="n"/>
      <c r="E11" s="6" t="n"/>
      <c r="F11" s="6" t="inlineStr">
        <is>
          <t>2xx</t>
        </is>
      </c>
      <c r="G11" s="6" t="n">
        <v>15</v>
      </c>
      <c r="H11" s="6" t="n"/>
      <c r="I11" s="6" t="inlineStr">
        <is>
          <t>90-100</t>
        </is>
      </c>
      <c r="J11" s="6" t="n">
        <v>0</v>
      </c>
    </row>
    <row r="12">
      <c r="A12" s="4" t="inlineStr">
        <is>
          <t>No Cache-Control Header</t>
        </is>
      </c>
      <c r="B12" s="11">
        <f>HYPERLINK("#Technical!A1","Crawl Success Rate % (2xx)")</f>
        <v/>
      </c>
      <c r="C12" s="20">
        <f>IFERROR(15/15,0)</f>
        <v/>
      </c>
      <c r="D12" s="6" t="n"/>
      <c r="E12" s="6" t="n"/>
      <c r="F12" s="6" t="n"/>
      <c r="G12" s="6" t="n"/>
      <c r="H12" s="6" t="n"/>
      <c r="I12" s="6" t="inlineStr">
        <is>
          <t>70-89</t>
        </is>
      </c>
      <c r="J12" s="6" t="n">
        <v>0</v>
      </c>
    </row>
    <row r="13">
      <c r="A13" s="4" t="inlineStr">
        <is>
          <t>No ETag Header</t>
        </is>
      </c>
      <c r="B13" s="11">
        <f>HYPERLINK("#Technical!A1","Critical URL Rate %")</f>
        <v/>
      </c>
      <c r="C13" s="20">
        <f>IFERROR(0/15,0)</f>
        <v/>
      </c>
      <c r="D13" s="6" t="n"/>
      <c r="E13" s="6" t="n"/>
      <c r="F13" s="6" t="n"/>
      <c r="G13" s="6" t="n"/>
      <c r="H13" s="6" t="n"/>
      <c r="I13" s="6" t="inlineStr">
        <is>
          <t>&lt;70</t>
        </is>
      </c>
      <c r="J13" s="6" t="n">
        <v>15</v>
      </c>
    </row>
    <row r="14">
      <c r="A14" s="4" t="inlineStr">
        <is>
          <t>No FAQ/QA Schema</t>
        </is>
      </c>
      <c r="B14" s="11">
        <f>HYPERLINK("#Technical!A1","Warning URL Rate %")</f>
        <v/>
      </c>
      <c r="C14" s="15">
        <f>IFERROR(30/15,0)</f>
        <v/>
      </c>
      <c r="D14" s="6" t="n"/>
      <c r="E14" s="6" t="n"/>
      <c r="F14" s="6" t="n"/>
      <c r="G14" s="6" t="n"/>
      <c r="H14" s="6" t="n"/>
      <c r="I14" s="6" t="n"/>
      <c r="J14" s="6" t="n"/>
    </row>
    <row r="15">
      <c r="A15" s="4" t="inlineStr">
        <is>
          <t>No Answer-Friendly Structure</t>
        </is>
      </c>
      <c r="B15" s="7" t="inlineStr">
        <is>
          <t>Info</t>
        </is>
      </c>
      <c r="C15" s="6" t="n">
        <v>15</v>
      </c>
      <c r="D15" s="6" t="n"/>
      <c r="E15" s="6" t="n"/>
      <c r="F15" s="6" t="n"/>
      <c r="G15" s="6" t="n"/>
      <c r="H15" s="6" t="n"/>
      <c r="I15" s="6" t="n"/>
      <c r="J15" s="6" t="n"/>
    </row>
    <row r="16">
      <c r="A16" s="4" t="inlineStr">
        <is>
          <t>Low AEO Readiness Score</t>
        </is>
      </c>
      <c r="B16" s="21" t="inlineStr">
        <is>
          <t>Status</t>
        </is>
      </c>
      <c r="C16" s="10" t="inlineStr">
        <is>
          <t>Count</t>
        </is>
      </c>
      <c r="D16" s="6" t="n"/>
      <c r="E16" s="6" t="n"/>
      <c r="F16" s="6" t="n"/>
      <c r="G16" s="6" t="n"/>
      <c r="H16" s="6" t="n"/>
      <c r="I16" s="6" t="n"/>
      <c r="J16" s="6" t="n"/>
    </row>
    <row r="17">
      <c r="A17" s="4" t="inlineStr">
        <is>
          <t>No Question Headings</t>
        </is>
      </c>
      <c r="B17" s="22" t="inlineStr">
        <is>
          <t>200 OK</t>
        </is>
      </c>
      <c r="C17" s="23" t="n">
        <v>15</v>
      </c>
      <c r="D17" s="6" t="n"/>
      <c r="E17" s="6" t="n"/>
      <c r="F17" s="6" t="n"/>
      <c r="G17" s="6" t="n"/>
      <c r="H17" s="6" t="n"/>
      <c r="I17" s="6" t="n"/>
      <c r="J17" s="6" t="n"/>
    </row>
    <row r="18">
      <c r="A18" s="4" t="inlineStr">
        <is>
          <t>No 40-60 Word Answer Paragraphs</t>
        </is>
      </c>
      <c r="B18" s="24" t="inlineStr">
        <is>
          <t>3xx Redirects</t>
        </is>
      </c>
      <c r="C18" s="25" t="n">
        <v>0</v>
      </c>
      <c r="D18" s="6" t="n"/>
      <c r="E18" s="6" t="n"/>
      <c r="F18" s="6" t="n"/>
      <c r="G18" s="6" t="n"/>
      <c r="H18" s="6" t="n"/>
      <c r="I18" s="6" t="n"/>
      <c r="J18" s="6" t="n"/>
    </row>
    <row r="19">
      <c r="A19" s="4" t="inlineStr">
        <is>
          <t>Thin Content</t>
        </is>
      </c>
      <c r="B19" s="26" t="inlineStr">
        <is>
          <t>4xx Errors</t>
        </is>
      </c>
      <c r="C19" s="27" t="n">
        <v>0</v>
      </c>
      <c r="D19" s="6" t="n"/>
      <c r="E19" s="6" t="n"/>
      <c r="F19" s="6" t="n"/>
      <c r="G19" s="6" t="n"/>
      <c r="H19" s="6" t="n"/>
      <c r="I19" s="6" t="n"/>
      <c r="J19" s="6" t="n"/>
    </row>
    <row r="20">
      <c r="A20" s="4" t="inlineStr">
        <is>
          <t>Missing H1</t>
        </is>
      </c>
      <c r="B20" s="26" t="inlineStr">
        <is>
          <t>5xx Errors</t>
        </is>
      </c>
      <c r="C20" s="27" t="n">
        <v>0</v>
      </c>
      <c r="D20" s="6" t="n"/>
      <c r="E20" s="6" t="n"/>
      <c r="F20" s="6" t="n"/>
      <c r="G20" s="6" t="n"/>
      <c r="H20" s="6" t="n"/>
      <c r="I20" s="6" t="n"/>
      <c r="J20" s="6" t="n"/>
    </row>
    <row r="21">
      <c r="A21" s="4" t="n"/>
      <c r="B21" s="24" t="inlineStr">
        <is>
          <t>Other</t>
        </is>
      </c>
      <c r="C21" s="25" t="n">
        <v>0</v>
      </c>
      <c r="D21" s="6" t="n"/>
      <c r="E21" s="6" t="n"/>
      <c r="F21" s="6" t="n"/>
      <c r="G21" s="6" t="n"/>
      <c r="H21" s="6" t="n"/>
      <c r="I21" s="6" t="n"/>
      <c r="J21" s="6" t="n"/>
    </row>
    <row r="22">
      <c r="A22" s="4" t="n"/>
      <c r="B22" s="28" t="n"/>
      <c r="C22" s="29" t="n"/>
      <c r="D22" s="6" t="n"/>
      <c r="E22" s="6" t="n"/>
      <c r="F22" s="6" t="n"/>
      <c r="G22" s="6" t="n"/>
      <c r="H22" s="6" t="n"/>
      <c r="I22" s="6" t="n"/>
      <c r="J22" s="6" t="n"/>
    </row>
    <row r="23">
      <c r="A23" s="4" t="n"/>
      <c r="B23" s="21" t="inlineStr">
        <is>
          <t>Severity</t>
        </is>
      </c>
      <c r="C23" s="10" t="inlineStr">
        <is>
          <t>Count</t>
        </is>
      </c>
      <c r="D23" s="6" t="n"/>
      <c r="E23" s="6" t="n"/>
      <c r="F23" s="6" t="n"/>
      <c r="G23" s="6" t="n"/>
      <c r="H23" s="6" t="n"/>
      <c r="I23" s="6" t="n"/>
      <c r="J23" s="6" t="n"/>
    </row>
    <row r="24">
      <c r="A24" s="16" t="inlineStr">
        <is>
          <t>Immediate Actions</t>
        </is>
      </c>
      <c r="B24" s="26" t="inlineStr">
        <is>
          <t>Critical</t>
        </is>
      </c>
      <c r="C24" s="27" t="n">
        <v>5</v>
      </c>
      <c r="D24" s="6" t="n"/>
      <c r="E24" s="6" t="n"/>
      <c r="F24" s="6" t="n"/>
      <c r="G24" s="6" t="n"/>
      <c r="H24" s="6" t="n"/>
      <c r="I24" s="6" t="n"/>
      <c r="J24" s="6" t="n"/>
    </row>
    <row r="25">
      <c r="A25" s="4" t="inlineStr">
        <is>
          <t>Top 5 URLs by Business Risk Score</t>
        </is>
      </c>
      <c r="B25" s="24" t="inlineStr">
        <is>
          <t>Warning</t>
        </is>
      </c>
      <c r="C25" s="25" t="n">
        <v>11</v>
      </c>
      <c r="D25" s="6" t="n"/>
      <c r="E25" s="6" t="n"/>
      <c r="F25" s="6" t="n"/>
      <c r="G25" s="6" t="n"/>
      <c r="H25" s="6" t="n"/>
      <c r="I25" s="6" t="n"/>
      <c r="J25" s="6" t="n"/>
    </row>
    <row r="26">
      <c r="A26" s="16" t="inlineStr">
        <is>
          <t>Rank</t>
        </is>
      </c>
      <c r="B26" s="30" t="inlineStr">
        <is>
          <t>Medium</t>
        </is>
      </c>
      <c r="C26" s="31" t="n">
        <v>0</v>
      </c>
      <c r="D26" s="19" t="inlineStr">
        <is>
          <t>Why Prioritized</t>
        </is>
      </c>
      <c r="E26" s="19" t="inlineStr">
        <is>
          <t>Action Needed</t>
        </is>
      </c>
      <c r="F26" s="19" t="inlineStr">
        <is>
          <t>Owner</t>
        </is>
      </c>
      <c r="G26" s="19" t="inlineStr">
        <is>
          <t>Status</t>
        </is>
      </c>
      <c r="H26" s="6" t="n"/>
      <c r="I26" s="6" t="n"/>
      <c r="J26" s="6" t="n"/>
    </row>
    <row r="27">
      <c r="A27" s="4" t="n">
        <v>1</v>
      </c>
      <c r="B27" s="22" t="inlineStr">
        <is>
          <t>Low</t>
        </is>
      </c>
      <c r="C27" s="23" t="n">
        <v>10</v>
      </c>
      <c r="D27" s="6" t="inlineStr">
        <is>
          <t>Monitor</t>
        </is>
      </c>
      <c r="E27" s="6" t="inlineStr">
        <is>
          <t>Yes</t>
        </is>
      </c>
      <c r="F27" s="6" t="inlineStr">
        <is>
          <t>Copy Writer</t>
        </is>
      </c>
      <c r="G27" s="6" t="inlineStr">
        <is>
          <t>Open</t>
        </is>
      </c>
      <c r="H27" s="6" t="n"/>
      <c r="I27" s="6" t="n"/>
      <c r="J27" s="6" t="n"/>
    </row>
    <row r="28">
      <c r="A28" s="4" t="n">
        <v>2</v>
      </c>
      <c r="B28" s="7" t="inlineStr">
        <is>
          <t>https://asconafrica.org/unsubscribe-form/successfully-unsubscribed/</t>
        </is>
      </c>
      <c r="C28" s="6" t="n">
        <v>81</v>
      </c>
      <c r="D28" s="6" t="inlineStr">
        <is>
          <t>Monitor</t>
        </is>
      </c>
      <c r="E28" s="6" t="inlineStr">
        <is>
          <t>Yes</t>
        </is>
      </c>
      <c r="F28" s="6" t="inlineStr">
        <is>
          <t>Copy Writer</t>
        </is>
      </c>
      <c r="G28" s="6" t="inlineStr">
        <is>
          <t>Open</t>
        </is>
      </c>
      <c r="H28" s="6" t="n"/>
      <c r="I28" s="6" t="n"/>
      <c r="J28" s="6" t="n"/>
    </row>
    <row r="29">
      <c r="A29" s="4" t="n">
        <v>3</v>
      </c>
      <c r="B29" s="21" t="inlineStr">
        <is>
          <t>PRIORITY SNAPSHOT</t>
        </is>
      </c>
      <c r="C29" s="10" t="inlineStr">
        <is>
          <t>Value</t>
        </is>
      </c>
      <c r="D29" s="6" t="inlineStr">
        <is>
          <t>Monitor</t>
        </is>
      </c>
      <c r="E29" s="6" t="inlineStr">
        <is>
          <t>Yes</t>
        </is>
      </c>
      <c r="F29" s="6" t="inlineStr">
        <is>
          <t>Copy Writer</t>
        </is>
      </c>
      <c r="G29" s="6" t="inlineStr">
        <is>
          <t>Open</t>
        </is>
      </c>
      <c r="H29" s="6" t="n"/>
      <c r="I29" s="6" t="n"/>
      <c r="J29" s="6" t="n"/>
    </row>
    <row r="30">
      <c r="A30" s="4" t="n">
        <v>4</v>
      </c>
      <c r="B30" s="32" t="inlineStr">
        <is>
          <t>Top Blocking Issue</t>
        </is>
      </c>
      <c r="C30" s="33" t="inlineStr">
        <is>
          <t>No Compression Header</t>
        </is>
      </c>
      <c r="D30" s="6" t="inlineStr">
        <is>
          <t>Monitor</t>
        </is>
      </c>
      <c r="E30" s="6" t="inlineStr">
        <is>
          <t>Yes</t>
        </is>
      </c>
      <c r="F30" s="6" t="inlineStr">
        <is>
          <t>Copy Writer</t>
        </is>
      </c>
      <c r="G30" s="6" t="inlineStr">
        <is>
          <t>Open</t>
        </is>
      </c>
      <c r="H30" s="6" t="n"/>
      <c r="I30" s="6" t="n"/>
      <c r="J30" s="6" t="n"/>
    </row>
    <row r="31">
      <c r="A31" s="4" t="n">
        <v>5</v>
      </c>
      <c r="B31" s="32" t="inlineStr">
        <is>
          <t>Top Issue Affected URLs</t>
        </is>
      </c>
      <c r="C31" s="33" t="n">
        <v>15</v>
      </c>
      <c r="D31" s="6" t="inlineStr">
        <is>
          <t>Monitor</t>
        </is>
      </c>
      <c r="E31" s="6" t="inlineStr">
        <is>
          <t>Yes</t>
        </is>
      </c>
      <c r="F31" s="6" t="inlineStr">
        <is>
          <t>Copy Writer</t>
        </is>
      </c>
      <c r="G31" s="6" t="inlineStr">
        <is>
          <t>Open</t>
        </is>
      </c>
      <c r="H31" s="6" t="n"/>
      <c r="I31" s="6" t="n"/>
      <c r="J31" s="6" t="n"/>
    </row>
    <row r="32">
      <c r="B32" s="34" t="inlineStr">
        <is>
          <t>4xx/5xx URLs</t>
        </is>
      </c>
      <c r="C32" s="34" t="n">
        <v>0</v>
      </c>
    </row>
    <row r="33">
      <c r="B33" s="34" t="inlineStr">
        <is>
          <t>Avg TTFB (ms)</t>
        </is>
      </c>
      <c r="C33" s="34" t="n">
        <v>609.49</v>
      </c>
    </row>
    <row r="34"/>
    <row r="35">
      <c r="B35" s="10" t="inlineStr">
        <is>
          <t>Quick Navigation</t>
        </is>
      </c>
      <c r="C35" s="10" t="inlineStr">
        <is>
          <t>Open</t>
        </is>
      </c>
    </row>
    <row r="36">
      <c r="B36" s="34" t="inlineStr">
        <is>
          <t>Fix Plan</t>
        </is>
      </c>
      <c r="C36" s="35">
        <f>HYPERLINK("#FixPlan!A1","Open")</f>
        <v/>
      </c>
    </row>
    <row r="37">
      <c r="B37" s="34" t="inlineStr">
        <is>
          <t>Main URL Data</t>
        </is>
      </c>
      <c r="C37" s="35">
        <f>HYPERLINK("#Main!A1","Open")</f>
        <v/>
      </c>
    </row>
    <row r="38">
      <c r="B38" s="34" t="inlineStr">
        <is>
          <t>Technical Diagnostics</t>
        </is>
      </c>
      <c r="C38" s="35">
        <f>HYPERLINK("#Technical!A1","Open")</f>
        <v/>
      </c>
    </row>
    <row r="39">
      <c r="B39" s="34" t="inlineStr">
        <is>
          <t>Indexability</t>
        </is>
      </c>
      <c r="C39" s="35">
        <f>HYPERLINK("#Indexability!A1","Open")</f>
        <v/>
      </c>
    </row>
    <row r="40">
      <c r="B40" s="34" t="inlineStr">
        <is>
          <t>AEO Opportunities</t>
        </is>
      </c>
      <c r="C40" s="35">
        <f>HYPERLINK("#AEO!A1","Open")</f>
        <v/>
      </c>
    </row>
    <row r="41">
      <c r="B41" s="34" t="inlineStr">
        <is>
          <t>AIOSEO Action Queue</t>
        </is>
      </c>
      <c r="C41" s="35">
        <f>HYPERLINK("#AIOSEO!A1","Open")</f>
        <v/>
      </c>
    </row>
    <row r="42">
      <c r="B42" s="10" t="inlineStr">
        <is>
          <t>TOP ISSUES TO FIX FIRST</t>
        </is>
      </c>
      <c r="C42" s="10" t="inlineStr">
        <is>
          <t>Affected URLs</t>
        </is>
      </c>
    </row>
    <row r="43">
      <c r="B43" s="35">
        <f>HYPERLINK("#FixPlan!A7","Low AEO Readiness Score")</f>
        <v/>
      </c>
      <c r="C43" s="34" t="n">
        <v>15</v>
      </c>
    </row>
    <row r="44">
      <c r="B44" s="35">
        <f>HYPERLINK("#FixPlan!A6","No Answer-Friendly Structure")</f>
        <v/>
      </c>
      <c r="C44" s="34" t="n">
        <v>15</v>
      </c>
    </row>
    <row r="45">
      <c r="B45" s="35">
        <f>HYPERLINK("#FixPlan!A3","No Cache-Control Header")</f>
        <v/>
      </c>
      <c r="C45" s="34" t="n">
        <v>15</v>
      </c>
    </row>
    <row r="46">
      <c r="B46" s="35">
        <f>HYPERLINK("#FixPlan!A2","No Compression Header")</f>
        <v/>
      </c>
      <c r="C46" s="34" t="n">
        <v>15</v>
      </c>
    </row>
    <row r="47">
      <c r="B47" s="35">
        <f>HYPERLINK("#FixPlan!A4","No ETag Header")</f>
        <v/>
      </c>
      <c r="C47" s="34" t="n">
        <v>15</v>
      </c>
    </row>
    <row r="48"/>
    <row r="49"/>
    <row r="50"/>
    <row r="51"/>
    <row r="52"/>
    <row r="53"/>
    <row r="54"/>
    <row r="55"/>
    <row r="56"/>
    <row r="57"/>
    <row r="58"/>
    <row r="59"/>
    <row r="60"/>
    <row r="61"/>
    <row r="62"/>
    <row r="63"/>
    <row r="64"/>
    <row r="65"/>
    <row r="66"/>
    <row r="67"/>
    <row r="68"/>
    <row r="69"/>
    <row r="70"/>
    <row r="71"/>
    <row r="72"/>
    <row r="73"/>
    <row r="74"/>
    <row r="75"/>
    <row r="76"/>
    <row r="77"/>
    <row r="78"/>
    <row r="79"/>
  </sheetData>
  <autoFilter ref="A1:J31"/>
  <mergeCells count="1">
    <mergeCell ref="E4:J4"/>
  </mergeCells>
  <dataValidations count="27">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5" showDropDown="0" showInputMessage="1" showErrorMessage="0" allowBlank="1" promptTitle="KPI C5" prompt="Total URLs crawled in this run. Calculated as the number of audited URL rows." type="custom">
      <formula1>TRUE</formula1>
    </dataValidation>
    <dataValidation sqref="C6" showDropDown="0" showInputMessage="1" showErrorMessage="0" allowBlank="1" promptTitle="KPI C6" prompt="Overall Health Score. Calculated as average SEO Health Score across Technical URLs; fallback to SEO Pass Rate if score data is unavailable." type="custom">
      <formula1>TRUE</formula1>
    </dataValidation>
    <dataValidation sqref="C7" showDropDown="0" showInputMessage="1" showErrorMessage="0" allowBlank="1" promptTitle="KPI C7" prompt="SEO Pass Rate %. Calculated as Pass URLs divided by Total URLs." type="custom">
      <formula1>TRUE</formula1>
    </dataValidation>
    <dataValidation sqref="C8" showDropDown="0" showInputMessage="1" showErrorMessage="0" allowBlank="1" promptTitle="KPI C8" prompt="Pass URL count. URL is pass when it has no Critical and no Warning issues." type="custom">
      <formula1>TRUE</formula1>
    </dataValidation>
    <dataValidation sqref="C9" showDropDown="0" showInputMessage="1" showErrorMessage="0" allowBlank="1" promptTitle="KPI C9" prompt="Critical URL count from Technical severity badge." type="custom">
      <formula1>TRUE</formula1>
    </dataValidation>
    <dataValidation sqref="C10" showDropDown="0" showInputMessage="1" showErrorMessage="0" allowBlank="1" promptTitle="KPI C10" prompt="Warning URL count from Technical severity badge." type="custom">
      <formula1>TRUE</formula1>
    </dataValidation>
    <dataValidation sqref="C11" showDropDown="0" showInputMessage="1" showErrorMessage="0" allowBlank="1" promptTitle="KPI C11" prompt="HTTP Error Rate %. Calculated as (4xx URLs + 5xx URLs) / Total URLs." type="custom">
      <formula1>TRUE</formula1>
    </dataValidation>
    <dataValidation sqref="C12" showDropDown="0" showInputMessage="1" showErrorMessage="0" allowBlank="1" promptTitle="KPI C12" prompt="Crawl Success Rate %. Calculated as 2xx URLs / Total URLs." type="custom">
      <formula1>TRUE</formula1>
    </dataValidation>
    <dataValidation sqref="C13" showDropDown="0" showInputMessage="1" showErrorMessage="0" allowBlank="1" promptTitle="KPI C13" prompt="Critical URL Rate %. Calculated as Critical URLs / Total URLs." type="custom">
      <formula1>TRUE</formula1>
    </dataValidation>
    <dataValidation sqref="C14" showDropDown="0" showInputMessage="1" showErrorMessage="0" allowBlank="1" promptTitle="KPI C14" prompt="Warning URL Rate %. Calculated as Warning URLs / Total URLs." type="custom">
      <formula1>TRUE</formula1>
    </dataValidation>
    <dataValidation sqref="C30" showDropDown="0" showInputMessage="1" showErrorMessage="0" allowBlank="1" promptTitle="KPI C30" prompt="Most widespread issue from FixPlan by affected URL count." type="custom">
      <formula1>TRUE</formula1>
    </dataValidation>
    <dataValidation sqref="C31" showDropDown="0" showInputMessage="1" showErrorMessage="0" allowBlank="1" promptTitle="KPI C31" prompt="Number of URLs impacted by the top blocking issue." type="custom">
      <formula1>TRUE</formula1>
    </dataValidation>
    <dataValidation sqref="C32" showDropDown="0" showInputMessage="1" showErrorMessage="0" allowBlank="1" promptTitle="KPI C32" prompt="Total URLs returning client/server errors (4xx + 5xx)." type="custom">
      <formula1>TRUE</formula1>
    </dataValidation>
    <dataValidation sqref="C33" showDropDown="0" showInputMessage="1" showErrorMessage="0" allowBlank="1" promptTitle="KPI C33" prompt="Average Time to First Byte across Technical URLs (ms)." type="custom">
      <formula1>TRUE</formula1>
    </dataValidation>
    <dataValidation sqref="C43" showDropDown="0" showInputMessage="1" showErrorMessage="0" allowBlank="1" promptTitle="KPI C43" prompt="Affected URL count for the highest-priority issue (linked to FixPlan)." type="custom">
      <formula1>TRUE</formula1>
    </dataValidation>
    <dataValidation sqref="C44" showDropDown="0" showInputMessage="1" showErrorMessage="0" allowBlank="1" promptTitle="KPI C44" prompt="Affected URL count for the next issue in the priority list." type="custom">
      <formula1>TRUE</formula1>
    </dataValidation>
    <dataValidation sqref="C45" showDropDown="0" showInputMessage="1" showErrorMessage="0" allowBlank="1" promptTitle="KPI C45" prompt="Affected URL count for the next issue in the priority list." type="custom">
      <formula1>TRUE</formula1>
    </dataValidation>
    <dataValidation sqref="C46" showDropDown="0" showInputMessage="1" showErrorMessage="0" allowBlank="1" promptTitle="KPI C46" prompt="Affected URL count for the next issue in the priority list." type="custom">
      <formula1>TRUE</formula1>
    </dataValidation>
    <dataValidation sqref="C47" showDropDown="0" showInputMessage="1" showErrorMessage="0" allowBlank="1" promptTitle="KPI C47" prompt="Affected URL count for the next issue in the priority list." type="custom">
      <formula1>TRUE</formula1>
    </dataValidation>
    <dataValidation sqref="E5" showDropDown="0" showInputMessage="1" showErrorMessage="0" allowBlank="1" promptTitle="KPI E5" prompt="Owner responsible for remediation. Click to open FixPlan." type="custom">
      <formula1>TRUE</formula1>
    </dataValidation>
    <dataValidation sqref="F5" showDropDown="0" showInputMessage="1" showErrorMessage="0" allowBlank="1" promptTitle="KPI F5" prompt="Number of issue rows assigned to this owner." type="custom">
      <formula1>TRUE</formula1>
    </dataValidation>
    <dataValidation sqref="G5" showDropDown="0" showInputMessage="1" showErrorMessage="0" allowBlank="1" promptTitle="KPI G5" prompt="Total affected URLs across this owner's assigned issues." type="custom">
      <formula1>TRUE</formula1>
    </dataValidation>
    <dataValidation sqref="H5" showDropDown="0" showInputMessage="1" showErrorMessage="0" allowBlank="1" promptTitle="KPI H5" prompt="Count of critical issue types assigned to this owner." type="custom">
      <formula1>TRUE</formula1>
    </dataValidation>
    <dataValidation sqref="I5" showDropDown="0" showInputMessage="1" showErrorMessage="0" allowBlank="1" promptTitle="KPI I5" prompt="Count of warning issue types assigned to this owner." type="custom">
      <formula1>TRUE</formula1>
    </dataValidation>
    <dataValidation sqref="J5" showDropDown="0" showInputMessage="1" showErrorMessage="0" allowBlank="1" promptTitle="KPI J5" prompt="Count of info issue types assigned to this owner." type="custom">
      <formula1>TRUE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1" customWidth="1" min="2" max="2"/>
    <col width="60" customWidth="1" min="3" max="3"/>
    <col width="38" customWidth="1" min="4" max="4"/>
    <col width="38" customWidth="1" min="5" max="5"/>
  </cols>
  <sheetData>
    <row r="1">
      <c r="A1" s="1" t="inlineStr">
        <is>
          <t>Section</t>
        </is>
      </c>
      <c r="B1" s="1" t="inlineStr">
        <is>
          <t>Term</t>
        </is>
      </c>
      <c r="C1" s="1" t="inlineStr">
        <is>
          <t>Meaning</t>
        </is>
      </c>
      <c r="D1" s="1" t="inlineStr">
        <is>
          <t>Values/Threshold</t>
        </is>
      </c>
      <c r="E1" s="1" t="inlineStr">
        <is>
          <t>Related Tabs</t>
        </is>
      </c>
      <c r="F1" s="36" t="inlineStr">
        <is>
          <t>BACK TO DASHBOARD</t>
        </is>
      </c>
    </row>
    <row r="2">
      <c r="A2" s="4" t="inlineStr">
        <is>
          <t>How To Use</t>
        </is>
      </c>
      <c r="B2" s="37" t="inlineStr">
        <is>
          <t>Step 1: Start on Dashboard</t>
        </is>
      </c>
      <c r="C2" s="37" t="inlineStr">
        <is>
          <t>Review pass rate, critical URL count, and Immediate Actions to understand overall risk first.</t>
        </is>
      </c>
      <c r="D2" s="37" t="inlineStr">
        <is>
          <t>5-minute executive scan</t>
        </is>
      </c>
      <c r="E2" s="37" t="inlineStr">
        <is>
          <t>Dashboard, Priority URLs</t>
        </is>
      </c>
    </row>
    <row r="3">
      <c r="A3" s="4" t="inlineStr">
        <is>
          <t>How To Use</t>
        </is>
      </c>
      <c r="B3" s="6" t="inlineStr">
        <is>
          <t>Step 2: Prioritize and Assign</t>
        </is>
      </c>
      <c r="C3" s="6" t="inlineStr">
        <is>
          <t>Use Priority URLs and FixPlan to pick highest-impact items, assign owner, and set status/sprint.</t>
        </is>
      </c>
      <c r="D3" s="6" t="inlineStr">
        <is>
          <t>Work top-down by Business Risk Score</t>
        </is>
      </c>
      <c r="E3" s="6" t="inlineStr">
        <is>
          <t>Priority URLs, FixPlan</t>
        </is>
      </c>
    </row>
    <row r="4">
      <c r="A4" s="4" t="inlineStr">
        <is>
          <t>How To Use</t>
        </is>
      </c>
      <c r="B4" s="37" t="inlineStr">
        <is>
          <t>Step 3: Execute and Validate</t>
        </is>
      </c>
      <c r="C4" s="37" t="inlineStr">
        <is>
          <t>Implement fixes, then verify by checking Technical/Indexability/AEO tabs and rerunning the audit.</t>
        </is>
      </c>
      <c r="D4" s="37" t="inlineStr">
        <is>
          <t>Close loop every sprint</t>
        </is>
      </c>
      <c r="E4" s="37" t="inlineStr">
        <is>
          <t>Technical, Indexability, AEO, AIOSEO</t>
        </is>
      </c>
    </row>
    <row r="5">
      <c r="A5" s="4" t="inlineStr">
        <is>
          <t>Orientation</t>
        </is>
      </c>
      <c r="B5" s="6" t="inlineStr">
        <is>
          <t>Where to Start</t>
        </is>
      </c>
      <c r="C5" s="6" t="inlineStr">
        <is>
          <t>If you're short on time, work only Critical and Warning issues first, then return to Info items.</t>
        </is>
      </c>
      <c r="D5" s="6" t="inlineStr">
        <is>
          <t>Critical &gt; Warning &gt; Info</t>
        </is>
      </c>
      <c r="E5" s="6" t="inlineStr">
        <is>
          <t>Summary, FixPlan, Technical</t>
        </is>
      </c>
    </row>
    <row r="6">
      <c r="A6" s="4" t="inlineStr">
        <is>
          <t>Orientation</t>
        </is>
      </c>
      <c r="B6" s="37" t="inlineStr">
        <is>
          <t>How to Track Progress</t>
        </is>
      </c>
      <c r="C6" s="37" t="inlineStr">
        <is>
          <t>Use Status and Owner columns as your project board; move from To Do -&gt; In Progress -&gt; Fixed.</t>
        </is>
      </c>
      <c r="D6" s="37" t="inlineStr">
        <is>
          <t>Update weekly</t>
        </is>
      </c>
      <c r="E6" s="37" t="inlineStr">
        <is>
          <t>FixPlan, AIOSEO, Priority URLs</t>
        </is>
      </c>
    </row>
    <row r="7">
      <c r="A7" s="4" t="inlineStr">
        <is>
          <t>Severity</t>
        </is>
      </c>
      <c r="B7" s="6" t="inlineStr">
        <is>
          <t>Critical</t>
        </is>
      </c>
      <c r="C7" s="6" t="inlineStr">
        <is>
          <t>High-impact SEO blocker that should be fixed first.</t>
        </is>
      </c>
      <c r="D7" s="6" t="inlineStr">
        <is>
          <t>Immediate action</t>
        </is>
      </c>
      <c r="E7" s="6" t="inlineStr">
        <is>
          <t>Summary, FixPlan, Technical</t>
        </is>
      </c>
    </row>
    <row r="8">
      <c r="A8" s="4" t="inlineStr">
        <is>
          <t>Severity</t>
        </is>
      </c>
      <c r="B8" s="37" t="inlineStr">
        <is>
          <t>Warning</t>
        </is>
      </c>
      <c r="C8" s="37" t="inlineStr">
        <is>
          <t>Out-of-best-practice issue likely affecting performance.</t>
        </is>
      </c>
      <c r="D8" s="37" t="inlineStr">
        <is>
          <t>Plan next sprint</t>
        </is>
      </c>
      <c r="E8" s="37" t="inlineStr">
        <is>
          <t>Summary, FixPlan, Technical</t>
        </is>
      </c>
    </row>
    <row r="9">
      <c r="A9" s="4" t="inlineStr">
        <is>
          <t>Severity</t>
        </is>
      </c>
      <c r="B9" s="6" t="inlineStr">
        <is>
          <t>Info</t>
        </is>
      </c>
      <c r="C9" s="6" t="inlineStr">
        <is>
          <t>Optimization opportunity or context signal.</t>
        </is>
      </c>
      <c r="D9" s="6" t="inlineStr">
        <is>
          <t>Backlog/monitor</t>
        </is>
      </c>
      <c r="E9" s="6" t="inlineStr">
        <is>
          <t>Summary, Technical</t>
        </is>
      </c>
    </row>
    <row r="10">
      <c r="A10" s="4" t="inlineStr">
        <is>
          <t>Scoring</t>
        </is>
      </c>
      <c r="B10" s="37" t="inlineStr">
        <is>
          <t>SEO Health Score</t>
        </is>
      </c>
      <c r="C10" s="37" t="inlineStr">
        <is>
          <t>Weighted technical SEO quality score per URL.</t>
        </is>
      </c>
      <c r="D10" s="37" t="inlineStr">
        <is>
          <t>&gt;=90 green, 70-89 orange, &lt;70 red</t>
        </is>
      </c>
      <c r="E10" s="37" t="inlineStr">
        <is>
          <t>Technical, Priority URLs, Dashboard</t>
        </is>
      </c>
    </row>
    <row r="11">
      <c r="A11" s="4" t="inlineStr">
        <is>
          <t>Scoring</t>
        </is>
      </c>
      <c r="B11" s="6" t="inlineStr">
        <is>
          <t>AEO Readiness Score</t>
        </is>
      </c>
      <c r="C11" s="6" t="inlineStr">
        <is>
          <t>Answer Engine Optimization readiness score per URL.</t>
        </is>
      </c>
      <c r="D11" s="6" t="inlineStr">
        <is>
          <t>&gt;=80 strong, 60-79 good, 40-59 fair</t>
        </is>
      </c>
      <c r="E11" s="6" t="inlineStr">
        <is>
          <t>AEO</t>
        </is>
      </c>
    </row>
    <row r="12">
      <c r="A12" s="4" t="inlineStr">
        <is>
          <t>Indexing</t>
        </is>
      </c>
      <c r="B12" s="37" t="inlineStr">
        <is>
          <t>Indexability Reason</t>
        </is>
      </c>
      <c r="C12" s="37" t="inlineStr">
        <is>
          <t>Primary reason URL may not be indexed.</t>
        </is>
      </c>
      <c r="D12" s="37" t="inlineStr">
        <is>
          <t>Noindex, non-200, canonical mismatch</t>
        </is>
      </c>
      <c r="E12" s="37" t="inlineStr">
        <is>
          <t>Indexability, Technical</t>
        </is>
      </c>
    </row>
    <row r="13">
      <c r="A13" s="4" t="inlineStr">
        <is>
          <t>Links</t>
        </is>
      </c>
      <c r="B13" s="6" t="inlineStr">
        <is>
          <t>Broken Internal Links Count</t>
        </is>
      </c>
      <c r="C13" s="6" t="inlineStr">
        <is>
          <t>Internal links returning 4xx/5xx or equivalent failures.</t>
        </is>
      </c>
      <c r="D13" s="6" t="inlineStr">
        <is>
          <t>&gt;0 flagged</t>
        </is>
      </c>
      <c r="E13" s="6" t="inlineStr">
        <is>
          <t>Links, LinksDetail, Priority URLs</t>
        </is>
      </c>
    </row>
    <row r="14">
      <c r="A14" s="4" t="inlineStr">
        <is>
          <t>Content</t>
        </is>
      </c>
      <c r="B14" s="37" t="inlineStr">
        <is>
          <t>Word Count Band</t>
        </is>
      </c>
      <c r="C14" s="37" t="inlineStr">
        <is>
          <t>Body content depth class.</t>
        </is>
      </c>
      <c r="D14" s="37" t="inlineStr">
        <is>
          <t>Thin / OK / Strong</t>
        </is>
      </c>
      <c r="E14" s="37" t="inlineStr">
        <is>
          <t>Content</t>
        </is>
      </c>
    </row>
    <row r="15">
      <c r="A15" s="4" t="inlineStr">
        <is>
          <t>AEO</t>
        </is>
      </c>
      <c r="B15" s="6" t="inlineStr">
        <is>
          <t>Question Heading Count</t>
        </is>
      </c>
      <c r="C15" s="6" t="inlineStr">
        <is>
          <t>Headings phrased as questions to match answer intent.</t>
        </is>
      </c>
      <c r="D15" s="6" t="inlineStr">
        <is>
          <t>Higher is generally better</t>
        </is>
      </c>
      <c r="E15" s="6" t="inlineStr">
        <is>
          <t>AEO</t>
        </is>
      </c>
    </row>
    <row r="16">
      <c r="A16" s="4" t="inlineStr">
        <is>
          <t>Color Key</t>
        </is>
      </c>
      <c r="B16" s="37" t="inlineStr">
        <is>
          <t>Green</t>
        </is>
      </c>
      <c r="C16" s="37" t="inlineStr">
        <is>
          <t>Pass / aligned with best practice or completed workflow item.</t>
        </is>
      </c>
      <c r="D16" s="37" t="inlineStr">
        <is>
          <t>Good</t>
        </is>
      </c>
      <c r="E16" s="37" t="inlineStr">
        <is>
          <t>All</t>
        </is>
      </c>
    </row>
    <row r="17">
      <c r="A17" s="4" t="inlineStr">
        <is>
          <t>Color Key</t>
        </is>
      </c>
      <c r="B17" s="6" t="inlineStr">
        <is>
          <t>Orange</t>
        </is>
      </c>
      <c r="C17" s="6" t="inlineStr">
        <is>
          <t>Warning / in progress / medium-priority attention needed.</t>
        </is>
      </c>
      <c r="D17" s="6" t="inlineStr">
        <is>
          <t>Medium risk</t>
        </is>
      </c>
      <c r="E17" s="6" t="inlineStr">
        <is>
          <t>All</t>
        </is>
      </c>
    </row>
    <row r="18">
      <c r="A18" s="4" t="inlineStr">
        <is>
          <t>Color Key</t>
        </is>
      </c>
      <c r="B18" s="37" t="inlineStr">
        <is>
          <t>Red</t>
        </is>
      </c>
      <c r="C18" s="37" t="inlineStr">
        <is>
          <t>Failure / high-priority issue or to-do critical task.</t>
        </is>
      </c>
      <c r="D18" s="37" t="inlineStr">
        <is>
          <t>High risk</t>
        </is>
      </c>
      <c r="E18" s="37" t="inlineStr">
        <is>
          <t>All</t>
        </is>
      </c>
    </row>
    <row r="19">
      <c r="A19" s="4" t="inlineStr">
        <is>
          <t>Color Key</t>
        </is>
      </c>
      <c r="B19" s="6" t="inlineStr">
        <is>
          <t>Purple</t>
        </is>
      </c>
      <c r="C19" s="6" t="inlineStr">
        <is>
          <t>Informational edge-case or AEO category signal.</t>
        </is>
      </c>
      <c r="D19" s="6" t="inlineStr">
        <is>
          <t>Context</t>
        </is>
      </c>
      <c r="E19" s="6" t="inlineStr">
        <is>
          <t>All</t>
        </is>
      </c>
    </row>
  </sheetData>
  <autoFilter ref="A1:E19"/>
  <dataValidations count="6">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Term" prompt="Term. Review this metric to identify risk, then use linked tabs for details and remediation." type="custom">
      <formula1>TRUE</formula1>
    </dataValidation>
    <dataValidation sqref="C1" showDropDown="0" showInputMessage="1" showErrorMessage="0" allowBlank="1" promptTitle="Meaning" prompt="Meaning. Review this metric to identify risk, then use linked tabs for details and remediation." type="custom">
      <formula1>TRUE</formula1>
    </dataValidation>
    <dataValidation sqref="D1" showDropDown="0" showInputMessage="1" showErrorMessage="0" allowBlank="1" promptTitle="Values/Threshold" prompt="Values/Threshold. Review this metric to identify risk, then use linked tabs for details and remediation." type="custom">
      <formula1>TRUE</formula1>
    </dataValidation>
    <dataValidation sqref="E1" showDropDown="0" showInputMessage="1" showErrorMessage="0" allowBlank="1" promptTitle="Related Tabs" prompt="Related Tabs. Review this metric to identify risk, then use linked tabs for details and remediation."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0" customWidth="1" min="2" max="2"/>
    <col width="60" customWidth="1" min="3" max="3"/>
    <col width="20" customWidth="1" min="4" max="4"/>
    <col width="18" customWidth="1" min="5" max="5"/>
    <col width="60" customWidth="1" min="6" max="6"/>
  </cols>
  <sheetData>
    <row r="1">
      <c r="A1" s="1" t="inlineStr">
        <is>
          <t>Section</t>
        </is>
      </c>
      <c r="B1" s="1" t="inlineStr">
        <is>
          <t>Severity</t>
        </is>
      </c>
      <c r="C1" s="1" t="inlineStr">
        <is>
          <t>Issue</t>
        </is>
      </c>
      <c r="D1" s="1" t="inlineStr">
        <is>
          <t>Affected URL Count</t>
        </is>
      </c>
      <c r="E1" s="1" t="inlineStr">
        <is>
          <t>Reference Tab</t>
        </is>
      </c>
      <c r="F1" s="1" t="inlineStr">
        <is>
          <t>Affected URLs (sample)</t>
        </is>
      </c>
      <c r="G1" s="36" t="inlineStr">
        <is>
          <t>BACK TO DASHBOARD</t>
        </is>
      </c>
    </row>
    <row r="2">
      <c r="A2" s="37" t="inlineStr">
        <is>
          <t>AEO Opportunities</t>
        </is>
      </c>
      <c r="B2" s="38" t="inlineStr">
        <is>
          <t>Warning</t>
        </is>
      </c>
      <c r="C2" s="39" t="inlineStr">
        <is>
          <t>Low AEO Readiness Score</t>
        </is>
      </c>
      <c r="D2" s="40" t="n">
        <v>15</v>
      </c>
      <c r="E2" s="41" t="inlineStr">
        <is>
          <t>AEO</t>
        </is>
      </c>
      <c r="F2" s="40" t="inlineStr">
        <is>
          <t>https://asconafrica.org/2026-ascon-awards/ | https://asconafrica.org/ | https://asconafrica.org/news/ | https://asconafrica.org/our-members/ | https://asconafrica.org/2026-ascon-conference/ | https://asconafrica.org/about-us/ | https://asconafrica.org/privacy-policy/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AEO tab</t>
        </is>
      </c>
    </row>
    <row r="3">
      <c r="A3" s="4" t="inlineStr">
        <is>
          <t>AEO Opportunities</t>
        </is>
      </c>
      <c r="B3" s="42" t="inlineStr">
        <is>
          <t>Info</t>
        </is>
      </c>
      <c r="C3" s="39" t="inlineStr">
        <is>
          <t>No Answer-Friendly Structure</t>
        </is>
      </c>
      <c r="D3" s="43" t="n">
        <v>15</v>
      </c>
      <c r="E3" s="44" t="inlineStr">
        <is>
          <t>AEO</t>
        </is>
      </c>
      <c r="F3" s="43" t="inlineStr">
        <is>
          <t>https://asconafrica.org/2026-ascon-awards/ | https://asconafrica.org/ | https://asconafrica.org/news/ | https://asconafrica.org/our-members/ | https://asconafrica.org/2026-ascon-conference/ | https://asconafrica.org/about-us/ | https://asconafrica.org/privacy-policy/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AEO tab</t>
        </is>
      </c>
    </row>
    <row r="4">
      <c r="A4" s="4" t="inlineStr">
        <is>
          <t>AEO Opportunities</t>
        </is>
      </c>
      <c r="B4" s="42" t="inlineStr">
        <is>
          <t>Info</t>
        </is>
      </c>
      <c r="C4" s="39" t="inlineStr">
        <is>
          <t>No FAQ/QA Schema</t>
        </is>
      </c>
      <c r="D4" s="40" t="n">
        <v>15</v>
      </c>
      <c r="E4" s="41" t="inlineStr">
        <is>
          <t>AEO</t>
        </is>
      </c>
      <c r="F4" s="40" t="inlineStr">
        <is>
          <t>https://asconafrica.org/2026-ascon-awards/ | https://asconafrica.org/ | https://asconafrica.org/news/ | https://asconafrica.org/our-members/ | https://asconafrica.org/2026-ascon-conference/ | https://asconafrica.org/about-us/ | https://asconafrica.org/privacy-policy/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AEO tab</t>
        </is>
      </c>
    </row>
    <row r="5">
      <c r="A5" s="4" t="inlineStr">
        <is>
          <t>AEO Opportunities</t>
        </is>
      </c>
      <c r="B5" s="42" t="inlineStr">
        <is>
          <t>Info</t>
        </is>
      </c>
      <c r="C5" s="39" t="inlineStr">
        <is>
          <t>No 40-60 Word Answer Paragraphs</t>
        </is>
      </c>
      <c r="D5" s="43" t="n">
        <v>14</v>
      </c>
      <c r="E5" s="44" t="inlineStr">
        <is>
          <t>AEO</t>
        </is>
      </c>
      <c r="F5" s="43" t="inlineStr">
        <is>
          <t>https://asconafrica.org/2026-ascon-awards/ | https://asconafrica.org/ | https://asconafrica.org/news/ | https://asconafrica.org/our-members/ | https://asconafrica.org/2026-ascon-conference/ | https://asconafrica.org/about-us/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AEO tab</t>
        </is>
      </c>
    </row>
    <row r="6">
      <c r="A6" s="4" t="inlineStr">
        <is>
          <t>AEO Opportunities</t>
        </is>
      </c>
      <c r="B6" s="42" t="inlineStr">
        <is>
          <t>Info</t>
        </is>
      </c>
      <c r="C6" s="39" t="inlineStr">
        <is>
          <t>No Question Headings</t>
        </is>
      </c>
      <c r="D6" s="40" t="n">
        <v>14</v>
      </c>
      <c r="E6" s="41" t="inlineStr">
        <is>
          <t>AEO</t>
        </is>
      </c>
      <c r="F6" s="40" t="inlineStr">
        <is>
          <t>https://asconafrica.org/2026-ascon-awards/ | https://asconafrica.org/ | https://asconafrica.org/news/ | https://asconafrica.org/our-members/ | https://asconafrica.org/2026-ascon-conference/ | https://asconafrica.org/about-us/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AEO tab</t>
        </is>
      </c>
    </row>
    <row r="7">
      <c r="A7" s="4" t="inlineStr">
        <is>
          <t>AEO Opportunities</t>
        </is>
      </c>
      <c r="B7" s="6" t="inlineStr"/>
      <c r="C7" s="6" t="inlineStr"/>
      <c r="D7" s="43" t="inlineStr"/>
      <c r="E7" s="6" t="inlineStr"/>
      <c r="F7" s="43" t="inlineStr">
        <is>
          <t>Detailed rows: see AEO tab</t>
        </is>
      </c>
    </row>
    <row r="8">
      <c r="A8" s="37" t="inlineStr">
        <is>
          <t>Issue Counts</t>
        </is>
      </c>
      <c r="B8" s="45" t="inlineStr">
        <is>
          <t>Critical</t>
        </is>
      </c>
      <c r="C8" s="39" t="inlineStr">
        <is>
          <t>Broken Internal Links</t>
        </is>
      </c>
      <c r="D8" s="40" t="n">
        <v>0</v>
      </c>
      <c r="E8" s="41" t="inlineStr">
        <is>
          <t>Links</t>
        </is>
      </c>
      <c r="F8" s="40" t="inlineStr">
        <is>
          <t xml:space="preserve"> || Full list: see Technical/Links/Indexability tabs</t>
        </is>
      </c>
    </row>
    <row r="9">
      <c r="A9" s="6" t="inlineStr">
        <is>
          <t>Issue Counts</t>
        </is>
      </c>
      <c r="B9" s="45" t="inlineStr">
        <is>
          <t>Critical</t>
        </is>
      </c>
      <c r="C9" s="39" t="inlineStr">
        <is>
          <t>Canonical Points Elsewhere</t>
        </is>
      </c>
      <c r="D9" s="43" t="n">
        <v>0</v>
      </c>
      <c r="E9" s="44" t="inlineStr">
        <is>
          <t>Indexability</t>
        </is>
      </c>
      <c r="F9" s="43" t="inlineStr">
        <is>
          <t xml:space="preserve"> || Full list: see Technical/Links/Indexability tabs</t>
        </is>
      </c>
    </row>
    <row r="10">
      <c r="A10" s="37" t="inlineStr">
        <is>
          <t>Issue Counts</t>
        </is>
      </c>
      <c r="B10" s="45" t="inlineStr">
        <is>
          <t>Critical</t>
        </is>
      </c>
      <c r="C10" s="39" t="inlineStr">
        <is>
          <t>Noindex Directive</t>
        </is>
      </c>
      <c r="D10" s="40" t="n">
        <v>0</v>
      </c>
      <c r="E10" s="41" t="inlineStr">
        <is>
          <t>Indexability</t>
        </is>
      </c>
      <c r="F10" s="40" t="inlineStr">
        <is>
          <t xml:space="preserve"> || Full list: see Technical/Links/Indexability tabs</t>
        </is>
      </c>
    </row>
    <row r="11">
      <c r="A11" s="6" t="inlineStr">
        <is>
          <t>Issue Counts</t>
        </is>
      </c>
      <c r="B11" s="45" t="inlineStr">
        <is>
          <t>Critical</t>
        </is>
      </c>
      <c r="C11" s="39" t="inlineStr">
        <is>
          <t>Non-200 Status</t>
        </is>
      </c>
      <c r="D11" s="43" t="n">
        <v>0</v>
      </c>
      <c r="E11" s="44" t="inlineStr">
        <is>
          <t>Technical</t>
        </is>
      </c>
      <c r="F11" s="43" t="inlineStr">
        <is>
          <t xml:space="preserve"> || Full list: see Technical/Links/Indexability tabs</t>
        </is>
      </c>
    </row>
    <row r="12">
      <c r="A12" s="37" t="inlineStr">
        <is>
          <t>Issue Counts</t>
        </is>
      </c>
      <c r="B12" s="45" t="inlineStr">
        <is>
          <t>Critical</t>
        </is>
      </c>
      <c r="C12" s="39" t="inlineStr">
        <is>
          <t>Robots.txt Disallow Root</t>
        </is>
      </c>
      <c r="D12" s="40" t="n">
        <v>0</v>
      </c>
      <c r="E12" s="41" t="inlineStr">
        <is>
          <t>Technical</t>
        </is>
      </c>
      <c r="F12" s="40" t="inlineStr">
        <is>
          <t xml:space="preserve"> || Full list: see Technical/Links/Indexability tabs</t>
        </is>
      </c>
    </row>
    <row r="13">
      <c r="A13" s="6" t="inlineStr">
        <is>
          <t>Issue Counts</t>
        </is>
      </c>
      <c r="B13" s="38" t="inlineStr">
        <is>
          <t>Warning</t>
        </is>
      </c>
      <c r="C13" s="39" t="inlineStr">
        <is>
          <t>Low AEO Readiness Score</t>
        </is>
      </c>
      <c r="D13" s="43" t="n">
        <v>15</v>
      </c>
      <c r="E13" s="44" t="inlineStr">
        <is>
          <t>AEO</t>
        </is>
      </c>
      <c r="F13" s="43" t="inlineStr">
        <is>
          <t>https://asconafrica.org/2026-ascon-awards/ | https://asconafrica.org/ | https://asconafrica.org/news/ | https://asconafrica.org/our-members/ | https://asconafrica.org/2026-ascon-conference/ | https://asconafrica.org/about-us/ | https://asconafrica.org/privacy-policy/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Technical/Links/Indexability tabs</t>
        </is>
      </c>
    </row>
    <row r="14">
      <c r="A14" s="37" t="inlineStr">
        <is>
          <t>Issue Counts</t>
        </is>
      </c>
      <c r="B14" s="38" t="inlineStr">
        <is>
          <t>Warning</t>
        </is>
      </c>
      <c r="C14" s="39" t="inlineStr">
        <is>
          <t>Thin Content</t>
        </is>
      </c>
      <c r="D14" s="40" t="n">
        <v>8</v>
      </c>
      <c r="E14" s="41" t="inlineStr">
        <is>
          <t>Technical</t>
        </is>
      </c>
      <c r="F14" s="40" t="inlineStr">
        <is>
          <t>https://asconafrica.org/our-members/ | https://asconafrica.org/2026-ascon-conference/thank-you-for-signing-up/ | https://asconafrica.org/thank-you-for-signing-up-for-updates/ | https://asconafrica.org/launch-event-2026-ascon-conference/thank-you-for-registering-conference-launch/ | https://asconafrica.org/2026-ascon-awards/thank-you-for-your-nomination/ | https://asconafrica.org/unsubscribe-form/ | https://asconafrica.org/unsubscribe-form/successfully-unsubscribed/ | https://asconafrica.org/contact-us/ || Full list: see Technical/Links/Indexability tabs</t>
        </is>
      </c>
    </row>
    <row r="15">
      <c r="A15" s="6" t="inlineStr">
        <is>
          <t>Issue Counts</t>
        </is>
      </c>
      <c r="B15" s="38" t="inlineStr">
        <is>
          <t>Warning</t>
        </is>
      </c>
      <c r="C15" s="39" t="inlineStr">
        <is>
          <t>Missing H1</t>
        </is>
      </c>
      <c r="D15" s="43" t="n">
        <v>6</v>
      </c>
      <c r="E15" s="44" t="inlineStr">
        <is>
          <t>Technical</t>
        </is>
      </c>
      <c r="F15" s="43" t="inlineStr">
        <is>
          <t>https://asconafrica.org/ | https://asconafrica.org/news/ | https://asconafrica.org/privacy-policy/ | https://asconafrica.org/unsubscribe-form/ | https://asconafrica.org/unsubscribe-form/successfully-unsubscribed/ | https://asconafrica.org/contact-us/ || Full list: see Technical/Links/Indexability tabs</t>
        </is>
      </c>
    </row>
    <row r="16">
      <c r="A16" s="37" t="inlineStr">
        <is>
          <t>Issue Counts</t>
        </is>
      </c>
      <c r="B16" s="38" t="inlineStr">
        <is>
          <t>Warning</t>
        </is>
      </c>
      <c r="C16" s="39" t="inlineStr">
        <is>
          <t>Canonical Missing</t>
        </is>
      </c>
      <c r="D16" s="40" t="n">
        <v>0</v>
      </c>
      <c r="E16" s="41" t="inlineStr">
        <is>
          <t>Indexability</t>
        </is>
      </c>
      <c r="F16" s="40" t="inlineStr">
        <is>
          <t xml:space="preserve"> || Full list: see Technical/Links/Indexability tabs</t>
        </is>
      </c>
    </row>
    <row r="17">
      <c r="A17" s="6" t="inlineStr">
        <is>
          <t>Issue Counts</t>
        </is>
      </c>
      <c r="B17" s="38" t="inlineStr">
        <is>
          <t>Warning</t>
        </is>
      </c>
      <c r="C17" s="39" t="inlineStr">
        <is>
          <t>Hreflang Without Reciprocity</t>
        </is>
      </c>
      <c r="D17" s="43" t="n">
        <v>0</v>
      </c>
      <c r="E17" s="44" t="inlineStr">
        <is>
          <t>Technical</t>
        </is>
      </c>
      <c r="F17" s="43" t="inlineStr">
        <is>
          <t xml:space="preserve"> || Full list: see Technical/Links/Indexability tabs</t>
        </is>
      </c>
    </row>
    <row r="18">
      <c r="A18" s="37" t="inlineStr">
        <is>
          <t>Issue Counts</t>
        </is>
      </c>
      <c r="B18" s="38" t="inlineStr">
        <is>
          <t>Warning</t>
        </is>
      </c>
      <c r="C18" s="39" t="inlineStr">
        <is>
          <t>Low Image Alt Coverage</t>
        </is>
      </c>
      <c r="D18" s="40" t="n">
        <v>0</v>
      </c>
      <c r="E18" s="41" t="inlineStr">
        <is>
          <t>Technical</t>
        </is>
      </c>
      <c r="F18" s="40" t="inlineStr">
        <is>
          <t xml:space="preserve"> || Full list: see Technical/Links/Indexability tabs</t>
        </is>
      </c>
    </row>
    <row r="19">
      <c r="A19" s="6" t="inlineStr">
        <is>
          <t>Issue Counts</t>
        </is>
      </c>
      <c r="B19" s="38" t="inlineStr">
        <is>
          <t>Warning</t>
        </is>
      </c>
      <c r="C19" s="39" t="inlineStr">
        <is>
          <t>Missing Meta Description</t>
        </is>
      </c>
      <c r="D19" s="43" t="n">
        <v>0</v>
      </c>
      <c r="E19" s="44" t="inlineStr">
        <is>
          <t>Technical</t>
        </is>
      </c>
      <c r="F19" s="43" t="inlineStr">
        <is>
          <t xml:space="preserve"> || Full list: see Technical/Links/Indexability tabs</t>
        </is>
      </c>
    </row>
    <row r="20">
      <c r="A20" s="37" t="inlineStr">
        <is>
          <t>Issue Counts</t>
        </is>
      </c>
      <c r="B20" s="38" t="inlineStr">
        <is>
          <t>Warning</t>
        </is>
      </c>
      <c r="C20" s="39" t="inlineStr">
        <is>
          <t>Missing Title</t>
        </is>
      </c>
      <c r="D20" s="40" t="n">
        <v>0</v>
      </c>
      <c r="E20" s="41" t="inlineStr">
        <is>
          <t>Technical</t>
        </is>
      </c>
      <c r="F20" s="40" t="inlineStr">
        <is>
          <t xml:space="preserve"> || Full list: see Technical/Links/Indexability tabs</t>
        </is>
      </c>
    </row>
    <row r="21">
      <c r="A21" s="6" t="inlineStr">
        <is>
          <t>Issue Counts</t>
        </is>
      </c>
      <c r="B21" s="38" t="inlineStr">
        <is>
          <t>Warning</t>
        </is>
      </c>
      <c r="C21" s="39" t="inlineStr">
        <is>
          <t>Mixed Content</t>
        </is>
      </c>
      <c r="D21" s="43" t="n">
        <v>0</v>
      </c>
      <c r="E21" s="44" t="inlineStr">
        <is>
          <t>Technical</t>
        </is>
      </c>
      <c r="F21" s="43" t="inlineStr">
        <is>
          <t xml:space="preserve"> || Full list: see Technical/Links/Indexability tabs</t>
        </is>
      </c>
    </row>
    <row r="22">
      <c r="A22" s="37" t="inlineStr">
        <is>
          <t>Issue Counts</t>
        </is>
      </c>
      <c r="B22" s="38" t="inlineStr">
        <is>
          <t>Warning</t>
        </is>
      </c>
      <c r="C22" s="39" t="inlineStr">
        <is>
          <t>Multiple H1</t>
        </is>
      </c>
      <c r="D22" s="40" t="n">
        <v>0</v>
      </c>
      <c r="E22" s="41" t="inlineStr">
        <is>
          <t>Technical</t>
        </is>
      </c>
      <c r="F22" s="40" t="inlineStr">
        <is>
          <t xml:space="preserve"> || Full list: see Technical/Links/Indexability tabs</t>
        </is>
      </c>
    </row>
    <row r="23">
      <c r="A23" s="6" t="inlineStr">
        <is>
          <t>Issue Counts</t>
        </is>
      </c>
      <c r="B23" s="38" t="inlineStr">
        <is>
          <t>Warning</t>
        </is>
      </c>
      <c r="C23" s="39" t="inlineStr">
        <is>
          <t>Redirect Chains</t>
        </is>
      </c>
      <c r="D23" s="43" t="n">
        <v>0</v>
      </c>
      <c r="E23" s="44" t="inlineStr">
        <is>
          <t>Technical</t>
        </is>
      </c>
      <c r="F23" s="43" t="inlineStr">
        <is>
          <t xml:space="preserve"> || Full list: see Technical/Links/Indexability tabs</t>
        </is>
      </c>
    </row>
    <row r="24">
      <c r="A24" s="4" t="inlineStr">
        <is>
          <t>Issue Counts</t>
        </is>
      </c>
      <c r="B24" s="42" t="inlineStr">
        <is>
          <t>Info</t>
        </is>
      </c>
      <c r="C24" s="39" t="inlineStr">
        <is>
          <t>No Answer-Friendly Structure</t>
        </is>
      </c>
      <c r="D24" s="40" t="n">
        <v>15</v>
      </c>
      <c r="E24" s="41" t="inlineStr">
        <is>
          <t>Technical</t>
        </is>
      </c>
      <c r="F24" s="40" t="inlineStr">
        <is>
          <t>https://asconafrica.org/2026-ascon-awards/ | https://asconafrica.org/ | https://asconafrica.org/news/ | https://asconafrica.org/our-members/ | https://asconafrica.org/2026-ascon-conference/ | https://asconafrica.org/about-us/ | https://asconafrica.org/privacy-policy/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Technical/Links/Indexability tabs</t>
        </is>
      </c>
    </row>
    <row r="25">
      <c r="A25" s="4" t="inlineStr">
        <is>
          <t>Issue Counts</t>
        </is>
      </c>
      <c r="B25" s="42" t="inlineStr">
        <is>
          <t>Info</t>
        </is>
      </c>
      <c r="C25" s="39" t="inlineStr">
        <is>
          <t>No Cache-Control Header</t>
        </is>
      </c>
      <c r="D25" s="43" t="n">
        <v>15</v>
      </c>
      <c r="E25" s="44" t="inlineStr">
        <is>
          <t>Technical</t>
        </is>
      </c>
      <c r="F25" s="43" t="inlineStr">
        <is>
          <t>https://asconafrica.org/2026-ascon-awards/ | https://asconafrica.org/ | https://asconafrica.org/news/ | https://asconafrica.org/our-members/ | https://asconafrica.org/2026-ascon-conference/ | https://asconafrica.org/about-us/ | https://asconafrica.org/privacy-policy/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Technical/Links/Indexability tabs</t>
        </is>
      </c>
    </row>
    <row r="26">
      <c r="A26" s="4" t="inlineStr">
        <is>
          <t>Issue Counts</t>
        </is>
      </c>
      <c r="B26" s="42" t="inlineStr">
        <is>
          <t>Info</t>
        </is>
      </c>
      <c r="C26" s="39" t="inlineStr">
        <is>
          <t>No Compression Header</t>
        </is>
      </c>
      <c r="D26" s="40" t="n">
        <v>15</v>
      </c>
      <c r="E26" s="41" t="inlineStr">
        <is>
          <t>Technical</t>
        </is>
      </c>
      <c r="F26" s="40" t="inlineStr">
        <is>
          <t>https://asconafrica.org/2026-ascon-awards/ | https://asconafrica.org/ | https://asconafrica.org/news/ | https://asconafrica.org/our-members/ | https://asconafrica.org/2026-ascon-conference/ | https://asconafrica.org/about-us/ | https://asconafrica.org/privacy-policy/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Technical/Links/Indexability tabs</t>
        </is>
      </c>
    </row>
    <row r="27">
      <c r="A27" s="4" t="inlineStr">
        <is>
          <t>Issue Counts</t>
        </is>
      </c>
      <c r="B27" s="42" t="inlineStr">
        <is>
          <t>Info</t>
        </is>
      </c>
      <c r="C27" s="39" t="inlineStr">
        <is>
          <t>No ETag Header</t>
        </is>
      </c>
      <c r="D27" s="43" t="n">
        <v>15</v>
      </c>
      <c r="E27" s="44" t="inlineStr">
        <is>
          <t>Technical</t>
        </is>
      </c>
      <c r="F27" s="43" t="inlineStr">
        <is>
          <t>https://asconafrica.org/2026-ascon-awards/ | https://asconafrica.org/ | https://asconafrica.org/news/ | https://asconafrica.org/our-members/ | https://asconafrica.org/2026-ascon-conference/ | https://asconafrica.org/about-us/ | https://asconafrica.org/privacy-policy/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Technical/Links/Indexability tabs</t>
        </is>
      </c>
    </row>
    <row r="28">
      <c r="A28" s="4" t="inlineStr">
        <is>
          <t>Issue Counts</t>
        </is>
      </c>
      <c r="B28" s="42" t="inlineStr">
        <is>
          <t>Info</t>
        </is>
      </c>
      <c r="C28" s="39" t="inlineStr">
        <is>
          <t>No FAQ/QA Schema</t>
        </is>
      </c>
      <c r="D28" s="40" t="n">
        <v>15</v>
      </c>
      <c r="E28" s="41" t="inlineStr">
        <is>
          <t>AEO</t>
        </is>
      </c>
      <c r="F28" s="40" t="inlineStr">
        <is>
          <t>https://asconafrica.org/2026-ascon-awards/ | https://asconafrica.org/ | https://asconafrica.org/news/ | https://asconafrica.org/our-members/ | https://asconafrica.org/2026-ascon-conference/ | https://asconafrica.org/about-us/ | https://asconafrica.org/privacy-policy/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Technical/Links/Indexability tabs</t>
        </is>
      </c>
    </row>
    <row r="29">
      <c r="A29" s="4" t="inlineStr">
        <is>
          <t>Issue Counts</t>
        </is>
      </c>
      <c r="B29" s="42" t="inlineStr">
        <is>
          <t>Info</t>
        </is>
      </c>
      <c r="C29" s="39" t="inlineStr">
        <is>
          <t>No 40-60 Word Answer Paragraphs</t>
        </is>
      </c>
      <c r="D29" s="43" t="n">
        <v>14</v>
      </c>
      <c r="E29" s="44" t="inlineStr">
        <is>
          <t>Technical</t>
        </is>
      </c>
      <c r="F29" s="43" t="inlineStr">
        <is>
          <t>https://asconafrica.org/2026-ascon-awards/ | https://asconafrica.org/ | https://asconafrica.org/news/ | https://asconafrica.org/our-members/ | https://asconafrica.org/2026-ascon-conference/ | https://asconafrica.org/about-us/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Technical/Links/Indexability tabs</t>
        </is>
      </c>
    </row>
    <row r="30">
      <c r="A30" s="4" t="inlineStr">
        <is>
          <t>Issue Counts</t>
        </is>
      </c>
      <c r="B30" s="42" t="inlineStr">
        <is>
          <t>Info</t>
        </is>
      </c>
      <c r="C30" s="39" t="inlineStr">
        <is>
          <t>No Question Headings</t>
        </is>
      </c>
      <c r="D30" s="40" t="n">
        <v>14</v>
      </c>
      <c r="E30" s="41" t="inlineStr">
        <is>
          <t>AEO</t>
        </is>
      </c>
      <c r="F30" s="40" t="inlineStr">
        <is>
          <t>https://asconafrica.org/2026-ascon-awards/ | https://asconafrica.org/ | https://asconafrica.org/news/ | https://asconafrica.org/our-members/ | https://asconafrica.org/2026-ascon-conference/ | https://asconafrica.org/about-us/ | https://asconafrica.org/2026-ascon-conference/thank-you-for-signing-up/ | https://asconafrica.org/thank-you-for-signing-up-for-updates/ | https://asconafrica.org/launch-event-2026-ascon-conference/thank-you-for-registering-conference-launch/ | https://asconafrica.org/launch-event-2026-ascon-conference/ | https://asconafrica.org/2026-ascon-awards/thank-you-for-your-nomination/ | https://asconafrica.org/unsubscribe-form/ | https://asconafrica.org/unsubscribe-form/successfully-unsubscribed/ | https://asconafrica.org/contact-us/ || Full list: see Technical/Links/Indexability tabs</t>
        </is>
      </c>
    </row>
    <row r="31">
      <c r="A31" s="4" t="inlineStr">
        <is>
          <t>Issue Counts</t>
        </is>
      </c>
      <c r="B31" s="42" t="inlineStr">
        <is>
          <t>Info</t>
        </is>
      </c>
      <c r="C31" s="39" t="inlineStr">
        <is>
          <t>Generic Anchor Text Present</t>
        </is>
      </c>
      <c r="D31" s="43" t="n">
        <v>0</v>
      </c>
      <c r="E31" s="44" t="inlineStr">
        <is>
          <t>Technical</t>
        </is>
      </c>
      <c r="F31" s="43" t="inlineStr">
        <is>
          <t xml:space="preserve"> || Full list: see Technical/Links/Indexability tabs</t>
        </is>
      </c>
    </row>
    <row r="32">
      <c r="A32" s="4" t="inlineStr">
        <is>
          <t>Issue Counts</t>
        </is>
      </c>
      <c r="B32" s="42" t="inlineStr">
        <is>
          <t>Info</t>
        </is>
      </c>
      <c r="C32" s="39" t="inlineStr">
        <is>
          <t>Image Filename Quality Issues</t>
        </is>
      </c>
      <c r="D32" s="40" t="n">
        <v>0</v>
      </c>
      <c r="E32" s="41" t="inlineStr">
        <is>
          <t>Technical</t>
        </is>
      </c>
      <c r="F32" s="40" t="inlineStr">
        <is>
          <t xml:space="preserve"> || Full list: see Technical/Links/Indexability tabs</t>
        </is>
      </c>
    </row>
    <row r="33">
      <c r="A33" s="4" t="inlineStr">
        <is>
          <t>Issue Counts</t>
        </is>
      </c>
      <c r="B33" s="42" t="inlineStr">
        <is>
          <t>Info</t>
        </is>
      </c>
      <c r="C33" s="39" t="inlineStr">
        <is>
          <t>Uses URL Parameters</t>
        </is>
      </c>
      <c r="D33" s="43" t="n">
        <v>0</v>
      </c>
      <c r="E33" s="44" t="inlineStr">
        <is>
          <t>Technical</t>
        </is>
      </c>
      <c r="F33" s="43" t="inlineStr">
        <is>
          <t xml:space="preserve"> || Full list: see Technical/Links/Indexability tabs</t>
        </is>
      </c>
    </row>
    <row r="34">
      <c r="A34" s="4" t="inlineStr">
        <is>
          <t>Issue Counts</t>
        </is>
      </c>
      <c r="B34" s="37" t="inlineStr"/>
      <c r="C34" s="37" t="inlineStr"/>
      <c r="D34" s="40" t="inlineStr"/>
      <c r="E34" s="37" t="inlineStr"/>
      <c r="F34" s="40" t="inlineStr"/>
    </row>
    <row r="35">
      <c r="A35" s="4" t="inlineStr">
        <is>
          <t>Top 10 Critical URLs</t>
        </is>
      </c>
      <c r="B35" s="6" t="inlineStr"/>
      <c r="C35" s="6" t="inlineStr"/>
      <c r="D35" s="43" t="inlineStr"/>
      <c r="E35" s="6" t="inlineStr"/>
      <c r="F35" s="43" t="inlineStr"/>
    </row>
    <row r="36">
      <c r="A36" s="4" t="inlineStr">
        <is>
          <t>Top Issues by Template</t>
        </is>
      </c>
      <c r="B36" s="37" t="inlineStr"/>
      <c r="C36" s="37" t="inlineStr"/>
      <c r="D36" s="40" t="inlineStr"/>
      <c r="E36" s="37" t="inlineStr"/>
      <c r="F36" s="40" t="inlineStr"/>
    </row>
    <row r="37">
      <c r="A37" s="4" t="inlineStr">
        <is>
          <t>Top Issues by Template</t>
        </is>
      </c>
      <c r="B37" s="42" t="inlineStr">
        <is>
          <t>Info</t>
        </is>
      </c>
      <c r="C37" s="6" t="inlineStr">
        <is>
          <t>2026-ascon-awards -&gt; Low AEO Readiness Score</t>
        </is>
      </c>
      <c r="D37" s="43" t="n">
        <v>2</v>
      </c>
      <c r="E37" s="44" t="inlineStr">
        <is>
          <t>TemplateClusters</t>
        </is>
      </c>
      <c r="F37" s="43" t="inlineStr"/>
    </row>
    <row r="38">
      <c r="A38" s="4" t="inlineStr">
        <is>
          <t>Top Issues by Template</t>
        </is>
      </c>
      <c r="B38" s="42" t="inlineStr">
        <is>
          <t>Info</t>
        </is>
      </c>
      <c r="C38" s="37" t="inlineStr">
        <is>
          <t>2026-ascon-awards -&gt; No Compression Header</t>
        </is>
      </c>
      <c r="D38" s="40" t="n">
        <v>2</v>
      </c>
      <c r="E38" s="41" t="inlineStr">
        <is>
          <t>TemplateClusters</t>
        </is>
      </c>
      <c r="F38" s="40" t="inlineStr"/>
    </row>
    <row r="39">
      <c r="A39" s="4" t="inlineStr">
        <is>
          <t>Top Issues by Template</t>
        </is>
      </c>
      <c r="B39" s="42" t="inlineStr">
        <is>
          <t>Info</t>
        </is>
      </c>
      <c r="C39" s="6" t="inlineStr">
        <is>
          <t>2026-ascon-awards -&gt; No Cache-Control Header</t>
        </is>
      </c>
      <c r="D39" s="43" t="n">
        <v>2</v>
      </c>
      <c r="E39" s="44" t="inlineStr">
        <is>
          <t>TemplateClusters</t>
        </is>
      </c>
      <c r="F39" s="43" t="inlineStr"/>
    </row>
    <row r="40">
      <c r="A40" s="4" t="inlineStr">
        <is>
          <t>Top Issues by Template</t>
        </is>
      </c>
      <c r="B40" s="42" t="inlineStr">
        <is>
          <t>Info</t>
        </is>
      </c>
      <c r="C40" s="37" t="inlineStr">
        <is>
          <t>2026-ascon-awards -&gt; No ETag Header</t>
        </is>
      </c>
      <c r="D40" s="40" t="n">
        <v>2</v>
      </c>
      <c r="E40" s="41" t="inlineStr">
        <is>
          <t>TemplateClusters</t>
        </is>
      </c>
      <c r="F40" s="40" t="inlineStr"/>
    </row>
    <row r="41">
      <c r="A41" s="4" t="inlineStr">
        <is>
          <t>Top Issues by Template</t>
        </is>
      </c>
      <c r="B41" s="42" t="inlineStr">
        <is>
          <t>Info</t>
        </is>
      </c>
      <c r="C41" s="6" t="inlineStr">
        <is>
          <t>2026-ascon-awards -&gt; No FAQ/QA Schema</t>
        </is>
      </c>
      <c r="D41" s="43" t="n">
        <v>2</v>
      </c>
      <c r="E41" s="44" t="inlineStr">
        <is>
          <t>TemplateClusters</t>
        </is>
      </c>
      <c r="F41" s="43" t="inlineStr"/>
    </row>
    <row r="42">
      <c r="A42" s="4" t="inlineStr">
        <is>
          <t>Top Issues by Template</t>
        </is>
      </c>
      <c r="B42" s="42" t="inlineStr">
        <is>
          <t>Info</t>
        </is>
      </c>
      <c r="C42" s="37" t="inlineStr">
        <is>
          <t>2026-ascon-awards -&gt; No Question Headings</t>
        </is>
      </c>
      <c r="D42" s="40" t="n">
        <v>2</v>
      </c>
      <c r="E42" s="41" t="inlineStr">
        <is>
          <t>TemplateClusters</t>
        </is>
      </c>
      <c r="F42" s="40" t="inlineStr"/>
    </row>
    <row r="43">
      <c r="A43" s="4" t="inlineStr">
        <is>
          <t>Top Issues by Template</t>
        </is>
      </c>
      <c r="B43" s="42" t="inlineStr">
        <is>
          <t>Info</t>
        </is>
      </c>
      <c r="C43" s="6" t="inlineStr">
        <is>
          <t>2026-ascon-awards -&gt; No Answer-Friendly Structure</t>
        </is>
      </c>
      <c r="D43" s="43" t="n">
        <v>2</v>
      </c>
      <c r="E43" s="44" t="inlineStr">
        <is>
          <t>TemplateClusters</t>
        </is>
      </c>
      <c r="F43" s="43" t="inlineStr"/>
    </row>
    <row r="44">
      <c r="A44" s="4" t="inlineStr">
        <is>
          <t>Top Issues by Template</t>
        </is>
      </c>
      <c r="B44" s="42" t="inlineStr">
        <is>
          <t>Info</t>
        </is>
      </c>
      <c r="C44" s="37" t="inlineStr">
        <is>
          <t>2026-ascon-awards -&gt; No 40-60 Word Answer Paragraphs</t>
        </is>
      </c>
      <c r="D44" s="40" t="n">
        <v>2</v>
      </c>
      <c r="E44" s="41" t="inlineStr">
        <is>
          <t>TemplateClusters</t>
        </is>
      </c>
      <c r="F44" s="40" t="inlineStr"/>
    </row>
    <row r="45">
      <c r="A45" s="4" t="inlineStr">
        <is>
          <t>Top Issues by Template</t>
        </is>
      </c>
      <c r="B45" s="42" t="inlineStr">
        <is>
          <t>Info</t>
        </is>
      </c>
      <c r="C45" s="6" t="inlineStr">
        <is>
          <t>2026-ascon-conference -&gt; Low AEO Readiness Score</t>
        </is>
      </c>
      <c r="D45" s="43" t="n">
        <v>2</v>
      </c>
      <c r="E45" s="44" t="inlineStr">
        <is>
          <t>TemplateClusters</t>
        </is>
      </c>
      <c r="F45" s="43" t="inlineStr"/>
    </row>
    <row r="46">
      <c r="A46" s="4" t="inlineStr">
        <is>
          <t>Top Issues by Template</t>
        </is>
      </c>
      <c r="B46" s="42" t="inlineStr">
        <is>
          <t>Info</t>
        </is>
      </c>
      <c r="C46" s="37" t="inlineStr">
        <is>
          <t>2026-ascon-conference -&gt; No Compression Header</t>
        </is>
      </c>
      <c r="D46" s="40" t="n">
        <v>2</v>
      </c>
      <c r="E46" s="41" t="inlineStr">
        <is>
          <t>TemplateClusters</t>
        </is>
      </c>
      <c r="F46" s="40" t="inlineStr"/>
    </row>
    <row r="47">
      <c r="A47" s="4" t="inlineStr">
        <is>
          <t>Top Issues by Template</t>
        </is>
      </c>
      <c r="B47" s="42" t="inlineStr">
        <is>
          <t>Info</t>
        </is>
      </c>
      <c r="C47" s="6" t="inlineStr">
        <is>
          <t>2026-ascon-conference -&gt; No Cache-Control Header</t>
        </is>
      </c>
      <c r="D47" s="43" t="n">
        <v>2</v>
      </c>
      <c r="E47" s="44" t="inlineStr">
        <is>
          <t>TemplateClusters</t>
        </is>
      </c>
      <c r="F47" s="43" t="inlineStr"/>
    </row>
    <row r="48">
      <c r="A48" s="4" t="inlineStr">
        <is>
          <t>Top Issues by Template</t>
        </is>
      </c>
      <c r="B48" s="42" t="inlineStr">
        <is>
          <t>Info</t>
        </is>
      </c>
      <c r="C48" s="37" t="inlineStr">
        <is>
          <t>2026-ascon-conference -&gt; No ETag Header</t>
        </is>
      </c>
      <c r="D48" s="40" t="n">
        <v>2</v>
      </c>
      <c r="E48" s="41" t="inlineStr">
        <is>
          <t>TemplateClusters</t>
        </is>
      </c>
      <c r="F48" s="40" t="inlineStr"/>
    </row>
    <row r="49">
      <c r="A49" s="4" t="inlineStr">
        <is>
          <t>Top Issues by Template</t>
        </is>
      </c>
      <c r="B49" s="42" t="inlineStr">
        <is>
          <t>Info</t>
        </is>
      </c>
      <c r="C49" s="6" t="inlineStr">
        <is>
          <t>2026-ascon-conference -&gt; No FAQ/QA Schema</t>
        </is>
      </c>
      <c r="D49" s="43" t="n">
        <v>2</v>
      </c>
      <c r="E49" s="44" t="inlineStr">
        <is>
          <t>TemplateClusters</t>
        </is>
      </c>
      <c r="F49" s="43" t="inlineStr"/>
    </row>
    <row r="50">
      <c r="A50" s="4" t="inlineStr">
        <is>
          <t>Top Issues by Template</t>
        </is>
      </c>
      <c r="B50" s="42" t="inlineStr">
        <is>
          <t>Info</t>
        </is>
      </c>
      <c r="C50" s="37" t="inlineStr">
        <is>
          <t>2026-ascon-conference -&gt; No Question Headings</t>
        </is>
      </c>
      <c r="D50" s="40" t="n">
        <v>2</v>
      </c>
      <c r="E50" s="41" t="inlineStr">
        <is>
          <t>TemplateClusters</t>
        </is>
      </c>
      <c r="F50" s="40" t="inlineStr"/>
    </row>
    <row r="51">
      <c r="A51" s="4" t="inlineStr">
        <is>
          <t>Top Issues by Template</t>
        </is>
      </c>
      <c r="B51" s="42" t="inlineStr">
        <is>
          <t>Info</t>
        </is>
      </c>
      <c r="C51" s="6" t="inlineStr">
        <is>
          <t>2026-ascon-conference -&gt; No Answer-Friendly Structure</t>
        </is>
      </c>
      <c r="D51" s="43" t="n">
        <v>2</v>
      </c>
      <c r="E51" s="44" t="inlineStr">
        <is>
          <t>TemplateClusters</t>
        </is>
      </c>
      <c r="F51" s="43" t="inlineStr"/>
    </row>
    <row r="52">
      <c r="A52" s="4" t="inlineStr">
        <is>
          <t>Top Issues by Template</t>
        </is>
      </c>
      <c r="B52" s="42" t="inlineStr">
        <is>
          <t>Info</t>
        </is>
      </c>
      <c r="C52" s="37" t="inlineStr">
        <is>
          <t>2026-ascon-conference -&gt; No 40-60 Word Answer Paragraphs</t>
        </is>
      </c>
      <c r="D52" s="40" t="n">
        <v>2</v>
      </c>
      <c r="E52" s="41" t="inlineStr">
        <is>
          <t>TemplateClusters</t>
        </is>
      </c>
      <c r="F52" s="40" t="inlineStr"/>
    </row>
    <row r="53">
      <c r="A53" s="4" t="inlineStr">
        <is>
          <t>Top Issues by Template</t>
        </is>
      </c>
      <c r="B53" s="42" t="inlineStr">
        <is>
          <t>Info</t>
        </is>
      </c>
      <c r="C53" s="6" t="inlineStr">
        <is>
          <t>launch-event-2026-ascon-conference -&gt; Low AEO Readiness Score</t>
        </is>
      </c>
      <c r="D53" s="43" t="n">
        <v>2</v>
      </c>
      <c r="E53" s="44" t="inlineStr">
        <is>
          <t>TemplateClusters</t>
        </is>
      </c>
      <c r="F53" s="43" t="inlineStr"/>
    </row>
    <row r="54">
      <c r="A54" s="4" t="inlineStr">
        <is>
          <t>Top Issues by Template</t>
        </is>
      </c>
      <c r="B54" s="42" t="inlineStr">
        <is>
          <t>Info</t>
        </is>
      </c>
      <c r="C54" s="37" t="inlineStr">
        <is>
          <t>launch-event-2026-ascon-conference -&gt; No Compression Header</t>
        </is>
      </c>
      <c r="D54" s="40" t="n">
        <v>2</v>
      </c>
      <c r="E54" s="41" t="inlineStr">
        <is>
          <t>TemplateClusters</t>
        </is>
      </c>
      <c r="F54" s="40" t="inlineStr"/>
    </row>
    <row r="55">
      <c r="A55" s="4" t="inlineStr">
        <is>
          <t>Top Issues by Template</t>
        </is>
      </c>
      <c r="B55" s="42" t="inlineStr">
        <is>
          <t>Info</t>
        </is>
      </c>
      <c r="C55" s="6" t="inlineStr">
        <is>
          <t>launch-event-2026-ascon-conference -&gt; No Cache-Control Header</t>
        </is>
      </c>
      <c r="D55" s="43" t="n">
        <v>2</v>
      </c>
      <c r="E55" s="44" t="inlineStr">
        <is>
          <t>TemplateClusters</t>
        </is>
      </c>
      <c r="F55" s="43" t="inlineStr"/>
    </row>
    <row r="56">
      <c r="A56" s="4" t="inlineStr">
        <is>
          <t>Top Issues by Template</t>
        </is>
      </c>
      <c r="B56" s="42" t="inlineStr">
        <is>
          <t>Info</t>
        </is>
      </c>
      <c r="C56" s="37" t="inlineStr">
        <is>
          <t>launch-event-2026-ascon-conference -&gt; No ETag Header</t>
        </is>
      </c>
      <c r="D56" s="40" t="n">
        <v>2</v>
      </c>
      <c r="E56" s="41" t="inlineStr">
        <is>
          <t>TemplateClusters</t>
        </is>
      </c>
      <c r="F56" s="40" t="inlineStr"/>
    </row>
  </sheetData>
  <autoFilter ref="A1:F56"/>
  <dataValidations count="8">
    <dataValidation sqref="A1" showDropDown="0" showInputMessage="1" showErrorMessage="0" allowBlank="1" promptTitle="Section" prompt="Summary grouping/navigation field. Use with hyperlinks to jump into detailed tabs."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Issue" prompt="Issue. Review this metric to identify risk, then use linked tabs for details and remediation." type="custom">
      <formula1>TRUE</formula1>
    </dataValidation>
    <dataValidation sqref="D1" showDropDown="0" showInputMessage="1" showErrorMessage="0" allowBlank="1" promptTitle="Affected URL Count" prompt="Affected URL Count. Use this URL to inspect the page directly or jump to related tabs." type="custom">
      <formula1>TRUE</formula1>
    </dataValidation>
    <dataValidation sqref="E1" showDropDown="0" showInputMessage="1" showErrorMessage="0" allowBlank="1" promptTitle="Reference Tab" prompt="Summary grouping/navigation field. Use with hyperlinks to jump into detailed tabs." type="custom">
      <formula1>TRUE</formula1>
    </dataValidation>
    <dataValidation sqref="F1" showDropDown="0" showInputMessage="1" showErrorMessage="0" allowBlank="1" promptTitle="Affected URLs (sample)" prompt="Affected URLs (sample). Use this URL to inspect the page directly or jump to related tabs."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G1" r:id="rId1"/>
    <hyperlink xmlns:r="http://schemas.openxmlformats.org/officeDocument/2006/relationships" ref="C2" r:id="rId2"/>
    <hyperlink xmlns:r="http://schemas.openxmlformats.org/officeDocument/2006/relationships" ref="E2" r:id="rId3"/>
    <hyperlink xmlns:r="http://schemas.openxmlformats.org/officeDocument/2006/relationships" ref="C3" r:id="rId4"/>
    <hyperlink xmlns:r="http://schemas.openxmlformats.org/officeDocument/2006/relationships" ref="E3" r:id="rId5"/>
    <hyperlink xmlns:r="http://schemas.openxmlformats.org/officeDocument/2006/relationships" ref="C4" r:id="rId6"/>
    <hyperlink xmlns:r="http://schemas.openxmlformats.org/officeDocument/2006/relationships" ref="E4" r:id="rId7"/>
    <hyperlink xmlns:r="http://schemas.openxmlformats.org/officeDocument/2006/relationships" ref="C5" r:id="rId8"/>
    <hyperlink xmlns:r="http://schemas.openxmlformats.org/officeDocument/2006/relationships" ref="E5" r:id="rId9"/>
    <hyperlink xmlns:r="http://schemas.openxmlformats.org/officeDocument/2006/relationships" ref="C6" r:id="rId10"/>
    <hyperlink xmlns:r="http://schemas.openxmlformats.org/officeDocument/2006/relationships" ref="E6" r:id="rId11"/>
    <hyperlink xmlns:r="http://schemas.openxmlformats.org/officeDocument/2006/relationships" ref="C8" r:id="rId12"/>
    <hyperlink xmlns:r="http://schemas.openxmlformats.org/officeDocument/2006/relationships" ref="E8" r:id="rId13"/>
    <hyperlink xmlns:r="http://schemas.openxmlformats.org/officeDocument/2006/relationships" ref="C9" r:id="rId14"/>
    <hyperlink xmlns:r="http://schemas.openxmlformats.org/officeDocument/2006/relationships" ref="E9" r:id="rId15"/>
    <hyperlink xmlns:r="http://schemas.openxmlformats.org/officeDocument/2006/relationships" ref="C10" r:id="rId16"/>
    <hyperlink xmlns:r="http://schemas.openxmlformats.org/officeDocument/2006/relationships" ref="E10" r:id="rId17"/>
    <hyperlink xmlns:r="http://schemas.openxmlformats.org/officeDocument/2006/relationships" ref="C11" r:id="rId18"/>
    <hyperlink xmlns:r="http://schemas.openxmlformats.org/officeDocument/2006/relationships" ref="E11" r:id="rId19"/>
    <hyperlink xmlns:r="http://schemas.openxmlformats.org/officeDocument/2006/relationships" ref="C12" r:id="rId20"/>
    <hyperlink xmlns:r="http://schemas.openxmlformats.org/officeDocument/2006/relationships" ref="E12" r:id="rId21"/>
    <hyperlink xmlns:r="http://schemas.openxmlformats.org/officeDocument/2006/relationships" ref="C13" r:id="rId22"/>
    <hyperlink xmlns:r="http://schemas.openxmlformats.org/officeDocument/2006/relationships" ref="E13" r:id="rId23"/>
    <hyperlink xmlns:r="http://schemas.openxmlformats.org/officeDocument/2006/relationships" ref="C14" r:id="rId24"/>
    <hyperlink xmlns:r="http://schemas.openxmlformats.org/officeDocument/2006/relationships" ref="E14" r:id="rId25"/>
    <hyperlink xmlns:r="http://schemas.openxmlformats.org/officeDocument/2006/relationships" ref="C15" r:id="rId26"/>
    <hyperlink xmlns:r="http://schemas.openxmlformats.org/officeDocument/2006/relationships" ref="E15" r:id="rId27"/>
    <hyperlink xmlns:r="http://schemas.openxmlformats.org/officeDocument/2006/relationships" ref="C16" r:id="rId28"/>
    <hyperlink xmlns:r="http://schemas.openxmlformats.org/officeDocument/2006/relationships" ref="E16" r:id="rId29"/>
    <hyperlink xmlns:r="http://schemas.openxmlformats.org/officeDocument/2006/relationships" ref="C17" r:id="rId30"/>
    <hyperlink xmlns:r="http://schemas.openxmlformats.org/officeDocument/2006/relationships" ref="E17" r:id="rId31"/>
    <hyperlink xmlns:r="http://schemas.openxmlformats.org/officeDocument/2006/relationships" ref="C18" r:id="rId32"/>
    <hyperlink xmlns:r="http://schemas.openxmlformats.org/officeDocument/2006/relationships" ref="E18" r:id="rId33"/>
    <hyperlink xmlns:r="http://schemas.openxmlformats.org/officeDocument/2006/relationships" ref="C19" r:id="rId34"/>
    <hyperlink xmlns:r="http://schemas.openxmlformats.org/officeDocument/2006/relationships" ref="E19" r:id="rId35"/>
    <hyperlink xmlns:r="http://schemas.openxmlformats.org/officeDocument/2006/relationships" ref="C20" r:id="rId36"/>
    <hyperlink xmlns:r="http://schemas.openxmlformats.org/officeDocument/2006/relationships" ref="E20" r:id="rId37"/>
    <hyperlink xmlns:r="http://schemas.openxmlformats.org/officeDocument/2006/relationships" ref="C21" r:id="rId38"/>
    <hyperlink xmlns:r="http://schemas.openxmlformats.org/officeDocument/2006/relationships" ref="E21" r:id="rId39"/>
    <hyperlink xmlns:r="http://schemas.openxmlformats.org/officeDocument/2006/relationships" ref="C22" r:id="rId40"/>
    <hyperlink xmlns:r="http://schemas.openxmlformats.org/officeDocument/2006/relationships" ref="E22" r:id="rId41"/>
    <hyperlink xmlns:r="http://schemas.openxmlformats.org/officeDocument/2006/relationships" ref="C23" r:id="rId42"/>
    <hyperlink xmlns:r="http://schemas.openxmlformats.org/officeDocument/2006/relationships" ref="E23" r:id="rId43"/>
    <hyperlink xmlns:r="http://schemas.openxmlformats.org/officeDocument/2006/relationships" ref="C24" r:id="rId44"/>
    <hyperlink xmlns:r="http://schemas.openxmlformats.org/officeDocument/2006/relationships" ref="E24" r:id="rId45"/>
    <hyperlink xmlns:r="http://schemas.openxmlformats.org/officeDocument/2006/relationships" ref="C25" r:id="rId46"/>
    <hyperlink xmlns:r="http://schemas.openxmlformats.org/officeDocument/2006/relationships" ref="E25" r:id="rId47"/>
    <hyperlink xmlns:r="http://schemas.openxmlformats.org/officeDocument/2006/relationships" ref="C26" r:id="rId48"/>
    <hyperlink xmlns:r="http://schemas.openxmlformats.org/officeDocument/2006/relationships" ref="E26" r:id="rId49"/>
    <hyperlink xmlns:r="http://schemas.openxmlformats.org/officeDocument/2006/relationships" ref="C27" r:id="rId50"/>
    <hyperlink xmlns:r="http://schemas.openxmlformats.org/officeDocument/2006/relationships" ref="E27" r:id="rId51"/>
    <hyperlink xmlns:r="http://schemas.openxmlformats.org/officeDocument/2006/relationships" ref="C28" r:id="rId52"/>
    <hyperlink xmlns:r="http://schemas.openxmlformats.org/officeDocument/2006/relationships" ref="E28" r:id="rId53"/>
    <hyperlink xmlns:r="http://schemas.openxmlformats.org/officeDocument/2006/relationships" ref="C29" r:id="rId54"/>
    <hyperlink xmlns:r="http://schemas.openxmlformats.org/officeDocument/2006/relationships" ref="E29" r:id="rId55"/>
    <hyperlink xmlns:r="http://schemas.openxmlformats.org/officeDocument/2006/relationships" ref="C30" r:id="rId56"/>
    <hyperlink xmlns:r="http://schemas.openxmlformats.org/officeDocument/2006/relationships" ref="E30" r:id="rId57"/>
    <hyperlink xmlns:r="http://schemas.openxmlformats.org/officeDocument/2006/relationships" ref="C31" r:id="rId58"/>
    <hyperlink xmlns:r="http://schemas.openxmlformats.org/officeDocument/2006/relationships" ref="E31" r:id="rId59"/>
    <hyperlink xmlns:r="http://schemas.openxmlformats.org/officeDocument/2006/relationships" ref="C32" r:id="rId60"/>
    <hyperlink xmlns:r="http://schemas.openxmlformats.org/officeDocument/2006/relationships" ref="E32" r:id="rId61"/>
    <hyperlink xmlns:r="http://schemas.openxmlformats.org/officeDocument/2006/relationships" ref="C33" r:id="rId62"/>
    <hyperlink xmlns:r="http://schemas.openxmlformats.org/officeDocument/2006/relationships" ref="E33" r:id="rId63"/>
    <hyperlink xmlns:r="http://schemas.openxmlformats.org/officeDocument/2006/relationships" ref="E37" r:id="rId64"/>
    <hyperlink xmlns:r="http://schemas.openxmlformats.org/officeDocument/2006/relationships" ref="E38" r:id="rId65"/>
    <hyperlink xmlns:r="http://schemas.openxmlformats.org/officeDocument/2006/relationships" ref="E39" r:id="rId66"/>
    <hyperlink xmlns:r="http://schemas.openxmlformats.org/officeDocument/2006/relationships" ref="E40" r:id="rId67"/>
    <hyperlink xmlns:r="http://schemas.openxmlformats.org/officeDocument/2006/relationships" ref="E41" r:id="rId68"/>
    <hyperlink xmlns:r="http://schemas.openxmlformats.org/officeDocument/2006/relationships" ref="E42" r:id="rId69"/>
    <hyperlink xmlns:r="http://schemas.openxmlformats.org/officeDocument/2006/relationships" ref="E43" r:id="rId70"/>
    <hyperlink xmlns:r="http://schemas.openxmlformats.org/officeDocument/2006/relationships" ref="E44" r:id="rId71"/>
    <hyperlink xmlns:r="http://schemas.openxmlformats.org/officeDocument/2006/relationships" ref="E45" r:id="rId72"/>
    <hyperlink xmlns:r="http://schemas.openxmlformats.org/officeDocument/2006/relationships" ref="E46" r:id="rId73"/>
    <hyperlink xmlns:r="http://schemas.openxmlformats.org/officeDocument/2006/relationships" ref="E47" r:id="rId74"/>
    <hyperlink xmlns:r="http://schemas.openxmlformats.org/officeDocument/2006/relationships" ref="E48" r:id="rId75"/>
    <hyperlink xmlns:r="http://schemas.openxmlformats.org/officeDocument/2006/relationships" ref="E49" r:id="rId76"/>
    <hyperlink xmlns:r="http://schemas.openxmlformats.org/officeDocument/2006/relationships" ref="E50" r:id="rId77"/>
    <hyperlink xmlns:r="http://schemas.openxmlformats.org/officeDocument/2006/relationships" ref="E51" r:id="rId78"/>
    <hyperlink xmlns:r="http://schemas.openxmlformats.org/officeDocument/2006/relationships" ref="E52" r:id="rId79"/>
    <hyperlink xmlns:r="http://schemas.openxmlformats.org/officeDocument/2006/relationships" ref="E53" r:id="rId80"/>
    <hyperlink xmlns:r="http://schemas.openxmlformats.org/officeDocument/2006/relationships" ref="E54" r:id="rId81"/>
    <hyperlink xmlns:r="http://schemas.openxmlformats.org/officeDocument/2006/relationships" ref="E55" r:id="rId82"/>
    <hyperlink xmlns:r="http://schemas.openxmlformats.org/officeDocument/2006/relationships" ref="E56" r:id="rId8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45" customWidth="1" min="2" max="2"/>
    <col width="13" customWidth="1" min="3" max="3"/>
    <col width="14" customWidth="1" min="4" max="4"/>
    <col width="15" customWidth="1" min="5" max="5"/>
    <col width="55" customWidth="1" min="6" max="6"/>
    <col width="60" customWidth="1" min="7" max="7"/>
    <col width="19" customWidth="1" min="8" max="8"/>
    <col width="18" customWidth="1" min="9" max="9"/>
    <col width="16" customWidth="1" min="10" max="10"/>
    <col width="14" customWidth="1" min="11" max="11"/>
    <col width="18" customWidth="1" min="12" max="12"/>
    <col width="10" customWidth="1" min="13" max="13"/>
    <col hidden="1" width="19" customWidth="1" min="14" max="14"/>
    <col width="12" customWidth="1" min="15" max="15"/>
    <col width="11" customWidth="1" min="16" max="16"/>
    <col width="12" customWidth="1" min="17" max="17"/>
    <col width="11" customWidth="1" min="18" max="18"/>
    <col width="12" customWidth="1" min="19" max="19"/>
    <col width="11" customWidth="1" min="20" max="20"/>
    <col width="12" customWidth="1" min="21" max="21"/>
    <col width="11" customWidth="1" min="22" max="22"/>
    <col width="12" customWidth="1" min="23" max="23"/>
    <col width="11" customWidth="1" min="24" max="24"/>
    <col width="12" customWidth="1" min="25" max="25"/>
    <col width="11" customWidth="1" min="26" max="26"/>
  </cols>
  <sheetData>
    <row r="1">
      <c r="A1" s="3" t="inlineStr">
        <is>
          <t>Health Icon</t>
        </is>
      </c>
      <c r="B1" s="3" t="inlineStr">
        <is>
          <t>URL</t>
        </is>
      </c>
      <c r="C1" s="3" t="inlineStr">
        <is>
          <t>Status Code</t>
        </is>
      </c>
      <c r="D1" s="3" t="inlineStr">
        <is>
          <t>Indexability</t>
        </is>
      </c>
      <c r="E1" s="3" t="inlineStr">
        <is>
          <t>Load Time (s)</t>
        </is>
      </c>
      <c r="F1" s="3" t="inlineStr">
        <is>
          <t>Title</t>
        </is>
      </c>
      <c r="G1" s="3" t="inlineStr">
        <is>
          <t>Meta Description</t>
        </is>
      </c>
      <c r="H1" s="3" t="inlineStr">
        <is>
          <t>Word Count (Body)</t>
        </is>
      </c>
      <c r="I1" s="3" t="inlineStr">
        <is>
          <t>SEO Health Score</t>
        </is>
      </c>
      <c r="J1" s="3" t="inlineStr">
        <is>
          <t>Severity Badge</t>
        </is>
      </c>
      <c r="K1" s="3" t="inlineStr">
        <is>
          <t>Title Length</t>
        </is>
      </c>
      <c r="L1" s="3" t="inlineStr">
        <is>
          <t>Meta Desc Length</t>
        </is>
      </c>
      <c r="M1" s="3" t="inlineStr">
        <is>
          <t>OG-Image</t>
        </is>
      </c>
      <c r="N1" s="3" t="inlineStr">
        <is>
          <t>Has Valid JSON-LD</t>
        </is>
      </c>
      <c r="O1" s="3" t="inlineStr">
        <is>
          <t>H1 Content</t>
        </is>
      </c>
      <c r="P1" s="3" t="inlineStr">
        <is>
          <t>H1 Length</t>
        </is>
      </c>
      <c r="Q1" s="3" t="inlineStr">
        <is>
          <t>H2 Content</t>
        </is>
      </c>
      <c r="R1" s="3" t="inlineStr">
        <is>
          <t>H2 Length</t>
        </is>
      </c>
      <c r="S1" s="3" t="inlineStr">
        <is>
          <t>H3 Content</t>
        </is>
      </c>
      <c r="T1" s="3" t="inlineStr">
        <is>
          <t>H3 Length</t>
        </is>
      </c>
      <c r="U1" s="3" t="inlineStr">
        <is>
          <t>H4 Content</t>
        </is>
      </c>
      <c r="V1" s="3" t="inlineStr">
        <is>
          <t>H4 Length</t>
        </is>
      </c>
      <c r="W1" s="3" t="inlineStr">
        <is>
          <t>H5 Content</t>
        </is>
      </c>
      <c r="X1" s="3" t="inlineStr">
        <is>
          <t>H5 Length</t>
        </is>
      </c>
      <c r="Y1" s="3" t="inlineStr">
        <is>
          <t>H6 Content</t>
        </is>
      </c>
      <c r="Z1" s="3" t="inlineStr">
        <is>
          <t>H6 Length</t>
        </is>
      </c>
      <c r="AA1" t="inlineStr">
        <is>
          <t>Technical View</t>
        </is>
      </c>
      <c r="AB1" s="36" t="inlineStr">
        <is>
          <t>BACK TO DASHBOARD</t>
        </is>
      </c>
    </row>
    <row r="2">
      <c r="A2" s="37" t="inlineStr">
        <is>
          <t>WARN 🟡</t>
        </is>
      </c>
      <c r="B2" s="46" t="inlineStr">
        <is>
          <t>https://asconafrica.org/</t>
        </is>
      </c>
      <c r="C2" s="4" t="n">
        <v>200</v>
      </c>
      <c r="D2" s="37" t="inlineStr">
        <is>
          <t>Indexable</t>
        </is>
      </c>
      <c r="E2" s="37" t="n">
        <v>3.173</v>
      </c>
      <c r="F2" s="37" t="inlineStr">
        <is>
          <t>Home Page - ASCON</t>
        </is>
      </c>
      <c r="G2" s="37" t="inlineStr">
        <is>
          <t>African Supply Chain Confederation Unifying Professional Bodies, Empowering African Supply Chains African Supply Chain Confederation Unifying Professional Bodies,Empowering African Supply Chains Who We Are About Us The African Supply Chain Confederation (ASCON) unifies professional African supply chain standards and networks.Through collaboration, education, and advocacy, ASCON aims to foster a cohesive and impactful supply chain ecosystem</t>
        </is>
      </c>
      <c r="H2" s="37" t="n">
        <v>1322</v>
      </c>
      <c r="I2" s="47" t="n">
        <v>59</v>
      </c>
      <c r="J2" s="38" t="inlineStr">
        <is>
          <t>Warning</t>
        </is>
      </c>
      <c r="K2" s="37" t="n">
        <v>17</v>
      </c>
      <c r="L2" s="37" t="n">
        <v>443</v>
      </c>
      <c r="M2" s="37" t="n">
        <v>0</v>
      </c>
      <c r="N2" s="37" t="b">
        <v>0</v>
      </c>
      <c r="O2" s="37" t="n">
        <v>0</v>
      </c>
      <c r="P2" s="37" t="n">
        <v>0</v>
      </c>
      <c r="Q2" s="37" t="n">
        <v>0</v>
      </c>
      <c r="R2" s="37" t="n">
        <v>0</v>
      </c>
      <c r="S2" s="37" t="n">
        <v>0</v>
      </c>
      <c r="T2" s="37" t="n">
        <v>0</v>
      </c>
      <c r="U2" s="37" t="n">
        <v>0</v>
      </c>
      <c r="V2" s="37" t="n">
        <v>0</v>
      </c>
      <c r="W2" s="37" t="n">
        <v>0</v>
      </c>
      <c r="X2" s="37" t="n">
        <v>0</v>
      </c>
      <c r="Y2" s="37" t="inlineStr">
        <is>
          <t>Warning</t>
        </is>
      </c>
      <c r="Z2" s="37" t="n">
        <v>0</v>
      </c>
      <c r="AA2">
        <f>IFERROR(HYPERLINK("#Technical!A"&amp;MATCH(B2,Technical!A:A,0),"Open Technical"),HYPERLINK("#Technical!A1","Open Technical"))</f>
        <v/>
      </c>
    </row>
    <row r="3">
      <c r="A3" s="6" t="inlineStr">
        <is>
          <t>WARN 🟡</t>
        </is>
      </c>
      <c r="B3" s="46" t="inlineStr">
        <is>
          <t>https://asconafrica.org/2026-ascon-awards/</t>
        </is>
      </c>
      <c r="C3" s="4" t="n">
        <v>200</v>
      </c>
      <c r="D3" s="6" t="inlineStr">
        <is>
          <t>Indexable</t>
        </is>
      </c>
      <c r="E3" s="6" t="n">
        <v>2.662</v>
      </c>
      <c r="F3" s="6" t="inlineStr">
        <is>
          <t>2026 ASCON Awards - ASCON</t>
        </is>
      </c>
      <c r="G3" s="6" t="inlineStr">
        <is>
          <t>2026 Conference 2026 Awards Hamburger Toggle Menu Celebrating the Leaders Shaping Africa’s boardrooms Nominations are Now Open for the 2026 ASCON Awards Submit Your Nomination View the Awards Brochure The Leadership Value Behind the Honour Gain Industry Recognition Boost Your Credibility Strengthen Your Positioning Enhance Your Visibility Join us in Celebrating the Future CEOs of</t>
        </is>
      </c>
      <c r="H3" s="6" t="n">
        <v>1488</v>
      </c>
      <c r="I3" s="47" t="n">
        <v>69</v>
      </c>
      <c r="J3" s="38" t="inlineStr">
        <is>
          <t>Warning</t>
        </is>
      </c>
      <c r="K3" s="6" t="n">
        <v>25</v>
      </c>
      <c r="L3" s="6" t="n">
        <v>382</v>
      </c>
      <c r="M3" s="6" t="n">
        <v>0</v>
      </c>
      <c r="N3" s="6" t="b">
        <v>0</v>
      </c>
      <c r="O3" s="6" t="n">
        <v>0</v>
      </c>
      <c r="P3" s="6" t="n">
        <v>0</v>
      </c>
      <c r="Q3" s="6" t="n">
        <v>0</v>
      </c>
      <c r="R3" s="6" t="n">
        <v>0</v>
      </c>
      <c r="S3" s="6" t="n">
        <v>0</v>
      </c>
      <c r="T3" s="6" t="n">
        <v>0</v>
      </c>
      <c r="U3" s="6" t="n">
        <v>0</v>
      </c>
      <c r="V3" s="6" t="n">
        <v>0</v>
      </c>
      <c r="W3" s="6" t="n">
        <v>0</v>
      </c>
      <c r="X3" s="6" t="n">
        <v>0</v>
      </c>
      <c r="Y3" s="6" t="inlineStr">
        <is>
          <t>Warning</t>
        </is>
      </c>
      <c r="Z3" s="6" t="n">
        <v>0</v>
      </c>
      <c r="AA3">
        <f>IFERROR(HYPERLINK("#Technical!A"&amp;MATCH(B3,Technical!A:A,0),"Open Technical"),HYPERLINK("#Technical!A1","Open Technical"))</f>
        <v/>
      </c>
    </row>
    <row r="4" ht="30" customHeight="1">
      <c r="A4" s="37" t="inlineStr">
        <is>
          <t>WARN 🟡</t>
        </is>
      </c>
      <c r="B4" s="46" t="inlineStr">
        <is>
          <t>https://asconafrica.org/2026-ascon-awards/thank-you-for-your-nomination/</t>
        </is>
      </c>
      <c r="C4" s="4" t="n">
        <v>200</v>
      </c>
      <c r="D4" s="37" t="inlineStr">
        <is>
          <t>Indexable</t>
        </is>
      </c>
      <c r="E4" s="37" t="n">
        <v>0.582</v>
      </c>
      <c r="F4" s="37" t="inlineStr">
        <is>
          <t>Thank You for Your Nomination – ASCON Awards - ASCON</t>
        </is>
      </c>
      <c r="G4" s="37" t="inlineStr">
        <is>
          <t>2026 Launch Event 2026 Conference Hamburger Toggle Menu Thank you for your nomination Recognising the Future CEOs of Africa 2026 ASCON Awards25 September 2026 You’ve helped recognise leadership across Africa’s supply chain. We look forward to seeing you at the 2026 ASCON Conference.</t>
        </is>
      </c>
      <c r="H4" s="37" t="n">
        <v>114</v>
      </c>
      <c r="I4" s="47" t="n">
        <v>59</v>
      </c>
      <c r="J4" s="38" t="inlineStr">
        <is>
          <t>Warning</t>
        </is>
      </c>
      <c r="K4" s="37" t="n">
        <v>52</v>
      </c>
      <c r="L4" s="37" t="n">
        <v>283</v>
      </c>
      <c r="M4" s="37" t="n">
        <v>0</v>
      </c>
      <c r="N4" s="37" t="b">
        <v>0</v>
      </c>
      <c r="O4" s="37" t="n">
        <v>0</v>
      </c>
      <c r="P4" s="37" t="n">
        <v>0</v>
      </c>
      <c r="Q4" s="37" t="n">
        <v>0</v>
      </c>
      <c r="R4" s="37" t="n">
        <v>0</v>
      </c>
      <c r="S4" s="37" t="n">
        <v>0</v>
      </c>
      <c r="T4" s="37" t="n">
        <v>0</v>
      </c>
      <c r="U4" s="37" t="n">
        <v>0</v>
      </c>
      <c r="V4" s="37" t="n">
        <v>0</v>
      </c>
      <c r="W4" s="37" t="n">
        <v>0</v>
      </c>
      <c r="X4" s="37" t="n">
        <v>0</v>
      </c>
      <c r="Y4" s="37" t="inlineStr">
        <is>
          <t>Warning</t>
        </is>
      </c>
      <c r="Z4" s="37" t="n">
        <v>0</v>
      </c>
      <c r="AA4">
        <f>IFERROR(HYPERLINK("#Technical!A"&amp;MATCH(B4,Technical!A:A,0),"Open Technical"),HYPERLINK("#Technical!A1","Open Technical"))</f>
        <v/>
      </c>
    </row>
    <row r="5">
      <c r="A5" s="6" t="inlineStr">
        <is>
          <t>WARN 🟡</t>
        </is>
      </c>
      <c r="B5" s="46" t="inlineStr">
        <is>
          <t>https://asconafrica.org/2026-ascon-conference/</t>
        </is>
      </c>
      <c r="C5" s="4" t="n">
        <v>200</v>
      </c>
      <c r="D5" s="6" t="inlineStr">
        <is>
          <t>Indexable</t>
        </is>
      </c>
      <c r="E5" s="6" t="n">
        <v>0.022</v>
      </c>
      <c r="F5" s="6" t="inlineStr">
        <is>
          <t>2026 ASCON Conference - ASCON</t>
        </is>
      </c>
      <c r="G5" s="6" t="inlineStr">
        <is>
          <t>2026 Conference Hamburger Toggle Menu 2026 ASCON Conference Conference 0 Days 0 Speakers 0 23-25 September 2026 Livingstone, Zambia Where Africa’s Supply Chain Leaders Shape Tomorrow The ASCON Conference is the premier gathering for supply chain leaders, innovators, and professionals across Africa. This three-day event will advance knowledge, strengthen networks, and accelerate Africa’s integration into global</t>
        </is>
      </c>
      <c r="H5" s="6" t="n">
        <v>1422</v>
      </c>
      <c r="I5" s="47" t="n">
        <v>69</v>
      </c>
      <c r="J5" s="38" t="inlineStr">
        <is>
          <t>Warning</t>
        </is>
      </c>
      <c r="K5" s="6" t="n">
        <v>29</v>
      </c>
      <c r="L5" s="6" t="n">
        <v>413</v>
      </c>
      <c r="M5" s="6" t="n">
        <v>0</v>
      </c>
      <c r="N5" s="6" t="b">
        <v>0</v>
      </c>
      <c r="O5" s="6" t="n">
        <v>0</v>
      </c>
      <c r="P5" s="6" t="n">
        <v>0</v>
      </c>
      <c r="Q5" s="6" t="n">
        <v>0</v>
      </c>
      <c r="R5" s="6" t="n">
        <v>0</v>
      </c>
      <c r="S5" s="6" t="n">
        <v>0</v>
      </c>
      <c r="T5" s="6" t="n">
        <v>0</v>
      </c>
      <c r="U5" s="6" t="n">
        <v>0</v>
      </c>
      <c r="V5" s="6" t="n">
        <v>0</v>
      </c>
      <c r="W5" s="6" t="n">
        <v>0</v>
      </c>
      <c r="X5" s="6" t="n">
        <v>0</v>
      </c>
      <c r="Y5" s="6" t="inlineStr">
        <is>
          <t>Warning</t>
        </is>
      </c>
      <c r="Z5" s="6" t="n">
        <v>0</v>
      </c>
      <c r="AA5">
        <f>IFERROR(HYPERLINK("#Technical!A"&amp;MATCH(B5,Technical!A:A,0),"Open Technical"),HYPERLINK("#Technical!A1","Open Technical"))</f>
        <v/>
      </c>
    </row>
    <row r="6" ht="30" customHeight="1">
      <c r="A6" s="37" t="inlineStr">
        <is>
          <t>WARN 🟡</t>
        </is>
      </c>
      <c r="B6" s="46" t="inlineStr">
        <is>
          <t>https://asconafrica.org/2026-ascon-conference/thank-you-for-signing-up/</t>
        </is>
      </c>
      <c r="C6" s="4" t="n">
        <v>200</v>
      </c>
      <c r="D6" s="37" t="inlineStr">
        <is>
          <t>Indexable</t>
        </is>
      </c>
      <c r="E6" s="37" t="n">
        <v>0.658</v>
      </c>
      <c r="F6" s="37" t="inlineStr">
        <is>
          <t>Thank You for Signing Up – ASCON Conference - ASCON</t>
        </is>
      </c>
      <c r="G6" s="37" t="inlineStr">
        <is>
          <t>2026 Launch Event 2026 Conference Hamburger Toggle Menu You’re now connected to Africa’s supply chain future. 2026 ASCON Conference23-25 September 2026 Thank you for signing up for updates on the 2026 ASCON Conference.A confirmation email is on its way to your inbox.</t>
        </is>
      </c>
      <c r="H6" s="37" t="n">
        <v>113</v>
      </c>
      <c r="I6" s="47" t="n">
        <v>59</v>
      </c>
      <c r="J6" s="38" t="inlineStr">
        <is>
          <t>Warning</t>
        </is>
      </c>
      <c r="K6" s="37" t="n">
        <v>51</v>
      </c>
      <c r="L6" s="37" t="n">
        <v>267</v>
      </c>
      <c r="M6" s="37" t="n">
        <v>0</v>
      </c>
      <c r="N6" s="37" t="b">
        <v>0</v>
      </c>
      <c r="O6" s="37" t="n">
        <v>0</v>
      </c>
      <c r="P6" s="37" t="n">
        <v>0</v>
      </c>
      <c r="Q6" s="37" t="n">
        <v>0</v>
      </c>
      <c r="R6" s="37" t="n">
        <v>0</v>
      </c>
      <c r="S6" s="37" t="n">
        <v>0</v>
      </c>
      <c r="T6" s="37" t="n">
        <v>0</v>
      </c>
      <c r="U6" s="37" t="n">
        <v>0</v>
      </c>
      <c r="V6" s="37" t="n">
        <v>0</v>
      </c>
      <c r="W6" s="37" t="n">
        <v>0</v>
      </c>
      <c r="X6" s="37" t="n">
        <v>0</v>
      </c>
      <c r="Y6" s="37" t="inlineStr">
        <is>
          <t>Warning</t>
        </is>
      </c>
      <c r="Z6" s="37" t="n">
        <v>0</v>
      </c>
      <c r="AA6">
        <f>IFERROR(HYPERLINK("#Technical!A"&amp;MATCH(B6,Technical!A:A,0),"Open Technical"),HYPERLINK("#Technical!A1","Open Technical"))</f>
        <v/>
      </c>
    </row>
    <row r="7">
      <c r="A7" s="6" t="inlineStr">
        <is>
          <t>WARN 🟡</t>
        </is>
      </c>
      <c r="B7" s="46" t="inlineStr">
        <is>
          <t>https://asconafrica.org/about-us/</t>
        </is>
      </c>
      <c r="C7" s="4" t="n">
        <v>200</v>
      </c>
      <c r="D7" s="6" t="inlineStr">
        <is>
          <t>Indexable</t>
        </is>
      </c>
      <c r="E7" s="6" t="n">
        <v>0.013</v>
      </c>
      <c r="F7" s="6" t="inlineStr">
        <is>
          <t>About Us - ASCON</t>
        </is>
      </c>
      <c r="G7" s="6" t="inlineStr">
        <is>
          <t>Building Africa’s Supply Chain Future Together By connecting national efforts, supporting institutional growth, and enabling collaboration that accelerates progress across the continent. Who We Are The African Supply Chain Confederation (ASCON) is Africa’s Pan‑African continental body for supply chain excellence, uniting professionals and institutions to build shared standards and stronger capacity across regions. Established in 2025, it</t>
        </is>
      </c>
      <c r="H7" s="6" t="n">
        <v>950</v>
      </c>
      <c r="I7" s="47" t="n">
        <v>69</v>
      </c>
      <c r="J7" s="38" t="inlineStr">
        <is>
          <t>Warning</t>
        </is>
      </c>
      <c r="K7" s="6" t="n">
        <v>16</v>
      </c>
      <c r="L7" s="6" t="n">
        <v>441</v>
      </c>
      <c r="M7" s="6" t="n">
        <v>0</v>
      </c>
      <c r="N7" s="6" t="b">
        <v>0</v>
      </c>
      <c r="O7" s="6" t="n">
        <v>0</v>
      </c>
      <c r="P7" s="6" t="n">
        <v>0</v>
      </c>
      <c r="Q7" s="6" t="n">
        <v>0</v>
      </c>
      <c r="R7" s="6" t="n">
        <v>0</v>
      </c>
      <c r="S7" s="6" t="n">
        <v>0</v>
      </c>
      <c r="T7" s="6" t="n">
        <v>0</v>
      </c>
      <c r="U7" s="6" t="n">
        <v>0</v>
      </c>
      <c r="V7" s="6" t="n">
        <v>0</v>
      </c>
      <c r="W7" s="6" t="n">
        <v>0</v>
      </c>
      <c r="X7" s="6" t="n">
        <v>0</v>
      </c>
      <c r="Y7" s="6" t="inlineStr">
        <is>
          <t>Warning</t>
        </is>
      </c>
      <c r="Z7" s="6" t="n">
        <v>0</v>
      </c>
      <c r="AA7">
        <f>IFERROR(HYPERLINK("#Technical!A"&amp;MATCH(B7,Technical!A:A,0),"Open Technical"),HYPERLINK("#Technical!A1","Open Technical"))</f>
        <v/>
      </c>
    </row>
    <row r="8">
      <c r="A8" s="37" t="inlineStr">
        <is>
          <t>WARN 🟡</t>
        </is>
      </c>
      <c r="B8" s="46" t="inlineStr">
        <is>
          <t>https://asconafrica.org/contact-us/</t>
        </is>
      </c>
      <c r="C8" s="4" t="n">
        <v>200</v>
      </c>
      <c r="D8" s="37" t="inlineStr">
        <is>
          <t>Indexable</t>
        </is>
      </c>
      <c r="E8" s="37" t="n">
        <v>0.598</v>
      </c>
      <c r="F8" s="37" t="inlineStr">
        <is>
          <t>Contact Us - ASCON</t>
        </is>
      </c>
      <c r="G8" s="37" t="inlineStr">
        <is>
          <t>Reach Us Anytime Partner with ASCON to advance professionalism, collaboration, and innovation across the continent. Name(Required) First Last Email(Required) Enter Email Confirm Email Comments(Required)Please let us know what's on your mind. Have a question for us? Ask away. Δ National Office Johannesburg Number 2, 3rd Avenue, Parktown, Johannesburg, 2193 info@asconafrica.org</t>
        </is>
      </c>
      <c r="H8" s="37" t="n">
        <v>124</v>
      </c>
      <c r="I8" s="47" t="n">
        <v>49</v>
      </c>
      <c r="J8" s="38" t="inlineStr">
        <is>
          <t>Warning</t>
        </is>
      </c>
      <c r="K8" s="37" t="n">
        <v>18</v>
      </c>
      <c r="L8" s="37" t="n">
        <v>378</v>
      </c>
      <c r="M8" s="37" t="n">
        <v>0</v>
      </c>
      <c r="N8" s="37" t="b">
        <v>0</v>
      </c>
      <c r="O8" s="37" t="n">
        <v>0</v>
      </c>
      <c r="P8" s="37" t="n">
        <v>0</v>
      </c>
      <c r="Q8" s="37" t="n">
        <v>0</v>
      </c>
      <c r="R8" s="37" t="n">
        <v>0</v>
      </c>
      <c r="S8" s="37" t="n">
        <v>0</v>
      </c>
      <c r="T8" s="37" t="n">
        <v>0</v>
      </c>
      <c r="U8" s="37" t="n">
        <v>0</v>
      </c>
      <c r="V8" s="37" t="n">
        <v>0</v>
      </c>
      <c r="W8" s="37" t="n">
        <v>0</v>
      </c>
      <c r="X8" s="37" t="n">
        <v>0</v>
      </c>
      <c r="Y8" s="37" t="inlineStr">
        <is>
          <t>Warning</t>
        </is>
      </c>
      <c r="Z8" s="37" t="n">
        <v>0</v>
      </c>
      <c r="AA8">
        <f>IFERROR(HYPERLINK("#Technical!A"&amp;MATCH(B8,Technical!A:A,0),"Open Technical"),HYPERLINK("#Technical!A1","Open Technical"))</f>
        <v/>
      </c>
    </row>
    <row r="9" ht="30" customHeight="1">
      <c r="A9" s="6" t="inlineStr">
        <is>
          <t>WARN 🟡</t>
        </is>
      </c>
      <c r="B9" s="46" t="inlineStr">
        <is>
          <t>https://asconafrica.org/launch-event-2026-ascon-conference/</t>
        </is>
      </c>
      <c r="C9" s="4" t="n">
        <v>200</v>
      </c>
      <c r="D9" s="6" t="inlineStr">
        <is>
          <t>Indexable</t>
        </is>
      </c>
      <c r="E9" s="6" t="n">
        <v>0.026</v>
      </c>
      <c r="F9" s="6" t="inlineStr">
        <is>
          <t>Launch Event – 2026 ASCON Conference - ASCON</t>
        </is>
      </c>
      <c r="G9" s="6" t="inlineStr">
        <is>
          <t>2026 Launch Event 2026 Conference Hamburger Toggle Menu Africa’s Rise Starts Here Official Launch Event for the2026 ASCON Conference The 2026 ASCON Conferencehas Official been Launched Shape the Future of the Continent The journey toward 2026 has officially begun. If you missed the live launch of the 2026 ASCON Conference, you can now watch the</t>
        </is>
      </c>
      <c r="H9" s="6" t="n">
        <v>747</v>
      </c>
      <c r="I9" s="47" t="n">
        <v>69</v>
      </c>
      <c r="J9" s="38" t="inlineStr">
        <is>
          <t>Warning</t>
        </is>
      </c>
      <c r="K9" s="6" t="n">
        <v>44</v>
      </c>
      <c r="L9" s="6" t="n">
        <v>346</v>
      </c>
      <c r="M9" s="6" t="n">
        <v>0</v>
      </c>
      <c r="N9" s="6" t="b">
        <v>0</v>
      </c>
      <c r="O9" s="6" t="n">
        <v>0</v>
      </c>
      <c r="P9" s="6" t="n">
        <v>0</v>
      </c>
      <c r="Q9" s="6" t="n">
        <v>0</v>
      </c>
      <c r="R9" s="6" t="n">
        <v>0</v>
      </c>
      <c r="S9" s="6" t="n">
        <v>0</v>
      </c>
      <c r="T9" s="6" t="n">
        <v>0</v>
      </c>
      <c r="U9" s="6" t="n">
        <v>0</v>
      </c>
      <c r="V9" s="6" t="n">
        <v>0</v>
      </c>
      <c r="W9" s="6" t="n">
        <v>0</v>
      </c>
      <c r="X9" s="6" t="n">
        <v>0</v>
      </c>
      <c r="Y9" s="6" t="inlineStr">
        <is>
          <t>Warning</t>
        </is>
      </c>
      <c r="Z9" s="6" t="n">
        <v>0</v>
      </c>
      <c r="AA9">
        <f>IFERROR(HYPERLINK("#Technical!A"&amp;MATCH(B9,Technical!A:A,0),"Open Technical"),HYPERLINK("#Technical!A1","Open Technical"))</f>
        <v/>
      </c>
    </row>
    <row r="10" ht="45" customHeight="1">
      <c r="A10" s="37" t="inlineStr">
        <is>
          <t>WARN 🟡</t>
        </is>
      </c>
      <c r="B10" s="46" t="inlineStr">
        <is>
          <t>https://asconafrica.org/launch-event-2026-ascon-conference/thank-you-for-registering-conference-launch/</t>
        </is>
      </c>
      <c r="C10" s="4" t="n">
        <v>200</v>
      </c>
      <c r="D10" s="37" t="inlineStr">
        <is>
          <t>Indexable</t>
        </is>
      </c>
      <c r="E10" s="37" t="n">
        <v>0.702</v>
      </c>
      <c r="F10" s="37" t="inlineStr">
        <is>
          <t>Thank You for Registering – Conference Launch - ASCON</t>
        </is>
      </c>
      <c r="G10" s="37" t="inlineStr">
        <is>
          <t>2026 Launch Event 2026 Conference Hamburger Toggle Menu Africa’s Rise Starts Here Thank you for registering for the 2026 ASCON Conference Launch Event A confirmation email is on its way to your inbox.</t>
        </is>
      </c>
      <c r="H10" s="37" t="n">
        <v>102</v>
      </c>
      <c r="I10" s="47" t="n">
        <v>59</v>
      </c>
      <c r="J10" s="38" t="inlineStr">
        <is>
          <t>Warning</t>
        </is>
      </c>
      <c r="K10" s="37" t="n">
        <v>53</v>
      </c>
      <c r="L10" s="37" t="n">
        <v>200</v>
      </c>
      <c r="M10" s="37" t="n">
        <v>0</v>
      </c>
      <c r="N10" s="37" t="b">
        <v>0</v>
      </c>
      <c r="O10" s="37" t="n">
        <v>0</v>
      </c>
      <c r="P10" s="37" t="n">
        <v>0</v>
      </c>
      <c r="Q10" s="37" t="n">
        <v>0</v>
      </c>
      <c r="R10" s="37" t="n">
        <v>0</v>
      </c>
      <c r="S10" s="37" t="n">
        <v>0</v>
      </c>
      <c r="T10" s="37" t="n">
        <v>0</v>
      </c>
      <c r="U10" s="37" t="n">
        <v>0</v>
      </c>
      <c r="V10" s="37" t="n">
        <v>0</v>
      </c>
      <c r="W10" s="37" t="n">
        <v>0</v>
      </c>
      <c r="X10" s="37" t="n">
        <v>0</v>
      </c>
      <c r="Y10" s="37" t="inlineStr">
        <is>
          <t>Warning</t>
        </is>
      </c>
      <c r="Z10" s="37" t="n">
        <v>0</v>
      </c>
      <c r="AA10">
        <f>IFERROR(HYPERLINK("#Technical!A"&amp;MATCH(B10,Technical!A:A,0),"Open Technical"),HYPERLINK("#Technical!A1","Open Technical"))</f>
        <v/>
      </c>
    </row>
    <row r="11">
      <c r="A11" s="6" t="inlineStr">
        <is>
          <t>WARN 🟡</t>
        </is>
      </c>
      <c r="B11" s="46" t="inlineStr">
        <is>
          <t>https://asconafrica.org/news/</t>
        </is>
      </c>
      <c r="C11" s="4" t="n">
        <v>200</v>
      </c>
      <c r="D11" s="6" t="inlineStr">
        <is>
          <t>Indexable</t>
        </is>
      </c>
      <c r="E11" s="6" t="n">
        <v>0.017</v>
      </c>
      <c r="F11" s="6" t="inlineStr">
        <is>
          <t>News - ASCON</t>
        </is>
      </c>
      <c r="G11" s="6" t="inlineStr">
        <is>
          <t>Insights That Shape Africa’s Supply Chain Future Stay informed with the latest updates, thought leadership, and industry trends from ASCON and our member organisations. Featured News Africa Rises as Three Continental Conferences...Three African bodies unite to launch conferences driving marketing, technology and supply chain growth, advancing the continent’s ‘Africa Rising’ vision. February 25, 2026 Read</t>
        </is>
      </c>
      <c r="H11" s="6" t="n">
        <v>313</v>
      </c>
      <c r="I11" s="47" t="n">
        <v>59</v>
      </c>
      <c r="J11" s="38" t="inlineStr">
        <is>
          <t>Warning</t>
        </is>
      </c>
      <c r="K11" s="6" t="n">
        <v>12</v>
      </c>
      <c r="L11" s="6" t="n">
        <v>407</v>
      </c>
      <c r="M11" s="6" t="n">
        <v>0</v>
      </c>
      <c r="N11" s="6" t="b">
        <v>0</v>
      </c>
      <c r="O11" s="6" t="n">
        <v>0</v>
      </c>
      <c r="P11" s="6" t="n">
        <v>0</v>
      </c>
      <c r="Q11" s="6" t="n">
        <v>0</v>
      </c>
      <c r="R11" s="6" t="n">
        <v>0</v>
      </c>
      <c r="S11" s="6" t="n">
        <v>0</v>
      </c>
      <c r="T11" s="6" t="n">
        <v>0</v>
      </c>
      <c r="U11" s="6" t="n">
        <v>0</v>
      </c>
      <c r="V11" s="6" t="n">
        <v>0</v>
      </c>
      <c r="W11" s="6" t="n">
        <v>0</v>
      </c>
      <c r="X11" s="6" t="n">
        <v>0</v>
      </c>
      <c r="Y11" s="6" t="inlineStr">
        <is>
          <t>Warning</t>
        </is>
      </c>
      <c r="Z11" s="6" t="n">
        <v>0</v>
      </c>
      <c r="AA11">
        <f>IFERROR(HYPERLINK("#Technical!A"&amp;MATCH(B11,Technical!A:A,0),"Open Technical"),HYPERLINK("#Technical!A1","Open Technical"))</f>
        <v/>
      </c>
    </row>
    <row r="12">
      <c r="A12" s="37" t="inlineStr">
        <is>
          <t>WARN 🟡</t>
        </is>
      </c>
      <c r="B12" s="46" t="inlineStr">
        <is>
          <t>https://asconafrica.org/our-members/</t>
        </is>
      </c>
      <c r="C12" s="4" t="n">
        <v>200</v>
      </c>
      <c r="D12" s="37" t="inlineStr">
        <is>
          <t>Indexable</t>
        </is>
      </c>
      <c r="E12" s="37" t="n">
        <v>0.839</v>
      </c>
      <c r="F12" s="37" t="inlineStr">
        <is>
          <t>Our Members - ASCON</t>
        </is>
      </c>
      <c r="G12" s="37" t="inlineStr">
        <is>
          <t>Our Members United for Africa’s Supply Chain Excellence One Vision. We celebrate the diversity of our membership and recognise the invaluable contributions of both longstanding pioneers and emerging leaders. Every member organisation plays a vital role in shaping Africa’s supply chain future.Ready to join this continental movement? Apply for Membership Today Our Members The African</t>
        </is>
      </c>
      <c r="H12" s="37" t="n">
        <v>208</v>
      </c>
      <c r="I12" s="47" t="n">
        <v>59</v>
      </c>
      <c r="J12" s="38" t="inlineStr">
        <is>
          <t>Warning</t>
        </is>
      </c>
      <c r="K12" s="37" t="n">
        <v>19</v>
      </c>
      <c r="L12" s="37" t="n">
        <v>384</v>
      </c>
      <c r="M12" s="37" t="n">
        <v>0</v>
      </c>
      <c r="N12" s="37" t="b">
        <v>0</v>
      </c>
      <c r="O12" s="37" t="n">
        <v>0</v>
      </c>
      <c r="P12" s="37" t="n">
        <v>0</v>
      </c>
      <c r="Q12" s="37" t="n">
        <v>0</v>
      </c>
      <c r="R12" s="37" t="n">
        <v>0</v>
      </c>
      <c r="S12" s="37" t="n">
        <v>0</v>
      </c>
      <c r="T12" s="37" t="n">
        <v>0</v>
      </c>
      <c r="U12" s="37" t="n">
        <v>0</v>
      </c>
      <c r="V12" s="37" t="n">
        <v>0</v>
      </c>
      <c r="W12" s="37" t="n">
        <v>0</v>
      </c>
      <c r="X12" s="37" t="n">
        <v>0</v>
      </c>
      <c r="Y12" s="37" t="inlineStr">
        <is>
          <t>Warning</t>
        </is>
      </c>
      <c r="Z12" s="37" t="n">
        <v>0</v>
      </c>
      <c r="AA12">
        <f>IFERROR(HYPERLINK("#Technical!A"&amp;MATCH(B12,Technical!A:A,0),"Open Technical"),HYPERLINK("#Technical!A1","Open Technical"))</f>
        <v/>
      </c>
    </row>
    <row r="13">
      <c r="A13" s="6" t="inlineStr">
        <is>
          <t>WARN 🟡</t>
        </is>
      </c>
      <c r="B13" s="46" t="inlineStr">
        <is>
          <t>https://asconafrica.org/privacy-policy/</t>
        </is>
      </c>
      <c r="C13" s="4" t="n">
        <v>200</v>
      </c>
      <c r="D13" s="6" t="inlineStr">
        <is>
          <t>Indexable</t>
        </is>
      </c>
      <c r="E13" s="6" t="n">
        <v>0.547</v>
      </c>
      <c r="F13" s="6" t="inlineStr">
        <is>
          <t>Privacy Policy - ASCON</t>
        </is>
      </c>
      <c r="G13" s="6" t="inlineStr">
        <is>
          <t>Privacy Policy Last updated March 26, 2026 This privacy notice for African Supply Chain Confederation (ASCON) ('we', 'us', or 'our'), describes how and why we might collect, store, use, and/or share ('process') your information when you use our services ('Services'), such as when you: Visit our website at https://asconafrica.org/, or any website of ours that links to this privacy notice Engage</t>
        </is>
      </c>
      <c r="H13" s="6" t="n">
        <v>2952</v>
      </c>
      <c r="I13" s="47" t="n">
        <v>65</v>
      </c>
      <c r="J13" s="38" t="inlineStr">
        <is>
          <t>Warning</t>
        </is>
      </c>
      <c r="K13" s="6" t="n">
        <v>22</v>
      </c>
      <c r="L13" s="6" t="n">
        <v>396</v>
      </c>
      <c r="M13" s="6" t="n">
        <v>0</v>
      </c>
      <c r="N13" s="6" t="b">
        <v>0</v>
      </c>
      <c r="O13" s="6" t="n">
        <v>0</v>
      </c>
      <c r="P13" s="6" t="n">
        <v>0</v>
      </c>
      <c r="Q13" s="6" t="n">
        <v>0</v>
      </c>
      <c r="R13" s="6" t="n">
        <v>0</v>
      </c>
      <c r="S13" s="6" t="n">
        <v>0</v>
      </c>
      <c r="T13" s="6" t="n">
        <v>0</v>
      </c>
      <c r="U13" s="6" t="n">
        <v>0</v>
      </c>
      <c r="V13" s="6" t="n">
        <v>0</v>
      </c>
      <c r="W13" s="6" t="n">
        <v>0</v>
      </c>
      <c r="X13" s="6" t="n">
        <v>0</v>
      </c>
      <c r="Y13" s="6" t="inlineStr">
        <is>
          <t>Warning</t>
        </is>
      </c>
      <c r="Z13" s="6" t="n">
        <v>0</v>
      </c>
      <c r="AA13">
        <f>IFERROR(HYPERLINK("#Technical!A"&amp;MATCH(B13,Technical!A:A,0),"Open Technical"),HYPERLINK("#Technical!A1","Open Technical"))</f>
        <v/>
      </c>
    </row>
    <row r="14" ht="30" customHeight="1">
      <c r="A14" s="37" t="inlineStr">
        <is>
          <t>WARN 🟡</t>
        </is>
      </c>
      <c r="B14" s="46" t="inlineStr">
        <is>
          <t>https://asconafrica.org/thank-you-for-signing-up-for-updates/</t>
        </is>
      </c>
      <c r="C14" s="4" t="n">
        <v>200</v>
      </c>
      <c r="D14" s="37" t="inlineStr">
        <is>
          <t>Indexable</t>
        </is>
      </c>
      <c r="E14" s="37" t="n">
        <v>0.546</v>
      </c>
      <c r="F14" s="37" t="inlineStr">
        <is>
          <t>Thank You for Signing Up for Updates - ASCON</t>
        </is>
      </c>
      <c r="G14" s="37" t="inlineStr">
        <is>
          <t>Welcome to Africa’s Supply Chain Excellence Thank you for signing up for ASCON updates. Look out for news, announcements, and event insights in your inbox.</t>
        </is>
      </c>
      <c r="H14" s="37" t="n">
        <v>95</v>
      </c>
      <c r="I14" s="47" t="n">
        <v>59</v>
      </c>
      <c r="J14" s="38" t="inlineStr">
        <is>
          <t>Warning</t>
        </is>
      </c>
      <c r="K14" s="37" t="n">
        <v>44</v>
      </c>
      <c r="L14" s="37" t="n">
        <v>155</v>
      </c>
      <c r="M14" s="37" t="n">
        <v>0</v>
      </c>
      <c r="N14" s="37" t="b">
        <v>0</v>
      </c>
      <c r="O14" s="37" t="n">
        <v>0</v>
      </c>
      <c r="P14" s="37" t="n">
        <v>0</v>
      </c>
      <c r="Q14" s="37" t="n">
        <v>0</v>
      </c>
      <c r="R14" s="37" t="n">
        <v>0</v>
      </c>
      <c r="S14" s="37" t="n">
        <v>0</v>
      </c>
      <c r="T14" s="37" t="n">
        <v>0</v>
      </c>
      <c r="U14" s="37" t="n">
        <v>0</v>
      </c>
      <c r="V14" s="37" t="n">
        <v>0</v>
      </c>
      <c r="W14" s="37" t="n">
        <v>0</v>
      </c>
      <c r="X14" s="37" t="n">
        <v>0</v>
      </c>
      <c r="Y14" s="37" t="inlineStr">
        <is>
          <t>Warning</t>
        </is>
      </c>
      <c r="Z14" s="37" t="n">
        <v>0</v>
      </c>
      <c r="AA14">
        <f>IFERROR(HYPERLINK("#Technical!A"&amp;MATCH(B14,Technical!A:A,0),"Open Technical"),HYPERLINK("#Technical!A1","Open Technical"))</f>
        <v/>
      </c>
    </row>
    <row r="15">
      <c r="A15" s="6" t="inlineStr">
        <is>
          <t>WARN 🟡</t>
        </is>
      </c>
      <c r="B15" s="46" t="inlineStr">
        <is>
          <t>https://asconafrica.org/unsubscribe-form/</t>
        </is>
      </c>
      <c r="C15" s="4" t="n">
        <v>200</v>
      </c>
      <c r="D15" s="6" t="inlineStr">
        <is>
          <t>Indexable</t>
        </is>
      </c>
      <c r="E15" s="6" t="n">
        <v>0.65</v>
      </c>
      <c r="F15" s="6" t="inlineStr">
        <is>
          <t>Unsubscribe Form - ASCON</t>
        </is>
      </c>
      <c r="G15" s="6" t="inlineStr">
        <is>
          <t>Unsubscribe Here We're collecting your information to verify and match it against our records. Unsubscribe Here Filling in this form allows us to accurately identify your entry and permanently remove your data from our database upon request. Your privacy is important to us, and no further communication will be sent once your details have been</t>
        </is>
      </c>
      <c r="H15" s="6" t="n">
        <v>148</v>
      </c>
      <c r="I15" s="47" t="n">
        <v>49</v>
      </c>
      <c r="J15" s="38" t="inlineStr">
        <is>
          <t>Warning</t>
        </is>
      </c>
      <c r="K15" s="6" t="n">
        <v>24</v>
      </c>
      <c r="L15" s="6" t="n">
        <v>344</v>
      </c>
      <c r="M15" s="6" t="n">
        <v>0</v>
      </c>
      <c r="N15" s="6" t="b">
        <v>0</v>
      </c>
      <c r="O15" s="6" t="n">
        <v>0</v>
      </c>
      <c r="P15" s="6" t="n">
        <v>0</v>
      </c>
      <c r="Q15" s="6" t="n">
        <v>0</v>
      </c>
      <c r="R15" s="6" t="n">
        <v>0</v>
      </c>
      <c r="S15" s="6" t="n">
        <v>0</v>
      </c>
      <c r="T15" s="6" t="n">
        <v>0</v>
      </c>
      <c r="U15" s="6" t="n">
        <v>0</v>
      </c>
      <c r="V15" s="6" t="n">
        <v>0</v>
      </c>
      <c r="W15" s="6" t="n">
        <v>0</v>
      </c>
      <c r="X15" s="6" t="n">
        <v>0</v>
      </c>
      <c r="Y15" s="6" t="inlineStr">
        <is>
          <t>Warning</t>
        </is>
      </c>
      <c r="Z15" s="6" t="n">
        <v>0</v>
      </c>
      <c r="AA15">
        <f>IFERROR(HYPERLINK("#Technical!A"&amp;MATCH(B15,Technical!A:A,0),"Open Technical"),HYPERLINK("#Technical!A1","Open Technical"))</f>
        <v/>
      </c>
    </row>
    <row r="16" ht="30" customHeight="1">
      <c r="A16" s="37" t="inlineStr">
        <is>
          <t>WARN 🟡</t>
        </is>
      </c>
      <c r="B16" s="46" t="inlineStr">
        <is>
          <t>https://asconafrica.org/unsubscribe-form/successfully-unsubscribed/</t>
        </is>
      </c>
      <c r="C16" s="4" t="n">
        <v>200</v>
      </c>
      <c r="D16" s="37" t="inlineStr">
        <is>
          <t>Indexable</t>
        </is>
      </c>
      <c r="E16" s="37" t="n">
        <v>0.552</v>
      </c>
      <c r="F16" s="37" t="inlineStr">
        <is>
          <t>Successfully Unsubscribed - ASCON</t>
        </is>
      </c>
      <c r="G16" s="37" t="inlineStr">
        <is>
          <t>We're sad to see you go You have been successfully unsubscribed.Your details will be removed from our mailing list.</t>
        </is>
      </c>
      <c r="H16" s="37" t="n">
        <v>90</v>
      </c>
      <c r="I16" s="47" t="n">
        <v>49</v>
      </c>
      <c r="J16" s="38" t="inlineStr">
        <is>
          <t>Warning</t>
        </is>
      </c>
      <c r="K16" s="37" t="n">
        <v>33</v>
      </c>
      <c r="L16" s="37" t="n">
        <v>115</v>
      </c>
      <c r="M16" s="37" t="n">
        <v>0</v>
      </c>
      <c r="N16" s="37" t="b">
        <v>0</v>
      </c>
      <c r="O16" s="37" t="n">
        <v>0</v>
      </c>
      <c r="P16" s="37" t="n">
        <v>0</v>
      </c>
      <c r="Q16" s="37" t="n">
        <v>0</v>
      </c>
      <c r="R16" s="37" t="n">
        <v>0</v>
      </c>
      <c r="S16" s="37" t="n">
        <v>0</v>
      </c>
      <c r="T16" s="37" t="n">
        <v>0</v>
      </c>
      <c r="U16" s="37" t="n">
        <v>0</v>
      </c>
      <c r="V16" s="37" t="n">
        <v>0</v>
      </c>
      <c r="W16" s="37" t="n">
        <v>0</v>
      </c>
      <c r="X16" s="37" t="n">
        <v>0</v>
      </c>
      <c r="Y16" s="37" t="inlineStr">
        <is>
          <t>Warning</t>
        </is>
      </c>
      <c r="Z16" s="37" t="n">
        <v>0</v>
      </c>
      <c r="AA16">
        <f>IFERROR(HYPERLINK("#Technical!A"&amp;MATCH(B16,Technical!A:A,0),"Open Technical"),HYPERLINK("#Technical!A1","Open Technical"))</f>
        <v/>
      </c>
    </row>
  </sheetData>
  <autoFilter ref="A1:Z16"/>
  <conditionalFormatting sqref="C2:C16">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E2:E16">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H2:H16">
    <cfRule type="colorScale" priority="6">
      <colorScale>
        <cfvo type="min"/>
        <cfvo type="percentile" val="50"/>
        <cfvo type="max"/>
        <color rgb="00F8696B"/>
        <color rgb="00FFEB84"/>
        <color rgb="0063BE7B"/>
      </colorScale>
    </cfRule>
    <cfRule type="dataBar" priority="7">
      <dataBar showValue="1">
        <cfvo type="min"/>
        <cfvo type="max"/>
        <color rgb="0063BE7B"/>
      </dataBar>
    </cfRule>
  </conditionalFormatting>
  <conditionalFormatting sqref="I2:I16">
    <cfRule type="colorScale" priority="8">
      <colorScale>
        <cfvo type="min"/>
        <cfvo type="percentile" val="50"/>
        <cfvo type="max"/>
        <color rgb="00F8696B"/>
        <color rgb="00FFEB84"/>
        <color rgb="0063BE7B"/>
      </colorScale>
    </cfRule>
  </conditionalFormatting>
  <conditionalFormatting sqref="J2:J16">
    <cfRule type="expression" priority="9" dxfId="2" stopIfTrue="1">
      <formula>LOWER(J2)="critical"</formula>
    </cfRule>
    <cfRule type="expression" priority="10" dxfId="3" stopIfTrue="1">
      <formula>LOWER(J2)="warning"</formula>
    </cfRule>
    <cfRule type="expression" priority="11" dxfId="0" stopIfTrue="1">
      <formula>LOWER(J2)="pass"</formula>
    </cfRule>
  </conditionalFormatting>
  <dataValidations count="30">
    <dataValidation sqref="A1" showDropDown="0" showInputMessage="1" showErrorMessage="0" allowBlank="1" promptTitle="Health Icon" prompt="Health Icon. Review this metric to identify risk, then use linked tabs for details and remediation." type="custom">
      <formula1>TRUE</formula1>
    </dataValidation>
    <dataValidation sqref="B1" showDropDown="0" showInputMessage="1" showErrorMessage="0" allowBlank="1" promptTitle="URL" prompt="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dexability" prompt="Indexing/canonicalization signal. Fix: ensure indexable pages use correct canonicals and non-conflicting directives." type="custom">
      <formula1>TRUE</formula1>
    </dataValidation>
    <dataValidation sqref="E1" showDropDown="0" showInputMessage="1" showErrorMessage="0" allowBlank="1" promptTitle="Load Time (s)" prompt="Page/request speed metric. Fix: optimise assets, server response time, and blocking resources." type="custom">
      <formula1>TRUE</formula1>
    </dataValidation>
    <dataValidation sqref="F1" showDropDown="0" showInputMessage="1" showErrorMessage="0" allowBlank="1" promptTitle="Title" prompt="Title. Review this metric to identify risk, then use linked tabs for details and remediation." type="custom">
      <formula1>TRUE</formula1>
    </dataValidation>
    <dataValidation sqref="G1" showDropDown="0" showInputMessage="1" showErrorMessage="0" allowBlank="1" promptTitle="Meta Description" prompt="Meta Description. Review this metric to identify risk, then use linked tabs for details and remediation." type="custom">
      <formula1>TRUE</formula1>
    </dataValidation>
    <dataValidation sqref="H1" showDropDown="0" showInputMessage="1" showErrorMessage="0" allowBlank="1" promptTitle="Word Count (Body)" prompt="Content quality depth metric. Fix: expand thin content and improve clarity for search intent." type="custom">
      <formula1>TRUE</formula1>
    </dataValidation>
    <dataValidation sqref="I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J1" showDropDown="0" showInputMessage="1" showErrorMessage="0" allowBlank="1" promptTitle="Severity Badge" prompt="Issue impact level. Fix: Resolve Critical first, then Warning, then improvement opportunities." type="custom">
      <formula1>TRUE</formula1>
    </dataValidation>
    <dataValidation sqref="K1" showDropDown="0" showInputMessage="1" showErrorMessage="0" allowBlank="1" promptTitle="Title Length" prompt="Title Length. Review this metric to identify risk, then use linked tabs for details and remediation." type="custom">
      <formula1>TRUE</formula1>
    </dataValidation>
    <dataValidation sqref="L1" showDropDown="0" showInputMessage="1" showErrorMessage="0" allowBlank="1" promptTitle="Meta Desc Length" prompt="Meta Desc Length. Review this metric to identify risk, then use linked tabs for details and remediation." type="custom">
      <formula1>TRUE</formula1>
    </dataValidation>
    <dataValidation sqref="M1" showDropDown="0" showInputMessage="1" showErrorMessage="0" allowBlank="1" promptTitle="OG-Image" prompt="OG-Image. Review this metric to identify risk, then use linked tabs for details and remediation." type="custom">
      <formula1>TRUE</formula1>
    </dataValidation>
    <dataValidation sqref="N1" showDropDown="0" showInputMessage="1" showErrorMessage="0" allowBlank="1" promptTitle="Has Valid JSON-LD" prompt="Structured data signal. Fix: add valid schema types and correct parsing/validation errors." type="custom">
      <formula1>TRUE</formula1>
    </dataValidation>
    <dataValidation sqref="O1" showDropDown="0" showInputMessage="1" showErrorMessage="0" allowBlank="1" promptTitle="H1 Content" prompt="H1 Content. Review this metric to identify risk, then use linked tabs for details and remediation." type="custom">
      <formula1>TRUE</formula1>
    </dataValidation>
    <dataValidation sqref="P1" showDropDown="0" showInputMessage="1" showErrorMessage="0" allowBlank="1" promptTitle="H1 Length" prompt="H1 Length. Review this metric to identify risk, then use linked tabs for details and remediation." type="custom">
      <formula1>TRUE</formula1>
    </dataValidation>
    <dataValidation sqref="Q1" showDropDown="0" showInputMessage="1" showErrorMessage="0" allowBlank="1" promptTitle="H2 Content" prompt="H2 Content. Review this metric to identify risk, then use linked tabs for details and remediation." type="custom">
      <formula1>TRUE</formula1>
    </dataValidation>
    <dataValidation sqref="R1" showDropDown="0" showInputMessage="1" showErrorMessage="0" allowBlank="1" promptTitle="H2 Length" prompt="H2 Length. Review this metric to identify risk, then use linked tabs for details and remediation." type="custom">
      <formula1>TRUE</formula1>
    </dataValidation>
    <dataValidation sqref="S1" showDropDown="0" showInputMessage="1" showErrorMessage="0" allowBlank="1" promptTitle="H3 Content" prompt="H3 Content. Review this metric to identify risk, then use linked tabs for details and remediation." type="custom">
      <formula1>TRUE</formula1>
    </dataValidation>
    <dataValidation sqref="T1" showDropDown="0" showInputMessage="1" showErrorMessage="0" allowBlank="1" promptTitle="H3 Length" prompt="H3 Length. Review this metric to identify risk, then use linked tabs for details and remediation." type="custom">
      <formula1>TRUE</formula1>
    </dataValidation>
    <dataValidation sqref="U1" showDropDown="0" showInputMessage="1" showErrorMessage="0" allowBlank="1" promptTitle="H4 Content" prompt="H4 Content. Review this metric to identify risk, then use linked tabs for details and remediation." type="custom">
      <formula1>TRUE</formula1>
    </dataValidation>
    <dataValidation sqref="V1" showDropDown="0" showInputMessage="1" showErrorMessage="0" allowBlank="1" promptTitle="H4 Length" prompt="H4 Length. Review this metric to identify risk, then use linked tabs for details and remediation." type="custom">
      <formula1>TRUE</formula1>
    </dataValidation>
    <dataValidation sqref="W1" showDropDown="0" showInputMessage="1" showErrorMessage="0" allowBlank="1" promptTitle="H5 Content" prompt="H5 Content. Review this metric to identify risk, then use linked tabs for details and remediation." type="custom">
      <formula1>TRUE</formula1>
    </dataValidation>
    <dataValidation sqref="X1" showDropDown="0" showInputMessage="1" showErrorMessage="0" allowBlank="1" promptTitle="H5 Length" prompt="H5 Length. Review this metric to identify risk, then use linked tabs for details and remediation." type="custom">
      <formula1>TRUE</formula1>
    </dataValidation>
    <dataValidation sqref="Y1" showDropDown="0" showInputMessage="1" showErrorMessage="0" allowBlank="1" promptTitle="H6 Content" prompt="H6 Content. Review this metric to identify risk, then use linked tabs for details and remediation." type="custom">
      <formula1>TRUE</formula1>
    </dataValidation>
    <dataValidation sqref="Z1" showDropDown="0" showInputMessage="1" showErrorMessage="0" allowBlank="1" promptTitle="H6 Length" prompt="H6 Length. Review this metric to identify risk, then use linked tabs for details and remediation." type="custom">
      <formula1>TRUE</formula1>
    </dataValidation>
    <dataValidation sqref="AA1" showDropDown="0" showInputMessage="1" showErrorMessage="0" allowBlank="1" promptTitle="Technical View" prompt="Navigation helper. Click to jump directly to the related record in another tab." type="custom">
      <formula1>TRUE</formula1>
    </dataValidation>
    <dataValidation sqref="AB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Status Code" prompt="HTTP status returned for the URL. Fix: Resolve 4xx/5xx errors and remove unnecessary redirect chains." type="custom">
      <formula1>TRUE</formula1>
    </dataValidation>
    <dataValidation sqref="I1" showDropDown="0" showInputMessage="1" showErrorMessage="0" allowBlank="1" promptTitle="SEO Health Score" prompt="Weighted technical SEO quality score for this URL. Fix: Prioritize critical issues and improve warnings in FixPlan." type="custom">
      <formula1>TRUE</formula1>
    </dataValidation>
  </dataValidations>
  <hyperlinks>
    <hyperlink xmlns:r="http://schemas.openxmlformats.org/officeDocument/2006/relationships" ref="AB1" r:id="rId1"/>
    <hyperlink xmlns:r="http://schemas.openxmlformats.org/officeDocument/2006/relationships" ref="B2" r:id="rId2"/>
    <hyperlink xmlns:r="http://schemas.openxmlformats.org/officeDocument/2006/relationships" ref="B3" r:id="rId3"/>
    <hyperlink xmlns:r="http://schemas.openxmlformats.org/officeDocument/2006/relationships" ref="B4" r:id="rId4"/>
    <hyperlink xmlns:r="http://schemas.openxmlformats.org/officeDocument/2006/relationships" ref="B5" r:id="rId5"/>
    <hyperlink xmlns:r="http://schemas.openxmlformats.org/officeDocument/2006/relationships" ref="B6" r:id="rId6"/>
    <hyperlink xmlns:r="http://schemas.openxmlformats.org/officeDocument/2006/relationships" ref="B7" r:id="rId7"/>
    <hyperlink xmlns:r="http://schemas.openxmlformats.org/officeDocument/2006/relationships" ref="B8" r:id="rId8"/>
    <hyperlink xmlns:r="http://schemas.openxmlformats.org/officeDocument/2006/relationships" ref="B9" r:id="rId9"/>
    <hyperlink xmlns:r="http://schemas.openxmlformats.org/officeDocument/2006/relationships" ref="B10" r:id="rId10"/>
    <hyperlink xmlns:r="http://schemas.openxmlformats.org/officeDocument/2006/relationships" ref="B11" r:id="rId11"/>
    <hyperlink xmlns:r="http://schemas.openxmlformats.org/officeDocument/2006/relationships" ref="B12" r:id="rId12"/>
    <hyperlink xmlns:r="http://schemas.openxmlformats.org/officeDocument/2006/relationships" ref="B13" r:id="rId13"/>
    <hyperlink xmlns:r="http://schemas.openxmlformats.org/officeDocument/2006/relationships" ref="B14" r:id="rId14"/>
    <hyperlink xmlns:r="http://schemas.openxmlformats.org/officeDocument/2006/relationships" ref="B15" r:id="rId15"/>
    <hyperlink xmlns:r="http://schemas.openxmlformats.org/officeDocument/2006/relationships" ref="B16" r:id="rId1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6" customWidth="1" min="1" max="1"/>
    <col width="13" customWidth="1" min="2" max="2"/>
    <col width="14" customWidth="1" min="3" max="3"/>
    <col width="18" customWidth="1" min="4" max="4"/>
    <col width="16" customWidth="1" min="5" max="5"/>
    <col width="15" customWidth="1" min="6" max="6"/>
    <col width="21" customWidth="1" min="7" max="7"/>
    <col width="11" customWidth="1" min="8" max="8"/>
    <col width="25" customWidth="1" min="9" max="9"/>
    <col width="36" customWidth="1" min="10" max="10"/>
    <col width="36" customWidth="1" min="11" max="11"/>
    <col width="16" customWidth="1" min="12" max="12"/>
    <col width="13" customWidth="1" min="13" max="13"/>
    <col width="8" customWidth="1" min="14" max="14"/>
    <col width="8" customWidth="1" min="15" max="15"/>
    <col width="13" customWidth="1" min="16" max="16"/>
    <col width="10" customWidth="1" min="17" max="17"/>
    <col width="23" customWidth="1" min="18" max="18"/>
    <col width="26" customWidth="1" min="19" max="19"/>
    <col width="15" customWidth="1" min="20" max="20"/>
    <col width="22" customWidth="1" min="21" max="21"/>
    <col width="26" customWidth="1" min="22" max="22"/>
    <col width="14" customWidth="1" min="23" max="23"/>
    <col hidden="1" width="16" customWidth="1" min="24" max="24"/>
    <col width="21" customWidth="1" min="25" max="25"/>
    <col width="15" customWidth="1" min="26" max="26"/>
    <col width="6" customWidth="1" min="27" max="27"/>
    <col width="14" customWidth="1" min="28" max="28"/>
    <col hidden="1" width="17" customWidth="1" min="29" max="29"/>
    <col width="29" customWidth="1" min="30" max="30"/>
    <col width="24" customWidth="1" min="31" max="31"/>
    <col width="28" customWidth="1" min="32" max="32"/>
    <col hidden="1" outlineLevel="1" width="18" customWidth="1" min="33" max="40"/>
    <col width="15" customWidth="1" min="41" max="41"/>
    <col width="16" customWidth="1" min="42" max="42"/>
    <col width="27" customWidth="1" min="43" max="43"/>
    <col width="27" customWidth="1" min="44" max="44"/>
    <col width="18" customWidth="1" min="45" max="45"/>
    <col width="10" customWidth="1" min="46" max="46"/>
    <col width="23" customWidth="1" min="47" max="47"/>
    <col width="22" customWidth="1" min="48" max="48"/>
    <col width="19" customWidth="1" min="49" max="49"/>
    <col width="16" customWidth="1" min="50" max="50"/>
    <col width="27" customWidth="1" min="51" max="51"/>
    <col width="28" customWidth="1" min="52" max="52"/>
    <col width="27" customWidth="1" min="53" max="53"/>
    <col width="25" customWidth="1" min="54" max="54"/>
    <col width="24" customWidth="1" min="55" max="55"/>
    <col width="22" customWidth="1" min="56" max="56"/>
    <col width="60" customWidth="1" min="57" max="57"/>
    <col width="11" customWidth="1" min="58" max="58"/>
    <col width="16" customWidth="1" min="59" max="59"/>
  </cols>
  <sheetData>
    <row r="1">
      <c r="A1" s="3" t="inlineStr">
        <is>
          <t>URL</t>
        </is>
      </c>
      <c r="B1" s="3" t="inlineStr">
        <is>
          <t>Status Code</t>
        </is>
      </c>
      <c r="C1" s="3" t="inlineStr">
        <is>
          <t>Status Class</t>
        </is>
      </c>
      <c r="D1" s="3" t="inlineStr">
        <is>
          <t>SEO Health Score</t>
        </is>
      </c>
      <c r="E1" s="3" t="inlineStr">
        <is>
          <t>Severity Badge</t>
        </is>
      </c>
      <c r="F1" s="3" t="inlineStr">
        <is>
          <t>Action Needed</t>
        </is>
      </c>
      <c r="G1" s="3" t="inlineStr">
        <is>
          <t>Indexability Reason</t>
        </is>
      </c>
      <c r="H1" s="3" t="inlineStr">
        <is>
          <t>TTFB (ms)</t>
        </is>
      </c>
      <c r="I1" s="3" t="inlineStr">
        <is>
          <t>Total Request Time (ms)</t>
        </is>
      </c>
      <c r="J1" s="3" t="inlineStr">
        <is>
          <t>Final URL</t>
        </is>
      </c>
      <c r="K1" s="3" t="inlineStr">
        <is>
          <t>Canonical URL</t>
        </is>
      </c>
      <c r="L1" s="3" t="inlineStr">
        <is>
          <t>Canonical Type</t>
        </is>
      </c>
      <c r="M1" s="3" t="inlineStr">
        <is>
          <t>Owner</t>
        </is>
      </c>
      <c r="N1" s="3" t="inlineStr">
        <is>
          <t>Status</t>
        </is>
      </c>
      <c r="O1" s="3" t="inlineStr">
        <is>
          <t>Sprint</t>
        </is>
      </c>
      <c r="P1" s="3" t="inlineStr">
        <is>
          <t>Health Icon</t>
        </is>
      </c>
      <c r="Q1" s="3" t="inlineStr">
        <is>
          <t>Protocol</t>
        </is>
      </c>
      <c r="R1" s="3" t="inlineStr">
        <is>
          <t>Redirect Chain Length</t>
        </is>
      </c>
      <c r="S1" s="3" t="inlineStr">
        <is>
          <t>Redirect Target</t>
        </is>
      </c>
      <c r="T1" s="3" t="inlineStr">
        <is>
          <t>Redirect Hops</t>
        </is>
      </c>
      <c r="U1" s="3" t="inlineStr">
        <is>
          <t>HTTP-&gt;HTTPS Redirect</t>
        </is>
      </c>
      <c r="V1" s="3" t="inlineStr">
        <is>
          <t>Content-Type</t>
        </is>
      </c>
      <c r="W1" s="3" t="inlineStr">
        <is>
          <t>HTTP Version</t>
        </is>
      </c>
      <c r="X1" s="3" t="inlineStr">
        <is>
          <t>HTML Size (KB)</t>
        </is>
      </c>
      <c r="Y1" s="3" t="inlineStr">
        <is>
          <t>Compression Enabled</t>
        </is>
      </c>
      <c r="Z1" s="3" t="inlineStr">
        <is>
          <t>Cache-Control</t>
        </is>
      </c>
      <c r="AA1" s="3" t="inlineStr">
        <is>
          <t>ETag</t>
        </is>
      </c>
      <c r="AB1" s="3" t="inlineStr">
        <is>
          <t>X-Robots-Tag</t>
        </is>
      </c>
      <c r="AC1" s="3" t="inlineStr">
        <is>
          <t>Meta Robots Raw</t>
        </is>
      </c>
      <c r="AD1" s="3" t="inlineStr">
        <is>
          <t>Canonical Matches Final URL</t>
        </is>
      </c>
      <c r="AE1" s="3" t="inlineStr">
        <is>
          <t>Canonical Absolute URL</t>
        </is>
      </c>
      <c r="AF1" s="3" t="inlineStr">
        <is>
          <t>Canonical in Sitemap Match</t>
        </is>
      </c>
      <c r="AG1" s="3" t="inlineStr">
        <is>
          <t>Hreflang Present</t>
        </is>
      </c>
      <c r="AH1" s="3" t="inlineStr">
        <is>
          <t>Hreflang Count</t>
        </is>
      </c>
      <c r="AI1" s="3" t="inlineStr">
        <is>
          <t>Hreflang Self Reference</t>
        </is>
      </c>
      <c r="AJ1" s="3" t="inlineStr">
        <is>
          <t>Hreflang Reciprocal Check</t>
        </is>
      </c>
      <c r="AK1" s="3" t="inlineStr">
        <is>
          <t>Hreflang Canonical Consistency</t>
        </is>
      </c>
      <c r="AL1" s="3" t="inlineStr">
        <is>
          <t>x-default Present</t>
        </is>
      </c>
      <c r="AM1" s="3" t="inlineStr">
        <is>
          <t>Pagination rel=next</t>
        </is>
      </c>
      <c r="AN1" s="3" t="inlineStr">
        <is>
          <t>Pagination rel=prev</t>
        </is>
      </c>
      <c r="AO1" s="3" t="inlineStr">
        <is>
          <t>Last-Modified</t>
        </is>
      </c>
      <c r="AP1" s="3" t="inlineStr">
        <is>
          <t>Published Date</t>
        </is>
      </c>
      <c r="AQ1" s="3" t="inlineStr">
        <is>
          <t>Modified Date</t>
        </is>
      </c>
      <c r="AR1" s="3" t="inlineStr">
        <is>
          <t>Last Updated</t>
        </is>
      </c>
      <c r="AS1" s="3" t="inlineStr">
        <is>
          <t>Change Frequency</t>
        </is>
      </c>
      <c r="AT1" s="3" t="inlineStr">
        <is>
          <t>Priority</t>
        </is>
      </c>
      <c r="AU1" s="3" t="inlineStr">
        <is>
          <t>Critical Issues Count</t>
        </is>
      </c>
      <c r="AV1" s="3" t="inlineStr">
        <is>
          <t>Warning Issues Count</t>
        </is>
      </c>
      <c r="AW1" s="3" t="inlineStr">
        <is>
          <t>Info Issues Count</t>
        </is>
      </c>
      <c r="AX1" s="3" t="inlineStr">
        <is>
          <t>Inlinks Bucket</t>
        </is>
      </c>
      <c r="AY1" s="3" t="inlineStr">
        <is>
          <t>Important But Underlinked</t>
        </is>
      </c>
      <c r="AZ1" s="3" t="inlineStr">
        <is>
          <t>SERP Title Truncation Risk</t>
        </is>
      </c>
      <c r="BA1" s="3" t="inlineStr">
        <is>
          <t>SERP Meta Truncation Risk</t>
        </is>
      </c>
      <c r="BB1" s="3" t="inlineStr">
        <is>
          <t>SERP Title Pixel Approx</t>
        </is>
      </c>
      <c r="BC1" s="3" t="inlineStr">
        <is>
          <t>SERP Meta Pixel Approx</t>
        </is>
      </c>
      <c r="BD1" s="3" t="inlineStr">
        <is>
          <t>Cannibalization Hint</t>
        </is>
      </c>
      <c r="BE1" s="3" t="inlineStr">
        <is>
          <t>Stable Issue IDs</t>
        </is>
      </c>
      <c r="BF1" s="3" t="inlineStr">
        <is>
          <t>URL Depth</t>
        </is>
      </c>
      <c r="BG1" s="3" t="inlineStr">
        <is>
          <t>Param URL Flag</t>
        </is>
      </c>
      <c r="BH1" t="inlineStr">
        <is>
          <t>Open in Main</t>
        </is>
      </c>
      <c r="BI1" s="36" t="inlineStr">
        <is>
          <t>BACK TO DASHBOARD</t>
        </is>
      </c>
    </row>
    <row r="2">
      <c r="A2" s="46" t="inlineStr">
        <is>
          <t>https://asconafrica.org/</t>
        </is>
      </c>
      <c r="B2" s="4" t="n">
        <v>200</v>
      </c>
      <c r="C2" s="37" t="inlineStr">
        <is>
          <t>2xx</t>
        </is>
      </c>
      <c r="D2" s="47" t="n">
        <v>59</v>
      </c>
      <c r="E2" s="38" t="inlineStr">
        <is>
          <t>Warning</t>
        </is>
      </c>
      <c r="F2" s="37" t="inlineStr">
        <is>
          <t>Yes</t>
        </is>
      </c>
      <c r="G2" s="4" t="inlineStr">
        <is>
          <t>Indexable</t>
        </is>
      </c>
      <c r="H2" s="48" t="n">
        <v>726.78</v>
      </c>
      <c r="I2" s="48" t="n">
        <v>767.9400000000001</v>
      </c>
      <c r="J2" s="49" t="inlineStr">
        <is>
          <t>https://asconafrica.org/</t>
        </is>
      </c>
      <c r="K2" s="49" t="inlineStr">
        <is>
          <t>https</t>
        </is>
      </c>
      <c r="L2" s="37" t="n">
        <v>0</v>
      </c>
      <c r="M2" s="37" t="inlineStr">
        <is>
          <t>Copy Writer</t>
        </is>
      </c>
      <c r="N2" s="45" t="inlineStr">
        <is>
          <t>Open</t>
        </is>
      </c>
      <c r="O2" s="37" t="inlineStr"/>
      <c r="P2" s="37" t="inlineStr">
        <is>
          <t>WARN 🟡</t>
        </is>
      </c>
      <c r="Q2" s="37" t="inlineStr">
        <is>
          <t>https</t>
        </is>
      </c>
      <c r="R2" s="37" t="n">
        <v>0</v>
      </c>
      <c r="S2" s="37" t="inlineStr">
        <is>
          <t>text/html; charset=UTF-8</t>
        </is>
      </c>
      <c r="T2" s="40" t="inlineStr">
        <is>
          <t>HTTP/1.1</t>
        </is>
      </c>
      <c r="U2" s="37" t="b">
        <v>0</v>
      </c>
      <c r="V2" s="37" t="inlineStr">
        <is>
          <t>text/html; charset=UTF-8</t>
        </is>
      </c>
      <c r="W2" s="37" t="inlineStr">
        <is>
          <t>HTTP/1.1</t>
        </is>
      </c>
      <c r="X2" s="37" t="n">
        <v>232.08</v>
      </c>
      <c r="Y2" s="50" t="b">
        <v>0</v>
      </c>
      <c r="Z2" s="37" t="n"/>
      <c r="AA2" s="37" t="n"/>
      <c r="AB2" s="37" t="n"/>
      <c r="AC2" s="37" t="n"/>
      <c r="AD2" s="49" t="n"/>
      <c r="AE2" s="49" t="n"/>
      <c r="AF2" s="50" t="b">
        <v>0</v>
      </c>
      <c r="AG2" s="50" t="b">
        <v>0</v>
      </c>
      <c r="AH2" s="37" t="n">
        <v>0</v>
      </c>
      <c r="AI2" s="37" t="b">
        <v>0</v>
      </c>
      <c r="AJ2" s="37" t="n"/>
      <c r="AK2" s="37" t="b">
        <v>0</v>
      </c>
      <c r="AL2" s="50" t="b">
        <v>0</v>
      </c>
      <c r="AM2" s="37" t="b">
        <v>0</v>
      </c>
      <c r="AN2" s="37" t="b">
        <v>0</v>
      </c>
      <c r="AO2" s="37" t="n"/>
      <c r="AP2" s="51" t="n"/>
      <c r="AQ2" s="51" t="inlineStr">
        <is>
          <t>2026-04-16T11:37:51+00:00</t>
        </is>
      </c>
      <c r="AR2" s="51" t="inlineStr">
        <is>
          <t>2026-04-16T11:37:51+00:00</t>
        </is>
      </c>
      <c r="AS2" s="37" t="inlineStr">
        <is>
          <t>always</t>
        </is>
      </c>
      <c r="AT2" s="37" t="inlineStr">
        <is>
          <t>1</t>
        </is>
      </c>
      <c r="AU2" s="37" t="n">
        <v>0</v>
      </c>
      <c r="AV2" s="37" t="n">
        <v>2</v>
      </c>
      <c r="AW2" s="37" t="n">
        <v>7</v>
      </c>
      <c r="AX2" s="37" t="inlineStr">
        <is>
          <t>0</t>
        </is>
      </c>
      <c r="AY2" s="37" t="b">
        <v>1</v>
      </c>
      <c r="AZ2" s="37" t="b">
        <v>0</v>
      </c>
      <c r="BA2" s="37" t="b">
        <v>0</v>
      </c>
      <c r="BB2" s="37" t="n">
        <v>122</v>
      </c>
      <c r="BC2" s="37" t="n">
        <v>2746</v>
      </c>
      <c r="BD2" s="37" t="n"/>
      <c r="BE2" s="37" t="inlineStr">
        <is>
          <t>https://asconafrica.org/::missing_h1 | https://asconafrica.org/::low_aeo_readiness_score | https://asconafrica.org/::no_compression_header | https://asconafrica.org/::no_cache-control_header | https://asconafrica.org/::no_etag_header | https://asconafrica.org/::no_faq_qa_schema | https://asconafrica.org/::no_question_headings | https://asconafrica.org/::no_answer-friendly_structure | https://asconafrica.org/::no_40-60_word_answer_paragraphs</t>
        </is>
      </c>
      <c r="BF2" s="49" t="n">
        <v>0</v>
      </c>
      <c r="BG2" s="49" t="b">
        <v>0</v>
      </c>
      <c r="BH2">
        <f>IFERROR(HYPERLINK("#Main!A"&amp;MATCH(A2,Main!A:A,0),"Open"),HYPERLINK("#Main!A1","Open"))</f>
        <v/>
      </c>
    </row>
    <row r="3">
      <c r="A3" s="46" t="inlineStr">
        <is>
          <t>https://asconafrica.org/2026-ascon-awards/</t>
        </is>
      </c>
      <c r="B3" s="4" t="n">
        <v>200</v>
      </c>
      <c r="C3" s="6" t="inlineStr">
        <is>
          <t>2xx</t>
        </is>
      </c>
      <c r="D3" s="47" t="n">
        <v>69</v>
      </c>
      <c r="E3" s="38" t="inlineStr">
        <is>
          <t>Warning</t>
        </is>
      </c>
      <c r="F3" s="6" t="inlineStr">
        <is>
          <t>Yes</t>
        </is>
      </c>
      <c r="G3" s="4" t="inlineStr">
        <is>
          <t>Indexable</t>
        </is>
      </c>
      <c r="H3" s="52" t="n">
        <v>2662.31</v>
      </c>
      <c r="I3" s="52" t="n">
        <v>2709.96</v>
      </c>
      <c r="J3" s="53" t="inlineStr">
        <is>
          <t>https://asconafrica.org/2026-ascon-awards/</t>
        </is>
      </c>
      <c r="K3" s="53" t="inlineStr">
        <is>
          <t>https</t>
        </is>
      </c>
      <c r="L3" s="6" t="n">
        <v>0</v>
      </c>
      <c r="M3" s="6" t="inlineStr">
        <is>
          <t>Copy Writer</t>
        </is>
      </c>
      <c r="N3" s="45" t="inlineStr">
        <is>
          <t>Open</t>
        </is>
      </c>
      <c r="O3" s="6" t="inlineStr"/>
      <c r="P3" s="6" t="inlineStr">
        <is>
          <t>WARN 🟡</t>
        </is>
      </c>
      <c r="Q3" s="6" t="inlineStr">
        <is>
          <t>https</t>
        </is>
      </c>
      <c r="R3" s="6" t="n">
        <v>0</v>
      </c>
      <c r="S3" s="6" t="inlineStr">
        <is>
          <t>text/html; charset=UTF-8</t>
        </is>
      </c>
      <c r="T3" s="43" t="inlineStr">
        <is>
          <t>HTTP/1.1</t>
        </is>
      </c>
      <c r="U3" s="6" t="b">
        <v>0</v>
      </c>
      <c r="V3" s="6" t="inlineStr">
        <is>
          <t>text/html; charset=UTF-8</t>
        </is>
      </c>
      <c r="W3" s="6" t="inlineStr">
        <is>
          <t>HTTP/1.1</t>
        </is>
      </c>
      <c r="X3" s="6" t="n">
        <v>236.84</v>
      </c>
      <c r="Y3" s="50" t="b">
        <v>0</v>
      </c>
      <c r="Z3" s="6" t="n"/>
      <c r="AA3" s="6" t="n"/>
      <c r="AB3" s="6" t="n"/>
      <c r="AC3" s="6" t="n"/>
      <c r="AD3" s="53" t="n"/>
      <c r="AE3" s="53" t="n"/>
      <c r="AF3" s="50" t="b">
        <v>0</v>
      </c>
      <c r="AG3" s="50" t="b">
        <v>0</v>
      </c>
      <c r="AH3" s="6" t="n">
        <v>0</v>
      </c>
      <c r="AI3" s="6" t="b">
        <v>0</v>
      </c>
      <c r="AJ3" s="6" t="n"/>
      <c r="AK3" s="6" t="b">
        <v>0</v>
      </c>
      <c r="AL3" s="50" t="b">
        <v>0</v>
      </c>
      <c r="AM3" s="6" t="b">
        <v>0</v>
      </c>
      <c r="AN3" s="6" t="b">
        <v>0</v>
      </c>
      <c r="AO3" s="6" t="n"/>
      <c r="AP3" s="54" t="n"/>
      <c r="AQ3" s="54" t="inlineStr">
        <is>
          <t>2026-04-24T13:56:35+00:00</t>
        </is>
      </c>
      <c r="AR3" s="54" t="inlineStr">
        <is>
          <t>2026-04-24T13:56:35+00:00</t>
        </is>
      </c>
      <c r="AS3" s="6" t="inlineStr">
        <is>
          <t>weekly</t>
        </is>
      </c>
      <c r="AT3" s="6" t="inlineStr">
        <is>
          <t>0.7</t>
        </is>
      </c>
      <c r="AU3" s="6" t="n">
        <v>0</v>
      </c>
      <c r="AV3" s="6" t="n">
        <v>1</v>
      </c>
      <c r="AW3" s="6" t="n">
        <v>7</v>
      </c>
      <c r="AX3" s="6" t="inlineStr">
        <is>
          <t>0</t>
        </is>
      </c>
      <c r="AY3" s="6" t="b">
        <v>1</v>
      </c>
      <c r="AZ3" s="6" t="b">
        <v>0</v>
      </c>
      <c r="BA3" s="6" t="b">
        <v>0</v>
      </c>
      <c r="BB3" s="6" t="n">
        <v>180</v>
      </c>
      <c r="BC3" s="6" t="n">
        <v>2368</v>
      </c>
      <c r="BD3" s="6" t="n"/>
      <c r="BE3" s="6" t="inlineStr">
        <is>
          <t>https://asconafrica.org/2026-ascon-awards/::low_aeo_readiness_score | https://asconafrica.org/2026-ascon-awards/::no_compression_header | https://asconafrica.org/2026-ascon-awards/::no_cache-control_header | https://asconafrica.org/2026-ascon-awards/::no_etag_header | https://asconafrica.org/2026-ascon-awards/::no_faq_qa_schema | https://asconafrica.org/2026-ascon-awards/::no_question_headings | https://asconafrica.org/2026-ascon-awards/::no_answer-friendly_structure | https://asconafrica.org/2026-ascon-awards/::no_40-60_word_answer_paragraphs</t>
        </is>
      </c>
      <c r="BF3" s="53" t="n">
        <v>1</v>
      </c>
      <c r="BG3" s="53" t="b">
        <v>0</v>
      </c>
      <c r="BH3">
        <f>IFERROR(HYPERLINK("#Main!A"&amp;MATCH(A3,Main!A:A,0),"Open"),HYPERLINK("#Main!A1","Open"))</f>
        <v/>
      </c>
    </row>
    <row r="4" ht="30" customHeight="1">
      <c r="A4" s="46" t="inlineStr">
        <is>
          <t>https://asconafrica.org/2026-ascon-awards/thank-you-for-your-nomination/</t>
        </is>
      </c>
      <c r="B4" s="4" t="n">
        <v>200</v>
      </c>
      <c r="C4" s="37" t="inlineStr">
        <is>
          <t>2xx</t>
        </is>
      </c>
      <c r="D4" s="47" t="n">
        <v>59</v>
      </c>
      <c r="E4" s="38" t="inlineStr">
        <is>
          <t>Warning</t>
        </is>
      </c>
      <c r="F4" s="37" t="inlineStr">
        <is>
          <t>Yes</t>
        </is>
      </c>
      <c r="G4" s="4" t="inlineStr">
        <is>
          <t>Indexable</t>
        </is>
      </c>
      <c r="H4" s="48" t="n">
        <v>581.6799999999999</v>
      </c>
      <c r="I4" s="48" t="n">
        <v>597.71</v>
      </c>
      <c r="J4" s="49" t="inlineStr">
        <is>
          <t>https://asconafrica.org/2026-ascon-awards/thank-you-for-your-nomination/</t>
        </is>
      </c>
      <c r="K4" s="49" t="inlineStr">
        <is>
          <t>https</t>
        </is>
      </c>
      <c r="L4" s="37" t="n">
        <v>0</v>
      </c>
      <c r="M4" s="37" t="inlineStr">
        <is>
          <t>Copy Writer</t>
        </is>
      </c>
      <c r="N4" s="45" t="inlineStr">
        <is>
          <t>Open</t>
        </is>
      </c>
      <c r="O4" s="37" t="inlineStr"/>
      <c r="P4" s="37" t="inlineStr">
        <is>
          <t>WARN 🟡</t>
        </is>
      </c>
      <c r="Q4" s="37" t="inlineStr">
        <is>
          <t>https</t>
        </is>
      </c>
      <c r="R4" s="37" t="n">
        <v>0</v>
      </c>
      <c r="S4" s="37" t="inlineStr">
        <is>
          <t>text/html; charset=UTF-8</t>
        </is>
      </c>
      <c r="T4" s="40" t="inlineStr">
        <is>
          <t>HTTP/1.1</t>
        </is>
      </c>
      <c r="U4" s="37" t="b">
        <v>0</v>
      </c>
      <c r="V4" s="37" t="inlineStr">
        <is>
          <t>text/html; charset=UTF-8</t>
        </is>
      </c>
      <c r="W4" s="37" t="inlineStr">
        <is>
          <t>HTTP/1.1</t>
        </is>
      </c>
      <c r="X4" s="37" t="n">
        <v>78.78</v>
      </c>
      <c r="Y4" s="50" t="b">
        <v>0</v>
      </c>
      <c r="Z4" s="37" t="n"/>
      <c r="AA4" s="37" t="n"/>
      <c r="AB4" s="37" t="n"/>
      <c r="AC4" s="37" t="n"/>
      <c r="AD4" s="49" t="n"/>
      <c r="AE4" s="49" t="n"/>
      <c r="AF4" s="50" t="b">
        <v>0</v>
      </c>
      <c r="AG4" s="50" t="b">
        <v>0</v>
      </c>
      <c r="AH4" s="37" t="n">
        <v>0</v>
      </c>
      <c r="AI4" s="37" t="b">
        <v>0</v>
      </c>
      <c r="AJ4" s="37" t="n"/>
      <c r="AK4" s="37" t="b">
        <v>0</v>
      </c>
      <c r="AL4" s="50" t="b">
        <v>0</v>
      </c>
      <c r="AM4" s="37" t="b">
        <v>0</v>
      </c>
      <c r="AN4" s="37" t="b">
        <v>0</v>
      </c>
      <c r="AO4" s="37" t="n"/>
      <c r="AP4" s="51" t="n"/>
      <c r="AQ4" s="51" t="inlineStr">
        <is>
          <t>2026-03-26T06:47:09+00:00</t>
        </is>
      </c>
      <c r="AR4" s="51" t="inlineStr">
        <is>
          <t>2026-03-26T06:47:09+00:00</t>
        </is>
      </c>
      <c r="AS4" s="37" t="inlineStr">
        <is>
          <t>weekly</t>
        </is>
      </c>
      <c r="AT4" s="37" t="inlineStr">
        <is>
          <t>0.7</t>
        </is>
      </c>
      <c r="AU4" s="37" t="n">
        <v>0</v>
      </c>
      <c r="AV4" s="37" t="n">
        <v>2</v>
      </c>
      <c r="AW4" s="37" t="n">
        <v>7</v>
      </c>
      <c r="AX4" s="37" t="inlineStr">
        <is>
          <t>0</t>
        </is>
      </c>
      <c r="AY4" s="37" t="b">
        <v>1</v>
      </c>
      <c r="AZ4" s="37" t="b">
        <v>0</v>
      </c>
      <c r="BA4" s="37" t="b">
        <v>0</v>
      </c>
      <c r="BB4" s="37" t="n">
        <v>374</v>
      </c>
      <c r="BC4" s="37" t="n">
        <v>1754</v>
      </c>
      <c r="BD4" s="37" t="n"/>
      <c r="BE4" s="37" t="inlineStr">
        <is>
          <t>https://asconafrica.org/2026-ascon-awards/thank-you-for-your-nomination/::thin_content | https://asconafrica.org/2026-ascon-awards/thank-you-for-your-nomination/::low_aeo_readiness_score | https://asconafrica.org/2026-ascon-awards/thank-you-for-your-nomination/::no_compression_header | https://asconafrica.org/2026-ascon-awards/thank-you-for-your-nomination/::no_cache-control_header | https://asconafrica.org/2026-ascon-awards/thank-you-for-your-nomination/::no_etag_header | https://asconafrica.org/2026-ascon-awards/thank-you-for-your-nomination/::no_faq_qa_schema | https://asconafrica.org/2026-ascon-awards/thank-you-for-your-nomination/::no_question_headings | https://asconafrica.org/2026-ascon-awards/thank-you-for-your-nomination/::no_answer-friendly_structure | https://asconafrica.org/2026-ascon-awards/thank-you-for-your-nomination/::no_40-60_word_answer_paragraphs</t>
        </is>
      </c>
      <c r="BF4" s="49" t="n">
        <v>2</v>
      </c>
      <c r="BG4" s="49" t="b">
        <v>0</v>
      </c>
      <c r="BH4">
        <f>IFERROR(HYPERLINK("#Main!A"&amp;MATCH(A4,Main!A:A,0),"Open"),HYPERLINK("#Main!A1","Open"))</f>
        <v/>
      </c>
    </row>
    <row r="5">
      <c r="A5" s="46" t="inlineStr">
        <is>
          <t>https://asconafrica.org/2026-ascon-conference/</t>
        </is>
      </c>
      <c r="B5" s="4" t="n">
        <v>200</v>
      </c>
      <c r="C5" s="6" t="inlineStr">
        <is>
          <t>2xx</t>
        </is>
      </c>
      <c r="D5" s="47" t="n">
        <v>69</v>
      </c>
      <c r="E5" s="38" t="inlineStr">
        <is>
          <t>Warning</t>
        </is>
      </c>
      <c r="F5" s="6" t="inlineStr">
        <is>
          <t>Yes</t>
        </is>
      </c>
      <c r="G5" s="4" t="inlineStr">
        <is>
          <t>Indexable</t>
        </is>
      </c>
      <c r="H5" s="52" t="n">
        <v>21.99</v>
      </c>
      <c r="I5" s="52" t="n">
        <v>56.13</v>
      </c>
      <c r="J5" s="53" t="inlineStr">
        <is>
          <t>https://asconafrica.org/2026-ascon-conference/</t>
        </is>
      </c>
      <c r="K5" s="53" t="inlineStr">
        <is>
          <t>https</t>
        </is>
      </c>
      <c r="L5" s="6" t="n">
        <v>0</v>
      </c>
      <c r="M5" s="6" t="inlineStr">
        <is>
          <t>Copy Writer</t>
        </is>
      </c>
      <c r="N5" s="45" t="inlineStr">
        <is>
          <t>Open</t>
        </is>
      </c>
      <c r="O5" s="6" t="inlineStr"/>
      <c r="P5" s="6" t="inlineStr">
        <is>
          <t>WARN 🟡</t>
        </is>
      </c>
      <c r="Q5" s="6" t="inlineStr">
        <is>
          <t>https</t>
        </is>
      </c>
      <c r="R5" s="6" t="n">
        <v>0</v>
      </c>
      <c r="S5" s="6" t="inlineStr">
        <is>
          <t>text/html; charset=UTF-8</t>
        </is>
      </c>
      <c r="T5" s="43" t="inlineStr">
        <is>
          <t>HTTP/1.1</t>
        </is>
      </c>
      <c r="U5" s="6" t="b">
        <v>0</v>
      </c>
      <c r="V5" s="6" t="inlineStr">
        <is>
          <t>text/html; charset=UTF-8</t>
        </is>
      </c>
      <c r="W5" s="6" t="inlineStr">
        <is>
          <t>HTTP/1.1</t>
        </is>
      </c>
      <c r="X5" s="6" t="n">
        <v>238.13</v>
      </c>
      <c r="Y5" s="50" t="b">
        <v>0</v>
      </c>
      <c r="Z5" s="6" t="n"/>
      <c r="AA5" s="6" t="n"/>
      <c r="AB5" s="6" t="n"/>
      <c r="AC5" s="6" t="n"/>
      <c r="AD5" s="53" t="n"/>
      <c r="AE5" s="53" t="n"/>
      <c r="AF5" s="50" t="b">
        <v>0</v>
      </c>
      <c r="AG5" s="50" t="b">
        <v>0</v>
      </c>
      <c r="AH5" s="6" t="n">
        <v>0</v>
      </c>
      <c r="AI5" s="6" t="b">
        <v>0</v>
      </c>
      <c r="AJ5" s="6" t="n"/>
      <c r="AK5" s="6" t="b">
        <v>0</v>
      </c>
      <c r="AL5" s="50" t="b">
        <v>0</v>
      </c>
      <c r="AM5" s="6" t="b">
        <v>0</v>
      </c>
      <c r="AN5" s="6" t="b">
        <v>0</v>
      </c>
      <c r="AO5" s="6" t="n"/>
      <c r="AP5" s="54" t="n"/>
      <c r="AQ5" s="54" t="inlineStr">
        <is>
          <t>2026-04-14T11:21:18+00:00</t>
        </is>
      </c>
      <c r="AR5" s="54" t="inlineStr">
        <is>
          <t>2026-04-14T11:21:18+00:00</t>
        </is>
      </c>
      <c r="AS5" s="6" t="inlineStr">
        <is>
          <t>weekly</t>
        </is>
      </c>
      <c r="AT5" s="6" t="inlineStr">
        <is>
          <t>0.7</t>
        </is>
      </c>
      <c r="AU5" s="6" t="n">
        <v>0</v>
      </c>
      <c r="AV5" s="6" t="n">
        <v>1</v>
      </c>
      <c r="AW5" s="6" t="n">
        <v>7</v>
      </c>
      <c r="AX5" s="6" t="inlineStr">
        <is>
          <t>0</t>
        </is>
      </c>
      <c r="AY5" s="6" t="b">
        <v>1</v>
      </c>
      <c r="AZ5" s="6" t="b">
        <v>0</v>
      </c>
      <c r="BA5" s="6" t="b">
        <v>0</v>
      </c>
      <c r="BB5" s="6" t="n">
        <v>208</v>
      </c>
      <c r="BC5" s="6" t="n">
        <v>2560</v>
      </c>
      <c r="BD5" s="6" t="n"/>
      <c r="BE5" s="6" t="inlineStr">
        <is>
          <t>https://asconafrica.org/2026-ascon-conference/::low_aeo_readiness_score | https://asconafrica.org/2026-ascon-conference/::no_compression_header | https://asconafrica.org/2026-ascon-conference/::no_cache-control_header | https://asconafrica.org/2026-ascon-conference/::no_etag_header | https://asconafrica.org/2026-ascon-conference/::no_faq_qa_schema | https://asconafrica.org/2026-ascon-conference/::no_question_headings | https://asconafrica.org/2026-ascon-conference/::no_answer-friendly_structure | https://asconafrica.org/2026-ascon-conference/::no_40-60_word_answer_paragraphs</t>
        </is>
      </c>
      <c r="BF5" s="53" t="n">
        <v>1</v>
      </c>
      <c r="BG5" s="53" t="b">
        <v>0</v>
      </c>
      <c r="BH5">
        <f>IFERROR(HYPERLINK("#Main!A"&amp;MATCH(A5,Main!A:A,0),"Open"),HYPERLINK("#Main!A1","Open"))</f>
        <v/>
      </c>
    </row>
    <row r="6" ht="30" customHeight="1">
      <c r="A6" s="46" t="inlineStr">
        <is>
          <t>https://asconafrica.org/2026-ascon-conference/thank-you-for-signing-up/</t>
        </is>
      </c>
      <c r="B6" s="4" t="n">
        <v>200</v>
      </c>
      <c r="C6" s="37" t="inlineStr">
        <is>
          <t>2xx</t>
        </is>
      </c>
      <c r="D6" s="47" t="n">
        <v>59</v>
      </c>
      <c r="E6" s="38" t="inlineStr">
        <is>
          <t>Warning</t>
        </is>
      </c>
      <c r="F6" s="37" t="inlineStr">
        <is>
          <t>Yes</t>
        </is>
      </c>
      <c r="G6" s="4" t="inlineStr">
        <is>
          <t>Indexable</t>
        </is>
      </c>
      <c r="H6" s="48" t="n">
        <v>658.66</v>
      </c>
      <c r="I6" s="48" t="n">
        <v>679.01</v>
      </c>
      <c r="J6" s="49" t="inlineStr">
        <is>
          <t>https://asconafrica.org/2026-ascon-conference/thank-you-for-signing-up/</t>
        </is>
      </c>
      <c r="K6" s="49" t="inlineStr">
        <is>
          <t>https</t>
        </is>
      </c>
      <c r="L6" s="37" t="n">
        <v>0</v>
      </c>
      <c r="M6" s="37" t="inlineStr">
        <is>
          <t>Copy Writer</t>
        </is>
      </c>
      <c r="N6" s="45" t="inlineStr">
        <is>
          <t>Open</t>
        </is>
      </c>
      <c r="O6" s="37" t="inlineStr"/>
      <c r="P6" s="37" t="inlineStr">
        <is>
          <t>WARN 🟡</t>
        </is>
      </c>
      <c r="Q6" s="37" t="inlineStr">
        <is>
          <t>https</t>
        </is>
      </c>
      <c r="R6" s="37" t="n">
        <v>0</v>
      </c>
      <c r="S6" s="37" t="inlineStr">
        <is>
          <t>text/html; charset=UTF-8</t>
        </is>
      </c>
      <c r="T6" s="40" t="inlineStr">
        <is>
          <t>HTTP/1.1</t>
        </is>
      </c>
      <c r="U6" s="37" t="b">
        <v>0</v>
      </c>
      <c r="V6" s="37" t="inlineStr">
        <is>
          <t>text/html; charset=UTF-8</t>
        </is>
      </c>
      <c r="W6" s="37" t="inlineStr">
        <is>
          <t>HTTP/1.1</t>
        </is>
      </c>
      <c r="X6" s="37" t="n">
        <v>79.23</v>
      </c>
      <c r="Y6" s="50" t="b">
        <v>0</v>
      </c>
      <c r="Z6" s="37" t="n"/>
      <c r="AA6" s="37" t="n"/>
      <c r="AB6" s="37" t="n"/>
      <c r="AC6" s="37" t="n"/>
      <c r="AD6" s="49" t="n"/>
      <c r="AE6" s="49" t="n"/>
      <c r="AF6" s="50" t="b">
        <v>0</v>
      </c>
      <c r="AG6" s="50" t="b">
        <v>0</v>
      </c>
      <c r="AH6" s="37" t="n">
        <v>0</v>
      </c>
      <c r="AI6" s="37" t="b">
        <v>0</v>
      </c>
      <c r="AJ6" s="37" t="n"/>
      <c r="AK6" s="37" t="b">
        <v>0</v>
      </c>
      <c r="AL6" s="50" t="b">
        <v>0</v>
      </c>
      <c r="AM6" s="37" t="b">
        <v>0</v>
      </c>
      <c r="AN6" s="37" t="b">
        <v>0</v>
      </c>
      <c r="AO6" s="37" t="n"/>
      <c r="AP6" s="51" t="n"/>
      <c r="AQ6" s="51" t="inlineStr">
        <is>
          <t>2026-03-26T07:04:42+00:00</t>
        </is>
      </c>
      <c r="AR6" s="51" t="inlineStr">
        <is>
          <t>2026-03-26T07:04:42+00:00</t>
        </is>
      </c>
      <c r="AS6" s="37" t="inlineStr">
        <is>
          <t>weekly</t>
        </is>
      </c>
      <c r="AT6" s="37" t="inlineStr">
        <is>
          <t>0.7</t>
        </is>
      </c>
      <c r="AU6" s="37" t="n">
        <v>0</v>
      </c>
      <c r="AV6" s="37" t="n">
        <v>2</v>
      </c>
      <c r="AW6" s="37" t="n">
        <v>7</v>
      </c>
      <c r="AX6" s="37" t="inlineStr">
        <is>
          <t>0</t>
        </is>
      </c>
      <c r="AY6" s="37" t="b">
        <v>1</v>
      </c>
      <c r="AZ6" s="37" t="b">
        <v>0</v>
      </c>
      <c r="BA6" s="37" t="b">
        <v>0</v>
      </c>
      <c r="BB6" s="37" t="n">
        <v>367</v>
      </c>
      <c r="BC6" s="37" t="n">
        <v>1655</v>
      </c>
      <c r="BD6" s="37" t="n"/>
      <c r="BE6" s="37" t="inlineStr">
        <is>
          <t>https://asconafrica.org/2026-ascon-conference/thank-you-for-signing-up/::thin_content | https://asconafrica.org/2026-ascon-conference/thank-you-for-signing-up/::low_aeo_readiness_score | https://asconafrica.org/2026-ascon-conference/thank-you-for-signing-up/::no_compression_header | https://asconafrica.org/2026-ascon-conference/thank-you-for-signing-up/::no_cache-control_header | https://asconafrica.org/2026-ascon-conference/thank-you-for-signing-up/::no_etag_header | https://asconafrica.org/2026-ascon-conference/thank-you-for-signing-up/::no_faq_qa_schema | https://asconafrica.org/2026-ascon-conference/thank-you-for-signing-up/::no_question_headings | https://asconafrica.org/2026-ascon-conference/thank-you-for-signing-up/::no_answer-friendly_structure | https://asconafrica.org/2026-ascon-conference/thank-you-for-signing-up/::no_40-60_word_answer_paragraphs</t>
        </is>
      </c>
      <c r="BF6" s="49" t="n">
        <v>2</v>
      </c>
      <c r="BG6" s="49" t="b">
        <v>0</v>
      </c>
      <c r="BH6">
        <f>IFERROR(HYPERLINK("#Main!A"&amp;MATCH(A6,Main!A:A,0),"Open"),HYPERLINK("#Main!A1","Open"))</f>
        <v/>
      </c>
    </row>
    <row r="7">
      <c r="A7" s="46" t="inlineStr">
        <is>
          <t>https://asconafrica.org/about-us/</t>
        </is>
      </c>
      <c r="B7" s="4" t="n">
        <v>200</v>
      </c>
      <c r="C7" s="6" t="inlineStr">
        <is>
          <t>2xx</t>
        </is>
      </c>
      <c r="D7" s="47" t="n">
        <v>69</v>
      </c>
      <c r="E7" s="38" t="inlineStr">
        <is>
          <t>Warning</t>
        </is>
      </c>
      <c r="F7" s="6" t="inlineStr">
        <is>
          <t>Yes</t>
        </is>
      </c>
      <c r="G7" s="4" t="inlineStr">
        <is>
          <t>Indexable</t>
        </is>
      </c>
      <c r="H7" s="52" t="n">
        <v>12.96</v>
      </c>
      <c r="I7" s="52" t="n">
        <v>44.48</v>
      </c>
      <c r="J7" s="53" t="inlineStr">
        <is>
          <t>https://asconafrica.org/about-us/</t>
        </is>
      </c>
      <c r="K7" s="53" t="inlineStr">
        <is>
          <t>https</t>
        </is>
      </c>
      <c r="L7" s="6" t="n">
        <v>0</v>
      </c>
      <c r="M7" s="6" t="inlineStr">
        <is>
          <t>Copy Writer</t>
        </is>
      </c>
      <c r="N7" s="45" t="inlineStr">
        <is>
          <t>Open</t>
        </is>
      </c>
      <c r="O7" s="6" t="inlineStr"/>
      <c r="P7" s="6" t="inlineStr">
        <is>
          <t>WARN 🟡</t>
        </is>
      </c>
      <c r="Q7" s="6" t="inlineStr">
        <is>
          <t>https</t>
        </is>
      </c>
      <c r="R7" s="6" t="n">
        <v>0</v>
      </c>
      <c r="S7" s="6" t="inlineStr">
        <is>
          <t>text/html; charset=UTF-8</t>
        </is>
      </c>
      <c r="T7" s="43" t="inlineStr">
        <is>
          <t>HTTP/1.1</t>
        </is>
      </c>
      <c r="U7" s="6" t="b">
        <v>0</v>
      </c>
      <c r="V7" s="6" t="inlineStr">
        <is>
          <t>text/html; charset=UTF-8</t>
        </is>
      </c>
      <c r="W7" s="6" t="inlineStr">
        <is>
          <t>HTTP/1.1</t>
        </is>
      </c>
      <c r="X7" s="6" t="n">
        <v>203.68</v>
      </c>
      <c r="Y7" s="50" t="b">
        <v>0</v>
      </c>
      <c r="Z7" s="6" t="n"/>
      <c r="AA7" s="6" t="n"/>
      <c r="AB7" s="6" t="n"/>
      <c r="AC7" s="6" t="n"/>
      <c r="AD7" s="53" t="n"/>
      <c r="AE7" s="53" t="n"/>
      <c r="AF7" s="50" t="b">
        <v>0</v>
      </c>
      <c r="AG7" s="50" t="b">
        <v>0</v>
      </c>
      <c r="AH7" s="6" t="n">
        <v>0</v>
      </c>
      <c r="AI7" s="6" t="b">
        <v>0</v>
      </c>
      <c r="AJ7" s="6" t="n"/>
      <c r="AK7" s="6" t="b">
        <v>0</v>
      </c>
      <c r="AL7" s="50" t="b">
        <v>0</v>
      </c>
      <c r="AM7" s="6" t="b">
        <v>0</v>
      </c>
      <c r="AN7" s="6" t="b">
        <v>0</v>
      </c>
      <c r="AO7" s="6" t="n"/>
      <c r="AP7" s="54" t="n"/>
      <c r="AQ7" s="54" t="inlineStr">
        <is>
          <t>2026-04-09T14:49:22+00:00</t>
        </is>
      </c>
      <c r="AR7" s="54" t="inlineStr">
        <is>
          <t>2026-04-09T14:49:22+00:00</t>
        </is>
      </c>
      <c r="AS7" s="6" t="inlineStr">
        <is>
          <t>weekly</t>
        </is>
      </c>
      <c r="AT7" s="6" t="inlineStr">
        <is>
          <t>0.7</t>
        </is>
      </c>
      <c r="AU7" s="6" t="n">
        <v>0</v>
      </c>
      <c r="AV7" s="6" t="n">
        <v>1</v>
      </c>
      <c r="AW7" s="6" t="n">
        <v>7</v>
      </c>
      <c r="AX7" s="6" t="inlineStr">
        <is>
          <t>0</t>
        </is>
      </c>
      <c r="AY7" s="6" t="b">
        <v>1</v>
      </c>
      <c r="AZ7" s="6" t="b">
        <v>0</v>
      </c>
      <c r="BA7" s="6" t="b">
        <v>0</v>
      </c>
      <c r="BB7" s="6" t="n">
        <v>115</v>
      </c>
      <c r="BC7" s="6" t="n">
        <v>2734</v>
      </c>
      <c r="BD7" s="6" t="n"/>
      <c r="BE7" s="6" t="inlineStr">
        <is>
          <t>https://asconafrica.org/about-us/::low_aeo_readiness_score | https://asconafrica.org/about-us/::no_compression_header | https://asconafrica.org/about-us/::no_cache-control_header | https://asconafrica.org/about-us/::no_etag_header | https://asconafrica.org/about-us/::no_faq_qa_schema | https://asconafrica.org/about-us/::no_question_headings | https://asconafrica.org/about-us/::no_answer-friendly_structure | https://asconafrica.org/about-us/::no_40-60_word_answer_paragraphs</t>
        </is>
      </c>
      <c r="BF7" s="53" t="n">
        <v>1</v>
      </c>
      <c r="BG7" s="53" t="b">
        <v>0</v>
      </c>
      <c r="BH7">
        <f>IFERROR(HYPERLINK("#Main!A"&amp;MATCH(A7,Main!A:A,0),"Open"),HYPERLINK("#Main!A1","Open"))</f>
        <v/>
      </c>
    </row>
    <row r="8">
      <c r="A8" s="46" t="inlineStr">
        <is>
          <t>https://asconafrica.org/contact-us/</t>
        </is>
      </c>
      <c r="B8" s="4" t="n">
        <v>200</v>
      </c>
      <c r="C8" s="37" t="inlineStr">
        <is>
          <t>2xx</t>
        </is>
      </c>
      <c r="D8" s="47" t="n">
        <v>49</v>
      </c>
      <c r="E8" s="38" t="inlineStr">
        <is>
          <t>Warning</t>
        </is>
      </c>
      <c r="F8" s="37" t="inlineStr">
        <is>
          <t>Yes</t>
        </is>
      </c>
      <c r="G8" s="4" t="inlineStr">
        <is>
          <t>Indexable</t>
        </is>
      </c>
      <c r="H8" s="48" t="n">
        <v>598.3200000000001</v>
      </c>
      <c r="I8" s="48" t="n">
        <v>614.01</v>
      </c>
      <c r="J8" s="49" t="inlineStr">
        <is>
          <t>https://asconafrica.org/contact-us/</t>
        </is>
      </c>
      <c r="K8" s="49" t="inlineStr">
        <is>
          <t>https</t>
        </is>
      </c>
      <c r="L8" s="37" t="n">
        <v>0</v>
      </c>
      <c r="M8" s="37" t="inlineStr">
        <is>
          <t>Copy Writer</t>
        </is>
      </c>
      <c r="N8" s="45" t="inlineStr">
        <is>
          <t>Open</t>
        </is>
      </c>
      <c r="O8" s="37" t="inlineStr"/>
      <c r="P8" s="37" t="inlineStr">
        <is>
          <t>WARN 🟡</t>
        </is>
      </c>
      <c r="Q8" s="37" t="inlineStr">
        <is>
          <t>https</t>
        </is>
      </c>
      <c r="R8" s="37" t="n">
        <v>0</v>
      </c>
      <c r="S8" s="37" t="inlineStr">
        <is>
          <t>text/html; charset=UTF-8</t>
        </is>
      </c>
      <c r="T8" s="40" t="inlineStr">
        <is>
          <t>HTTP/1.1</t>
        </is>
      </c>
      <c r="U8" s="37" t="b">
        <v>0</v>
      </c>
      <c r="V8" s="37" t="inlineStr">
        <is>
          <t>text/html; charset=UTF-8</t>
        </is>
      </c>
      <c r="W8" s="37" t="inlineStr">
        <is>
          <t>HTTP/1.1</t>
        </is>
      </c>
      <c r="X8" s="37" t="n">
        <v>101.19</v>
      </c>
      <c r="Y8" s="50" t="b">
        <v>0</v>
      </c>
      <c r="Z8" s="37" t="n"/>
      <c r="AA8" s="37" t="n"/>
      <c r="AB8" s="37" t="n"/>
      <c r="AC8" s="37" t="n"/>
      <c r="AD8" s="49" t="n"/>
      <c r="AE8" s="49" t="n"/>
      <c r="AF8" s="50" t="b">
        <v>0</v>
      </c>
      <c r="AG8" s="50" t="b">
        <v>0</v>
      </c>
      <c r="AH8" s="37" t="n">
        <v>0</v>
      </c>
      <c r="AI8" s="37" t="b">
        <v>0</v>
      </c>
      <c r="AJ8" s="37" t="n"/>
      <c r="AK8" s="37" t="b">
        <v>0</v>
      </c>
      <c r="AL8" s="50" t="b">
        <v>0</v>
      </c>
      <c r="AM8" s="37" t="b">
        <v>0</v>
      </c>
      <c r="AN8" s="37" t="b">
        <v>0</v>
      </c>
      <c r="AO8" s="37" t="n"/>
      <c r="AP8" s="51" t="n"/>
      <c r="AQ8" s="51" t="inlineStr">
        <is>
          <t>2026-02-13T11:31:00+00:00</t>
        </is>
      </c>
      <c r="AR8" s="51" t="inlineStr">
        <is>
          <t>2026-02-13T11:31:00+00:00</t>
        </is>
      </c>
      <c r="AS8" s="37" t="inlineStr">
        <is>
          <t>weekly</t>
        </is>
      </c>
      <c r="AT8" s="37" t="inlineStr">
        <is>
          <t>0.7</t>
        </is>
      </c>
      <c r="AU8" s="37" t="n">
        <v>0</v>
      </c>
      <c r="AV8" s="37" t="n">
        <v>3</v>
      </c>
      <c r="AW8" s="37" t="n">
        <v>7</v>
      </c>
      <c r="AX8" s="37" t="inlineStr">
        <is>
          <t>0</t>
        </is>
      </c>
      <c r="AY8" s="37" t="b">
        <v>1</v>
      </c>
      <c r="AZ8" s="37" t="b">
        <v>0</v>
      </c>
      <c r="BA8" s="37" t="b">
        <v>0</v>
      </c>
      <c r="BB8" s="37" t="n">
        <v>129</v>
      </c>
      <c r="BC8" s="37" t="n">
        <v>2343</v>
      </c>
      <c r="BD8" s="37" t="n"/>
      <c r="BE8" s="37" t="inlineStr">
        <is>
          <t>https://asconafrica.org/contact-us/::missing_h1 | https://asconafrica.org/contact-us/::thin_content | https://asconafrica.org/contact-us/::low_aeo_readiness_score | https://asconafrica.org/contact-us/::no_compression_header | https://asconafrica.org/contact-us/::no_cache-control_header | https://asconafrica.org/contact-us/::no_etag_header | https://asconafrica.org/contact-us/::no_faq_qa_schema | https://asconafrica.org/contact-us/::no_question_headings | https://asconafrica.org/contact-us/::no_answer-friendly_structure | https://asconafrica.org/contact-us/::no_40-60_word_answer_paragraphs</t>
        </is>
      </c>
      <c r="BF8" s="49" t="n">
        <v>1</v>
      </c>
      <c r="BG8" s="49" t="b">
        <v>0</v>
      </c>
      <c r="BH8">
        <f>IFERROR(HYPERLINK("#Main!A"&amp;MATCH(A8,Main!A:A,0),"Open"),HYPERLINK("#Main!A1","Open"))</f>
        <v/>
      </c>
    </row>
    <row r="9" ht="30" customHeight="1">
      <c r="A9" s="46" t="inlineStr">
        <is>
          <t>https://asconafrica.org/launch-event-2026-ascon-conference/</t>
        </is>
      </c>
      <c r="B9" s="4" t="n">
        <v>200</v>
      </c>
      <c r="C9" s="6" t="inlineStr">
        <is>
          <t>2xx</t>
        </is>
      </c>
      <c r="D9" s="47" t="n">
        <v>69</v>
      </c>
      <c r="E9" s="38" t="inlineStr">
        <is>
          <t>Warning</t>
        </is>
      </c>
      <c r="F9" s="6" t="inlineStr">
        <is>
          <t>Yes</t>
        </is>
      </c>
      <c r="G9" s="4" t="inlineStr">
        <is>
          <t>Indexable</t>
        </is>
      </c>
      <c r="H9" s="52" t="n">
        <v>26.28</v>
      </c>
      <c r="I9" s="52" t="n">
        <v>77.40000000000001</v>
      </c>
      <c r="J9" s="53" t="inlineStr">
        <is>
          <t>https://asconafrica.org/launch-event-2026-ascon-conference/</t>
        </is>
      </c>
      <c r="K9" s="53" t="inlineStr">
        <is>
          <t>https</t>
        </is>
      </c>
      <c r="L9" s="6" t="n">
        <v>0</v>
      </c>
      <c r="M9" s="6" t="inlineStr">
        <is>
          <t>Copy Writer</t>
        </is>
      </c>
      <c r="N9" s="45" t="inlineStr">
        <is>
          <t>Open</t>
        </is>
      </c>
      <c r="O9" s="6" t="inlineStr"/>
      <c r="P9" s="6" t="inlineStr">
        <is>
          <t>WARN 🟡</t>
        </is>
      </c>
      <c r="Q9" s="6" t="inlineStr">
        <is>
          <t>https</t>
        </is>
      </c>
      <c r="R9" s="6" t="n">
        <v>0</v>
      </c>
      <c r="S9" s="6" t="inlineStr">
        <is>
          <t>text/html; charset=UTF-8</t>
        </is>
      </c>
      <c r="T9" s="43" t="inlineStr">
        <is>
          <t>HTTP/1.1</t>
        </is>
      </c>
      <c r="U9" s="6" t="b">
        <v>0</v>
      </c>
      <c r="V9" s="6" t="inlineStr">
        <is>
          <t>text/html; charset=UTF-8</t>
        </is>
      </c>
      <c r="W9" s="6" t="inlineStr">
        <is>
          <t>HTTP/1.1</t>
        </is>
      </c>
      <c r="X9" s="6" t="n">
        <v>151.07</v>
      </c>
      <c r="Y9" s="50" t="b">
        <v>0</v>
      </c>
      <c r="Z9" s="6" t="n"/>
      <c r="AA9" s="6" t="n"/>
      <c r="AB9" s="6" t="n"/>
      <c r="AC9" s="6" t="n"/>
      <c r="AD9" s="53" t="n"/>
      <c r="AE9" s="53" t="n"/>
      <c r="AF9" s="50" t="b">
        <v>0</v>
      </c>
      <c r="AG9" s="50" t="b">
        <v>0</v>
      </c>
      <c r="AH9" s="6" t="n">
        <v>0</v>
      </c>
      <c r="AI9" s="6" t="b">
        <v>0</v>
      </c>
      <c r="AJ9" s="6" t="n"/>
      <c r="AK9" s="6" t="b">
        <v>0</v>
      </c>
      <c r="AL9" s="50" t="b">
        <v>0</v>
      </c>
      <c r="AM9" s="6" t="b">
        <v>0</v>
      </c>
      <c r="AN9" s="6" t="b">
        <v>0</v>
      </c>
      <c r="AO9" s="6" t="n"/>
      <c r="AP9" s="54" t="n"/>
      <c r="AQ9" s="54" t="inlineStr">
        <is>
          <t>2026-03-19T14:12:48+00:00</t>
        </is>
      </c>
      <c r="AR9" s="54" t="inlineStr">
        <is>
          <t>2026-03-19T14:12:48+00:00</t>
        </is>
      </c>
      <c r="AS9" s="6" t="inlineStr">
        <is>
          <t>weekly</t>
        </is>
      </c>
      <c r="AT9" s="6" t="inlineStr">
        <is>
          <t>0.7</t>
        </is>
      </c>
      <c r="AU9" s="6" t="n">
        <v>0</v>
      </c>
      <c r="AV9" s="6" t="n">
        <v>1</v>
      </c>
      <c r="AW9" s="6" t="n">
        <v>7</v>
      </c>
      <c r="AX9" s="6" t="inlineStr">
        <is>
          <t>0</t>
        </is>
      </c>
      <c r="AY9" s="6" t="b">
        <v>1</v>
      </c>
      <c r="AZ9" s="6" t="b">
        <v>0</v>
      </c>
      <c r="BA9" s="6" t="b">
        <v>0</v>
      </c>
      <c r="BB9" s="6" t="n">
        <v>316</v>
      </c>
      <c r="BC9" s="6" t="n">
        <v>2145</v>
      </c>
      <c r="BD9" s="6" t="n"/>
      <c r="BE9" s="6" t="inlineStr">
        <is>
          <t>https://asconafrica.org/launch-event-2026-ascon-conference/::low_aeo_readiness_score | https://asconafrica.org/launch-event-2026-ascon-conference/::no_compression_header | https://asconafrica.org/launch-event-2026-ascon-conference/::no_cache-control_header | https://asconafrica.org/launch-event-2026-ascon-conference/::no_etag_header | https://asconafrica.org/launch-event-2026-ascon-conference/::no_faq_qa_schema | https://asconafrica.org/launch-event-2026-ascon-conference/::no_question_headings | https://asconafrica.org/launch-event-2026-ascon-conference/::no_answer-friendly_structure | https://asconafrica.org/launch-event-2026-ascon-conference/::no_40-60_word_answer_paragraphs</t>
        </is>
      </c>
      <c r="BF9" s="53" t="n">
        <v>1</v>
      </c>
      <c r="BG9" s="53" t="b">
        <v>0</v>
      </c>
      <c r="BH9">
        <f>IFERROR(HYPERLINK("#Main!A"&amp;MATCH(A9,Main!A:A,0),"Open"),HYPERLINK("#Main!A1","Open"))</f>
        <v/>
      </c>
    </row>
    <row r="10" ht="45" customHeight="1">
      <c r="A10" s="46" t="inlineStr">
        <is>
          <t>https://asconafrica.org/launch-event-2026-ascon-conference/thank-you-for-registering-conference-launch/</t>
        </is>
      </c>
      <c r="B10" s="4" t="n">
        <v>200</v>
      </c>
      <c r="C10" s="37" t="inlineStr">
        <is>
          <t>2xx</t>
        </is>
      </c>
      <c r="D10" s="47" t="n">
        <v>59</v>
      </c>
      <c r="E10" s="38" t="inlineStr">
        <is>
          <t>Warning</t>
        </is>
      </c>
      <c r="F10" s="37" t="inlineStr">
        <is>
          <t>Yes</t>
        </is>
      </c>
      <c r="G10" s="4" t="inlineStr">
        <is>
          <t>Indexable</t>
        </is>
      </c>
      <c r="H10" s="48" t="n">
        <v>701.89</v>
      </c>
      <c r="I10" s="48" t="n">
        <v>715.92</v>
      </c>
      <c r="J10" s="49" t="inlineStr">
        <is>
          <t>https://asconafrica.org/launch-event-2026-ascon-conference/thank-you-for-registering-conference-launch/</t>
        </is>
      </c>
      <c r="K10" s="49" t="inlineStr">
        <is>
          <t>https</t>
        </is>
      </c>
      <c r="L10" s="37" t="n">
        <v>0</v>
      </c>
      <c r="M10" s="37" t="inlineStr">
        <is>
          <t>Copy Writer</t>
        </is>
      </c>
      <c r="N10" s="45" t="inlineStr">
        <is>
          <t>Open</t>
        </is>
      </c>
      <c r="O10" s="37" t="inlineStr"/>
      <c r="P10" s="37" t="inlineStr">
        <is>
          <t>WARN 🟡</t>
        </is>
      </c>
      <c r="Q10" s="37" t="inlineStr">
        <is>
          <t>https</t>
        </is>
      </c>
      <c r="R10" s="37" t="n">
        <v>0</v>
      </c>
      <c r="S10" s="37" t="inlineStr">
        <is>
          <t>text/html; charset=UTF-8</t>
        </is>
      </c>
      <c r="T10" s="40" t="inlineStr">
        <is>
          <t>HTTP/1.1</t>
        </is>
      </c>
      <c r="U10" s="37" t="b">
        <v>0</v>
      </c>
      <c r="V10" s="37" t="inlineStr">
        <is>
          <t>text/html; charset=UTF-8</t>
        </is>
      </c>
      <c r="W10" s="37" t="inlineStr">
        <is>
          <t>HTTP/1.1</t>
        </is>
      </c>
      <c r="X10" s="37" t="n">
        <v>78.42</v>
      </c>
      <c r="Y10" s="50" t="b">
        <v>0</v>
      </c>
      <c r="Z10" s="37" t="n"/>
      <c r="AA10" s="37" t="n"/>
      <c r="AB10" s="37" t="n"/>
      <c r="AC10" s="37" t="n"/>
      <c r="AD10" s="49" t="n"/>
      <c r="AE10" s="49" t="n"/>
      <c r="AF10" s="50" t="b">
        <v>0</v>
      </c>
      <c r="AG10" s="50" t="b">
        <v>0</v>
      </c>
      <c r="AH10" s="37" t="n">
        <v>0</v>
      </c>
      <c r="AI10" s="37" t="b">
        <v>0</v>
      </c>
      <c r="AJ10" s="37" t="n"/>
      <c r="AK10" s="37" t="b">
        <v>0</v>
      </c>
      <c r="AL10" s="50" t="b">
        <v>0</v>
      </c>
      <c r="AM10" s="37" t="b">
        <v>0</v>
      </c>
      <c r="AN10" s="37" t="b">
        <v>0</v>
      </c>
      <c r="AO10" s="37" t="n"/>
      <c r="AP10" s="51" t="n"/>
      <c r="AQ10" s="51" t="inlineStr">
        <is>
          <t>2026-03-26T06:51:40+00:00</t>
        </is>
      </c>
      <c r="AR10" s="51" t="inlineStr">
        <is>
          <t>2026-03-26T06:51:40+00:00</t>
        </is>
      </c>
      <c r="AS10" s="37" t="inlineStr">
        <is>
          <t>weekly</t>
        </is>
      </c>
      <c r="AT10" s="37" t="inlineStr">
        <is>
          <t>0.7</t>
        </is>
      </c>
      <c r="AU10" s="37" t="n">
        <v>0</v>
      </c>
      <c r="AV10" s="37" t="n">
        <v>2</v>
      </c>
      <c r="AW10" s="37" t="n">
        <v>7</v>
      </c>
      <c r="AX10" s="37" t="inlineStr">
        <is>
          <t>0</t>
        </is>
      </c>
      <c r="AY10" s="37" t="b">
        <v>1</v>
      </c>
      <c r="AZ10" s="37" t="b">
        <v>0</v>
      </c>
      <c r="BA10" s="37" t="b">
        <v>0</v>
      </c>
      <c r="BB10" s="37" t="n">
        <v>381</v>
      </c>
      <c r="BC10" s="37" t="n">
        <v>1240</v>
      </c>
      <c r="BD10" s="37" t="n"/>
      <c r="BE10" s="37" t="inlineStr">
        <is>
          <t>https://asconafrica.org/launch-event-2026-ascon-conference/thank-you-for-registering-conference-launch/::thin_content | https://asconafrica.org/launch-event-2026-ascon-conference/thank-you-for-registering-conference-launch/::low_aeo_readiness_score | https://asconafrica.org/launch-event-2026-ascon-conference/thank-you-for-registering-conference-launch/::no_compression_header | https://asconafrica.org/launch-event-2026-ascon-conference/thank-you-for-registering-conference-launch/::no_cache-control_header | https://asconafrica.org/launch-event-2026-ascon-conference/thank-you-for-registering-conference-launch/::no_etag_header | https://asconafrica.org/launch-event-2026-ascon-conference/thank-you-for-registering-conference-launch/::no_faq_qa_schema | https://asconafrica.org/launch-event-2026-ascon-conference/thank-you-for-registering-conference-launch/::no_question_headings | https://asconafrica.org/launch-event-2026-ascon-conference/thank-you-for-registering-conference-launch/::no_answer-friendly_structure | https://asconafrica.org/launch-event-2026-ascon-conference/thank-you-for-registering-conference-launch/::no_40-60_word_answer_paragraphs</t>
        </is>
      </c>
      <c r="BF10" s="49" t="n">
        <v>2</v>
      </c>
      <c r="BG10" s="49" t="b">
        <v>0</v>
      </c>
      <c r="BH10">
        <f>IFERROR(HYPERLINK("#Main!A"&amp;MATCH(A10,Main!A:A,0),"Open"),HYPERLINK("#Main!A1","Open"))</f>
        <v/>
      </c>
    </row>
    <row r="11">
      <c r="A11" s="46" t="inlineStr">
        <is>
          <t>https://asconafrica.org/news/</t>
        </is>
      </c>
      <c r="B11" s="4" t="n">
        <v>200</v>
      </c>
      <c r="C11" s="6" t="inlineStr">
        <is>
          <t>2xx</t>
        </is>
      </c>
      <c r="D11" s="47" t="n">
        <v>59</v>
      </c>
      <c r="E11" s="38" t="inlineStr">
        <is>
          <t>Warning</t>
        </is>
      </c>
      <c r="F11" s="6" t="inlineStr">
        <is>
          <t>Yes</t>
        </is>
      </c>
      <c r="G11" s="4" t="inlineStr">
        <is>
          <t>Indexable</t>
        </is>
      </c>
      <c r="H11" s="52" t="n">
        <v>16.04</v>
      </c>
      <c r="I11" s="52" t="n">
        <v>30.33</v>
      </c>
      <c r="J11" s="53" t="inlineStr">
        <is>
          <t>https://asconafrica.org/news/</t>
        </is>
      </c>
      <c r="K11" s="53" t="inlineStr">
        <is>
          <t>https</t>
        </is>
      </c>
      <c r="L11" s="6" t="n">
        <v>0</v>
      </c>
      <c r="M11" s="6" t="inlineStr">
        <is>
          <t>Copy Writer</t>
        </is>
      </c>
      <c r="N11" s="45" t="inlineStr">
        <is>
          <t>Open</t>
        </is>
      </c>
      <c r="O11" s="6" t="inlineStr"/>
      <c r="P11" s="6" t="inlineStr">
        <is>
          <t>WARN 🟡</t>
        </is>
      </c>
      <c r="Q11" s="6" t="inlineStr">
        <is>
          <t>https</t>
        </is>
      </c>
      <c r="R11" s="6" t="n">
        <v>0</v>
      </c>
      <c r="S11" s="6" t="inlineStr">
        <is>
          <t>text/html; charset=UTF-8</t>
        </is>
      </c>
      <c r="T11" s="43" t="inlineStr">
        <is>
          <t>HTTP/1.1</t>
        </is>
      </c>
      <c r="U11" s="6" t="b">
        <v>0</v>
      </c>
      <c r="V11" s="6" t="inlineStr">
        <is>
          <t>text/html; charset=UTF-8</t>
        </is>
      </c>
      <c r="W11" s="6" t="inlineStr">
        <is>
          <t>HTTP/1.1</t>
        </is>
      </c>
      <c r="X11" s="6" t="n">
        <v>101.94</v>
      </c>
      <c r="Y11" s="50" t="b">
        <v>0</v>
      </c>
      <c r="Z11" s="6" t="n"/>
      <c r="AA11" s="6" t="n"/>
      <c r="AB11" s="6" t="n"/>
      <c r="AC11" s="6" t="n"/>
      <c r="AD11" s="53" t="n"/>
      <c r="AE11" s="53" t="n"/>
      <c r="AF11" s="50" t="b">
        <v>0</v>
      </c>
      <c r="AG11" s="50" t="b">
        <v>0</v>
      </c>
      <c r="AH11" s="6" t="n">
        <v>0</v>
      </c>
      <c r="AI11" s="6" t="b">
        <v>0</v>
      </c>
      <c r="AJ11" s="6" t="n"/>
      <c r="AK11" s="6" t="b">
        <v>0</v>
      </c>
      <c r="AL11" s="50" t="b">
        <v>0</v>
      </c>
      <c r="AM11" s="6" t="b">
        <v>0</v>
      </c>
      <c r="AN11" s="6" t="b">
        <v>0</v>
      </c>
      <c r="AO11" s="6" t="n"/>
      <c r="AP11" s="54" t="n"/>
      <c r="AQ11" s="54" t="inlineStr">
        <is>
          <t>2026-04-14T11:49:34+00:00</t>
        </is>
      </c>
      <c r="AR11" s="54" t="inlineStr">
        <is>
          <t>2026-04-14T11:49:34+00:00</t>
        </is>
      </c>
      <c r="AS11" s="6" t="inlineStr">
        <is>
          <t>weekly</t>
        </is>
      </c>
      <c r="AT11" s="6" t="inlineStr">
        <is>
          <t>0.7</t>
        </is>
      </c>
      <c r="AU11" s="6" t="n">
        <v>0</v>
      </c>
      <c r="AV11" s="6" t="n">
        <v>2</v>
      </c>
      <c r="AW11" s="6" t="n">
        <v>7</v>
      </c>
      <c r="AX11" s="6" t="inlineStr">
        <is>
          <t>0</t>
        </is>
      </c>
      <c r="AY11" s="6" t="b">
        <v>1</v>
      </c>
      <c r="AZ11" s="6" t="b">
        <v>0</v>
      </c>
      <c r="BA11" s="6" t="b">
        <v>0</v>
      </c>
      <c r="BB11" s="6" t="n">
        <v>86</v>
      </c>
      <c r="BC11" s="6" t="n">
        <v>2523</v>
      </c>
      <c r="BD11" s="6" t="n"/>
      <c r="BE11" s="6" t="inlineStr">
        <is>
          <t>https://asconafrica.org/news/::missing_h1 | https://asconafrica.org/news/::low_aeo_readiness_score | https://asconafrica.org/news/::no_compression_header | https://asconafrica.org/news/::no_cache-control_header | https://asconafrica.org/news/::no_etag_header | https://asconafrica.org/news/::no_faq_qa_schema | https://asconafrica.org/news/::no_question_headings | https://asconafrica.org/news/::no_answer-friendly_structure | https://asconafrica.org/news/::no_40-60_word_answer_paragraphs</t>
        </is>
      </c>
      <c r="BF11" s="53" t="n">
        <v>1</v>
      </c>
      <c r="BG11" s="53" t="b">
        <v>0</v>
      </c>
      <c r="BH11">
        <f>IFERROR(HYPERLINK("#Main!A"&amp;MATCH(A11,Main!A:A,0),"Open"),HYPERLINK("#Main!A1","Open"))</f>
        <v/>
      </c>
    </row>
    <row r="12">
      <c r="A12" s="46" t="inlineStr">
        <is>
          <t>https://asconafrica.org/our-members/</t>
        </is>
      </c>
      <c r="B12" s="4" t="n">
        <v>200</v>
      </c>
      <c r="C12" s="37" t="inlineStr">
        <is>
          <t>2xx</t>
        </is>
      </c>
      <c r="D12" s="47" t="n">
        <v>59</v>
      </c>
      <c r="E12" s="38" t="inlineStr">
        <is>
          <t>Warning</t>
        </is>
      </c>
      <c r="F12" s="37" t="inlineStr">
        <is>
          <t>Yes</t>
        </is>
      </c>
      <c r="G12" s="4" t="inlineStr">
        <is>
          <t>Indexable</t>
        </is>
      </c>
      <c r="H12" s="48" t="n">
        <v>839.5</v>
      </c>
      <c r="I12" s="48" t="n">
        <v>860.49</v>
      </c>
      <c r="J12" s="49" t="inlineStr">
        <is>
          <t>https://asconafrica.org/our-members/</t>
        </is>
      </c>
      <c r="K12" s="49" t="inlineStr">
        <is>
          <t>https</t>
        </is>
      </c>
      <c r="L12" s="37" t="n">
        <v>0</v>
      </c>
      <c r="M12" s="37" t="inlineStr">
        <is>
          <t>Copy Writer</t>
        </is>
      </c>
      <c r="N12" s="45" t="inlineStr">
        <is>
          <t>Open</t>
        </is>
      </c>
      <c r="O12" s="37" t="inlineStr"/>
      <c r="P12" s="37" t="inlineStr">
        <is>
          <t>WARN 🟡</t>
        </is>
      </c>
      <c r="Q12" s="37" t="inlineStr">
        <is>
          <t>https</t>
        </is>
      </c>
      <c r="R12" s="37" t="n">
        <v>0</v>
      </c>
      <c r="S12" s="37" t="inlineStr">
        <is>
          <t>text/html; charset=UTF-8</t>
        </is>
      </c>
      <c r="T12" s="40" t="inlineStr">
        <is>
          <t>HTTP/1.1</t>
        </is>
      </c>
      <c r="U12" s="37" t="b">
        <v>0</v>
      </c>
      <c r="V12" s="37" t="inlineStr">
        <is>
          <t>text/html; charset=UTF-8</t>
        </is>
      </c>
      <c r="W12" s="37" t="inlineStr">
        <is>
          <t>HTTP/1.1</t>
        </is>
      </c>
      <c r="X12" s="37" t="n">
        <v>87.06999999999999</v>
      </c>
      <c r="Y12" s="50" t="b">
        <v>0</v>
      </c>
      <c r="Z12" s="37" t="n"/>
      <c r="AA12" s="37" t="n"/>
      <c r="AB12" s="37" t="n"/>
      <c r="AC12" s="37" t="n"/>
      <c r="AD12" s="49" t="n"/>
      <c r="AE12" s="49" t="n"/>
      <c r="AF12" s="50" t="b">
        <v>0</v>
      </c>
      <c r="AG12" s="50" t="b">
        <v>0</v>
      </c>
      <c r="AH12" s="37" t="n">
        <v>0</v>
      </c>
      <c r="AI12" s="37" t="b">
        <v>0</v>
      </c>
      <c r="AJ12" s="37" t="n"/>
      <c r="AK12" s="37" t="b">
        <v>0</v>
      </c>
      <c r="AL12" s="50" t="b">
        <v>0</v>
      </c>
      <c r="AM12" s="37" t="b">
        <v>0</v>
      </c>
      <c r="AN12" s="37" t="b">
        <v>0</v>
      </c>
      <c r="AO12" s="37" t="n"/>
      <c r="AP12" s="51" t="n"/>
      <c r="AQ12" s="51" t="inlineStr">
        <is>
          <t>2026-04-16T11:43:28+00:00</t>
        </is>
      </c>
      <c r="AR12" s="51" t="inlineStr">
        <is>
          <t>2026-04-16T11:43:28+00:00</t>
        </is>
      </c>
      <c r="AS12" s="37" t="inlineStr">
        <is>
          <t>weekly</t>
        </is>
      </c>
      <c r="AT12" s="37" t="inlineStr">
        <is>
          <t>0.7</t>
        </is>
      </c>
      <c r="AU12" s="37" t="n">
        <v>0</v>
      </c>
      <c r="AV12" s="37" t="n">
        <v>2</v>
      </c>
      <c r="AW12" s="37" t="n">
        <v>7</v>
      </c>
      <c r="AX12" s="37" t="inlineStr">
        <is>
          <t>0</t>
        </is>
      </c>
      <c r="AY12" s="37" t="b">
        <v>1</v>
      </c>
      <c r="AZ12" s="37" t="b">
        <v>0</v>
      </c>
      <c r="BA12" s="37" t="b">
        <v>0</v>
      </c>
      <c r="BB12" s="37" t="n">
        <v>136</v>
      </c>
      <c r="BC12" s="37" t="n">
        <v>2380</v>
      </c>
      <c r="BD12" s="37" t="n"/>
      <c r="BE12" s="37" t="inlineStr">
        <is>
          <t>https://asconafrica.org/our-members/::thin_content | https://asconafrica.org/our-members/::low_aeo_readiness_score | https://asconafrica.org/our-members/::no_compression_header | https://asconafrica.org/our-members/::no_cache-control_header | https://asconafrica.org/our-members/::no_etag_header | https://asconafrica.org/our-members/::no_faq_qa_schema | https://asconafrica.org/our-members/::no_question_headings | https://asconafrica.org/our-members/::no_answer-friendly_structure | https://asconafrica.org/our-members/::no_40-60_word_answer_paragraphs</t>
        </is>
      </c>
      <c r="BF12" s="49" t="n">
        <v>1</v>
      </c>
      <c r="BG12" s="49" t="b">
        <v>0</v>
      </c>
      <c r="BH12">
        <f>IFERROR(HYPERLINK("#Main!A"&amp;MATCH(A12,Main!A:A,0),"Open"),HYPERLINK("#Main!A1","Open"))</f>
        <v/>
      </c>
    </row>
    <row r="13">
      <c r="A13" s="46" t="inlineStr">
        <is>
          <t>https://asconafrica.org/privacy-policy/</t>
        </is>
      </c>
      <c r="B13" s="4" t="n">
        <v>200</v>
      </c>
      <c r="C13" s="6" t="inlineStr">
        <is>
          <t>2xx</t>
        </is>
      </c>
      <c r="D13" s="47" t="n">
        <v>65</v>
      </c>
      <c r="E13" s="38" t="inlineStr">
        <is>
          <t>Warning</t>
        </is>
      </c>
      <c r="F13" s="6" t="inlineStr">
        <is>
          <t>Yes</t>
        </is>
      </c>
      <c r="G13" s="4" t="inlineStr">
        <is>
          <t>Indexable</t>
        </is>
      </c>
      <c r="H13" s="52" t="n">
        <v>546.89</v>
      </c>
      <c r="I13" s="52" t="n">
        <v>558.86</v>
      </c>
      <c r="J13" s="53" t="inlineStr">
        <is>
          <t>https://asconafrica.org/privacy-policy/</t>
        </is>
      </c>
      <c r="K13" s="53" t="inlineStr">
        <is>
          <t>https</t>
        </is>
      </c>
      <c r="L13" s="6" t="n">
        <v>0</v>
      </c>
      <c r="M13" s="6" t="inlineStr">
        <is>
          <t>Copy Writer</t>
        </is>
      </c>
      <c r="N13" s="45" t="inlineStr">
        <is>
          <t>Open</t>
        </is>
      </c>
      <c r="O13" s="6" t="inlineStr"/>
      <c r="P13" s="6" t="inlineStr">
        <is>
          <t>WARN 🟡</t>
        </is>
      </c>
      <c r="Q13" s="6" t="inlineStr">
        <is>
          <t>https</t>
        </is>
      </c>
      <c r="R13" s="6" t="n">
        <v>0</v>
      </c>
      <c r="S13" s="6" t="inlineStr">
        <is>
          <t>text/html; charset=UTF-8</t>
        </is>
      </c>
      <c r="T13" s="43" t="inlineStr">
        <is>
          <t>HTTP/1.1</t>
        </is>
      </c>
      <c r="U13" s="6" t="b">
        <v>0</v>
      </c>
      <c r="V13" s="6" t="inlineStr">
        <is>
          <t>text/html; charset=UTF-8</t>
        </is>
      </c>
      <c r="W13" s="6" t="inlineStr">
        <is>
          <t>HTTP/1.1</t>
        </is>
      </c>
      <c r="X13" s="6" t="n">
        <v>135.74</v>
      </c>
      <c r="Y13" s="50" t="b">
        <v>0</v>
      </c>
      <c r="Z13" s="6" t="n"/>
      <c r="AA13" s="6" t="n"/>
      <c r="AB13" s="6" t="n"/>
      <c r="AC13" s="6" t="n"/>
      <c r="AD13" s="53" t="n"/>
      <c r="AE13" s="53" t="n"/>
      <c r="AF13" s="50" t="b">
        <v>0</v>
      </c>
      <c r="AG13" s="50" t="b">
        <v>0</v>
      </c>
      <c r="AH13" s="6" t="n">
        <v>0</v>
      </c>
      <c r="AI13" s="6" t="b">
        <v>0</v>
      </c>
      <c r="AJ13" s="6" t="n"/>
      <c r="AK13" s="6" t="b">
        <v>0</v>
      </c>
      <c r="AL13" s="50" t="b">
        <v>0</v>
      </c>
      <c r="AM13" s="6" t="b">
        <v>0</v>
      </c>
      <c r="AN13" s="6" t="b">
        <v>0</v>
      </c>
      <c r="AO13" s="6" t="n"/>
      <c r="AP13" s="54" t="n"/>
      <c r="AQ13" s="54" t="inlineStr">
        <is>
          <t>2026-03-26T14:35:45+00:00</t>
        </is>
      </c>
      <c r="AR13" s="54" t="inlineStr">
        <is>
          <t>2026-03-26T14:35:45+00:00</t>
        </is>
      </c>
      <c r="AS13" s="6" t="inlineStr">
        <is>
          <t>weekly</t>
        </is>
      </c>
      <c r="AT13" s="6" t="inlineStr">
        <is>
          <t>0.7</t>
        </is>
      </c>
      <c r="AU13" s="6" t="n">
        <v>0</v>
      </c>
      <c r="AV13" s="6" t="n">
        <v>2</v>
      </c>
      <c r="AW13" s="6" t="n">
        <v>5</v>
      </c>
      <c r="AX13" s="6" t="inlineStr">
        <is>
          <t>0</t>
        </is>
      </c>
      <c r="AY13" s="6" t="b">
        <v>1</v>
      </c>
      <c r="AZ13" s="6" t="b">
        <v>0</v>
      </c>
      <c r="BA13" s="6" t="b">
        <v>0</v>
      </c>
      <c r="BB13" s="6" t="n">
        <v>158</v>
      </c>
      <c r="BC13" s="6" t="n">
        <v>2455</v>
      </c>
      <c r="BD13" s="6" t="n"/>
      <c r="BE13" s="6" t="inlineStr">
        <is>
          <t>https://asconafrica.org/privacy-policy/::missing_h1 | https://asconafrica.org/privacy-policy/::low_aeo_readiness_score | https://asconafrica.org/privacy-policy/::no_compression_header | https://asconafrica.org/privacy-policy/::no_cache-control_header | https://asconafrica.org/privacy-policy/::no_etag_header | https://asconafrica.org/privacy-policy/::no_faq_qa_schema | https://asconafrica.org/privacy-policy/::no_answer-friendly_structure</t>
        </is>
      </c>
      <c r="BF13" s="53" t="n">
        <v>1</v>
      </c>
      <c r="BG13" s="53" t="b">
        <v>0</v>
      </c>
      <c r="BH13">
        <f>IFERROR(HYPERLINK("#Main!A"&amp;MATCH(A13,Main!A:A,0),"Open"),HYPERLINK("#Main!A1","Open"))</f>
        <v/>
      </c>
    </row>
    <row r="14" ht="30" customHeight="1">
      <c r="A14" s="46" t="inlineStr">
        <is>
          <t>https://asconafrica.org/thank-you-for-signing-up-for-updates/</t>
        </is>
      </c>
      <c r="B14" s="4" t="n">
        <v>200</v>
      </c>
      <c r="C14" s="37" t="inlineStr">
        <is>
          <t>2xx</t>
        </is>
      </c>
      <c r="D14" s="47" t="n">
        <v>59</v>
      </c>
      <c r="E14" s="38" t="inlineStr">
        <is>
          <t>Warning</t>
        </is>
      </c>
      <c r="F14" s="37" t="inlineStr">
        <is>
          <t>Yes</t>
        </is>
      </c>
      <c r="G14" s="4" t="inlineStr">
        <is>
          <t>Indexable</t>
        </is>
      </c>
      <c r="H14" s="48" t="n">
        <v>546.83</v>
      </c>
      <c r="I14" s="48" t="n">
        <v>558.35</v>
      </c>
      <c r="J14" s="49" t="inlineStr">
        <is>
          <t>https://asconafrica.org/thank-you-for-signing-up-for-updates/</t>
        </is>
      </c>
      <c r="K14" s="49" t="inlineStr">
        <is>
          <t>https</t>
        </is>
      </c>
      <c r="L14" s="37" t="n">
        <v>0</v>
      </c>
      <c r="M14" s="37" t="inlineStr">
        <is>
          <t>Copy Writer</t>
        </is>
      </c>
      <c r="N14" s="45" t="inlineStr">
        <is>
          <t>Open</t>
        </is>
      </c>
      <c r="O14" s="37" t="inlineStr"/>
      <c r="P14" s="37" t="inlineStr">
        <is>
          <t>WARN 🟡</t>
        </is>
      </c>
      <c r="Q14" s="37" t="inlineStr">
        <is>
          <t>https</t>
        </is>
      </c>
      <c r="R14" s="37" t="n">
        <v>0</v>
      </c>
      <c r="S14" s="37" t="inlineStr">
        <is>
          <t>text/html; charset=UTF-8</t>
        </is>
      </c>
      <c r="T14" s="40" t="inlineStr">
        <is>
          <t>HTTP/1.1</t>
        </is>
      </c>
      <c r="U14" s="37" t="b">
        <v>0</v>
      </c>
      <c r="V14" s="37" t="inlineStr">
        <is>
          <t>text/html; charset=UTF-8</t>
        </is>
      </c>
      <c r="W14" s="37" t="inlineStr">
        <is>
          <t>HTTP/1.1</t>
        </is>
      </c>
      <c r="X14" s="37" t="n">
        <v>71.76000000000001</v>
      </c>
      <c r="Y14" s="50" t="b">
        <v>0</v>
      </c>
      <c r="Z14" s="37" t="n"/>
      <c r="AA14" s="37" t="n"/>
      <c r="AB14" s="37" t="n"/>
      <c r="AC14" s="37" t="n"/>
      <c r="AD14" s="49" t="n"/>
      <c r="AE14" s="49" t="n"/>
      <c r="AF14" s="50" t="b">
        <v>0</v>
      </c>
      <c r="AG14" s="50" t="b">
        <v>0</v>
      </c>
      <c r="AH14" s="37" t="n">
        <v>0</v>
      </c>
      <c r="AI14" s="37" t="b">
        <v>0</v>
      </c>
      <c r="AJ14" s="37" t="n"/>
      <c r="AK14" s="37" t="b">
        <v>0</v>
      </c>
      <c r="AL14" s="50" t="b">
        <v>0</v>
      </c>
      <c r="AM14" s="37" t="b">
        <v>0</v>
      </c>
      <c r="AN14" s="37" t="b">
        <v>0</v>
      </c>
      <c r="AO14" s="37" t="n"/>
      <c r="AP14" s="51" t="n"/>
      <c r="AQ14" s="51" t="inlineStr">
        <is>
          <t>2026-03-26T06:59:08+00:00</t>
        </is>
      </c>
      <c r="AR14" s="51" t="inlineStr">
        <is>
          <t>2026-03-26T06:59:08+00:00</t>
        </is>
      </c>
      <c r="AS14" s="37" t="inlineStr">
        <is>
          <t>weekly</t>
        </is>
      </c>
      <c r="AT14" s="37" t="inlineStr">
        <is>
          <t>0.7</t>
        </is>
      </c>
      <c r="AU14" s="37" t="n">
        <v>0</v>
      </c>
      <c r="AV14" s="37" t="n">
        <v>2</v>
      </c>
      <c r="AW14" s="37" t="n">
        <v>7</v>
      </c>
      <c r="AX14" s="37" t="inlineStr">
        <is>
          <t>0</t>
        </is>
      </c>
      <c r="AY14" s="37" t="b">
        <v>1</v>
      </c>
      <c r="AZ14" s="37" t="b">
        <v>0</v>
      </c>
      <c r="BA14" s="37" t="b">
        <v>0</v>
      </c>
      <c r="BB14" s="37" t="n">
        <v>316</v>
      </c>
      <c r="BC14" s="37" t="n">
        <v>961</v>
      </c>
      <c r="BD14" s="37" t="n"/>
      <c r="BE14" s="37" t="inlineStr">
        <is>
          <t>https://asconafrica.org/thank-you-for-signing-up-for-updates/::thin_content | https://asconafrica.org/thank-you-for-signing-up-for-updates/::low_aeo_readiness_score | https://asconafrica.org/thank-you-for-signing-up-for-updates/::no_compression_header | https://asconafrica.org/thank-you-for-signing-up-for-updates/::no_cache-control_header | https://asconafrica.org/thank-you-for-signing-up-for-updates/::no_etag_header | https://asconafrica.org/thank-you-for-signing-up-for-updates/::no_faq_qa_schema | https://asconafrica.org/thank-you-for-signing-up-for-updates/::no_question_headings | https://asconafrica.org/thank-you-for-signing-up-for-updates/::no_answer-friendly_structure | https://asconafrica.org/thank-you-for-signing-up-for-updates/::no_40-60_word_answer_paragraphs</t>
        </is>
      </c>
      <c r="BF14" s="49" t="n">
        <v>1</v>
      </c>
      <c r="BG14" s="49" t="b">
        <v>0</v>
      </c>
      <c r="BH14">
        <f>IFERROR(HYPERLINK("#Main!A"&amp;MATCH(A14,Main!A:A,0),"Open"),HYPERLINK("#Main!A1","Open"))</f>
        <v/>
      </c>
    </row>
    <row r="15">
      <c r="A15" s="46" t="inlineStr">
        <is>
          <t>https://asconafrica.org/unsubscribe-form/</t>
        </is>
      </c>
      <c r="B15" s="4" t="n">
        <v>200</v>
      </c>
      <c r="C15" s="6" t="inlineStr">
        <is>
          <t>2xx</t>
        </is>
      </c>
      <c r="D15" s="47" t="n">
        <v>49</v>
      </c>
      <c r="E15" s="38" t="inlineStr">
        <is>
          <t>Warning</t>
        </is>
      </c>
      <c r="F15" s="6" t="inlineStr">
        <is>
          <t>Yes</t>
        </is>
      </c>
      <c r="G15" s="4" t="inlineStr">
        <is>
          <t>Indexable</t>
        </is>
      </c>
      <c r="H15" s="52" t="n">
        <v>649.91</v>
      </c>
      <c r="I15" s="52" t="n">
        <v>673.46</v>
      </c>
      <c r="J15" s="53" t="inlineStr">
        <is>
          <t>https://asconafrica.org/unsubscribe-form/</t>
        </is>
      </c>
      <c r="K15" s="53" t="inlineStr">
        <is>
          <t>https</t>
        </is>
      </c>
      <c r="L15" s="6" t="n">
        <v>0</v>
      </c>
      <c r="M15" s="6" t="inlineStr">
        <is>
          <t>Copy Writer</t>
        </is>
      </c>
      <c r="N15" s="45" t="inlineStr">
        <is>
          <t>Open</t>
        </is>
      </c>
      <c r="O15" s="6" t="inlineStr"/>
      <c r="P15" s="6" t="inlineStr">
        <is>
          <t>WARN 🟡</t>
        </is>
      </c>
      <c r="Q15" s="6" t="inlineStr">
        <is>
          <t>https</t>
        </is>
      </c>
      <c r="R15" s="6" t="n">
        <v>0</v>
      </c>
      <c r="S15" s="6" t="inlineStr">
        <is>
          <t>text/html; charset=UTF-8</t>
        </is>
      </c>
      <c r="T15" s="43" t="inlineStr">
        <is>
          <t>HTTP/1.1</t>
        </is>
      </c>
      <c r="U15" s="6" t="b">
        <v>0</v>
      </c>
      <c r="V15" s="6" t="inlineStr">
        <is>
          <t>text/html; charset=UTF-8</t>
        </is>
      </c>
      <c r="W15" s="6" t="inlineStr">
        <is>
          <t>HTTP/1.1</t>
        </is>
      </c>
      <c r="X15" s="6" t="n">
        <v>97.73</v>
      </c>
      <c r="Y15" s="50" t="b">
        <v>0</v>
      </c>
      <c r="Z15" s="6" t="n"/>
      <c r="AA15" s="6" t="n"/>
      <c r="AB15" s="6" t="n"/>
      <c r="AC15" s="6" t="n"/>
      <c r="AD15" s="53" t="n"/>
      <c r="AE15" s="53" t="n"/>
      <c r="AF15" s="50" t="b">
        <v>0</v>
      </c>
      <c r="AG15" s="50" t="b">
        <v>0</v>
      </c>
      <c r="AH15" s="6" t="n">
        <v>0</v>
      </c>
      <c r="AI15" s="6" t="b">
        <v>0</v>
      </c>
      <c r="AJ15" s="6" t="n"/>
      <c r="AK15" s="6" t="b">
        <v>0</v>
      </c>
      <c r="AL15" s="50" t="b">
        <v>0</v>
      </c>
      <c r="AM15" s="6" t="b">
        <v>0</v>
      </c>
      <c r="AN15" s="6" t="b">
        <v>0</v>
      </c>
      <c r="AO15" s="6" t="n"/>
      <c r="AP15" s="54" t="n"/>
      <c r="AQ15" s="54" t="inlineStr">
        <is>
          <t>2026-03-04T06:35:13+00:00</t>
        </is>
      </c>
      <c r="AR15" s="54" t="inlineStr">
        <is>
          <t>2026-03-04T06:35:13+00:00</t>
        </is>
      </c>
      <c r="AS15" s="6" t="inlineStr">
        <is>
          <t>weekly</t>
        </is>
      </c>
      <c r="AT15" s="6" t="inlineStr">
        <is>
          <t>0.7</t>
        </is>
      </c>
      <c r="AU15" s="6" t="n">
        <v>0</v>
      </c>
      <c r="AV15" s="6" t="n">
        <v>3</v>
      </c>
      <c r="AW15" s="6" t="n">
        <v>7</v>
      </c>
      <c r="AX15" s="6" t="inlineStr">
        <is>
          <t>0</t>
        </is>
      </c>
      <c r="AY15" s="6" t="b">
        <v>1</v>
      </c>
      <c r="AZ15" s="6" t="b">
        <v>0</v>
      </c>
      <c r="BA15" s="6" t="b">
        <v>0</v>
      </c>
      <c r="BB15" s="6" t="n">
        <v>172</v>
      </c>
      <c r="BC15" s="6" t="n">
        <v>2132</v>
      </c>
      <c r="BD15" s="6" t="n"/>
      <c r="BE15" s="6" t="inlineStr">
        <is>
          <t>https://asconafrica.org/unsubscribe-form/::missing_h1 | https://asconafrica.org/unsubscribe-form/::thin_content | https://asconafrica.org/unsubscribe-form/::low_aeo_readiness_score | https://asconafrica.org/unsubscribe-form/::no_compression_header | https://asconafrica.org/unsubscribe-form/::no_cache-control_header | https://asconafrica.org/unsubscribe-form/::no_etag_header | https://asconafrica.org/unsubscribe-form/::no_faq_qa_schema | https://asconafrica.org/unsubscribe-form/::no_question_headings | https://asconafrica.org/unsubscribe-form/::no_answer-friendly_structure | https://asconafrica.org/unsubscribe-form/::no_40-60_word_answer_paragraphs</t>
        </is>
      </c>
      <c r="BF15" s="53" t="n">
        <v>1</v>
      </c>
      <c r="BG15" s="53" t="b">
        <v>0</v>
      </c>
      <c r="BH15">
        <f>IFERROR(HYPERLINK("#Main!A"&amp;MATCH(A15,Main!A:A,0),"Open"),HYPERLINK("#Main!A1","Open"))</f>
        <v/>
      </c>
    </row>
    <row r="16" ht="30" customHeight="1">
      <c r="A16" s="46" t="inlineStr">
        <is>
          <t>https://asconafrica.org/unsubscribe-form/successfully-unsubscribed/</t>
        </is>
      </c>
      <c r="B16" s="4" t="n">
        <v>200</v>
      </c>
      <c r="C16" s="37" t="inlineStr">
        <is>
          <t>2xx</t>
        </is>
      </c>
      <c r="D16" s="47" t="n">
        <v>49</v>
      </c>
      <c r="E16" s="38" t="inlineStr">
        <is>
          <t>Warning</t>
        </is>
      </c>
      <c r="F16" s="37" t="inlineStr">
        <is>
          <t>Yes</t>
        </is>
      </c>
      <c r="G16" s="4" t="inlineStr">
        <is>
          <t>Indexable</t>
        </is>
      </c>
      <c r="H16" s="48" t="n">
        <v>552.28</v>
      </c>
      <c r="I16" s="48" t="n">
        <v>573.61</v>
      </c>
      <c r="J16" s="49" t="inlineStr">
        <is>
          <t>https://asconafrica.org/unsubscribe-form/successfully-unsubscribed/</t>
        </is>
      </c>
      <c r="K16" s="49" t="inlineStr">
        <is>
          <t>https</t>
        </is>
      </c>
      <c r="L16" s="37" t="n">
        <v>0</v>
      </c>
      <c r="M16" s="37" t="inlineStr">
        <is>
          <t>Copy Writer</t>
        </is>
      </c>
      <c r="N16" s="45" t="inlineStr">
        <is>
          <t>Open</t>
        </is>
      </c>
      <c r="O16" s="37" t="inlineStr"/>
      <c r="P16" s="37" t="inlineStr">
        <is>
          <t>WARN 🟡</t>
        </is>
      </c>
      <c r="Q16" s="37" t="inlineStr">
        <is>
          <t>https</t>
        </is>
      </c>
      <c r="R16" s="37" t="n">
        <v>0</v>
      </c>
      <c r="S16" s="37" t="inlineStr">
        <is>
          <t>text/html; charset=UTF-8</t>
        </is>
      </c>
      <c r="T16" s="40" t="inlineStr">
        <is>
          <t>HTTP/1.1</t>
        </is>
      </c>
      <c r="U16" s="37" t="b">
        <v>0</v>
      </c>
      <c r="V16" s="37" t="inlineStr">
        <is>
          <t>text/html; charset=UTF-8</t>
        </is>
      </c>
      <c r="W16" s="37" t="inlineStr">
        <is>
          <t>HTTP/1.1</t>
        </is>
      </c>
      <c r="X16" s="37" t="n">
        <v>71.79000000000001</v>
      </c>
      <c r="Y16" s="50" t="b">
        <v>0</v>
      </c>
      <c r="Z16" s="37" t="n"/>
      <c r="AA16" s="37" t="n"/>
      <c r="AB16" s="37" t="n"/>
      <c r="AC16" s="37" t="n"/>
      <c r="AD16" s="49" t="n"/>
      <c r="AE16" s="49" t="n"/>
      <c r="AF16" s="50" t="b">
        <v>0</v>
      </c>
      <c r="AG16" s="50" t="b">
        <v>0</v>
      </c>
      <c r="AH16" s="37" t="n">
        <v>0</v>
      </c>
      <c r="AI16" s="37" t="b">
        <v>0</v>
      </c>
      <c r="AJ16" s="37" t="n"/>
      <c r="AK16" s="37" t="b">
        <v>0</v>
      </c>
      <c r="AL16" s="50" t="b">
        <v>0</v>
      </c>
      <c r="AM16" s="37" t="b">
        <v>0</v>
      </c>
      <c r="AN16" s="37" t="b">
        <v>0</v>
      </c>
      <c r="AO16" s="37" t="n"/>
      <c r="AP16" s="51" t="n"/>
      <c r="AQ16" s="51" t="inlineStr">
        <is>
          <t>2026-03-04T06:32:51+00:00</t>
        </is>
      </c>
      <c r="AR16" s="51" t="inlineStr">
        <is>
          <t>2026-03-04T06:32:51+00:00</t>
        </is>
      </c>
      <c r="AS16" s="37" t="inlineStr">
        <is>
          <t>weekly</t>
        </is>
      </c>
      <c r="AT16" s="37" t="inlineStr">
        <is>
          <t>0.7</t>
        </is>
      </c>
      <c r="AU16" s="37" t="n">
        <v>0</v>
      </c>
      <c r="AV16" s="37" t="n">
        <v>3</v>
      </c>
      <c r="AW16" s="37" t="n">
        <v>7</v>
      </c>
      <c r="AX16" s="37" t="inlineStr">
        <is>
          <t>0</t>
        </is>
      </c>
      <c r="AY16" s="37" t="b">
        <v>1</v>
      </c>
      <c r="AZ16" s="37" t="b">
        <v>0</v>
      </c>
      <c r="BA16" s="37" t="b">
        <v>0</v>
      </c>
      <c r="BB16" s="37" t="n">
        <v>237</v>
      </c>
      <c r="BC16" s="37" t="n">
        <v>713</v>
      </c>
      <c r="BD16" s="37" t="n"/>
      <c r="BE16" s="37" t="inlineStr">
        <is>
          <t>https://asconafrica.org/unsubscribe-form/successfully-unsubscribed/::missing_h1 | https://asconafrica.org/unsubscribe-form/successfully-unsubscribed/::thin_content | https://asconafrica.org/unsubscribe-form/successfully-unsubscribed/::low_aeo_readiness_score | https://asconafrica.org/unsubscribe-form/successfully-unsubscribed/::no_compression_header | https://asconafrica.org/unsubscribe-form/successfully-unsubscribed/::no_cache-control_header | https://asconafrica.org/unsubscribe-form/successfully-unsubscribed/::no_etag_header | https://asconafrica.org/unsubscribe-form/successfully-unsubscribed/::no_faq_qa_schema | https://asconafrica.org/unsubscribe-form/successfully-unsubscribed/::no_question_headings | https://asconafrica.org/unsubscribe-form/successfully-unsubscribed/::no_answer-friendly_structure | https://asconafrica.org/unsubscribe-form/successfully-unsubscribed/::no_40-60_word_answer_paragraphs</t>
        </is>
      </c>
      <c r="BF16" s="49" t="n">
        <v>2</v>
      </c>
      <c r="BG16" s="49" t="b">
        <v>0</v>
      </c>
      <c r="BH16">
        <f>IFERROR(HYPERLINK("#Main!A"&amp;MATCH(A16,Main!A:A,0),"Open"),HYPERLINK("#Main!A1","Open"))</f>
        <v/>
      </c>
    </row>
  </sheetData>
  <autoFilter ref="A1:BG16"/>
  <conditionalFormatting sqref="B2:B16">
    <cfRule type="cellIs" priority="1" operator="equal" dxfId="0">
      <formula>200</formula>
    </cfRule>
    <cfRule type="cellIs" priority="2" operator="between" dxfId="1">
      <formula>300</formula>
      <formula>399</formula>
    </cfRule>
    <cfRule type="cellIs" priority="3" operator="greaterThanOrEqual" dxfId="2">
      <formula>400</formula>
    </cfRule>
  </conditionalFormatting>
  <conditionalFormatting sqref="H2:H16">
    <cfRule type="colorScale" priority="4">
      <colorScale>
        <cfvo type="min"/>
        <cfvo type="percentile" val="50"/>
        <cfvo type="max"/>
        <color rgb="0063BE7B"/>
        <color rgb="00FFEB84"/>
        <color rgb="00F8696B"/>
      </colorScale>
    </cfRule>
    <cfRule type="dataBar" priority="5">
      <dataBar showValue="1">
        <cfvo type="min"/>
        <cfvo type="max"/>
        <color rgb="00638EC6"/>
      </dataBar>
    </cfRule>
  </conditionalFormatting>
  <conditionalFormatting sqref="D2:D16">
    <cfRule type="colorScale" priority="6">
      <colorScale>
        <cfvo type="min"/>
        <cfvo type="percentile" val="50"/>
        <cfvo type="max"/>
        <color rgb="00F8696B"/>
        <color rgb="00FFEB84"/>
        <color rgb="0063BE7B"/>
      </colorScale>
    </cfRule>
  </conditionalFormatting>
  <conditionalFormatting sqref="F2:F16">
    <cfRule type="expression" priority="7" dxfId="2" stopIfTrue="1">
      <formula>LOWER(F2)="yes"</formula>
    </cfRule>
    <cfRule type="expression" priority="8" dxfId="0" stopIfTrue="1">
      <formula>LOWER(F2)="no"</formula>
    </cfRule>
  </conditionalFormatting>
  <conditionalFormatting sqref="E2:E16">
    <cfRule type="expression" priority="9" dxfId="2" stopIfTrue="1">
      <formula>LOWER(E2)="critical"</formula>
    </cfRule>
    <cfRule type="expression" priority="10" dxfId="3" stopIfTrue="1">
      <formula>LOWER(E2)="warning"</formula>
    </cfRule>
    <cfRule type="expression" priority="11" dxfId="0" stopIfTrue="1">
      <formula>LOWER(E2)="pass"</formula>
    </cfRule>
  </conditionalFormatting>
  <conditionalFormatting sqref="N2:N16">
    <cfRule type="expression" priority="12" dxfId="4" stopIfTrue="1">
      <formula>LOWER(N2)="done"</formula>
    </cfRule>
    <cfRule type="expression" priority="13" dxfId="5" stopIfTrue="1">
      <formula>OR(LOWER(N2)="to do",LOWER(N2)="in progress",LOWER(N2)="in review")</formula>
    </cfRule>
  </conditionalFormatting>
  <dataValidations count="6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Severity Badge" prompt="Issue impact level. Fix: Resolve Critical first, then Warning, then improvement opportunities." type="custom">
      <formula1>TRUE</formula1>
    </dataValidation>
    <dataValidation sqref="F1" showDropDown="0" showInputMessage="1" showErrorMessage="0" allowBlank="1" promptTitle="Action Needed" prompt="Action Needed. Review this metric to identify risk, then use linked tabs for details and remediation." type="custom">
      <formula1>TRUE</formula1>
    </dataValidation>
    <dataValidation sqref="G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H1" showDropDown="0" showInputMessage="1" showErrorMessage="0" allowBlank="1" promptTitle="TTFB (ms)" prompt="Time to First Byte: server responsiveness signal. Fix: optimise backend performance, caching, and CDN usage." type="custom">
      <formula1>TRUE</formula1>
    </dataValidation>
    <dataValidation sqref="I1" showDropDown="0" showInputMessage="1" showErrorMessage="0" allowBlank="1" promptTitle="Total Request Time (ms)" prompt="Page/request speed metric. Fix: optimise assets, server response time, and blocking resources." type="custom">
      <formula1>TRUE</formula1>
    </dataValidation>
    <dataValidation sqref="J1" showDropDown="0" showInputMessage="1" showErrorMessage="0" allowBlank="1" promptTitle="Final URL" prompt="Final URL. Use this URL to inspect the page directly or jump to related tabs." type="custom">
      <formula1>TRUE</formula1>
    </dataValidation>
    <dataValidation sqref="K1" showDropDown="0" showInputMessage="1" showErrorMessage="0" allowBlank="1" promptTitle="Canonical URL" prompt="Canonical URL. Use this URL to inspect the page directly or jump to related tabs." type="custom">
      <formula1>TRUE</formula1>
    </dataValidation>
    <dataValidation sqref="L1" showDropDown="0" showInputMessage="1" showErrorMessage="0" allowBlank="1" promptTitle="Canonical Type" prompt="Indexing/canonicalization signal. Fix: ensure indexable pages use correct canonicals and non-conflicting directives." type="custom">
      <formula1>TRUE</formula1>
    </dataValidation>
    <dataValidation sqref="M1" showDropDown="0" showInputMessage="1" showErrorMessage="0" allowBlank="1" promptTitle="Owner" prompt="Workflow management field for planning and tracking remediation progress." type="custom">
      <formula1>TRUE</formula1>
    </dataValidation>
    <dataValidation sqref="N1" showDropDown="0" showInputMessage="1" showErrorMessage="0" allowBlank="1" promptTitle="Status" prompt="Workflow management field for planning and tracking remediation progress." type="custom">
      <formula1>TRUE</formula1>
    </dataValidation>
    <dataValidation sqref="O1" showDropDown="0" showInputMessage="1" showErrorMessage="0" allowBlank="1" promptTitle="Sprint" prompt="Workflow management field for planning and tracking remediation progress." type="custom">
      <formula1>TRUE</formula1>
    </dataValidation>
    <dataValidation sqref="P1" showDropDown="0" showInputMessage="1" showErrorMessage="0" allowBlank="1" promptTitle="Health Icon" prompt="Health Icon. Review this metric to identify risk, then use linked tabs for details and remediation." type="custom">
      <formula1>TRUE</formula1>
    </dataValidation>
    <dataValidation sqref="Q1" showDropDown="0" showInputMessage="1" showErrorMessage="0" allowBlank="1" promptTitle="Protocol" prompt="Protocol. Review this metric to identify risk, then use linked tabs for details and remediation." type="custom">
      <formula1>TRUE</formula1>
    </dataValidation>
    <dataValidation sqref="R1" showDropDown="0" showInputMessage="1" showErrorMessage="0" allowBlank="1" promptTitle="Redirect Chain Length" prompt="Redirect Chain Length. Review this metric to identify risk, then use linked tabs for details and remediation." type="custom">
      <formula1>TRUE</formula1>
    </dataValidation>
    <dataValidation sqref="S1" showDropDown="0" showInputMessage="1" showErrorMessage="0" allowBlank="1" promptTitle="Redirect Target" prompt="Redirect Target. Review this metric to identify risk, then use linked tabs for details and remediation." type="custom">
      <formula1>TRUE</formula1>
    </dataValidation>
    <dataValidation sqref="T1" showDropDown="0" showInputMessage="1" showErrorMessage="0" allowBlank="1" promptTitle="Redirect Hops" prompt="Redirect Hops. Review this metric to identify risk, then use linked tabs for details and remediation." type="custom">
      <formula1>TRUE</formula1>
    </dataValidation>
    <dataValidation sqref="U1" showDropDown="0" showInputMessage="1" showErrorMessage="0" allowBlank="1" promptTitle="HTTP-&gt;HTTPS Redirect" prompt="HTTP-&gt;HTTPS Redirect. Review this metric to identify risk, then use linked tabs for details and remediation." type="custom">
      <formula1>TRUE</formula1>
    </dataValidation>
    <dataValidation sqref="V1" showDropDown="0" showInputMessage="1" showErrorMessage="0" allowBlank="1" promptTitle="Content-Type" prompt="Content-Type. Review this metric to identify risk, then use linked tabs for details and remediation." type="custom">
      <formula1>TRUE</formula1>
    </dataValidation>
    <dataValidation sqref="W1" showDropDown="0" showInputMessage="1" showErrorMessage="0" allowBlank="1" promptTitle="HTTP Version" prompt="HTTP Version. Review this metric to identify risk, then use linked tabs for details and remediation." type="custom">
      <formula1>TRUE</formula1>
    </dataValidation>
    <dataValidation sqref="X1" showDropDown="0" showInputMessage="1" showErrorMessage="0" allowBlank="1" promptTitle="HTML Size (KB)" prompt="HTML Size (KB). Review this metric to identify risk, then use linked tabs for details and remediation." type="custom">
      <formula1>TRUE</formula1>
    </dataValidation>
    <dataValidation sqref="Y1" showDropDown="0" showInputMessage="1" showErrorMessage="0" allowBlank="1" promptTitle="Compression Enabled" prompt="Compression Enabled. Review this metric to identify risk, then use linked tabs for details and remediation." type="custom">
      <formula1>TRUE</formula1>
    </dataValidation>
    <dataValidation sqref="Z1" showDropDown="0" showInputMessage="1" showErrorMessage="0" allowBlank="1" promptTitle="Cache-Control" prompt="Cache-Control. Review this metric to identify risk, then use linked tabs for details and remediation." type="custom">
      <formula1>TRUE</formula1>
    </dataValidation>
    <dataValidation sqref="AA1" showDropDown="0" showInputMessage="1" showErrorMessage="0" allowBlank="1" promptTitle="ETag" prompt="ETag. Review this metric to identify risk, then use linked tabs for details and remediation." type="custom">
      <formula1>TRUE</formula1>
    </dataValidation>
    <dataValidation sqref="AB1" showDropDown="0" showInputMessage="1" showErrorMessage="0" allowBlank="1" promptTitle="X-Robots-Tag" prompt="Robots directives that influence indexation. Fix: remove unintended noindex/nofollow values on important pages." type="custom">
      <formula1>TRUE</formula1>
    </dataValidation>
    <dataValidation sqref="AC1" showDropDown="0" showInputMessage="1" showErrorMessage="0" allowBlank="1" promptTitle="Meta Robots Raw" prompt="Robots directives that influence indexation. Fix: remove unintended noindex/nofollow values on important pages." type="custom">
      <formula1>TRUE</formula1>
    </dataValidation>
    <dataValidation sqref="AD1" showDropDown="0" showInputMessage="1" showErrorMessage="0" allowBlank="1" promptTitle="Canonical Matches Final URL" prompt="Canonical Matches Final URL. Use this URL to inspect the page directly or jump to related tabs." type="custom">
      <formula1>TRUE</formula1>
    </dataValidation>
    <dataValidation sqref="AE1" showDropDown="0" showInputMessage="1" showErrorMessage="0" allowBlank="1" promptTitle="Canonical Absolute URL" prompt="Canonical Absolute URL. Use this URL to inspect the page directly or jump to related tabs." type="custom">
      <formula1>TRUE</formula1>
    </dataValidation>
    <dataValidation sqref="AF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AG1" showDropDown="0" showInputMessage="1" showErrorMessage="0" allowBlank="1" promptTitle="Hreflang Present" prompt="Hreflang Present. Review this metric to identify risk, then use linked tabs for details and remediation." type="custom">
      <formula1>TRUE</formula1>
    </dataValidation>
    <dataValidation sqref="AH1" showDropDown="0" showInputMessage="1" showErrorMessage="0" allowBlank="1" promptTitle="Hreflang Count" prompt="Hreflang Count. Review this metric to identify risk, then use linked tabs for details and remediation." type="custom">
      <formula1>TRUE</formula1>
    </dataValidation>
    <dataValidation sqref="AI1" showDropDown="0" showInputMessage="1" showErrorMessage="0" allowBlank="1" promptTitle="Hreflang Self Reference" prompt="Hreflang Self Reference. Review this metric to identify risk, then use linked tabs for details and remediation." type="custom">
      <formula1>TRUE</formula1>
    </dataValidation>
    <dataValidation sqref="AJ1" showDropDown="0" showInputMessage="1" showErrorMessage="0" allowBlank="1" promptTitle="Hreflang Reciprocal Check" prompt="Hreflang Reciprocal Check. Review this metric to identify risk, then use linked tabs for details and remediation." type="custom">
      <formula1>TRUE</formula1>
    </dataValidation>
    <dataValidation sqref="AK1" showDropDown="0" showInputMessage="1" showErrorMessage="0" allowBlank="1" promptTitle="Hreflang Canonical Consistency" prompt="Indexing/canonicalization signal. Fix: ensure indexable pages use correct canonicals and non-conflicting directives." type="custom">
      <formula1>TRUE</formula1>
    </dataValidation>
    <dataValidation sqref="AL1" showDropDown="0" showInputMessage="1" showErrorMessage="0" allowBlank="1" promptTitle="x-default Present" prompt="x-default Present. Review this metric to identify risk, then use linked tabs for details and remediation." type="custom">
      <formula1>TRUE</formula1>
    </dataValidation>
    <dataValidation sqref="AM1" showDropDown="0" showInputMessage="1" showErrorMessage="0" allowBlank="1" promptTitle="Pagination rel=next" prompt="Pagination rel=next. Review this metric to identify risk, then use linked tabs for details and remediation." type="custom">
      <formula1>TRUE</formula1>
    </dataValidation>
    <dataValidation sqref="AN1" showDropDown="0" showInputMessage="1" showErrorMessage="0" allowBlank="1" promptTitle="Pagination rel=prev" prompt="Pagination rel=prev. Review this metric to identify risk, then use linked tabs for details and remediation." type="custom">
      <formula1>TRUE</formula1>
    </dataValidation>
    <dataValidation sqref="AO1" showDropDown="0" showInputMessage="1" showErrorMessage="0" allowBlank="1" promptTitle="Last-Modified" prompt="Last-Modified. Review this metric to identify risk, then use linked tabs for details and remediation." type="custom">
      <formula1>TRUE</formula1>
    </dataValidation>
    <dataValidation sqref="AP1" showDropDown="0" showInputMessage="1" showErrorMessage="0" allowBlank="1" promptTitle="Published Date" prompt="Published Date. Review this metric to identify risk, then use linked tabs for details and remediation." type="custom">
      <formula1>TRUE</formula1>
    </dataValidation>
    <dataValidation sqref="AQ1" showDropDown="0" showInputMessage="1" showErrorMessage="0" allowBlank="1" promptTitle="Modified Date" prompt="Modified Date. Review this metric to identify risk, then use linked tabs for details and remediation." type="custom">
      <formula1>TRUE</formula1>
    </dataValidation>
    <dataValidation sqref="AR1" showDropDown="0" showInputMessage="1" showErrorMessage="0" allowBlank="1" promptTitle="Last Updated" prompt="Last Updated. Review this metric to identify risk, then use linked tabs for details and remediation." type="custom">
      <formula1>TRUE</formula1>
    </dataValidation>
    <dataValidation sqref="AS1" showDropDown="0" showInputMessage="1" showErrorMessage="0" allowBlank="1" promptTitle="Change Frequency" prompt="Change Frequency. Review this metric to identify risk, then use linked tabs for details and remediation." type="custom">
      <formula1>TRUE</formula1>
    </dataValidation>
    <dataValidation sqref="AT1" showDropDown="0" showInputMessage="1" showErrorMessage="0" allowBlank="1" promptTitle="Priority" prompt="Priority. Review this metric to identify risk, then use linked tabs for details and remediation." type="custom">
      <formula1>TRUE</formula1>
    </dataValidation>
    <dataValidation sqref="AU1" showDropDown="0" showInputMessage="1" showErrorMessage="0" allowBlank="1" promptTitle="Critical Issues Count" prompt="Critical Issues Count. Review this metric to identify risk, then use linked tabs for details and remediation." type="custom">
      <formula1>TRUE</formula1>
    </dataValidation>
    <dataValidation sqref="AV1" showDropDown="0" showInputMessage="1" showErrorMessage="0" allowBlank="1" promptTitle="Warning Issues Count" prompt="Warning Issues Count. Review this metric to identify risk, then use linked tabs for details and remediation." type="custom">
      <formula1>TRUE</formula1>
    </dataValidation>
    <dataValidation sqref="AW1" showDropDown="0" showInputMessage="1" showErrorMessage="0" allowBlank="1" promptTitle="Info Issues Count" prompt="Info Issues Count. Review this metric to identify risk, then use linked tabs for details and remediation." type="custom">
      <formula1>TRUE</formula1>
    </dataValidation>
    <dataValidation sqref="AX1" showDropDown="0" showInputMessage="1" showErrorMessage="0" allowBlank="1" promptTitle="Inlinks Bucket" prompt="Link quality and crawl-path metric. Fix: repair broken links and improve internal linking relevance." type="custom">
      <formula1>TRUE</formula1>
    </dataValidation>
    <dataValidation sqref="AY1" showDropDown="0" showInputMessage="1" showErrorMessage="0" allowBlank="1" promptTitle="Important But Underlinked" prompt="Link quality and crawl-path metric. Fix: repair broken links and improve internal linking relevance." type="custom">
      <formula1>TRUE</formula1>
    </dataValidation>
    <dataValidation sqref="AZ1" showDropDown="0" showInputMessage="1" showErrorMessage="0" allowBlank="1" promptTitle="SERP Title Truncation Risk" prompt="SERP Title Truncation Risk. Review this metric to identify risk, then use linked tabs for details and remediation." type="custom">
      <formula1>TRUE</formula1>
    </dataValidation>
    <dataValidation sqref="BA1" showDropDown="0" showInputMessage="1" showErrorMessage="0" allowBlank="1" promptTitle="SERP Meta Truncation Risk" prompt="SERP Meta Truncation Risk. Review this metric to identify risk, then use linked tabs for details and remediation." type="custom">
      <formula1>TRUE</formula1>
    </dataValidation>
    <dataValidation sqref="BB1" showDropDown="0" showInputMessage="1" showErrorMessage="0" allowBlank="1" promptTitle="SERP Title Pixel Approx" prompt="SERP Title Pixel Approx. Review this metric to identify risk, then use linked tabs for details and remediation." type="custom">
      <formula1>TRUE</formula1>
    </dataValidation>
    <dataValidation sqref="BC1" showDropDown="0" showInputMessage="1" showErrorMessage="0" allowBlank="1" promptTitle="SERP Meta Pixel Approx" prompt="SERP Meta Pixel Approx. Review this metric to identify risk, then use linked tabs for details and remediation." type="custom">
      <formula1>TRUE</formula1>
    </dataValidation>
    <dataValidation sqref="BD1" showDropDown="0" showInputMessage="1" showErrorMessage="0" allowBlank="1" promptTitle="Cannibalization Hint" prompt="Cannibalization Hint. Review this metric to identify risk, then use linked tabs for details and remediation." type="custom">
      <formula1>TRUE</formula1>
    </dataValidation>
    <dataValidation sqref="BE1" showDropDown="0" showInputMessage="1" showErrorMessage="0" allowBlank="1" promptTitle="Stable Issue IDs" prompt="Stable Issue IDs. Review this metric to identify risk, then use linked tabs for details and remediation." type="custom">
      <formula1>TRUE</formula1>
    </dataValidation>
    <dataValidation sqref="BF1" showDropDown="0" showInputMessage="1" showErrorMessage="0" allowBlank="1" promptTitle="URL Depth" prompt="URL Depth. Use this URL to inspect the page directly or jump to related tabs." type="custom">
      <formula1>TRUE</formula1>
    </dataValidation>
    <dataValidation sqref="BG1" showDropDown="0" showInputMessage="1" showErrorMessage="0" allowBlank="1" promptTitle="Param URL Flag" prompt="Param URL Flag. Use this URL to inspect the page directly or jump to related tabs." type="custom">
      <formula1>TRUE</formula1>
    </dataValidation>
    <dataValidation sqref="BH1" showDropDown="0" showInputMessage="1" showErrorMessage="0" allowBlank="1" promptTitle="Open in Main" prompt="Navigation helper. Click to jump directly to the related record in another tab." type="custom">
      <formula1>TRUE</formula1>
    </dataValidation>
    <dataValidation sqref="BI1" showDropDown="0" showInputMessage="1" showErrorMessage="0" allowBlank="1" promptTitle="BACK TO DASHBOARD" prompt="BACK TO DASHBOARD. Review this metric to identify risk, then use linked tabs for details and remediation." type="custom">
      <formula1>TRUE</formula1>
    </dataValidation>
    <dataValidation sqref="H1" showDropDown="0" showInputMessage="1" showErrorMessage="0" allowBlank="1" promptTitle="TTFB (ms)" prompt="Time to First Byte. Measures server responsiveness. Fix: Optimize server-side code or use a CDN." type="custom">
      <formula1>TRUE</formula1>
    </dataValidation>
    <dataValidation sqref="G1" showDropDown="0" showInputMessage="1" showErrorMessage="0" allowBlank="1" promptTitle="Indexability Reason" prompt="Primary reason this URL may not be indexed. Fix: Resolve noindex directives, non-200 responses, and canonical mismatches." type="custom">
      <formula1>TRUE</formula1>
    </dataValidation>
    <dataValidation sqref="B1" showDropDown="0" showInputMessage="1" showErrorMessage="0" allowBlank="1" promptTitle="Status Code" prompt="HTTP status returned for the URL. Fix: Resolve 4xx/5xx errors and remove unnecessary redirect chains." type="custom">
      <formula1>TRUE</formula1>
    </dataValidation>
    <dataValidation sqref="D1" showDropDown="0" showInputMessage="1" showErrorMessage="0" allowBlank="1" promptTitle="SEO Health Score" prompt="Weighted technical SEO quality score for this URL. Fix: Prioritize critical issues and improve warnings in FixPlan." type="custom">
      <formula1>TRUE</formula1>
    </dataValidation>
    <dataValidation sqref="L1" showDropDown="0" showInputMessage="1" showErrorMessage="0" allowBlank="1" promptTitle="Canonical Type" prompt="Canonical relationship classification. Fix: Use self-canonical on indexable pages; avoid unintended cross-canonicals." type="custom">
      <formula1>TRUE</formula1>
    </dataValidation>
    <dataValidation sqref="R1" showDropDown="0" showInputMessage="1" showErrorMessage="0" allowBlank="1" promptTitle="Redirect Chain Length" prompt="Number of redirect hops before final destination. Fix: Reduce to a single hop where possible." type="custom">
      <formula1>TRUE</formula1>
    </dataValidation>
  </dataValidations>
  <hyperlinks>
    <hyperlink xmlns:r="http://schemas.openxmlformats.org/officeDocument/2006/relationships" ref="BI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3" customWidth="1" min="1" max="1"/>
    <col width="10" customWidth="1" min="2" max="2"/>
    <col width="16" customWidth="1" min="3" max="3"/>
    <col width="16" customWidth="1" min="4" max="4"/>
    <col width="55" customWidth="1" min="5" max="5"/>
    <col width="44" customWidth="1" min="6" max="6"/>
    <col width="60" customWidth="1" min="7" max="7"/>
    <col width="60" customWidth="1" min="8" max="8"/>
    <col width="13" customWidth="1" min="9" max="9"/>
    <col width="14" customWidth="1" min="10" max="10"/>
    <col width="8" customWidth="1" min="11" max="11"/>
    <col width="12" customWidth="1" min="12" max="12"/>
    <col width="20" customWidth="1" min="13" max="13"/>
    <col width="28" customWidth="1" min="14" max="14"/>
    <col width="11" customWidth="1" min="15" max="15"/>
    <col width="15" customWidth="1" min="16" max="16"/>
    <col width="18" customWidth="1" min="17" max="17"/>
    <col width="8" customWidth="1" min="18" max="18"/>
    <col width="10" customWidth="1" min="19" max="19"/>
  </cols>
  <sheetData>
    <row r="1">
      <c r="A1" s="1" t="inlineStr">
        <is>
          <t>Issue Type</t>
        </is>
      </c>
      <c r="B1" s="1" t="inlineStr">
        <is>
          <t>Severity</t>
        </is>
      </c>
      <c r="C1" s="1" t="inlineStr">
        <is>
          <t>Priority Score</t>
        </is>
      </c>
      <c r="D1" s="1" t="inlineStr">
        <is>
          <t>Affected Count</t>
        </is>
      </c>
      <c r="E1" s="1" t="inlineStr">
        <is>
          <t>Affected URLs</t>
        </is>
      </c>
      <c r="F1" s="1" t="inlineStr">
        <is>
          <t>URL</t>
        </is>
      </c>
      <c r="G1" s="1" t="inlineStr">
        <is>
          <t>Recommended Fix</t>
        </is>
      </c>
      <c r="H1" s="1" t="inlineStr">
        <is>
          <t>Likely Root Cause</t>
        </is>
      </c>
      <c r="I1" s="1" t="inlineStr">
        <is>
          <t>Owner</t>
        </is>
      </c>
      <c r="J1" s="1" t="inlineStr">
        <is>
          <t>Agency Owner</t>
        </is>
      </c>
      <c r="K1" s="1" t="inlineStr">
        <is>
          <t>Effort</t>
        </is>
      </c>
      <c r="L1" s="1" t="inlineStr">
        <is>
          <t>Est. Hours</t>
        </is>
      </c>
      <c r="M1" s="1" t="inlineStr">
        <is>
          <t>Est. Sprint Points</t>
        </is>
      </c>
      <c r="N1" s="1" t="inlineStr">
        <is>
          <t>Aging/Priority</t>
        </is>
      </c>
      <c r="O1" s="1" t="inlineStr">
        <is>
          <t>Status</t>
        </is>
      </c>
      <c r="P1" s="1" t="inlineStr">
        <is>
          <t>Action Needed</t>
        </is>
      </c>
      <c r="Q1" s="1" t="inlineStr">
        <is>
          <t>Jump to Details</t>
        </is>
      </c>
      <c r="R1" s="1" t="inlineStr">
        <is>
          <t>Sprint</t>
        </is>
      </c>
      <c r="S1" s="1" t="inlineStr">
        <is>
          <t>Category</t>
        </is>
      </c>
      <c r="T1" t="inlineStr">
        <is>
          <t>View Details</t>
        </is>
      </c>
      <c r="U1" t="inlineStr">
        <is>
          <t>Open in Main</t>
        </is>
      </c>
      <c r="V1" s="36" t="inlineStr">
        <is>
          <t>BACK TO DASHBOARD</t>
        </is>
      </c>
    </row>
    <row r="2">
      <c r="A2" s="37" t="inlineStr">
        <is>
          <t>Non-200 Status</t>
        </is>
      </c>
      <c r="B2" s="45" t="inlineStr">
        <is>
          <t>Critical</t>
        </is>
      </c>
      <c r="C2" s="55" t="n">
        <v>105</v>
      </c>
      <c r="D2" s="56" t="n">
        <v>0</v>
      </c>
      <c r="E2" s="40" t="inlineStr"/>
      <c r="F2" s="40" t="inlineStr"/>
      <c r="G2" s="37" t="inlineStr">
        <is>
          <t>Fix status code, restore page, or implement correct redirect to canonical destination.</t>
        </is>
      </c>
      <c r="H2" s="37" t="inlineStr">
        <is>
          <t>URL returns 4xx/5xx or equivalent failure.</t>
        </is>
      </c>
      <c r="I2" s="37" t="inlineStr">
        <is>
          <t>Server/Host</t>
        </is>
      </c>
      <c r="J2" s="37" t="inlineStr">
        <is>
          <t>Server/Host</t>
        </is>
      </c>
      <c r="K2" s="37" t="inlineStr">
        <is>
          <t>M</t>
        </is>
      </c>
      <c r="L2" s="37" t="n">
        <v>10</v>
      </c>
      <c r="M2" s="57" t="n">
        <v>5</v>
      </c>
      <c r="N2" s="45" t="inlineStr">
        <is>
          <t>Immediate (Current Sprint)</t>
        </is>
      </c>
      <c r="O2" s="45" t="inlineStr">
        <is>
          <t>To Do</t>
        </is>
      </c>
      <c r="P2" s="37" t="inlineStr">
        <is>
          <t>Yes</t>
        </is>
      </c>
      <c r="Q2" s="37">
        <f>HYPERLINK("#Main!A1","Open Main")</f>
        <v/>
      </c>
      <c r="R2" s="37" t="inlineStr"/>
      <c r="S2" s="37" t="inlineStr">
        <is>
          <t>SEO</t>
        </is>
      </c>
      <c r="T2">
        <f>IFERROR(HYPERLINK("#Main!A"&amp;MATCH(F2,Main!A:A,0),"View URL Details"),HYPERLINK("#Main!A1","View URL Details"))</f>
        <v/>
      </c>
      <c r="U2">
        <f>IFERROR(HYPERLINK("#Main!A"&amp;MATCH(F2,Main!A:A,0),"Open"),HYPERLINK("#Main!A1","Open"))</f>
        <v/>
      </c>
    </row>
    <row r="3">
      <c r="A3" s="6" t="inlineStr">
        <is>
          <t>Noindex Directive</t>
        </is>
      </c>
      <c r="B3" s="45" t="inlineStr">
        <is>
          <t>Critical</t>
        </is>
      </c>
      <c r="C3" s="55" t="n">
        <v>105</v>
      </c>
      <c r="D3" s="7" t="n">
        <v>0</v>
      </c>
      <c r="E3" s="43" t="inlineStr"/>
      <c r="F3" s="43" t="inlineStr"/>
      <c r="G3" s="6" t="inlineStr">
        <is>
          <t>Remove unintended noindex directives on index-worthy URLs.</t>
        </is>
      </c>
      <c r="H3" s="6" t="inlineStr">
        <is>
          <t>Meta robots or X-Robots-Tag contains noindex.</t>
        </is>
      </c>
      <c r="I3" s="6" t="inlineStr">
        <is>
          <t>Dev</t>
        </is>
      </c>
      <c r="J3" s="6" t="inlineStr">
        <is>
          <t>Dev</t>
        </is>
      </c>
      <c r="K3" s="6" t="inlineStr">
        <is>
          <t>M</t>
        </is>
      </c>
      <c r="L3" s="6" t="n">
        <v>10</v>
      </c>
      <c r="M3" s="57" t="n">
        <v>5</v>
      </c>
      <c r="N3" s="45" t="inlineStr">
        <is>
          <t>Immediate (Current Sprint)</t>
        </is>
      </c>
      <c r="O3" s="45" t="inlineStr">
        <is>
          <t>To Do</t>
        </is>
      </c>
      <c r="P3" s="6" t="inlineStr">
        <is>
          <t>Yes</t>
        </is>
      </c>
      <c r="Q3" s="6">
        <f>HYPERLINK("#Main!A1","Open Main")</f>
        <v/>
      </c>
      <c r="R3" s="6" t="inlineStr"/>
      <c r="S3" s="6" t="inlineStr">
        <is>
          <t>SEO</t>
        </is>
      </c>
      <c r="T3">
        <f>IFERROR(HYPERLINK("#Main!A"&amp;MATCH(F3,Main!A:A,0),"View URL Details"),HYPERLINK("#Main!A1","View URL Details"))</f>
        <v/>
      </c>
      <c r="U3">
        <f>IFERROR(HYPERLINK("#Main!A"&amp;MATCH(F3,Main!A:A,0),"Open"),HYPERLINK("#Main!A1","Open"))</f>
        <v/>
      </c>
    </row>
    <row r="4">
      <c r="A4" s="37" t="inlineStr">
        <is>
          <t>Canonical Points Elsewhere</t>
        </is>
      </c>
      <c r="B4" s="45" t="inlineStr">
        <is>
          <t>Critical</t>
        </is>
      </c>
      <c r="C4" s="55" t="n">
        <v>105</v>
      </c>
      <c r="D4" s="56" t="n">
        <v>0</v>
      </c>
      <c r="E4" s="40" t="inlineStr"/>
      <c r="F4" s="40" t="inlineStr"/>
      <c r="G4" s="37" t="inlineStr">
        <is>
          <t>Align canonical to preferred final URL and ensure internal links use canonical target.</t>
        </is>
      </c>
      <c r="H4" s="37" t="inlineStr">
        <is>
          <t>Canonical targets a different URL variant.</t>
        </is>
      </c>
      <c r="I4" s="37" t="inlineStr">
        <is>
          <t>Dev</t>
        </is>
      </c>
      <c r="J4" s="37" t="inlineStr">
        <is>
          <t>Dev</t>
        </is>
      </c>
      <c r="K4" s="37" t="inlineStr">
        <is>
          <t>M</t>
        </is>
      </c>
      <c r="L4" s="37" t="n">
        <v>10</v>
      </c>
      <c r="M4" s="57" t="n">
        <v>5</v>
      </c>
      <c r="N4" s="45" t="inlineStr">
        <is>
          <t>Immediate (Current Sprint)</t>
        </is>
      </c>
      <c r="O4" s="45" t="inlineStr">
        <is>
          <t>To Do</t>
        </is>
      </c>
      <c r="P4" s="37" t="inlineStr">
        <is>
          <t>Yes</t>
        </is>
      </c>
      <c r="Q4" s="37">
        <f>HYPERLINK("#Main!A1","Open Main")</f>
        <v/>
      </c>
      <c r="R4" s="37" t="inlineStr"/>
      <c r="S4" s="37" t="inlineStr">
        <is>
          <t>SEO</t>
        </is>
      </c>
      <c r="T4">
        <f>IFERROR(HYPERLINK("#Main!A"&amp;MATCH(F4,Main!A:A,0),"View URL Details"),HYPERLINK("#Main!A1","View URL Details"))</f>
        <v/>
      </c>
      <c r="U4">
        <f>IFERROR(HYPERLINK("#Main!A"&amp;MATCH(F4,Main!A:A,0),"Open"),HYPERLINK("#Main!A1","Open"))</f>
        <v/>
      </c>
    </row>
    <row r="5">
      <c r="A5" s="6" t="inlineStr">
        <is>
          <t>Robots.txt Disallow Root</t>
        </is>
      </c>
      <c r="B5" s="45" t="inlineStr">
        <is>
          <t>Critical</t>
        </is>
      </c>
      <c r="C5" s="55" t="n">
        <v>105</v>
      </c>
      <c r="D5" s="7" t="n">
        <v>0</v>
      </c>
      <c r="E5" s="43" t="inlineStr"/>
      <c r="F5" s="43" t="inlineStr"/>
      <c r="G5" s="6" t="inlineStr">
        <is>
          <t>Apply fix based on issue type and re-run audit.</t>
        </is>
      </c>
      <c r="H5" s="6" t="inlineStr">
        <is>
          <t>Template/technical implementation quality issue.</t>
        </is>
      </c>
      <c r="I5" s="6" t="inlineStr">
        <is>
          <t>Server/Host</t>
        </is>
      </c>
      <c r="J5" s="6" t="inlineStr">
        <is>
          <t>Server/Host</t>
        </is>
      </c>
      <c r="K5" s="6" t="inlineStr">
        <is>
          <t>M</t>
        </is>
      </c>
      <c r="L5" s="6" t="n">
        <v>10</v>
      </c>
      <c r="M5" s="57" t="n">
        <v>5</v>
      </c>
      <c r="N5" s="45" t="inlineStr">
        <is>
          <t>Immediate (Current Sprint)</t>
        </is>
      </c>
      <c r="O5" s="45" t="inlineStr">
        <is>
          <t>To Do</t>
        </is>
      </c>
      <c r="P5" s="6" t="inlineStr">
        <is>
          <t>Yes</t>
        </is>
      </c>
      <c r="Q5" s="6">
        <f>HYPERLINK("#Main!A1","Open Main")</f>
        <v/>
      </c>
      <c r="R5" s="6" t="inlineStr"/>
      <c r="S5" s="6" t="inlineStr">
        <is>
          <t>SEO</t>
        </is>
      </c>
      <c r="T5">
        <f>IFERROR(HYPERLINK("#Main!A"&amp;MATCH(F5,Main!A:A,0),"View URL Details"),HYPERLINK("#Main!A1","View URL Details"))</f>
        <v/>
      </c>
      <c r="U5">
        <f>IFERROR(HYPERLINK("#Main!A"&amp;MATCH(F5,Main!A:A,0),"Open"),HYPERLINK("#Main!A1","Open"))</f>
        <v/>
      </c>
    </row>
    <row r="6">
      <c r="A6" s="37" t="inlineStr">
        <is>
          <t>Broken Internal Links</t>
        </is>
      </c>
      <c r="B6" s="45" t="inlineStr">
        <is>
          <t>Critical</t>
        </is>
      </c>
      <c r="C6" s="55" t="n">
        <v>105</v>
      </c>
      <c r="D6" s="56" t="n">
        <v>0</v>
      </c>
      <c r="E6" s="40" t="inlineStr"/>
      <c r="F6" s="40" t="inlineStr"/>
      <c r="G6" s="37" t="inlineStr">
        <is>
          <t>Update internal links to valid URLs and remove dead references.</t>
        </is>
      </c>
      <c r="H6" s="37" t="inlineStr">
        <is>
          <t>Internal links resolve to missing or error pages.</t>
        </is>
      </c>
      <c r="I6" s="37" t="inlineStr">
        <is>
          <t>Dev</t>
        </is>
      </c>
      <c r="J6" s="37" t="inlineStr">
        <is>
          <t>Dev</t>
        </is>
      </c>
      <c r="K6" s="37" t="inlineStr">
        <is>
          <t>M</t>
        </is>
      </c>
      <c r="L6" s="37" t="n">
        <v>10</v>
      </c>
      <c r="M6" s="57" t="n">
        <v>5</v>
      </c>
      <c r="N6" s="45" t="inlineStr">
        <is>
          <t>Immediate (Current Sprint)</t>
        </is>
      </c>
      <c r="O6" s="45" t="inlineStr">
        <is>
          <t>To Do</t>
        </is>
      </c>
      <c r="P6" s="37" t="inlineStr">
        <is>
          <t>Yes</t>
        </is>
      </c>
      <c r="Q6" s="37">
        <f>HYPERLINK("#Main!A1","Open Main")</f>
        <v/>
      </c>
      <c r="R6" s="37" t="inlineStr"/>
      <c r="S6" s="37" t="inlineStr">
        <is>
          <t>SEO</t>
        </is>
      </c>
      <c r="T6">
        <f>IFERROR(HYPERLINK("#Main!A"&amp;MATCH(F6,Main!A:A,0),"View URL Details"),HYPERLINK("#Main!A1","View URL Details"))</f>
        <v/>
      </c>
      <c r="U6">
        <f>IFERROR(HYPERLINK("#Main!A"&amp;MATCH(F6,Main!A:A,0),"Open"),HYPERLINK("#Main!A1","Open"))</f>
        <v/>
      </c>
    </row>
    <row r="7">
      <c r="A7" s="6" t="inlineStr">
        <is>
          <t>Redirect Chains</t>
        </is>
      </c>
      <c r="B7" s="38" t="inlineStr">
        <is>
          <t>Warning</t>
        </is>
      </c>
      <c r="C7" s="57" t="n">
        <v>67</v>
      </c>
      <c r="D7" s="7" t="n">
        <v>0</v>
      </c>
      <c r="E7" s="43" t="inlineStr"/>
      <c r="F7" s="43" t="inlineStr"/>
      <c r="G7" s="6" t="inlineStr">
        <is>
          <t>Apply fix based on issue type and re-run audit.</t>
        </is>
      </c>
      <c r="H7" s="6" t="inlineStr">
        <is>
          <t>Template/technical implementation quality issue.</t>
        </is>
      </c>
      <c r="I7" s="6" t="inlineStr">
        <is>
          <t>Dev</t>
        </is>
      </c>
      <c r="J7" s="6" t="inlineStr">
        <is>
          <t>Dev</t>
        </is>
      </c>
      <c r="K7" s="6" t="inlineStr">
        <is>
          <t>S</t>
        </is>
      </c>
      <c r="L7" s="6" t="n">
        <v>4</v>
      </c>
      <c r="M7" s="58" t="n">
        <v>2</v>
      </c>
      <c r="N7" s="50" t="inlineStr">
        <is>
          <t>Next Sprint</t>
        </is>
      </c>
      <c r="O7" s="45" t="inlineStr">
        <is>
          <t>To Do</t>
        </is>
      </c>
      <c r="P7" s="6" t="inlineStr">
        <is>
          <t>Yes</t>
        </is>
      </c>
      <c r="Q7" s="6">
        <f>HYPERLINK("#Main!A1","Open Main")</f>
        <v/>
      </c>
      <c r="R7" s="6" t="inlineStr"/>
      <c r="S7" s="6" t="inlineStr">
        <is>
          <t>SEO</t>
        </is>
      </c>
      <c r="T7">
        <f>IFERROR(HYPERLINK("#Main!A"&amp;MATCH(F7,Main!A:A,0),"View URL Details"),HYPERLINK("#Main!A1","View URL Details"))</f>
        <v/>
      </c>
      <c r="U7">
        <f>IFERROR(HYPERLINK("#Main!A"&amp;MATCH(F7,Main!A:A,0),"Open"),HYPERLINK("#Main!A1","Open"))</f>
        <v/>
      </c>
    </row>
    <row r="8">
      <c r="A8" s="37" t="inlineStr">
        <is>
          <t>Missing Title</t>
        </is>
      </c>
      <c r="B8" s="38" t="inlineStr">
        <is>
          <t>Warning</t>
        </is>
      </c>
      <c r="C8" s="57" t="n">
        <v>67</v>
      </c>
      <c r="D8" s="56" t="n">
        <v>0</v>
      </c>
      <c r="E8" s="40" t="inlineStr"/>
      <c r="F8" s="40" t="inlineStr"/>
      <c r="G8" s="37" t="inlineStr">
        <is>
          <t>Add unique descriptive title on affected template/page type.</t>
        </is>
      </c>
      <c r="H8" s="37" t="inlineStr">
        <is>
          <t>Template/page missing title tag.</t>
        </is>
      </c>
      <c r="I8" s="37" t="inlineStr">
        <is>
          <t>Copy Writer</t>
        </is>
      </c>
      <c r="J8" s="37" t="inlineStr">
        <is>
          <t>Copy Writer</t>
        </is>
      </c>
      <c r="K8" s="37" t="inlineStr">
        <is>
          <t>S</t>
        </is>
      </c>
      <c r="L8" s="37" t="n">
        <v>4</v>
      </c>
      <c r="M8" s="58" t="n">
        <v>2</v>
      </c>
      <c r="N8" s="50" t="inlineStr">
        <is>
          <t>Next Sprint</t>
        </is>
      </c>
      <c r="O8" s="45" t="inlineStr">
        <is>
          <t>To Do</t>
        </is>
      </c>
      <c r="P8" s="37" t="inlineStr">
        <is>
          <t>Yes</t>
        </is>
      </c>
      <c r="Q8" s="37">
        <f>HYPERLINK("#Main!A1","Open Main")</f>
        <v/>
      </c>
      <c r="R8" s="37" t="inlineStr"/>
      <c r="S8" s="37" t="inlineStr">
        <is>
          <t>SEO</t>
        </is>
      </c>
      <c r="T8">
        <f>IFERROR(HYPERLINK("#Main!A"&amp;MATCH(F8,Main!A:A,0),"View URL Details"),HYPERLINK("#Main!A1","View URL Details"))</f>
        <v/>
      </c>
      <c r="U8">
        <f>IFERROR(HYPERLINK("#Main!A"&amp;MATCH(F8,Main!A:A,0),"Open"),HYPERLINK("#Main!A1","Open"))</f>
        <v/>
      </c>
    </row>
    <row r="9">
      <c r="A9" s="6" t="inlineStr">
        <is>
          <t>Missing Meta Description</t>
        </is>
      </c>
      <c r="B9" s="38" t="inlineStr">
        <is>
          <t>Warning</t>
        </is>
      </c>
      <c r="C9" s="57" t="n">
        <v>67</v>
      </c>
      <c r="D9" s="7" t="n">
        <v>0</v>
      </c>
      <c r="E9" s="43" t="inlineStr"/>
      <c r="F9" s="43" t="inlineStr"/>
      <c r="G9" s="6" t="inlineStr">
        <is>
          <t>Add concise unique description aligned with user intent.</t>
        </is>
      </c>
      <c r="H9" s="6" t="inlineStr">
        <is>
          <t>Meta description missing or empty.</t>
        </is>
      </c>
      <c r="I9" s="6" t="inlineStr">
        <is>
          <t>Copy Writer</t>
        </is>
      </c>
      <c r="J9" s="6" t="inlineStr">
        <is>
          <t>Copy Writer</t>
        </is>
      </c>
      <c r="K9" s="6" t="inlineStr">
        <is>
          <t>S</t>
        </is>
      </c>
      <c r="L9" s="6" t="n">
        <v>4</v>
      </c>
      <c r="M9" s="58" t="n">
        <v>2</v>
      </c>
      <c r="N9" s="50" t="inlineStr">
        <is>
          <t>Next Sprint</t>
        </is>
      </c>
      <c r="O9" s="45" t="inlineStr">
        <is>
          <t>To Do</t>
        </is>
      </c>
      <c r="P9" s="6" t="inlineStr">
        <is>
          <t>Yes</t>
        </is>
      </c>
      <c r="Q9" s="6">
        <f>HYPERLINK("#Main!A1","Open Main")</f>
        <v/>
      </c>
      <c r="R9" s="6" t="inlineStr"/>
      <c r="S9" s="6" t="inlineStr">
        <is>
          <t>SEO</t>
        </is>
      </c>
      <c r="T9">
        <f>IFERROR(HYPERLINK("#Main!A"&amp;MATCH(F9,Main!A:A,0),"View URL Details"),HYPERLINK("#Main!A1","View URL Details"))</f>
        <v/>
      </c>
      <c r="U9">
        <f>IFERROR(HYPERLINK("#Main!A"&amp;MATCH(F9,Main!A:A,0),"Open"),HYPERLINK("#Main!A1","Open"))</f>
        <v/>
      </c>
    </row>
    <row r="10">
      <c r="A10" s="37" t="inlineStr">
        <is>
          <t>Multiple H1</t>
        </is>
      </c>
      <c r="B10" s="38" t="inlineStr">
        <is>
          <t>Warning</t>
        </is>
      </c>
      <c r="C10" s="57" t="n">
        <v>67</v>
      </c>
      <c r="D10" s="56" t="n">
        <v>0</v>
      </c>
      <c r="E10" s="40" t="inlineStr"/>
      <c r="F10" s="40" t="inlineStr"/>
      <c r="G10" s="37" t="inlineStr">
        <is>
          <t>Apply fix based on issue type and re-run audit.</t>
        </is>
      </c>
      <c r="H10" s="37" t="inlineStr">
        <is>
          <t>Template/technical implementation quality issue.</t>
        </is>
      </c>
      <c r="I10" s="37" t="inlineStr">
        <is>
          <t>Copy Writer</t>
        </is>
      </c>
      <c r="J10" s="37" t="inlineStr">
        <is>
          <t>Copy Writer</t>
        </is>
      </c>
      <c r="K10" s="37" t="inlineStr">
        <is>
          <t>S</t>
        </is>
      </c>
      <c r="L10" s="37" t="n">
        <v>4</v>
      </c>
      <c r="M10" s="58" t="n">
        <v>2</v>
      </c>
      <c r="N10" s="50" t="inlineStr">
        <is>
          <t>Next Sprint</t>
        </is>
      </c>
      <c r="O10" s="45" t="inlineStr">
        <is>
          <t>To Do</t>
        </is>
      </c>
      <c r="P10" s="37" t="inlineStr">
        <is>
          <t>Yes</t>
        </is>
      </c>
      <c r="Q10" s="37">
        <f>HYPERLINK("#Main!A1","Open Main")</f>
        <v/>
      </c>
      <c r="R10" s="37" t="inlineStr"/>
      <c r="S10" s="37" t="inlineStr">
        <is>
          <t>SEO</t>
        </is>
      </c>
      <c r="T10">
        <f>IFERROR(HYPERLINK("#Main!A"&amp;MATCH(F10,Main!A:A,0),"View URL Details"),HYPERLINK("#Main!A1","View URL Details"))</f>
        <v/>
      </c>
      <c r="U10">
        <f>IFERROR(HYPERLINK("#Main!A"&amp;MATCH(F10,Main!A:A,0),"Open"),HYPERLINK("#Main!A1","Open"))</f>
        <v/>
      </c>
    </row>
    <row r="11">
      <c r="A11" s="6" t="inlineStr">
        <is>
          <t>Low Image Alt Coverage</t>
        </is>
      </c>
      <c r="B11" s="38" t="inlineStr">
        <is>
          <t>Warning</t>
        </is>
      </c>
      <c r="C11" s="57" t="n">
        <v>67</v>
      </c>
      <c r="D11" s="7" t="n">
        <v>0</v>
      </c>
      <c r="E11" s="43" t="inlineStr"/>
      <c r="F11" s="43" t="inlineStr"/>
      <c r="G11" s="6" t="inlineStr">
        <is>
          <t>Apply fix based on issue type and re-run audit.</t>
        </is>
      </c>
      <c r="H11" s="6" t="inlineStr">
        <is>
          <t>Template/technical implementation quality issue.</t>
        </is>
      </c>
      <c r="I11" s="6" t="inlineStr">
        <is>
          <t>Copy Writer</t>
        </is>
      </c>
      <c r="J11" s="6" t="inlineStr">
        <is>
          <t>Copy Writer</t>
        </is>
      </c>
      <c r="K11" s="6" t="inlineStr">
        <is>
          <t>S</t>
        </is>
      </c>
      <c r="L11" s="6" t="n">
        <v>4</v>
      </c>
      <c r="M11" s="58" t="n">
        <v>2</v>
      </c>
      <c r="N11" s="50" t="inlineStr">
        <is>
          <t>Next Sprint</t>
        </is>
      </c>
      <c r="O11" s="45" t="inlineStr">
        <is>
          <t>To Do</t>
        </is>
      </c>
      <c r="P11" s="6" t="inlineStr">
        <is>
          <t>Yes</t>
        </is>
      </c>
      <c r="Q11" s="6">
        <f>HYPERLINK("#Main!A1","Open Main")</f>
        <v/>
      </c>
      <c r="R11" s="6" t="inlineStr"/>
      <c r="S11" s="6" t="inlineStr">
        <is>
          <t>SEO</t>
        </is>
      </c>
      <c r="T11">
        <f>IFERROR(HYPERLINK("#Main!A"&amp;MATCH(F11,Main!A:A,0),"View URL Details"),HYPERLINK("#Main!A1","View URL Details"))</f>
        <v/>
      </c>
      <c r="U11">
        <f>IFERROR(HYPERLINK("#Main!A"&amp;MATCH(F11,Main!A:A,0),"Open"),HYPERLINK("#Main!A1","Open"))</f>
        <v/>
      </c>
    </row>
    <row r="12">
      <c r="A12" s="37" t="inlineStr">
        <is>
          <t>Mixed Content</t>
        </is>
      </c>
      <c r="B12" s="38" t="inlineStr">
        <is>
          <t>Warning</t>
        </is>
      </c>
      <c r="C12" s="57" t="n">
        <v>67</v>
      </c>
      <c r="D12" s="56" t="n">
        <v>0</v>
      </c>
      <c r="E12" s="40" t="inlineStr"/>
      <c r="F12" s="40" t="inlineStr"/>
      <c r="G12" s="37" t="inlineStr">
        <is>
          <t>Serve all assets over HTTPS and update hardcoded URLs.</t>
        </is>
      </c>
      <c r="H12" s="37" t="inlineStr">
        <is>
          <t>HTTPS page references insecure HTTP assets.</t>
        </is>
      </c>
      <c r="I12" s="37" t="inlineStr">
        <is>
          <t>Dev</t>
        </is>
      </c>
      <c r="J12" s="37" t="inlineStr">
        <is>
          <t>Dev</t>
        </is>
      </c>
      <c r="K12" s="37" t="inlineStr">
        <is>
          <t>S</t>
        </is>
      </c>
      <c r="L12" s="37" t="n">
        <v>4</v>
      </c>
      <c r="M12" s="58" t="n">
        <v>2</v>
      </c>
      <c r="N12" s="50" t="inlineStr">
        <is>
          <t>Next Sprint</t>
        </is>
      </c>
      <c r="O12" s="45" t="inlineStr">
        <is>
          <t>To Do</t>
        </is>
      </c>
      <c r="P12" s="37" t="inlineStr">
        <is>
          <t>Yes</t>
        </is>
      </c>
      <c r="Q12" s="37">
        <f>HYPERLINK("#Main!A1","Open Main")</f>
        <v/>
      </c>
      <c r="R12" s="37" t="inlineStr"/>
      <c r="S12" s="37" t="inlineStr">
        <is>
          <t>SEO</t>
        </is>
      </c>
      <c r="T12">
        <f>IFERROR(HYPERLINK("#Main!A"&amp;MATCH(F12,Main!A:A,0),"View URL Details"),HYPERLINK("#Main!A1","View URL Details"))</f>
        <v/>
      </c>
      <c r="U12">
        <f>IFERROR(HYPERLINK("#Main!A"&amp;MATCH(F12,Main!A:A,0),"Open"),HYPERLINK("#Main!A1","Open"))</f>
        <v/>
      </c>
    </row>
    <row r="13">
      <c r="A13" s="6" t="inlineStr">
        <is>
          <t>Canonical Missing</t>
        </is>
      </c>
      <c r="B13" s="38" t="inlineStr">
        <is>
          <t>Warning</t>
        </is>
      </c>
      <c r="C13" s="57" t="n">
        <v>67</v>
      </c>
      <c r="D13" s="7" t="n">
        <v>0</v>
      </c>
      <c r="E13" s="43" t="inlineStr"/>
      <c r="F13" s="43" t="inlineStr"/>
      <c r="G13" s="6" t="inlineStr">
        <is>
          <t>Apply fix based on issue type and re-run audit.</t>
        </is>
      </c>
      <c r="H13" s="6" t="inlineStr">
        <is>
          <t>Template/technical implementation quality issue.</t>
        </is>
      </c>
      <c r="I13" s="6" t="inlineStr">
        <is>
          <t>Dev</t>
        </is>
      </c>
      <c r="J13" s="6" t="inlineStr">
        <is>
          <t>Dev</t>
        </is>
      </c>
      <c r="K13" s="6" t="inlineStr">
        <is>
          <t>S</t>
        </is>
      </c>
      <c r="L13" s="6" t="n">
        <v>4</v>
      </c>
      <c r="M13" s="58" t="n">
        <v>2</v>
      </c>
      <c r="N13" s="50" t="inlineStr">
        <is>
          <t>Next Sprint</t>
        </is>
      </c>
      <c r="O13" s="45" t="inlineStr">
        <is>
          <t>To Do</t>
        </is>
      </c>
      <c r="P13" s="6" t="inlineStr">
        <is>
          <t>Yes</t>
        </is>
      </c>
      <c r="Q13" s="6">
        <f>HYPERLINK("#Main!A1","Open Main")</f>
        <v/>
      </c>
      <c r="R13" s="6" t="inlineStr"/>
      <c r="S13" s="6" t="inlineStr">
        <is>
          <t>SEO</t>
        </is>
      </c>
      <c r="T13">
        <f>IFERROR(HYPERLINK("#Main!A"&amp;MATCH(F13,Main!A:A,0),"View URL Details"),HYPERLINK("#Main!A1","View URL Details"))</f>
        <v/>
      </c>
      <c r="U13">
        <f>IFERROR(HYPERLINK("#Main!A"&amp;MATCH(F13,Main!A:A,0),"Open"),HYPERLINK("#Main!A1","Open"))</f>
        <v/>
      </c>
    </row>
    <row r="14">
      <c r="A14" s="37" t="inlineStr">
        <is>
          <t>Hreflang Without Reciprocity</t>
        </is>
      </c>
      <c r="B14" s="38" t="inlineStr">
        <is>
          <t>Warning</t>
        </is>
      </c>
      <c r="C14" s="57" t="n">
        <v>67</v>
      </c>
      <c r="D14" s="56" t="n">
        <v>0</v>
      </c>
      <c r="E14" s="40" t="inlineStr"/>
      <c r="F14" s="40" t="inlineStr"/>
      <c r="G14" s="37" t="inlineStr">
        <is>
          <t>Apply fix based on issue type and re-run audit.</t>
        </is>
      </c>
      <c r="H14" s="37" t="inlineStr">
        <is>
          <t>Template/technical implementation quality issue.</t>
        </is>
      </c>
      <c r="I14" s="37" t="inlineStr">
        <is>
          <t>Copy Writer</t>
        </is>
      </c>
      <c r="J14" s="37" t="inlineStr">
        <is>
          <t>Copy Writer</t>
        </is>
      </c>
      <c r="K14" s="37" t="inlineStr">
        <is>
          <t>S</t>
        </is>
      </c>
      <c r="L14" s="37" t="n">
        <v>4</v>
      </c>
      <c r="M14" s="58" t="n">
        <v>2</v>
      </c>
      <c r="N14" s="50" t="inlineStr">
        <is>
          <t>Next Sprint</t>
        </is>
      </c>
      <c r="O14" s="45" t="inlineStr">
        <is>
          <t>To Do</t>
        </is>
      </c>
      <c r="P14" s="37" t="inlineStr">
        <is>
          <t>Yes</t>
        </is>
      </c>
      <c r="Q14" s="37">
        <f>HYPERLINK("#Main!A1","Open Main")</f>
        <v/>
      </c>
      <c r="R14" s="37" t="inlineStr"/>
      <c r="S14" s="37" t="inlineStr">
        <is>
          <t>SEO</t>
        </is>
      </c>
      <c r="T14">
        <f>IFERROR(HYPERLINK("#Main!A"&amp;MATCH(F14,Main!A:A,0),"View URL Details"),HYPERLINK("#Main!A1","View URL Details"))</f>
        <v/>
      </c>
      <c r="U14">
        <f>IFERROR(HYPERLINK("#Main!A"&amp;MATCH(F14,Main!A:A,0),"Open"),HYPERLINK("#Main!A1","Open"))</f>
        <v/>
      </c>
    </row>
    <row r="15" ht="90" customHeight="1">
      <c r="A15" s="6" t="inlineStr">
        <is>
          <t>Missing H1</t>
        </is>
      </c>
      <c r="B15" s="38" t="inlineStr">
        <is>
          <t>Warning</t>
        </is>
      </c>
      <c r="C15" s="57" t="n">
        <v>67</v>
      </c>
      <c r="D15" s="7" t="n">
        <v>6</v>
      </c>
      <c r="E15" s="43" t="inlineStr">
        <is>
          <t>https://asconafrica.org/
https://asconafrica.org/news/
https://asconafrica.org/privacy-policy/
https://asconafrica.org/unsubscribe-form/
https://asconafrica.org/unsubscribe-form/successfully-unsubscribed/
https://asconafrica.org/contact-us/</t>
        </is>
      </c>
      <c r="F15" s="46" t="inlineStr">
        <is>
          <t>https://asconafrica.org/</t>
        </is>
      </c>
      <c r="G15" s="6" t="inlineStr">
        <is>
          <t>Apply fix based on issue type and re-run audit.</t>
        </is>
      </c>
      <c r="H15" s="6" t="inlineStr">
        <is>
          <t>Template/technical implementation quality issue.</t>
        </is>
      </c>
      <c r="I15" s="6" t="inlineStr">
        <is>
          <t>Copy Writer</t>
        </is>
      </c>
      <c r="J15" s="6" t="inlineStr">
        <is>
          <t>Copy Writer</t>
        </is>
      </c>
      <c r="K15" s="6" t="inlineStr">
        <is>
          <t>S</t>
        </is>
      </c>
      <c r="L15" s="6" t="n">
        <v>4</v>
      </c>
      <c r="M15" s="58" t="n">
        <v>2</v>
      </c>
      <c r="N15" s="50" t="inlineStr">
        <is>
          <t>Next Sprint</t>
        </is>
      </c>
      <c r="O15" s="45" t="inlineStr">
        <is>
          <t>To Do</t>
        </is>
      </c>
      <c r="P15" s="6" t="inlineStr">
        <is>
          <t>Yes</t>
        </is>
      </c>
      <c r="Q15" s="6">
        <f>IFERROR(HYPERLINK("#Main!A"&amp;MATCH("https://asconafrica.org/",Main!A:A,0),"Jump to Main"),HYPERLINK("#Main!A1","Open Main"))</f>
        <v/>
      </c>
      <c r="R15" s="6" t="inlineStr"/>
      <c r="S15" s="6" t="inlineStr">
        <is>
          <t>SEO</t>
        </is>
      </c>
      <c r="T15">
        <f>IFERROR(HYPERLINK("#Main!A"&amp;MATCH(F15,Main!A:A,0),"View URL Details"),HYPERLINK("#Main!A1","View URL Details"))</f>
        <v/>
      </c>
      <c r="U15">
        <f>IFERROR(HYPERLINK("#Main!A"&amp;MATCH(F15,Main!A:A,0),"Open"),HYPERLINK("#Main!A1","Open"))</f>
        <v/>
      </c>
    </row>
    <row r="16" ht="120" customHeight="1">
      <c r="A16" s="37" t="inlineStr">
        <is>
          <t>Low AEO Readiness Score</t>
        </is>
      </c>
      <c r="B16" s="38" t="inlineStr">
        <is>
          <t>Warning</t>
        </is>
      </c>
      <c r="C16" s="57" t="n">
        <v>67</v>
      </c>
      <c r="D16" s="56" t="n">
        <v>15</v>
      </c>
      <c r="E16" s="40" t="inlineStr">
        <is>
          <t>https://asconafrica.org/2026-ascon-awards/
https://asconafrica.org/
https://asconafrica.org/news/
https://asconafrica.org/our-members/
https://asconafrica.org/2026-ascon-conference/
https://asconafrica.org/about-us/
https://asconafrica.org/privacy-policy/
https://asconafrica.org/2026-ascon-conference/thank-you-for-signing-up/
https://asconafrica.org/thank-you-for-signing-up-for-updates/
https://asconafrica.org/launch-event-2026-ascon-conference/thank-you-for-registering-conference-launch/
https://asconafrica.org/launch-event-2026-ascon-conference/
https://asconafrica.org/2026-ascon-awards/thank-you-for-your-nomination/
https://asconafrica.org/unsubscribe-form/
https://asconafrica.org/unsubscribe-form/successfully-unsubscribed/
https://asconafrica.org/contact-us/</t>
        </is>
      </c>
      <c r="F16" s="46" t="inlineStr">
        <is>
          <t>https://asconafrica.org/2026-ascon-awards/</t>
        </is>
      </c>
      <c r="G16" s="37" t="inlineStr">
        <is>
          <t>Add short direct answer blocks, question-led headings, and answer-ready formatting.</t>
        </is>
      </c>
      <c r="H16" s="37" t="inlineStr">
        <is>
          <t>Page lacks concise answer-oriented signals and structured answer patterns.</t>
        </is>
      </c>
      <c r="I16" s="37" t="inlineStr">
        <is>
          <t>Copy Writer</t>
        </is>
      </c>
      <c r="J16" s="37" t="inlineStr">
        <is>
          <t>Copy Writer</t>
        </is>
      </c>
      <c r="K16" s="37" t="inlineStr">
        <is>
          <t>S</t>
        </is>
      </c>
      <c r="L16" s="37" t="n">
        <v>4</v>
      </c>
      <c r="M16" s="58" t="n">
        <v>2</v>
      </c>
      <c r="N16" s="50" t="inlineStr">
        <is>
          <t>Next Sprint</t>
        </is>
      </c>
      <c r="O16" s="45" t="inlineStr">
        <is>
          <t>To Do</t>
        </is>
      </c>
      <c r="P16" s="37" t="inlineStr">
        <is>
          <t>Yes</t>
        </is>
      </c>
      <c r="Q16" s="37">
        <f>IFERROR(HYPERLINK("#Main!A"&amp;MATCH("https://asconafrica.org/2026-ascon-awards/",Main!A:A,0),"Jump to Main"),HYPERLINK("#Main!A1","Open Main"))</f>
        <v/>
      </c>
      <c r="R16" s="37" t="inlineStr"/>
      <c r="S16" s="37" t="inlineStr">
        <is>
          <t>AEO</t>
        </is>
      </c>
      <c r="T16">
        <f>IFERROR(HYPERLINK("#Main!A"&amp;MATCH(F16,Main!A:A,0),"View URL Details"),HYPERLINK("#Main!A1","View URL Details"))</f>
        <v/>
      </c>
      <c r="U16">
        <f>IFERROR(HYPERLINK("#Main!A"&amp;MATCH(F16,Main!A:A,0),"Open"),HYPERLINK("#Main!A1","Open"))</f>
        <v/>
      </c>
    </row>
    <row r="17" ht="120" customHeight="1">
      <c r="A17" s="6" t="inlineStr">
        <is>
          <t>Thin Content</t>
        </is>
      </c>
      <c r="B17" s="38" t="inlineStr">
        <is>
          <t>Warning</t>
        </is>
      </c>
      <c r="C17" s="57" t="n">
        <v>67</v>
      </c>
      <c r="D17" s="7" t="n">
        <v>8</v>
      </c>
      <c r="E17" s="43" t="inlineStr">
        <is>
          <t>https://asconafrica.org/our-members/
https://asconafrica.org/2026-ascon-conference/thank-you-for-signing-up/
https://asconafrica.org/thank-you-for-signing-up-for-updates/
https://asconafrica.org/launch-event-2026-ascon-conference/thank-you-for-registering-conference-launch/
https://asconafrica.org/2026-ascon-awards/thank-you-for-your-nomination/
https://asconafrica.org/unsubscribe-form/
https://asconafrica.org/unsubscribe-form/successfully-unsubscribed/
https://asconafrica.org/contact-us/</t>
        </is>
      </c>
      <c r="F17" s="46" t="inlineStr">
        <is>
          <t>https://asconafrica.org/our-members/</t>
        </is>
      </c>
      <c r="G17" s="6" t="inlineStr">
        <is>
          <t>Expand page with helpful, unique, intent-matching content.</t>
        </is>
      </c>
      <c r="H17" s="6" t="inlineStr">
        <is>
          <t>Insufficient body content for indexing confidence.</t>
        </is>
      </c>
      <c r="I17" s="6" t="inlineStr">
        <is>
          <t>Copy Writer</t>
        </is>
      </c>
      <c r="J17" s="6" t="inlineStr">
        <is>
          <t>Copy Writer</t>
        </is>
      </c>
      <c r="K17" s="6" t="inlineStr">
        <is>
          <t>S</t>
        </is>
      </c>
      <c r="L17" s="6" t="n">
        <v>4</v>
      </c>
      <c r="M17" s="58" t="n">
        <v>2</v>
      </c>
      <c r="N17" s="50" t="inlineStr">
        <is>
          <t>Next Sprint</t>
        </is>
      </c>
      <c r="O17" s="45" t="inlineStr">
        <is>
          <t>To Do</t>
        </is>
      </c>
      <c r="P17" s="6" t="inlineStr">
        <is>
          <t>Yes</t>
        </is>
      </c>
      <c r="Q17" s="6">
        <f>IFERROR(HYPERLINK("#Main!A"&amp;MATCH("https://asconafrica.org/our-members/",Main!A:A,0),"Jump to Main"),HYPERLINK("#Main!A1","Open Main"))</f>
        <v/>
      </c>
      <c r="R17" s="6" t="inlineStr"/>
      <c r="S17" s="6" t="inlineStr">
        <is>
          <t>SEO</t>
        </is>
      </c>
      <c r="T17">
        <f>IFERROR(HYPERLINK("#Main!A"&amp;MATCH(F17,Main!A:A,0),"View URL Details"),HYPERLINK("#Main!A1","View URL Details"))</f>
        <v/>
      </c>
      <c r="U17">
        <f>IFERROR(HYPERLINK("#Main!A"&amp;MATCH(F17,Main!A:A,0),"Open"),HYPERLINK("#Main!A1","Open"))</f>
        <v/>
      </c>
    </row>
    <row r="18">
      <c r="A18" s="4" t="inlineStr">
        <is>
          <t>Uses URL Parameters</t>
        </is>
      </c>
      <c r="B18" s="42" t="inlineStr">
        <is>
          <t>Info</t>
        </is>
      </c>
      <c r="C18" s="59" t="n">
        <v>37</v>
      </c>
      <c r="D18" s="56" t="n">
        <v>0</v>
      </c>
      <c r="E18" s="40" t="inlineStr"/>
      <c r="F18" s="40" t="inlineStr"/>
      <c r="G18" s="37" t="inlineStr">
        <is>
          <t>Apply fix based on issue type and re-run audit.</t>
        </is>
      </c>
      <c r="H18" s="37" t="inlineStr">
        <is>
          <t>Template/technical implementation quality issue.</t>
        </is>
      </c>
      <c r="I18" s="37" t="inlineStr">
        <is>
          <t>Dev</t>
        </is>
      </c>
      <c r="J18" s="37" t="inlineStr">
        <is>
          <t>Dev</t>
        </is>
      </c>
      <c r="K18" s="37" t="inlineStr">
        <is>
          <t>S</t>
        </is>
      </c>
      <c r="L18" s="37" t="n">
        <v>4</v>
      </c>
      <c r="M18" s="58" t="n">
        <v>2</v>
      </c>
      <c r="N18" s="42" t="inlineStr">
        <is>
          <t>Backlog</t>
        </is>
      </c>
      <c r="O18" s="37" t="inlineStr">
        <is>
          <t>In Review</t>
        </is>
      </c>
      <c r="P18" s="37" t="inlineStr">
        <is>
          <t>No</t>
        </is>
      </c>
      <c r="Q18" s="37">
        <f>HYPERLINK("#Main!A1","Open Main")</f>
        <v/>
      </c>
      <c r="R18" s="37" t="inlineStr"/>
      <c r="S18" s="37" t="inlineStr">
        <is>
          <t>SEO</t>
        </is>
      </c>
      <c r="T18">
        <f>IFERROR(HYPERLINK("#Main!A"&amp;MATCH(F18,Main!A:A,0),"View URL Details"),HYPERLINK("#Main!A1","View URL Details"))</f>
        <v/>
      </c>
      <c r="U18">
        <f>IFERROR(HYPERLINK("#Main!A"&amp;MATCH(F18,Main!A:A,0),"Open"),HYPERLINK("#Main!A1","Open"))</f>
        <v/>
      </c>
    </row>
    <row r="19">
      <c r="A19" s="4" t="inlineStr">
        <is>
          <t>Generic Anchor Text Present</t>
        </is>
      </c>
      <c r="B19" s="42" t="inlineStr">
        <is>
          <t>Info</t>
        </is>
      </c>
      <c r="C19" s="59" t="n">
        <v>37</v>
      </c>
      <c r="D19" s="7" t="n">
        <v>0</v>
      </c>
      <c r="E19" s="43" t="inlineStr"/>
      <c r="F19" s="43" t="inlineStr"/>
      <c r="G19" s="6" t="inlineStr">
        <is>
          <t>Apply fix based on issue type and re-run audit.</t>
        </is>
      </c>
      <c r="H19" s="6" t="inlineStr">
        <is>
          <t>Template/technical implementation quality issue.</t>
        </is>
      </c>
      <c r="I19" s="6" t="inlineStr">
        <is>
          <t>Copy Writer</t>
        </is>
      </c>
      <c r="J19" s="6" t="inlineStr">
        <is>
          <t>Copy Writer</t>
        </is>
      </c>
      <c r="K19" s="6" t="inlineStr">
        <is>
          <t>S</t>
        </is>
      </c>
      <c r="L19" s="6" t="n">
        <v>4</v>
      </c>
      <c r="M19" s="58" t="n">
        <v>2</v>
      </c>
      <c r="N19" s="42" t="inlineStr">
        <is>
          <t>Backlog</t>
        </is>
      </c>
      <c r="O19" s="6" t="inlineStr">
        <is>
          <t>In Review</t>
        </is>
      </c>
      <c r="P19" s="6" t="inlineStr">
        <is>
          <t>No</t>
        </is>
      </c>
      <c r="Q19" s="6">
        <f>HYPERLINK("#Main!A1","Open Main")</f>
        <v/>
      </c>
      <c r="R19" s="6" t="inlineStr"/>
      <c r="S19" s="6" t="inlineStr">
        <is>
          <t>SEO</t>
        </is>
      </c>
      <c r="T19">
        <f>IFERROR(HYPERLINK("#Main!A"&amp;MATCH(F19,Main!A:A,0),"View URL Details"),HYPERLINK("#Main!A1","View URL Details"))</f>
        <v/>
      </c>
      <c r="U19">
        <f>IFERROR(HYPERLINK("#Main!A"&amp;MATCH(F19,Main!A:A,0),"Open"),HYPERLINK("#Main!A1","Open"))</f>
        <v/>
      </c>
    </row>
    <row r="20">
      <c r="A20" s="4" t="inlineStr">
        <is>
          <t>Image Filename Quality Issues</t>
        </is>
      </c>
      <c r="B20" s="42" t="inlineStr">
        <is>
          <t>Info</t>
        </is>
      </c>
      <c r="C20" s="59" t="n">
        <v>37</v>
      </c>
      <c r="D20" s="56" t="n">
        <v>0</v>
      </c>
      <c r="E20" s="40" t="inlineStr"/>
      <c r="F20" s="40" t="inlineStr"/>
      <c r="G20" s="37" t="inlineStr">
        <is>
          <t>Apply fix based on issue type and re-run audit.</t>
        </is>
      </c>
      <c r="H20" s="37" t="inlineStr">
        <is>
          <t>Template/technical implementation quality issue.</t>
        </is>
      </c>
      <c r="I20" s="37" t="inlineStr">
        <is>
          <t>Copy Writer</t>
        </is>
      </c>
      <c r="J20" s="37" t="inlineStr">
        <is>
          <t>Copy Writer</t>
        </is>
      </c>
      <c r="K20" s="37" t="inlineStr">
        <is>
          <t>S</t>
        </is>
      </c>
      <c r="L20" s="37" t="n">
        <v>4</v>
      </c>
      <c r="M20" s="58" t="n">
        <v>2</v>
      </c>
      <c r="N20" s="42" t="inlineStr">
        <is>
          <t>Backlog</t>
        </is>
      </c>
      <c r="O20" s="37" t="inlineStr">
        <is>
          <t>In Review</t>
        </is>
      </c>
      <c r="P20" s="37" t="inlineStr">
        <is>
          <t>No</t>
        </is>
      </c>
      <c r="Q20" s="37">
        <f>HYPERLINK("#Main!A1","Open Main")</f>
        <v/>
      </c>
      <c r="R20" s="37" t="inlineStr"/>
      <c r="S20" s="37" t="inlineStr">
        <is>
          <t>SEO</t>
        </is>
      </c>
      <c r="T20">
        <f>IFERROR(HYPERLINK("#Main!A"&amp;MATCH(F20,Main!A:A,0),"View URL Details"),HYPERLINK("#Main!A1","View URL Details"))</f>
        <v/>
      </c>
      <c r="U20">
        <f>IFERROR(HYPERLINK("#Main!A"&amp;MATCH(F20,Main!A:A,0),"Open"),HYPERLINK("#Main!A1","Open"))</f>
        <v/>
      </c>
    </row>
    <row r="21" ht="120" customHeight="1">
      <c r="A21" s="4" t="inlineStr">
        <is>
          <t>No Compression Header</t>
        </is>
      </c>
      <c r="B21" s="42" t="inlineStr">
        <is>
          <t>Info</t>
        </is>
      </c>
      <c r="C21" s="59" t="n">
        <v>37</v>
      </c>
      <c r="D21" s="7" t="n">
        <v>15</v>
      </c>
      <c r="E21" s="43" t="inlineStr">
        <is>
          <t>https://asconafrica.org/2026-ascon-awards/
https://asconafrica.org/
https://asconafrica.org/news/
https://asconafrica.org/our-members/
https://asconafrica.org/2026-ascon-conference/
https://asconafrica.org/about-us/
https://asconafrica.org/privacy-policy/
https://asconafrica.org/2026-ascon-conference/thank-you-for-signing-up/
https://asconafrica.org/thank-you-for-signing-up-for-updates/
https://asconafrica.org/launch-event-2026-ascon-conference/thank-you-for-registering-conference-launch/
https://asconafrica.org/launch-event-2026-ascon-conference/
https://asconafrica.org/2026-ascon-awards/thank-you-for-your-nomination/
https://asconafrica.org/unsubscribe-form/
https://asconafrica.org/unsubscribe-form/successfully-unsubscribed/
https://asconafrica.org/contact-us/</t>
        </is>
      </c>
      <c r="F21" s="46" t="inlineStr">
        <is>
          <t>https://asconafrica.org/2026-ascon-awards/</t>
        </is>
      </c>
      <c r="G21" s="6" t="inlineStr">
        <is>
          <t>Apply fix based on issue type and re-run audit.</t>
        </is>
      </c>
      <c r="H21" s="6" t="inlineStr">
        <is>
          <t>Template/technical implementation quality issue.</t>
        </is>
      </c>
      <c r="I21" s="6" t="inlineStr">
        <is>
          <t>Server/Host</t>
        </is>
      </c>
      <c r="J21" s="6" t="inlineStr">
        <is>
          <t>Server/Host</t>
        </is>
      </c>
      <c r="K21" s="6" t="inlineStr">
        <is>
          <t>S</t>
        </is>
      </c>
      <c r="L21" s="6" t="n">
        <v>4</v>
      </c>
      <c r="M21" s="58" t="n">
        <v>2</v>
      </c>
      <c r="N21" s="42" t="inlineStr">
        <is>
          <t>Backlog</t>
        </is>
      </c>
      <c r="O21" s="6" t="inlineStr">
        <is>
          <t>In Review</t>
        </is>
      </c>
      <c r="P21" s="6" t="inlineStr">
        <is>
          <t>No</t>
        </is>
      </c>
      <c r="Q21" s="6">
        <f>IFERROR(HYPERLINK("#Main!A"&amp;MATCH("https://asconafrica.org/2026-ascon-awards/",Main!A:A,0),"Jump to Main"),HYPERLINK("#Main!A1","Open Main"))</f>
        <v/>
      </c>
      <c r="R21" s="6" t="inlineStr"/>
      <c r="S21" s="6" t="inlineStr">
        <is>
          <t>SEO</t>
        </is>
      </c>
      <c r="T21">
        <f>IFERROR(HYPERLINK("#Main!A"&amp;MATCH(F21,Main!A:A,0),"View URL Details"),HYPERLINK("#Main!A1","View URL Details"))</f>
        <v/>
      </c>
      <c r="U21">
        <f>IFERROR(HYPERLINK("#Main!A"&amp;MATCH(F21,Main!A:A,0),"Open"),HYPERLINK("#Main!A1","Open"))</f>
        <v/>
      </c>
    </row>
    <row r="22" ht="120" customHeight="1">
      <c r="A22" s="4" t="inlineStr">
        <is>
          <t>No Cache-Control Header</t>
        </is>
      </c>
      <c r="B22" s="42" t="inlineStr">
        <is>
          <t>Info</t>
        </is>
      </c>
      <c r="C22" s="59" t="n">
        <v>37</v>
      </c>
      <c r="D22" s="56" t="n">
        <v>15</v>
      </c>
      <c r="E22" s="40" t="inlineStr">
        <is>
          <t>https://asconafrica.org/2026-ascon-awards/
https://asconafrica.org/
https://asconafrica.org/news/
https://asconafrica.org/our-members/
https://asconafrica.org/2026-ascon-conference/
https://asconafrica.org/about-us/
https://asconafrica.org/privacy-policy/
https://asconafrica.org/2026-ascon-conference/thank-you-for-signing-up/
https://asconafrica.org/thank-you-for-signing-up-for-updates/
https://asconafrica.org/launch-event-2026-ascon-conference/thank-you-for-registering-conference-launch/
https://asconafrica.org/launch-event-2026-ascon-conference/
https://asconafrica.org/2026-ascon-awards/thank-you-for-your-nomination/
https://asconafrica.org/unsubscribe-form/
https://asconafrica.org/unsubscribe-form/successfully-unsubscribed/
https://asconafrica.org/contact-us/</t>
        </is>
      </c>
      <c r="F22" s="46" t="inlineStr">
        <is>
          <t>https://asconafrica.org/2026-ascon-awards/</t>
        </is>
      </c>
      <c r="G22" s="37" t="inlineStr">
        <is>
          <t>Apply fix based on issue type and re-run audit.</t>
        </is>
      </c>
      <c r="H22" s="37" t="inlineStr">
        <is>
          <t>Template/technical implementation quality issue.</t>
        </is>
      </c>
      <c r="I22" s="37" t="inlineStr">
        <is>
          <t>Server/Host</t>
        </is>
      </c>
      <c r="J22" s="37" t="inlineStr">
        <is>
          <t>Server/Host</t>
        </is>
      </c>
      <c r="K22" s="37" t="inlineStr">
        <is>
          <t>S</t>
        </is>
      </c>
      <c r="L22" s="37" t="n">
        <v>4</v>
      </c>
      <c r="M22" s="58" t="n">
        <v>2</v>
      </c>
      <c r="N22" s="42" t="inlineStr">
        <is>
          <t>Backlog</t>
        </is>
      </c>
      <c r="O22" s="37" t="inlineStr">
        <is>
          <t>In Review</t>
        </is>
      </c>
      <c r="P22" s="37" t="inlineStr">
        <is>
          <t>No</t>
        </is>
      </c>
      <c r="Q22" s="37">
        <f>IFERROR(HYPERLINK("#Main!A"&amp;MATCH("https://asconafrica.org/2026-ascon-awards/",Main!A:A,0),"Jump to Main"),HYPERLINK("#Main!A1","Open Main"))</f>
        <v/>
      </c>
      <c r="R22" s="37" t="inlineStr"/>
      <c r="S22" s="37" t="inlineStr">
        <is>
          <t>SEO</t>
        </is>
      </c>
      <c r="T22">
        <f>IFERROR(HYPERLINK("#Main!A"&amp;MATCH(F22,Main!A:A,0),"View URL Details"),HYPERLINK("#Main!A1","View URL Details"))</f>
        <v/>
      </c>
      <c r="U22">
        <f>IFERROR(HYPERLINK("#Main!A"&amp;MATCH(F22,Main!A:A,0),"Open"),HYPERLINK("#Main!A1","Open"))</f>
        <v/>
      </c>
    </row>
    <row r="23" ht="120" customHeight="1">
      <c r="A23" s="4" t="inlineStr">
        <is>
          <t>No ETag Header</t>
        </is>
      </c>
      <c r="B23" s="42" t="inlineStr">
        <is>
          <t>Info</t>
        </is>
      </c>
      <c r="C23" s="59" t="n">
        <v>37</v>
      </c>
      <c r="D23" s="7" t="n">
        <v>15</v>
      </c>
      <c r="E23" s="43" t="inlineStr">
        <is>
          <t>https://asconafrica.org/2026-ascon-awards/
https://asconafrica.org/
https://asconafrica.org/news/
https://asconafrica.org/our-members/
https://asconafrica.org/2026-ascon-conference/
https://asconafrica.org/about-us/
https://asconafrica.org/privacy-policy/
https://asconafrica.org/2026-ascon-conference/thank-you-for-signing-up/
https://asconafrica.org/thank-you-for-signing-up-for-updates/
https://asconafrica.org/launch-event-2026-ascon-conference/thank-you-for-registering-conference-launch/
https://asconafrica.org/launch-event-2026-ascon-conference/
https://asconafrica.org/2026-ascon-awards/thank-you-for-your-nomination/
https://asconafrica.org/unsubscribe-form/
https://asconafrica.org/unsubscribe-form/successfully-unsubscribed/
https://asconafrica.org/contact-us/</t>
        </is>
      </c>
      <c r="F23" s="46" t="inlineStr">
        <is>
          <t>https://asconafrica.org/2026-ascon-awards/</t>
        </is>
      </c>
      <c r="G23" s="6" t="inlineStr">
        <is>
          <t>Apply fix based on issue type and re-run audit.</t>
        </is>
      </c>
      <c r="H23" s="6" t="inlineStr">
        <is>
          <t>Template/technical implementation quality issue.</t>
        </is>
      </c>
      <c r="I23" s="6" t="inlineStr">
        <is>
          <t>Server/Host</t>
        </is>
      </c>
      <c r="J23" s="6" t="inlineStr">
        <is>
          <t>Server/Host</t>
        </is>
      </c>
      <c r="K23" s="6" t="inlineStr">
        <is>
          <t>S</t>
        </is>
      </c>
      <c r="L23" s="6" t="n">
        <v>4</v>
      </c>
      <c r="M23" s="58" t="n">
        <v>2</v>
      </c>
      <c r="N23" s="42" t="inlineStr">
        <is>
          <t>Backlog</t>
        </is>
      </c>
      <c r="O23" s="6" t="inlineStr">
        <is>
          <t>In Review</t>
        </is>
      </c>
      <c r="P23" s="6" t="inlineStr">
        <is>
          <t>No</t>
        </is>
      </c>
      <c r="Q23" s="6">
        <f>IFERROR(HYPERLINK("#Main!A"&amp;MATCH("https://asconafrica.org/2026-ascon-awards/",Main!A:A,0),"Jump to Main"),HYPERLINK("#Main!A1","Open Main"))</f>
        <v/>
      </c>
      <c r="R23" s="6" t="inlineStr"/>
      <c r="S23" s="6" t="inlineStr">
        <is>
          <t>SEO</t>
        </is>
      </c>
      <c r="T23">
        <f>IFERROR(HYPERLINK("#Main!A"&amp;MATCH(F23,Main!A:A,0),"View URL Details"),HYPERLINK("#Main!A1","View URL Details"))</f>
        <v/>
      </c>
      <c r="U23">
        <f>IFERROR(HYPERLINK("#Main!A"&amp;MATCH(F23,Main!A:A,0),"Open"),HYPERLINK("#Main!A1","Open"))</f>
        <v/>
      </c>
    </row>
    <row r="24" ht="120" customHeight="1">
      <c r="A24" s="4" t="inlineStr">
        <is>
          <t>No FAQ/QA Schema</t>
        </is>
      </c>
      <c r="B24" s="42" t="inlineStr">
        <is>
          <t>Info</t>
        </is>
      </c>
      <c r="C24" s="59" t="n">
        <v>37</v>
      </c>
      <c r="D24" s="56" t="n">
        <v>15</v>
      </c>
      <c r="E24" s="40" t="inlineStr">
        <is>
          <t>https://asconafrica.org/2026-ascon-awards/
https://asconafrica.org/
https://asconafrica.org/news/
https://asconafrica.org/our-members/
https://asconafrica.org/2026-ascon-conference/
https://asconafrica.org/about-us/
https://asconafrica.org/privacy-policy/
https://asconafrica.org/2026-ascon-conference/thank-you-for-signing-up/
https://asconafrica.org/thank-you-for-signing-up-for-updates/
https://asconafrica.org/launch-event-2026-ascon-conference/thank-you-for-registering-conference-launch/
https://asconafrica.org/launch-event-2026-ascon-conference/
https://asconafrica.org/2026-ascon-awards/thank-you-for-your-nomination/
https://asconafrica.org/unsubscribe-form/
https://asconafrica.org/unsubscribe-form/successfully-unsubscribed/
https://asconafrica.org/contact-us/</t>
        </is>
      </c>
      <c r="F24" s="46" t="inlineStr">
        <is>
          <t>https://asconafrica.org/2026-ascon-awards/</t>
        </is>
      </c>
      <c r="G24" s="37" t="inlineStr">
        <is>
          <t>Add valid FAQPage or QAPage JSON-LD where appropriate and ensure on-page parity.</t>
        </is>
      </c>
      <c r="H24" s="37" t="inlineStr">
        <is>
          <t>No FAQPage/QAPage schema found for likely Q&amp;A style content.</t>
        </is>
      </c>
      <c r="I24" s="37" t="inlineStr">
        <is>
          <t>Dev</t>
        </is>
      </c>
      <c r="J24" s="37" t="inlineStr">
        <is>
          <t>Dev</t>
        </is>
      </c>
      <c r="K24" s="37" t="inlineStr">
        <is>
          <t>S</t>
        </is>
      </c>
      <c r="L24" s="37" t="n">
        <v>4</v>
      </c>
      <c r="M24" s="58" t="n">
        <v>2</v>
      </c>
      <c r="N24" s="42" t="inlineStr">
        <is>
          <t>Backlog</t>
        </is>
      </c>
      <c r="O24" s="37" t="inlineStr">
        <is>
          <t>In Review</t>
        </is>
      </c>
      <c r="P24" s="37" t="inlineStr">
        <is>
          <t>No</t>
        </is>
      </c>
      <c r="Q24" s="37">
        <f>IFERROR(HYPERLINK("#Main!A"&amp;MATCH("https://asconafrica.org/2026-ascon-awards/",Main!A:A,0),"Jump to Main"),HYPERLINK("#Main!A1","Open Main"))</f>
        <v/>
      </c>
      <c r="R24" s="37" t="inlineStr"/>
      <c r="S24" s="37" t="inlineStr">
        <is>
          <t>AEO</t>
        </is>
      </c>
      <c r="T24">
        <f>IFERROR(HYPERLINK("#Main!A"&amp;MATCH(F24,Main!A:A,0),"View URL Details"),HYPERLINK("#Main!A1","View URL Details"))</f>
        <v/>
      </c>
      <c r="U24">
        <f>IFERROR(HYPERLINK("#Main!A"&amp;MATCH(F24,Main!A:A,0),"Open"),HYPERLINK("#Main!A1","Open"))</f>
        <v/>
      </c>
    </row>
    <row r="25" ht="120" customHeight="1">
      <c r="A25" s="4" t="inlineStr">
        <is>
          <t>No Answer-Friendly Structure</t>
        </is>
      </c>
      <c r="B25" s="42" t="inlineStr">
        <is>
          <t>Info</t>
        </is>
      </c>
      <c r="C25" s="59" t="n">
        <v>37</v>
      </c>
      <c r="D25" s="7" t="n">
        <v>15</v>
      </c>
      <c r="E25" s="43" t="inlineStr">
        <is>
          <t>https://asconafrica.org/2026-ascon-awards/
https://asconafrica.org/
https://asconafrica.org/news/
https://asconafrica.org/our-members/
https://asconafrica.org/2026-ascon-conference/
https://asconafrica.org/about-us/
https://asconafrica.org/privacy-policy/
https://asconafrica.org/2026-ascon-conference/thank-you-for-signing-up/
https://asconafrica.org/thank-you-for-signing-up-for-updates/
https://asconafrica.org/launch-event-2026-ascon-conference/thank-you-for-registering-conference-launch/
https://asconafrica.org/launch-event-2026-ascon-conference/
https://asconafrica.org/2026-ascon-awards/thank-you-for-your-nomination/
https://asconafrica.org/unsubscribe-form/
https://asconafrica.org/unsubscribe-form/successfully-unsubscribed/
https://asconafrica.org/contact-us/</t>
        </is>
      </c>
      <c r="F25" s="46" t="inlineStr">
        <is>
          <t>https://asconafrica.org/2026-ascon-awards/</t>
        </is>
      </c>
      <c r="G25" s="6" t="inlineStr">
        <is>
          <t>Introduce structured bullets, ordered steps, or tables for key answers.</t>
        </is>
      </c>
      <c r="H25" s="6" t="inlineStr">
        <is>
          <t>Page lacks lists/tables that help concise answer extraction.</t>
        </is>
      </c>
      <c r="I25" s="6" t="inlineStr">
        <is>
          <t>Copy Writer</t>
        </is>
      </c>
      <c r="J25" s="6" t="inlineStr">
        <is>
          <t>Copy Writer</t>
        </is>
      </c>
      <c r="K25" s="6" t="inlineStr">
        <is>
          <t>S</t>
        </is>
      </c>
      <c r="L25" s="6" t="n">
        <v>4</v>
      </c>
      <c r="M25" s="58" t="n">
        <v>2</v>
      </c>
      <c r="N25" s="42" t="inlineStr">
        <is>
          <t>Backlog</t>
        </is>
      </c>
      <c r="O25" s="6" t="inlineStr">
        <is>
          <t>In Review</t>
        </is>
      </c>
      <c r="P25" s="6" t="inlineStr">
        <is>
          <t>No</t>
        </is>
      </c>
      <c r="Q25" s="6">
        <f>IFERROR(HYPERLINK("#Main!A"&amp;MATCH("https://asconafrica.org/2026-ascon-awards/",Main!A:A,0),"Jump to Main"),HYPERLINK("#Main!A1","Open Main"))</f>
        <v/>
      </c>
      <c r="R25" s="6" t="inlineStr"/>
      <c r="S25" s="6" t="inlineStr">
        <is>
          <t>AEO</t>
        </is>
      </c>
      <c r="T25">
        <f>IFERROR(HYPERLINK("#Main!A"&amp;MATCH(F25,Main!A:A,0),"View URL Details"),HYPERLINK("#Main!A1","View URL Details"))</f>
        <v/>
      </c>
      <c r="U25">
        <f>IFERROR(HYPERLINK("#Main!A"&amp;MATCH(F25,Main!A:A,0),"Open"),HYPERLINK("#Main!A1","Open"))</f>
        <v/>
      </c>
    </row>
    <row r="26" ht="120" customHeight="1">
      <c r="A26" s="4" t="inlineStr">
        <is>
          <t>No Question Headings</t>
        </is>
      </c>
      <c r="B26" s="42" t="inlineStr">
        <is>
          <t>Info</t>
        </is>
      </c>
      <c r="C26" s="59" t="n">
        <v>37</v>
      </c>
      <c r="D26" s="56" t="n">
        <v>14</v>
      </c>
      <c r="E26" s="40" t="inlineStr">
        <is>
          <t>https://asconafrica.org/2026-ascon-awards/
https://asconafrica.org/
https://asconafrica.org/news/
https://asconafrica.org/our-members/
https://asconafrica.org/2026-ascon-conference/
https://asconafrica.org/about-us/
https://asconafrica.org/2026-ascon-conference/thank-you-for-signing-up/
https://asconafrica.org/thank-you-for-signing-up-for-updates/
https://asconafrica.org/launch-event-2026-ascon-conference/thank-you-for-registering-conference-launch/
https://asconafrica.org/launch-event-2026-ascon-conference/
https://asconafrica.org/2026-ascon-awards/thank-you-for-your-nomination/
https://asconafrica.org/unsubscribe-form/
https://asconafrica.org/unsubscribe-form/successfully-unsubscribed/
https://asconafrica.org/contact-us/</t>
        </is>
      </c>
      <c r="F26" s="46" t="inlineStr">
        <is>
          <t>https://asconafrica.org/2026-ascon-awards/</t>
        </is>
      </c>
      <c r="G26" s="37" t="inlineStr">
        <is>
          <t>Add clear question-style headings (especially H2/H3) for key intents.</t>
        </is>
      </c>
      <c r="H26" s="37" t="inlineStr">
        <is>
          <t>Headings are not phrased as user questions.</t>
        </is>
      </c>
      <c r="I26" s="37" t="inlineStr">
        <is>
          <t>Copy Writer</t>
        </is>
      </c>
      <c r="J26" s="37" t="inlineStr">
        <is>
          <t>Copy Writer</t>
        </is>
      </c>
      <c r="K26" s="37" t="inlineStr">
        <is>
          <t>S</t>
        </is>
      </c>
      <c r="L26" s="37" t="n">
        <v>4</v>
      </c>
      <c r="M26" s="58" t="n">
        <v>2</v>
      </c>
      <c r="N26" s="42" t="inlineStr">
        <is>
          <t>Backlog</t>
        </is>
      </c>
      <c r="O26" s="37" t="inlineStr">
        <is>
          <t>In Review</t>
        </is>
      </c>
      <c r="P26" s="37" t="inlineStr">
        <is>
          <t>No</t>
        </is>
      </c>
      <c r="Q26" s="37">
        <f>IFERROR(HYPERLINK("#Main!A"&amp;MATCH("https://asconafrica.org/2026-ascon-awards/",Main!A:A,0),"Jump to Main"),HYPERLINK("#Main!A1","Open Main"))</f>
        <v/>
      </c>
      <c r="R26" s="37" t="inlineStr"/>
      <c r="S26" s="37" t="inlineStr">
        <is>
          <t>AEO</t>
        </is>
      </c>
      <c r="T26">
        <f>IFERROR(HYPERLINK("#Main!A"&amp;MATCH(F26,Main!A:A,0),"View URL Details"),HYPERLINK("#Main!A1","View URL Details"))</f>
        <v/>
      </c>
      <c r="U26">
        <f>IFERROR(HYPERLINK("#Main!A"&amp;MATCH(F26,Main!A:A,0),"Open"),HYPERLINK("#Main!A1","Open"))</f>
        <v/>
      </c>
    </row>
    <row r="27" ht="120" customHeight="1">
      <c r="A27" s="4" t="inlineStr">
        <is>
          <t>No 40-60 Word Answer Paragraphs</t>
        </is>
      </c>
      <c r="B27" s="42" t="inlineStr">
        <is>
          <t>Info</t>
        </is>
      </c>
      <c r="C27" s="59" t="n">
        <v>37</v>
      </c>
      <c r="D27" s="7" t="n">
        <v>14</v>
      </c>
      <c r="E27" s="43" t="inlineStr">
        <is>
          <t>https://asconafrica.org/2026-ascon-awards/
https://asconafrica.org/
https://asconafrica.org/news/
https://asconafrica.org/our-members/
https://asconafrica.org/2026-ascon-conference/
https://asconafrica.org/about-us/
https://asconafrica.org/2026-ascon-conference/thank-you-for-signing-up/
https://asconafrica.org/thank-you-for-signing-up-for-updates/
https://asconafrica.org/launch-event-2026-ascon-conference/thank-you-for-registering-conference-launch/
https://asconafrica.org/launch-event-2026-ascon-conference/
https://asconafrica.org/2026-ascon-awards/thank-you-for-your-nomination/
https://asconafrica.org/unsubscribe-form/
https://asconafrica.org/unsubscribe-form/successfully-unsubscribed/
https://asconafrica.org/contact-us/</t>
        </is>
      </c>
      <c r="F27" s="46" t="inlineStr">
        <is>
          <t>https://asconafrica.org/2026-ascon-awards/</t>
        </is>
      </c>
      <c r="G27" s="6" t="inlineStr">
        <is>
          <t>Add a direct 40-60 word answer summary near question headings.</t>
        </is>
      </c>
      <c r="H27" s="6" t="inlineStr">
        <is>
          <t>No concise answer-length paragraph detected.</t>
        </is>
      </c>
      <c r="I27" s="6" t="inlineStr">
        <is>
          <t>Copy Writer</t>
        </is>
      </c>
      <c r="J27" s="6" t="inlineStr">
        <is>
          <t>Copy Writer</t>
        </is>
      </c>
      <c r="K27" s="6" t="inlineStr">
        <is>
          <t>S</t>
        </is>
      </c>
      <c r="L27" s="6" t="n">
        <v>4</v>
      </c>
      <c r="M27" s="58" t="n">
        <v>2</v>
      </c>
      <c r="N27" s="42" t="inlineStr">
        <is>
          <t>Backlog</t>
        </is>
      </c>
      <c r="O27" s="6" t="inlineStr">
        <is>
          <t>In Review</t>
        </is>
      </c>
      <c r="P27" s="6" t="inlineStr">
        <is>
          <t>No</t>
        </is>
      </c>
      <c r="Q27" s="6">
        <f>IFERROR(HYPERLINK("#Main!A"&amp;MATCH("https://asconafrica.org/2026-ascon-awards/",Main!A:A,0),"Jump to Main"),HYPERLINK("#Main!A1","Open Main"))</f>
        <v/>
      </c>
      <c r="R27" s="6" t="inlineStr"/>
      <c r="S27" s="6" t="inlineStr">
        <is>
          <t>AEO</t>
        </is>
      </c>
      <c r="T27">
        <f>IFERROR(HYPERLINK("#Main!A"&amp;MATCH(F27,Main!A:A,0),"View URL Details"),HYPERLINK("#Main!A1","View URL Details"))</f>
        <v/>
      </c>
      <c r="U27">
        <f>IFERROR(HYPERLINK("#Main!A"&amp;MATCH(F27,Main!A:A,0),"Open"),HYPERLINK("#Main!A1","Open"))</f>
        <v/>
      </c>
    </row>
  </sheetData>
  <autoFilter ref="A1:S27"/>
  <conditionalFormatting sqref="C2:C27">
    <cfRule type="cellIs" priority="1" operator="greaterThanOrEqual" dxfId="6">
      <formula>85</formula>
    </cfRule>
    <cfRule type="cellIs" priority="2" operator="between" dxfId="7">
      <formula>65</formula>
      <formula>84</formula>
    </cfRule>
  </conditionalFormatting>
  <conditionalFormatting sqref="P2:P27">
    <cfRule type="expression" priority="3" dxfId="2" stopIfTrue="1">
      <formula>LOWER(P2)="yes"</formula>
    </cfRule>
    <cfRule type="expression" priority="4" dxfId="0" stopIfTrue="1">
      <formula>LOWER(P2)="no"</formula>
    </cfRule>
  </conditionalFormatting>
  <conditionalFormatting sqref="O2:O27">
    <cfRule type="expression" priority="5" dxfId="4" stopIfTrue="1">
      <formula>LOWER(O2)="done"</formula>
    </cfRule>
    <cfRule type="expression" priority="6" dxfId="5" stopIfTrue="1">
      <formula>OR(LOWER(O2)="to do",LOWER(O2)="in progress",LOWER(O2)="in review")</formula>
    </cfRule>
  </conditionalFormatting>
  <dataValidations count="26">
    <dataValidation sqref="O2:O27" showDropDown="0" showInputMessage="0" showErrorMessage="0" allowBlank="1" type="list">
      <formula1>"To Do,In Progress,Fixed"</formula1>
    </dataValidation>
    <dataValidation sqref="J2:J27" showDropDown="0" showInputMessage="0" showErrorMessage="0" allowBlank="1" type="list">
      <formula1>"Copy Writer,Dev,Server/Host"</formula1>
    </dataValidation>
    <dataValidation sqref="A1" showDropDown="0" showInputMessage="1" showErrorMessage="0" allowBlank="1" promptTitle="Issue Type" prompt="Issue Type. Review this metric to identify risk, then use linked tabs for details and remediation." type="custom">
      <formula1>TRUE</formula1>
    </dataValidation>
    <dataValidation sqref="B1" showDropDown="0" showInputMessage="1" showErrorMessage="0" allowBlank="1" promptTitle="Severity" prompt="Issue impact level. Fix: Resolve Critical first, then Warning, then improvement opportunities." type="custom">
      <formula1>TRUE</formula1>
    </dataValidation>
    <dataValidation sqref="C1" showDropDown="0" showInputMessage="1" showErrorMessage="0" allowBlank="1" promptTitle="Priority Score" prompt="Execution priority score combining impact and effort. Fix: Start from highest scores." type="custom">
      <formula1>TRUE</formula1>
    </dataValidation>
    <dataValidation sqref="D1" showDropDown="0" showInputMessage="1" showErrorMessage="0" allowBlank="1" promptTitle="Affected Count" prompt="How many URLs are impacted by this issue. Larger counts usually indicate template-level or systemic problems." type="custom">
      <formula1>TRUE</formula1>
    </dataValidation>
    <dataValidation sqref="E1" showDropDown="0" showInputMessage="1" showErrorMessage="0" allowBlank="1" promptTitle="Affected URLs" prompt="Affected URLs. Use this URL to inspect the page directly or jump to related tabs." type="custom">
      <formula1>TRUE</formula1>
    </dataValidation>
    <dataValidation sqref="F1" showDropDown="0" showInputMessage="1" showErrorMessage="0" allowBlank="1" promptTitle="URL" prompt="URL. Use this URL to inspect the page directly or jump to related tabs." type="custom">
      <formula1>TRUE</formula1>
    </dataValidation>
    <dataValidation sqref="G1" showDropDown="0" showInputMessage="1" showErrorMessage="0" allowBlank="1" promptTitle="Recommended Fix" prompt="Recommended Fix. Review this metric to identify risk, then use linked tabs for details and remediation." type="custom">
      <formula1>TRUE</formula1>
    </dataValidation>
    <dataValidation sqref="H1" showDropDown="0" showInputMessage="1" showErrorMessage="0" allowBlank="1" promptTitle="Likely Root Cause" prompt="Likely Root Cause.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Agency Owner" prompt="Workflow management field for planning and tracking remediation progress." type="custom">
      <formula1>TRUE</formula1>
    </dataValidation>
    <dataValidation sqref="K1" showDropDown="0" showInputMessage="1" showErrorMessage="0" allowBlank="1" promptTitle="Effort" prompt="Effort. Review this metric to identify risk, then use linked tabs for details and remediation." type="custom">
      <formula1>TRUE</formula1>
    </dataValidation>
    <dataValidation sqref="L1" showDropDown="0" showInputMessage="1" showErrorMessage="0" allowBlank="1" promptTitle="Est. Hours" prompt="Est. Hours. Review this metric to identify risk, then use linked tabs for details and remediation." type="custom">
      <formula1>TRUE</formula1>
    </dataValidation>
    <dataValidation sqref="M1" showDropDown="0" showInputMessage="1" showErrorMessage="0" allowBlank="1" promptTitle="Est. Sprint Points" prompt="Workflow management field for planning and tracking remediation progress." type="custom">
      <formula1>TRUE</formula1>
    </dataValidation>
    <dataValidation sqref="N1" showDropDown="0" showInputMessage="1" showErrorMessage="0" allowBlank="1" promptTitle="Aging/Priority" prompt="Aging/Priority. Review this metric to identify risk, then use linked tabs for details and remediation." type="custom">
      <formula1>TRUE</formula1>
    </dataValidation>
    <dataValidation sqref="O1" showDropDown="0" showInputMessage="1" showErrorMessage="0" allowBlank="1" promptTitle="Status" prompt="Workflow management field for planning and tracking remediation progress." type="custom">
      <formula1>TRUE</formula1>
    </dataValidation>
    <dataValidation sqref="P1" showDropDown="0" showInputMessage="1" showErrorMessage="0" allowBlank="1" promptTitle="Action Needed" prompt="Action Needed. Review this metric to identify risk, then use linked tabs for details and remediation." type="custom">
      <formula1>TRUE</formula1>
    </dataValidation>
    <dataValidation sqref="Q1" showDropDown="0" showInputMessage="1" showErrorMessage="0" allowBlank="1" promptTitle="Jump to Details" prompt="Jump to Details. Review this metric to identify risk, then use linked tabs for details and remediation." type="custom">
      <formula1>TRUE</formula1>
    </dataValidation>
    <dataValidation sqref="R1" showDropDown="0" showInputMessage="1" showErrorMessage="0" allowBlank="1" promptTitle="Sprint" prompt="Workflow management field for planning and tracking remediation progress." type="custom">
      <formula1>TRUE</formula1>
    </dataValidation>
    <dataValidation sqref="S1" showDropDown="0" showInputMessage="1" showErrorMessage="0" allowBlank="1" promptTitle="Category" prompt="Category. Review this metric to identify risk, then use linked tabs for details and remediation." type="custom">
      <formula1>TRUE</formula1>
    </dataValidation>
    <dataValidation sqref="T1" showDropDown="0" showInputMessage="1" showErrorMessage="0" allowBlank="1" promptTitle="View Details" prompt="Navigation helper. Click to jump directly to the related record in another tab." type="custom">
      <formula1>TRUE</formula1>
    </dataValidation>
    <dataValidation sqref="U1" showDropDown="0" showInputMessage="1" showErrorMessage="0" allowBlank="1" promptTitle="Open in Main" prompt="Navigation helper. Click to jump directly to the related record in another tab." type="custom">
      <formula1>TRUE</formula1>
    </dataValidation>
    <dataValidation sqref="V1" showDropDown="0" showInputMessage="1" showErrorMessage="0" allowBlank="1" promptTitle="BACK TO DASHBOARD" prompt="BACK TO DASHBOARD. Review this metric to identify risk, then use linked tabs for details and remediation." type="custom">
      <formula1>TRUE</formula1>
    </dataValidation>
    <dataValidation sqref="C1" showDropDown="0" showInputMessage="1" showErrorMessage="0" allowBlank="1" promptTitle="Priority Score" prompt="Issue priority score for execution order. Fix: Start with the highest values to reduce risk fastest." type="custom">
      <formula1>TRUE</formula1>
    </dataValidation>
    <dataValidation sqref="B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V1" r:id="rId1"/>
    <hyperlink xmlns:r="http://schemas.openxmlformats.org/officeDocument/2006/relationships" ref="F15" r:id="rId2"/>
    <hyperlink xmlns:r="http://schemas.openxmlformats.org/officeDocument/2006/relationships" ref="F16" r:id="rId3"/>
    <hyperlink xmlns:r="http://schemas.openxmlformats.org/officeDocument/2006/relationships" ref="F17" r:id="rId4"/>
    <hyperlink xmlns:r="http://schemas.openxmlformats.org/officeDocument/2006/relationships" ref="F21" r:id="rId5"/>
    <hyperlink xmlns:r="http://schemas.openxmlformats.org/officeDocument/2006/relationships" ref="F22" r:id="rId6"/>
    <hyperlink xmlns:r="http://schemas.openxmlformats.org/officeDocument/2006/relationships" ref="F23" r:id="rId7"/>
    <hyperlink xmlns:r="http://schemas.openxmlformats.org/officeDocument/2006/relationships" ref="F24" r:id="rId8"/>
    <hyperlink xmlns:r="http://schemas.openxmlformats.org/officeDocument/2006/relationships" ref="F25" r:id="rId9"/>
    <hyperlink xmlns:r="http://schemas.openxmlformats.org/officeDocument/2006/relationships" ref="F26" r:id="rId10"/>
    <hyperlink xmlns:r="http://schemas.openxmlformats.org/officeDocument/2006/relationships" ref="F27" r:id="rId1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6" customWidth="1" min="3" max="3"/>
    <col width="18" customWidth="1" min="4" max="4"/>
    <col width="23" customWidth="1" min="5" max="5"/>
    <col width="22" customWidth="1" min="6" max="6"/>
    <col width="15" customWidth="1" min="7" max="7"/>
    <col width="17" customWidth="1" min="8" max="8"/>
    <col width="13" customWidth="1" min="9" max="9"/>
    <col width="8" customWidth="1" min="10" max="10"/>
    <col width="8" customWidth="1" min="11" max="11"/>
    <col width="21" customWidth="1" min="12" max="12"/>
    <col width="29" customWidth="1" min="13" max="13"/>
    <col width="16" customWidth="1" min="14" max="14"/>
  </cols>
  <sheetData>
    <row r="1">
      <c r="A1" s="1" t="inlineStr">
        <is>
          <t>URL</t>
        </is>
      </c>
      <c r="B1" s="1" t="inlineStr">
        <is>
          <t>Business Risk Score</t>
        </is>
      </c>
      <c r="C1" s="1" t="inlineStr">
        <is>
          <t>Severity Badge</t>
        </is>
      </c>
      <c r="D1" s="1" t="inlineStr">
        <is>
          <t>SEO Health Score</t>
        </is>
      </c>
      <c r="E1" s="1" t="inlineStr">
        <is>
          <t>Critical Issues Count</t>
        </is>
      </c>
      <c r="F1" s="1" t="inlineStr">
        <is>
          <t>Warning Issues Count</t>
        </is>
      </c>
      <c r="G1" s="1" t="inlineStr">
        <is>
          <t>Action Needed</t>
        </is>
      </c>
      <c r="H1" s="1" t="inlineStr">
        <is>
          <t>Why Prioritized</t>
        </is>
      </c>
      <c r="I1" s="1" t="inlineStr">
        <is>
          <t>Owner</t>
        </is>
      </c>
      <c r="J1" s="1" t="inlineStr">
        <is>
          <t>Status</t>
        </is>
      </c>
      <c r="K1" s="1" t="inlineStr">
        <is>
          <t>Sprint</t>
        </is>
      </c>
      <c r="L1" s="1" t="inlineStr">
        <is>
          <t>Indexability Reason</t>
        </is>
      </c>
      <c r="M1" s="1" t="inlineStr">
        <is>
          <t>Broken Internal Links Count</t>
        </is>
      </c>
      <c r="N1" s="1" t="inlineStr">
        <is>
          <t>Canonical Type</t>
        </is>
      </c>
      <c r="O1" t="inlineStr">
        <is>
          <t>Open in Main</t>
        </is>
      </c>
      <c r="P1" t="inlineStr">
        <is>
          <t>Open in Technical</t>
        </is>
      </c>
      <c r="Q1" s="36" t="inlineStr">
        <is>
          <t>BACK TO DASHBOARD</t>
        </is>
      </c>
    </row>
    <row r="2">
      <c r="A2" s="46" t="inlineStr">
        <is>
          <t>https://asconafrica.org/unsubscribe-form/</t>
        </is>
      </c>
      <c r="B2" s="37" t="n">
        <v>81</v>
      </c>
      <c r="C2" s="38" t="inlineStr">
        <is>
          <t>Warning</t>
        </is>
      </c>
      <c r="D2" s="47" t="n">
        <v>49</v>
      </c>
      <c r="E2" s="37" t="n">
        <v>0</v>
      </c>
      <c r="F2" s="37" t="n">
        <v>3</v>
      </c>
      <c r="G2" s="37" t="inlineStr">
        <is>
          <t>Yes</t>
        </is>
      </c>
      <c r="H2" s="37" t="inlineStr">
        <is>
          <t>Monitor</t>
        </is>
      </c>
      <c r="I2" s="37" t="inlineStr">
        <is>
          <t>Copy Writer</t>
        </is>
      </c>
      <c r="J2" s="45" t="inlineStr">
        <is>
          <t>Open</t>
        </is>
      </c>
      <c r="K2" s="37" t="inlineStr"/>
      <c r="L2" s="4" t="inlineStr">
        <is>
          <t>Indexable</t>
        </is>
      </c>
      <c r="M2" s="4" t="n">
        <v>0</v>
      </c>
      <c r="N2" s="37" t="inlineStr"/>
      <c r="O2">
        <f>IFERROR(HYPERLINK("#Main!A"&amp;MATCH(A2,Main!A:A,0),"Open"),HYPERLINK("#Main!A1","Open"))</f>
        <v/>
      </c>
      <c r="P2">
        <f>IFERROR(HYPERLINK("#Technical!A"&amp;MATCH(A2,Technical!A:A,0),"Open"),HYPERLINK("#Technical!A1","Open"))</f>
        <v/>
      </c>
    </row>
    <row r="3" ht="30" customHeight="1">
      <c r="A3" s="46" t="inlineStr">
        <is>
          <t>https://asconafrica.org/unsubscribe-form/successfully-unsubscribed/</t>
        </is>
      </c>
      <c r="B3" s="6" t="n">
        <v>81</v>
      </c>
      <c r="C3" s="38" t="inlineStr">
        <is>
          <t>Warning</t>
        </is>
      </c>
      <c r="D3" s="47" t="n">
        <v>49</v>
      </c>
      <c r="E3" s="6" t="n">
        <v>0</v>
      </c>
      <c r="F3" s="6" t="n">
        <v>3</v>
      </c>
      <c r="G3" s="6" t="inlineStr">
        <is>
          <t>Yes</t>
        </is>
      </c>
      <c r="H3" s="6" t="inlineStr">
        <is>
          <t>Monitor</t>
        </is>
      </c>
      <c r="I3" s="6" t="inlineStr">
        <is>
          <t>Copy Writer</t>
        </is>
      </c>
      <c r="J3" s="45" t="inlineStr">
        <is>
          <t>Open</t>
        </is>
      </c>
      <c r="K3" s="6" t="inlineStr"/>
      <c r="L3" s="4" t="inlineStr">
        <is>
          <t>Indexable</t>
        </is>
      </c>
      <c r="M3" s="4" t="n">
        <v>0</v>
      </c>
      <c r="N3" s="6" t="inlineStr"/>
      <c r="O3">
        <f>IFERROR(HYPERLINK("#Main!A"&amp;MATCH(A3,Main!A:A,0),"Open"),HYPERLINK("#Main!A1","Open"))</f>
        <v/>
      </c>
      <c r="P3">
        <f>IFERROR(HYPERLINK("#Technical!A"&amp;MATCH(A3,Technical!A:A,0),"Open"),HYPERLINK("#Technical!A1","Open"))</f>
        <v/>
      </c>
    </row>
    <row r="4">
      <c r="A4" s="46" t="inlineStr">
        <is>
          <t>https://asconafrica.org/contact-us/</t>
        </is>
      </c>
      <c r="B4" s="37" t="n">
        <v>81</v>
      </c>
      <c r="C4" s="38" t="inlineStr">
        <is>
          <t>Warning</t>
        </is>
      </c>
      <c r="D4" s="47" t="n">
        <v>49</v>
      </c>
      <c r="E4" s="37" t="n">
        <v>0</v>
      </c>
      <c r="F4" s="37" t="n">
        <v>3</v>
      </c>
      <c r="G4" s="37" t="inlineStr">
        <is>
          <t>Yes</t>
        </is>
      </c>
      <c r="H4" s="37" t="inlineStr">
        <is>
          <t>Monitor</t>
        </is>
      </c>
      <c r="I4" s="37" t="inlineStr">
        <is>
          <t>Copy Writer</t>
        </is>
      </c>
      <c r="J4" s="45" t="inlineStr">
        <is>
          <t>Open</t>
        </is>
      </c>
      <c r="K4" s="37" t="inlineStr"/>
      <c r="L4" s="4" t="inlineStr">
        <is>
          <t>Indexable</t>
        </is>
      </c>
      <c r="M4" s="4" t="n">
        <v>0</v>
      </c>
      <c r="N4" s="37" t="inlineStr"/>
      <c r="O4">
        <f>IFERROR(HYPERLINK("#Main!A"&amp;MATCH(A4,Main!A:A,0),"Open"),HYPERLINK("#Main!A1","Open"))</f>
        <v/>
      </c>
      <c r="P4">
        <f>IFERROR(HYPERLINK("#Technical!A"&amp;MATCH(A4,Technical!A:A,0),"Open"),HYPERLINK("#Technical!A1","Open"))</f>
        <v/>
      </c>
    </row>
    <row r="5">
      <c r="A5" s="46" t="inlineStr">
        <is>
          <t>https://asconafrica.org/</t>
        </is>
      </c>
      <c r="B5" s="6" t="n">
        <v>61</v>
      </c>
      <c r="C5" s="38" t="inlineStr">
        <is>
          <t>Warning</t>
        </is>
      </c>
      <c r="D5" s="47" t="n">
        <v>59</v>
      </c>
      <c r="E5" s="6" t="n">
        <v>0</v>
      </c>
      <c r="F5" s="6" t="n">
        <v>2</v>
      </c>
      <c r="G5" s="6" t="inlineStr">
        <is>
          <t>Yes</t>
        </is>
      </c>
      <c r="H5" s="6" t="inlineStr">
        <is>
          <t>Monitor</t>
        </is>
      </c>
      <c r="I5" s="6" t="inlineStr">
        <is>
          <t>Copy Writer</t>
        </is>
      </c>
      <c r="J5" s="45" t="inlineStr">
        <is>
          <t>Open</t>
        </is>
      </c>
      <c r="K5" s="6" t="inlineStr"/>
      <c r="L5" s="4" t="inlineStr">
        <is>
          <t>Indexable</t>
        </is>
      </c>
      <c r="M5" s="4" t="n">
        <v>0</v>
      </c>
      <c r="N5" s="6" t="inlineStr"/>
      <c r="O5">
        <f>IFERROR(HYPERLINK("#Main!A"&amp;MATCH(A5,Main!A:A,0),"Open"),HYPERLINK("#Main!A1","Open"))</f>
        <v/>
      </c>
      <c r="P5">
        <f>IFERROR(HYPERLINK("#Technical!A"&amp;MATCH(A5,Technical!A:A,0),"Open"),HYPERLINK("#Technical!A1","Open"))</f>
        <v/>
      </c>
    </row>
    <row r="6">
      <c r="A6" s="46" t="inlineStr">
        <is>
          <t>https://asconafrica.org/news/</t>
        </is>
      </c>
      <c r="B6" s="37" t="n">
        <v>61</v>
      </c>
      <c r="C6" s="38" t="inlineStr">
        <is>
          <t>Warning</t>
        </is>
      </c>
      <c r="D6" s="47" t="n">
        <v>59</v>
      </c>
      <c r="E6" s="37" t="n">
        <v>0</v>
      </c>
      <c r="F6" s="37" t="n">
        <v>2</v>
      </c>
      <c r="G6" s="37" t="inlineStr">
        <is>
          <t>Yes</t>
        </is>
      </c>
      <c r="H6" s="37" t="inlineStr">
        <is>
          <t>Monitor</t>
        </is>
      </c>
      <c r="I6" s="37" t="inlineStr">
        <is>
          <t>Copy Writer</t>
        </is>
      </c>
      <c r="J6" s="45" t="inlineStr">
        <is>
          <t>Open</t>
        </is>
      </c>
      <c r="K6" s="37" t="inlineStr"/>
      <c r="L6" s="4" t="inlineStr">
        <is>
          <t>Indexable</t>
        </is>
      </c>
      <c r="M6" s="4" t="n">
        <v>0</v>
      </c>
      <c r="N6" s="37" t="inlineStr"/>
      <c r="O6">
        <f>IFERROR(HYPERLINK("#Main!A"&amp;MATCH(A6,Main!A:A,0),"Open"),HYPERLINK("#Main!A1","Open"))</f>
        <v/>
      </c>
      <c r="P6">
        <f>IFERROR(HYPERLINK("#Technical!A"&amp;MATCH(A6,Technical!A:A,0),"Open"),HYPERLINK("#Technical!A1","Open"))</f>
        <v/>
      </c>
    </row>
    <row r="7">
      <c r="A7" s="46" t="inlineStr">
        <is>
          <t>https://asconafrica.org/our-members/</t>
        </is>
      </c>
      <c r="B7" s="6" t="n">
        <v>61</v>
      </c>
      <c r="C7" s="38" t="inlineStr">
        <is>
          <t>Warning</t>
        </is>
      </c>
      <c r="D7" s="47" t="n">
        <v>59</v>
      </c>
      <c r="E7" s="6" t="n">
        <v>0</v>
      </c>
      <c r="F7" s="6" t="n">
        <v>2</v>
      </c>
      <c r="G7" s="6" t="inlineStr">
        <is>
          <t>Yes</t>
        </is>
      </c>
      <c r="H7" s="6" t="inlineStr">
        <is>
          <t>Monitor</t>
        </is>
      </c>
      <c r="I7" s="6" t="inlineStr">
        <is>
          <t>Copy Writer</t>
        </is>
      </c>
      <c r="J7" s="45" t="inlineStr">
        <is>
          <t>Open</t>
        </is>
      </c>
      <c r="K7" s="6" t="inlineStr"/>
      <c r="L7" s="4" t="inlineStr">
        <is>
          <t>Indexable</t>
        </is>
      </c>
      <c r="M7" s="4" t="n">
        <v>0</v>
      </c>
      <c r="N7" s="6" t="inlineStr"/>
      <c r="O7">
        <f>IFERROR(HYPERLINK("#Main!A"&amp;MATCH(A7,Main!A:A,0),"Open"),HYPERLINK("#Main!A1","Open"))</f>
        <v/>
      </c>
      <c r="P7">
        <f>IFERROR(HYPERLINK("#Technical!A"&amp;MATCH(A7,Technical!A:A,0),"Open"),HYPERLINK("#Technical!A1","Open"))</f>
        <v/>
      </c>
    </row>
    <row r="8" ht="30" customHeight="1">
      <c r="A8" s="46" t="inlineStr">
        <is>
          <t>https://asconafrica.org/2026-ascon-conference/thank-you-for-signing-up/</t>
        </is>
      </c>
      <c r="B8" s="37" t="n">
        <v>61</v>
      </c>
      <c r="C8" s="38" t="inlineStr">
        <is>
          <t>Warning</t>
        </is>
      </c>
      <c r="D8" s="47" t="n">
        <v>59</v>
      </c>
      <c r="E8" s="37" t="n">
        <v>0</v>
      </c>
      <c r="F8" s="37" t="n">
        <v>2</v>
      </c>
      <c r="G8" s="37" t="inlineStr">
        <is>
          <t>Yes</t>
        </is>
      </c>
      <c r="H8" s="37" t="inlineStr">
        <is>
          <t>Monitor</t>
        </is>
      </c>
      <c r="I8" s="37" t="inlineStr">
        <is>
          <t>Copy Writer</t>
        </is>
      </c>
      <c r="J8" s="45" t="inlineStr">
        <is>
          <t>Open</t>
        </is>
      </c>
      <c r="K8" s="37" t="inlineStr"/>
      <c r="L8" s="4" t="inlineStr">
        <is>
          <t>Indexable</t>
        </is>
      </c>
      <c r="M8" s="4" t="n">
        <v>0</v>
      </c>
      <c r="N8" s="37" t="inlineStr"/>
      <c r="O8">
        <f>IFERROR(HYPERLINK("#Main!A"&amp;MATCH(A8,Main!A:A,0),"Open"),HYPERLINK("#Main!A1","Open"))</f>
        <v/>
      </c>
      <c r="P8">
        <f>IFERROR(HYPERLINK("#Technical!A"&amp;MATCH(A8,Technical!A:A,0),"Open"),HYPERLINK("#Technical!A1","Open"))</f>
        <v/>
      </c>
    </row>
    <row r="9" ht="30" customHeight="1">
      <c r="A9" s="46" t="inlineStr">
        <is>
          <t>https://asconafrica.org/thank-you-for-signing-up-for-updates/</t>
        </is>
      </c>
      <c r="B9" s="6" t="n">
        <v>61</v>
      </c>
      <c r="C9" s="38" t="inlineStr">
        <is>
          <t>Warning</t>
        </is>
      </c>
      <c r="D9" s="47" t="n">
        <v>59</v>
      </c>
      <c r="E9" s="6" t="n">
        <v>0</v>
      </c>
      <c r="F9" s="6" t="n">
        <v>2</v>
      </c>
      <c r="G9" s="6" t="inlineStr">
        <is>
          <t>Yes</t>
        </is>
      </c>
      <c r="H9" s="6" t="inlineStr">
        <is>
          <t>Monitor</t>
        </is>
      </c>
      <c r="I9" s="6" t="inlineStr">
        <is>
          <t>Copy Writer</t>
        </is>
      </c>
      <c r="J9" s="45" t="inlineStr">
        <is>
          <t>Open</t>
        </is>
      </c>
      <c r="K9" s="6" t="inlineStr"/>
      <c r="L9" s="4" t="inlineStr">
        <is>
          <t>Indexable</t>
        </is>
      </c>
      <c r="M9" s="4" t="n">
        <v>0</v>
      </c>
      <c r="N9" s="6" t="inlineStr"/>
      <c r="O9">
        <f>IFERROR(HYPERLINK("#Main!A"&amp;MATCH(A9,Main!A:A,0),"Open"),HYPERLINK("#Main!A1","Open"))</f>
        <v/>
      </c>
      <c r="P9">
        <f>IFERROR(HYPERLINK("#Technical!A"&amp;MATCH(A9,Technical!A:A,0),"Open"),HYPERLINK("#Technical!A1","Open"))</f>
        <v/>
      </c>
    </row>
    <row r="10" ht="45" customHeight="1">
      <c r="A10" s="46" t="inlineStr">
        <is>
          <t>https://asconafrica.org/launch-event-2026-ascon-conference/thank-you-for-registering-conference-launch/</t>
        </is>
      </c>
      <c r="B10" s="37" t="n">
        <v>61</v>
      </c>
      <c r="C10" s="38" t="inlineStr">
        <is>
          <t>Warning</t>
        </is>
      </c>
      <c r="D10" s="47" t="n">
        <v>59</v>
      </c>
      <c r="E10" s="37" t="n">
        <v>0</v>
      </c>
      <c r="F10" s="37" t="n">
        <v>2</v>
      </c>
      <c r="G10" s="37" t="inlineStr">
        <is>
          <t>Yes</t>
        </is>
      </c>
      <c r="H10" s="37" t="inlineStr">
        <is>
          <t>Monitor</t>
        </is>
      </c>
      <c r="I10" s="37" t="inlineStr">
        <is>
          <t>Copy Writer</t>
        </is>
      </c>
      <c r="J10" s="45" t="inlineStr">
        <is>
          <t>Open</t>
        </is>
      </c>
      <c r="K10" s="37" t="inlineStr"/>
      <c r="L10" s="4" t="inlineStr">
        <is>
          <t>Indexable</t>
        </is>
      </c>
      <c r="M10" s="4" t="n">
        <v>0</v>
      </c>
      <c r="N10" s="37" t="inlineStr"/>
      <c r="O10">
        <f>IFERROR(HYPERLINK("#Main!A"&amp;MATCH(A10,Main!A:A,0),"Open"),HYPERLINK("#Main!A1","Open"))</f>
        <v/>
      </c>
      <c r="P10">
        <f>IFERROR(HYPERLINK("#Technical!A"&amp;MATCH(A10,Technical!A:A,0),"Open"),HYPERLINK("#Technical!A1","Open"))</f>
        <v/>
      </c>
    </row>
    <row r="11" ht="30" customHeight="1">
      <c r="A11" s="46" t="inlineStr">
        <is>
          <t>https://asconafrica.org/2026-ascon-awards/thank-you-for-your-nomination/</t>
        </is>
      </c>
      <c r="B11" s="6" t="n">
        <v>61</v>
      </c>
      <c r="C11" s="38" t="inlineStr">
        <is>
          <t>Warning</t>
        </is>
      </c>
      <c r="D11" s="47" t="n">
        <v>59</v>
      </c>
      <c r="E11" s="6" t="n">
        <v>0</v>
      </c>
      <c r="F11" s="6" t="n">
        <v>2</v>
      </c>
      <c r="G11" s="6" t="inlineStr">
        <is>
          <t>Yes</t>
        </is>
      </c>
      <c r="H11" s="6" t="inlineStr">
        <is>
          <t>Monitor</t>
        </is>
      </c>
      <c r="I11" s="6" t="inlineStr">
        <is>
          <t>Copy Writer</t>
        </is>
      </c>
      <c r="J11" s="45" t="inlineStr">
        <is>
          <t>Open</t>
        </is>
      </c>
      <c r="K11" s="6" t="inlineStr"/>
      <c r="L11" s="4" t="inlineStr">
        <is>
          <t>Indexable</t>
        </is>
      </c>
      <c r="M11" s="4" t="n">
        <v>0</v>
      </c>
      <c r="N11" s="6" t="inlineStr"/>
      <c r="O11">
        <f>IFERROR(HYPERLINK("#Main!A"&amp;MATCH(A11,Main!A:A,0),"Open"),HYPERLINK("#Main!A1","Open"))</f>
        <v/>
      </c>
      <c r="P11">
        <f>IFERROR(HYPERLINK("#Technical!A"&amp;MATCH(A11,Technical!A:A,0),"Open"),HYPERLINK("#Technical!A1","Open"))</f>
        <v/>
      </c>
    </row>
    <row r="12">
      <c r="A12" s="46" t="inlineStr">
        <is>
          <t>https://asconafrica.org/privacy-policy/</t>
        </is>
      </c>
      <c r="B12" s="37" t="n">
        <v>55</v>
      </c>
      <c r="C12" s="38" t="inlineStr">
        <is>
          <t>Warning</t>
        </is>
      </c>
      <c r="D12" s="47" t="n">
        <v>65</v>
      </c>
      <c r="E12" s="37" t="n">
        <v>0</v>
      </c>
      <c r="F12" s="37" t="n">
        <v>2</v>
      </c>
      <c r="G12" s="37" t="inlineStr">
        <is>
          <t>Yes</t>
        </is>
      </c>
      <c r="H12" s="37" t="inlineStr">
        <is>
          <t>Monitor</t>
        </is>
      </c>
      <c r="I12" s="37" t="inlineStr">
        <is>
          <t>Copy Writer</t>
        </is>
      </c>
      <c r="J12" s="45" t="inlineStr">
        <is>
          <t>Open</t>
        </is>
      </c>
      <c r="K12" s="37" t="inlineStr"/>
      <c r="L12" s="4" t="inlineStr">
        <is>
          <t>Indexable</t>
        </is>
      </c>
      <c r="M12" s="4" t="n">
        <v>0</v>
      </c>
      <c r="N12" s="37" t="inlineStr"/>
      <c r="O12">
        <f>IFERROR(HYPERLINK("#Main!A"&amp;MATCH(A12,Main!A:A,0),"Open"),HYPERLINK("#Main!A1","Open"))</f>
        <v/>
      </c>
      <c r="P12">
        <f>IFERROR(HYPERLINK("#Technical!A"&amp;MATCH(A12,Technical!A:A,0),"Open"),HYPERLINK("#Technical!A1","Open"))</f>
        <v/>
      </c>
    </row>
    <row r="13">
      <c r="A13" s="46" t="inlineStr">
        <is>
          <t>https://asconafrica.org/2026-ascon-awards/</t>
        </is>
      </c>
      <c r="B13" s="6" t="n">
        <v>41</v>
      </c>
      <c r="C13" s="38" t="inlineStr">
        <is>
          <t>Warning</t>
        </is>
      </c>
      <c r="D13" s="47" t="n">
        <v>69</v>
      </c>
      <c r="E13" s="6" t="n">
        <v>0</v>
      </c>
      <c r="F13" s="6" t="n">
        <v>1</v>
      </c>
      <c r="G13" s="6" t="inlineStr">
        <is>
          <t>Yes</t>
        </is>
      </c>
      <c r="H13" s="6" t="inlineStr">
        <is>
          <t>Monitor</t>
        </is>
      </c>
      <c r="I13" s="6" t="inlineStr">
        <is>
          <t>Copy Writer</t>
        </is>
      </c>
      <c r="J13" s="45" t="inlineStr">
        <is>
          <t>Open</t>
        </is>
      </c>
      <c r="K13" s="6" t="inlineStr"/>
      <c r="L13" s="4" t="inlineStr">
        <is>
          <t>Indexable</t>
        </is>
      </c>
      <c r="M13" s="4" t="n">
        <v>0</v>
      </c>
      <c r="N13" s="6" t="inlineStr"/>
      <c r="O13">
        <f>IFERROR(HYPERLINK("#Main!A"&amp;MATCH(A13,Main!A:A,0),"Open"),HYPERLINK("#Main!A1","Open"))</f>
        <v/>
      </c>
      <c r="P13">
        <f>IFERROR(HYPERLINK("#Technical!A"&amp;MATCH(A13,Technical!A:A,0),"Open"),HYPERLINK("#Technical!A1","Open"))</f>
        <v/>
      </c>
    </row>
    <row r="14">
      <c r="A14" s="46" t="inlineStr">
        <is>
          <t>https://asconafrica.org/2026-ascon-conference/</t>
        </is>
      </c>
      <c r="B14" s="37" t="n">
        <v>41</v>
      </c>
      <c r="C14" s="38" t="inlineStr">
        <is>
          <t>Warning</t>
        </is>
      </c>
      <c r="D14" s="47" t="n">
        <v>69</v>
      </c>
      <c r="E14" s="37" t="n">
        <v>0</v>
      </c>
      <c r="F14" s="37" t="n">
        <v>1</v>
      </c>
      <c r="G14" s="37" t="inlineStr">
        <is>
          <t>Yes</t>
        </is>
      </c>
      <c r="H14" s="37" t="inlineStr">
        <is>
          <t>Monitor</t>
        </is>
      </c>
      <c r="I14" s="37" t="inlineStr">
        <is>
          <t>Copy Writer</t>
        </is>
      </c>
      <c r="J14" s="45" t="inlineStr">
        <is>
          <t>Open</t>
        </is>
      </c>
      <c r="K14" s="37" t="inlineStr"/>
      <c r="L14" s="4" t="inlineStr">
        <is>
          <t>Indexable</t>
        </is>
      </c>
      <c r="M14" s="4" t="n">
        <v>0</v>
      </c>
      <c r="N14" s="37" t="inlineStr"/>
      <c r="O14">
        <f>IFERROR(HYPERLINK("#Main!A"&amp;MATCH(A14,Main!A:A,0),"Open"),HYPERLINK("#Main!A1","Open"))</f>
        <v/>
      </c>
      <c r="P14">
        <f>IFERROR(HYPERLINK("#Technical!A"&amp;MATCH(A14,Technical!A:A,0),"Open"),HYPERLINK("#Technical!A1","Open"))</f>
        <v/>
      </c>
    </row>
    <row r="15">
      <c r="A15" s="46" t="inlineStr">
        <is>
          <t>https://asconafrica.org/about-us/</t>
        </is>
      </c>
      <c r="B15" s="6" t="n">
        <v>41</v>
      </c>
      <c r="C15" s="38" t="inlineStr">
        <is>
          <t>Warning</t>
        </is>
      </c>
      <c r="D15" s="47" t="n">
        <v>69</v>
      </c>
      <c r="E15" s="6" t="n">
        <v>0</v>
      </c>
      <c r="F15" s="6" t="n">
        <v>1</v>
      </c>
      <c r="G15" s="6" t="inlineStr">
        <is>
          <t>Yes</t>
        </is>
      </c>
      <c r="H15" s="6" t="inlineStr">
        <is>
          <t>Monitor</t>
        </is>
      </c>
      <c r="I15" s="6" t="inlineStr">
        <is>
          <t>Copy Writer</t>
        </is>
      </c>
      <c r="J15" s="45" t="inlineStr">
        <is>
          <t>Open</t>
        </is>
      </c>
      <c r="K15" s="6" t="inlineStr"/>
      <c r="L15" s="4" t="inlineStr">
        <is>
          <t>Indexable</t>
        </is>
      </c>
      <c r="M15" s="4" t="n">
        <v>0</v>
      </c>
      <c r="N15" s="6" t="inlineStr"/>
      <c r="O15">
        <f>IFERROR(HYPERLINK("#Main!A"&amp;MATCH(A15,Main!A:A,0),"Open"),HYPERLINK("#Main!A1","Open"))</f>
        <v/>
      </c>
      <c r="P15">
        <f>IFERROR(HYPERLINK("#Technical!A"&amp;MATCH(A15,Technical!A:A,0),"Open"),HYPERLINK("#Technical!A1","Open"))</f>
        <v/>
      </c>
    </row>
    <row r="16" ht="30" customHeight="1">
      <c r="A16" s="46" t="inlineStr">
        <is>
          <t>https://asconafrica.org/launch-event-2026-ascon-conference/</t>
        </is>
      </c>
      <c r="B16" s="37" t="n">
        <v>41</v>
      </c>
      <c r="C16" s="38" t="inlineStr">
        <is>
          <t>Warning</t>
        </is>
      </c>
      <c r="D16" s="47" t="n">
        <v>69</v>
      </c>
      <c r="E16" s="37" t="n">
        <v>0</v>
      </c>
      <c r="F16" s="37" t="n">
        <v>1</v>
      </c>
      <c r="G16" s="37" t="inlineStr">
        <is>
          <t>Yes</t>
        </is>
      </c>
      <c r="H16" s="37" t="inlineStr">
        <is>
          <t>Monitor</t>
        </is>
      </c>
      <c r="I16" s="37" t="inlineStr">
        <is>
          <t>Copy Writer</t>
        </is>
      </c>
      <c r="J16" s="45" t="inlineStr">
        <is>
          <t>Open</t>
        </is>
      </c>
      <c r="K16" s="37" t="inlineStr"/>
      <c r="L16" s="4" t="inlineStr">
        <is>
          <t>Indexable</t>
        </is>
      </c>
      <c r="M16" s="4" t="n">
        <v>0</v>
      </c>
      <c r="N16" s="37" t="inlineStr"/>
      <c r="O16">
        <f>IFERROR(HYPERLINK("#Main!A"&amp;MATCH(A16,Main!A:A,0),"Open"),HYPERLINK("#Main!A1","Open"))</f>
        <v/>
      </c>
      <c r="P16">
        <f>IFERROR(HYPERLINK("#Technical!A"&amp;MATCH(A16,Technical!A:A,0),"Open"),HYPERLINK("#Technical!A1","Open"))</f>
        <v/>
      </c>
    </row>
  </sheetData>
  <autoFilter ref="A1:N16"/>
  <conditionalFormatting sqref="D2:D16">
    <cfRule type="colorScale" priority="1">
      <colorScale>
        <cfvo type="min"/>
        <cfvo type="percentile" val="50"/>
        <cfvo type="max"/>
        <color rgb="00F8696B"/>
        <color rgb="00FFEB84"/>
        <color rgb="0063BE7B"/>
      </colorScale>
    </cfRule>
  </conditionalFormatting>
  <conditionalFormatting sqref="G2:G16">
    <cfRule type="expression" priority="2" dxfId="2" stopIfTrue="1">
      <formula>LOWER(G2)="yes"</formula>
    </cfRule>
    <cfRule type="expression" priority="3" dxfId="0" stopIfTrue="1">
      <formula>LOWER(G2)="no"</formula>
    </cfRule>
  </conditionalFormatting>
  <conditionalFormatting sqref="C2:C16">
    <cfRule type="expression" priority="4" dxfId="2" stopIfTrue="1">
      <formula>LOWER(C2)="critical"</formula>
    </cfRule>
    <cfRule type="expression" priority="5" dxfId="3" stopIfTrue="1">
      <formula>LOWER(C2)="warning"</formula>
    </cfRule>
    <cfRule type="expression" priority="6" dxfId="0" stopIfTrue="1">
      <formula>LOWER(C2)="pass"</formula>
    </cfRule>
  </conditionalFormatting>
  <conditionalFormatting sqref="J2:J16">
    <cfRule type="expression" priority="7" dxfId="4" stopIfTrue="1">
      <formula>LOWER(J2)="done"</formula>
    </cfRule>
    <cfRule type="expression" priority="8" dxfId="5" stopIfTrue="1">
      <formula>OR(LOWER(J2)="to do",LOWER(J2)="in progress",LOWER(J2)="in review")</formula>
    </cfRule>
  </conditionalFormatting>
  <dataValidations count="1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Business Risk Score" prompt="Business Risk Score. Review this metric to identify risk, then use linked tabs for details and remediation." type="custom">
      <formula1>TRUE</formula1>
    </dataValidation>
    <dataValidation sqref="C1" showDropDown="0" showInputMessage="1" showErrorMessage="0" allowBlank="1" promptTitle="Severity Badge" prompt="Issue impact level. Fix: Resolve Critical first, then Warning, then improvement opportunities." type="custom">
      <formula1>TRUE</formula1>
    </dataValidation>
    <dataValidation sqref="D1" showDropDown="0" showInputMessage="1" showErrorMessage="0" allowBlank="1" promptTitle="SEO Health Score" prompt="Composite SEO quality score for this URL. Higher is better. Guide: 90+ strong, 70-89 needs tuning, below 70 high priority." type="custom">
      <formula1>TRUE</formula1>
    </dataValidation>
    <dataValidation sqref="E1" showDropDown="0" showInputMessage="1" showErrorMessage="0" allowBlank="1" promptTitle="Critical Issues Count" prompt="Critical Issues Count. Review this metric to identify risk, then use linked tabs for details and remediation." type="custom">
      <formula1>TRUE</formula1>
    </dataValidation>
    <dataValidation sqref="F1" showDropDown="0" showInputMessage="1" showErrorMessage="0" allowBlank="1" promptTitle="Warning Issues Count" prompt="Warning Issues Count. Review this metric to identify risk, then use linked tabs for details and remediation." type="custom">
      <formula1>TRUE</formula1>
    </dataValidation>
    <dataValidation sqref="G1" showDropDown="0" showInputMessage="1" showErrorMessage="0" allowBlank="1" promptTitle="Action Needed" prompt="Action Needed. Review this metric to identify risk, then use linked tabs for details and remediation." type="custom">
      <formula1>TRUE</formula1>
    </dataValidation>
    <dataValidation sqref="H1" showDropDown="0" showInputMessage="1" showErrorMessage="0" allowBlank="1" promptTitle="Why Prioritized" prompt="Why Prioritized. Review this metric to identify risk, then use linked tabs for details and remediation." type="custom">
      <formula1>TRUE</formula1>
    </dataValidation>
    <dataValidation sqref="I1" showDropDown="0" showInputMessage="1" showErrorMessage="0" allowBlank="1" promptTitle="Owner" prompt="Workflow management field for planning and tracking remediation progress." type="custom">
      <formula1>TRUE</formula1>
    </dataValidation>
    <dataValidation sqref="J1" showDropDown="0" showInputMessage="1" showErrorMessage="0" allowBlank="1" promptTitle="Status" prompt="Workflow management field for planning and tracking remediation progress." type="custom">
      <formula1>TRUE</formula1>
    </dataValidation>
    <dataValidation sqref="K1" showDropDown="0" showInputMessage="1" showErrorMessage="0" allowBlank="1" promptTitle="Sprint" prompt="Workflow management field for planning and tracking remediation progress." type="custom">
      <formula1>TRUE</formula1>
    </dataValidation>
    <dataValidation sqref="L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M1" showDropDown="0" showInputMessage="1" showErrorMessage="0" allowBlank="1" promptTitle="Broken Internal Links Count" prompt="Link quality and crawl-path metric. Fix: repair broken links and improve internal linking relevance." type="custom">
      <formula1>TRUE</formula1>
    </dataValidation>
    <dataValidation sqref="N1" showDropDown="0" showInputMessage="1" showErrorMessage="0" allowBlank="1" promptTitle="Canonical Type" prompt="Indexing/canonicalization signal. Fix: ensure indexable pages use correct canonicals and non-conflicting directives." type="custom">
      <formula1>TRUE</formula1>
    </dataValidation>
    <dataValidation sqref="O1" showDropDown="0" showInputMessage="1" showErrorMessage="0" allowBlank="1" promptTitle="Open in Main" prompt="Navigation helper. Click to jump directly to the related record in another tab." type="custom">
      <formula1>TRUE</formula1>
    </dataValidation>
    <dataValidation sqref="P1" showDropDown="0" showInputMessage="1" showErrorMessage="0" allowBlank="1" promptTitle="Open in Technical" prompt="Open in Technical. Review this metric to identify risk, then use linked tabs for details and remediation." type="custom">
      <formula1>TRUE</formula1>
    </dataValidation>
    <dataValidation sqref="Q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Q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14" customWidth="1" min="3" max="3"/>
    <col width="21" customWidth="1" min="4" max="4"/>
    <col width="15" customWidth="1" min="5" max="5"/>
    <col width="16" customWidth="1" min="6" max="6"/>
    <col width="29" customWidth="1" min="7" max="7"/>
    <col width="28" customWidth="1" min="8" max="8"/>
    <col width="17" customWidth="1" min="9" max="9"/>
    <col width="14" customWidth="1" min="10" max="10"/>
    <col width="45" customWidth="1" min="11" max="11"/>
  </cols>
  <sheetData>
    <row r="1">
      <c r="A1" s="3" t="inlineStr">
        <is>
          <t>URL</t>
        </is>
      </c>
      <c r="B1" s="3" t="inlineStr">
        <is>
          <t>Status Code</t>
        </is>
      </c>
      <c r="C1" s="3" t="inlineStr">
        <is>
          <t>Status Class</t>
        </is>
      </c>
      <c r="D1" s="3" t="inlineStr">
        <is>
          <t>Indexability Reason</t>
        </is>
      </c>
      <c r="E1" s="3" t="inlineStr">
        <is>
          <t>Canonical URL</t>
        </is>
      </c>
      <c r="F1" s="3" t="inlineStr">
        <is>
          <t>Canonical Type</t>
        </is>
      </c>
      <c r="G1" s="3" t="inlineStr">
        <is>
          <t>Canonical Matches Final URL</t>
        </is>
      </c>
      <c r="H1" s="3" t="inlineStr">
        <is>
          <t>Canonical in Sitemap Match</t>
        </is>
      </c>
      <c r="I1" s="3" t="inlineStr">
        <is>
          <t>Meta Robots Raw</t>
        </is>
      </c>
      <c r="J1" s="3" t="inlineStr">
        <is>
          <t>X-Robots-Tag</t>
        </is>
      </c>
      <c r="K1" s="3" t="inlineStr">
        <is>
          <t>Final URL</t>
        </is>
      </c>
      <c r="L1" t="inlineStr">
        <is>
          <t>Open in Main</t>
        </is>
      </c>
      <c r="M1" s="36" t="inlineStr">
        <is>
          <t>BACK TO DASHBOARD</t>
        </is>
      </c>
    </row>
    <row r="2">
      <c r="A2" s="46" t="inlineStr">
        <is>
          <t>https://asconafrica.org/2026-ascon-awards/</t>
        </is>
      </c>
      <c r="B2" s="4" t="n">
        <v>200</v>
      </c>
      <c r="C2" s="37" t="inlineStr">
        <is>
          <t>2xx</t>
        </is>
      </c>
      <c r="D2" s="4" t="inlineStr">
        <is>
          <t>Indexable</t>
        </is>
      </c>
      <c r="E2" s="40" t="inlineStr">
        <is>
          <t>Indexable</t>
        </is>
      </c>
      <c r="F2" s="37" t="n"/>
      <c r="G2" s="40" t="n"/>
      <c r="H2" s="37" t="n"/>
      <c r="I2" s="37" t="n"/>
      <c r="J2" s="37" t="n"/>
      <c r="K2" s="40" t="inlineStr">
        <is>
          <t>https://asconafrica.org/2026-ascon-awards/</t>
        </is>
      </c>
      <c r="L2">
        <f>IFERROR(HYPERLINK("#Main!A"&amp;MATCH(A2,Main!A:A,0),"Open"),HYPERLINK("#Main!A1","Open"))</f>
        <v/>
      </c>
    </row>
    <row r="3">
      <c r="A3" s="46" t="inlineStr">
        <is>
          <t>https://asconafrica.org/</t>
        </is>
      </c>
      <c r="B3" s="4" t="n">
        <v>200</v>
      </c>
      <c r="C3" s="6" t="inlineStr">
        <is>
          <t>2xx</t>
        </is>
      </c>
      <c r="D3" s="4" t="inlineStr">
        <is>
          <t>Indexable</t>
        </is>
      </c>
      <c r="E3" s="43" t="inlineStr">
        <is>
          <t>Indexable</t>
        </is>
      </c>
      <c r="F3" s="6" t="n"/>
      <c r="G3" s="43" t="n"/>
      <c r="H3" s="6" t="n"/>
      <c r="I3" s="6" t="n"/>
      <c r="J3" s="6" t="n"/>
      <c r="K3" s="43" t="inlineStr">
        <is>
          <t>https://asconafrica.org/</t>
        </is>
      </c>
      <c r="L3">
        <f>IFERROR(HYPERLINK("#Main!A"&amp;MATCH(A3,Main!A:A,0),"Open"),HYPERLINK("#Main!A1","Open"))</f>
        <v/>
      </c>
    </row>
    <row r="4">
      <c r="A4" s="46" t="inlineStr">
        <is>
          <t>https://asconafrica.org/news/</t>
        </is>
      </c>
      <c r="B4" s="4" t="n">
        <v>200</v>
      </c>
      <c r="C4" s="37" t="inlineStr">
        <is>
          <t>2xx</t>
        </is>
      </c>
      <c r="D4" s="4" t="inlineStr">
        <is>
          <t>Indexable</t>
        </is>
      </c>
      <c r="E4" s="40" t="inlineStr">
        <is>
          <t>Indexable</t>
        </is>
      </c>
      <c r="F4" s="37" t="n"/>
      <c r="G4" s="40" t="n"/>
      <c r="H4" s="37" t="n"/>
      <c r="I4" s="37" t="n"/>
      <c r="J4" s="37" t="n"/>
      <c r="K4" s="40" t="inlineStr">
        <is>
          <t>https://asconafrica.org/news/</t>
        </is>
      </c>
      <c r="L4">
        <f>IFERROR(HYPERLINK("#Main!A"&amp;MATCH(A4,Main!A:A,0),"Open"),HYPERLINK("#Main!A1","Open"))</f>
        <v/>
      </c>
    </row>
    <row r="5">
      <c r="A5" s="46" t="inlineStr">
        <is>
          <t>https://asconafrica.org/our-members/</t>
        </is>
      </c>
      <c r="B5" s="4" t="n">
        <v>200</v>
      </c>
      <c r="C5" s="6" t="inlineStr">
        <is>
          <t>2xx</t>
        </is>
      </c>
      <c r="D5" s="4" t="inlineStr">
        <is>
          <t>Indexable</t>
        </is>
      </c>
      <c r="E5" s="43" t="inlineStr">
        <is>
          <t>Indexable</t>
        </is>
      </c>
      <c r="F5" s="6" t="n"/>
      <c r="G5" s="43" t="n"/>
      <c r="H5" s="6" t="n"/>
      <c r="I5" s="6" t="n"/>
      <c r="J5" s="6" t="n"/>
      <c r="K5" s="43" t="inlineStr">
        <is>
          <t>https://asconafrica.org/our-members/</t>
        </is>
      </c>
      <c r="L5">
        <f>IFERROR(HYPERLINK("#Main!A"&amp;MATCH(A5,Main!A:A,0),"Open"),HYPERLINK("#Main!A1","Open"))</f>
        <v/>
      </c>
    </row>
    <row r="6">
      <c r="A6" s="46" t="inlineStr">
        <is>
          <t>https://asconafrica.org/2026-ascon-conference/</t>
        </is>
      </c>
      <c r="B6" s="4" t="n">
        <v>200</v>
      </c>
      <c r="C6" s="37" t="inlineStr">
        <is>
          <t>2xx</t>
        </is>
      </c>
      <c r="D6" s="4" t="inlineStr">
        <is>
          <t>Indexable</t>
        </is>
      </c>
      <c r="E6" s="40" t="inlineStr">
        <is>
          <t>Indexable</t>
        </is>
      </c>
      <c r="F6" s="37" t="n"/>
      <c r="G6" s="40" t="n"/>
      <c r="H6" s="37" t="n"/>
      <c r="I6" s="37" t="n"/>
      <c r="J6" s="37" t="n"/>
      <c r="K6" s="40" t="inlineStr">
        <is>
          <t>https://asconafrica.org/2026-ascon-conference/</t>
        </is>
      </c>
      <c r="L6">
        <f>IFERROR(HYPERLINK("#Main!A"&amp;MATCH(A6,Main!A:A,0),"Open"),HYPERLINK("#Main!A1","Open"))</f>
        <v/>
      </c>
    </row>
    <row r="7">
      <c r="A7" s="46" t="inlineStr">
        <is>
          <t>https://asconafrica.org/about-us/</t>
        </is>
      </c>
      <c r="B7" s="4" t="n">
        <v>200</v>
      </c>
      <c r="C7" s="6" t="inlineStr">
        <is>
          <t>2xx</t>
        </is>
      </c>
      <c r="D7" s="4" t="inlineStr">
        <is>
          <t>Indexable</t>
        </is>
      </c>
      <c r="E7" s="43" t="inlineStr">
        <is>
          <t>Indexable</t>
        </is>
      </c>
      <c r="F7" s="6" t="n"/>
      <c r="G7" s="43" t="n"/>
      <c r="H7" s="6" t="n"/>
      <c r="I7" s="6" t="n"/>
      <c r="J7" s="6" t="n"/>
      <c r="K7" s="43" t="inlineStr">
        <is>
          <t>https://asconafrica.org/about-us/</t>
        </is>
      </c>
      <c r="L7">
        <f>IFERROR(HYPERLINK("#Main!A"&amp;MATCH(A7,Main!A:A,0),"Open"),HYPERLINK("#Main!A1","Open"))</f>
        <v/>
      </c>
    </row>
    <row r="8">
      <c r="A8" s="46" t="inlineStr">
        <is>
          <t>https://asconafrica.org/privacy-policy/</t>
        </is>
      </c>
      <c r="B8" s="4" t="n">
        <v>200</v>
      </c>
      <c r="C8" s="37" t="inlineStr">
        <is>
          <t>2xx</t>
        </is>
      </c>
      <c r="D8" s="4" t="inlineStr">
        <is>
          <t>Indexable</t>
        </is>
      </c>
      <c r="E8" s="40" t="inlineStr">
        <is>
          <t>Indexable</t>
        </is>
      </c>
      <c r="F8" s="37" t="n"/>
      <c r="G8" s="40" t="n"/>
      <c r="H8" s="37" t="n"/>
      <c r="I8" s="37" t="n"/>
      <c r="J8" s="37" t="n"/>
      <c r="K8" s="40" t="inlineStr">
        <is>
          <t>https://asconafrica.org/privacy-policy/</t>
        </is>
      </c>
      <c r="L8">
        <f>IFERROR(HYPERLINK("#Main!A"&amp;MATCH(A8,Main!A:A,0),"Open"),HYPERLINK("#Main!A1","Open"))</f>
        <v/>
      </c>
    </row>
    <row r="9" ht="30" customHeight="1">
      <c r="A9" s="46" t="inlineStr">
        <is>
          <t>https://asconafrica.org/2026-ascon-conference/thank-you-for-signing-up/</t>
        </is>
      </c>
      <c r="B9" s="4" t="n">
        <v>200</v>
      </c>
      <c r="C9" s="6" t="inlineStr">
        <is>
          <t>2xx</t>
        </is>
      </c>
      <c r="D9" s="4" t="inlineStr">
        <is>
          <t>Indexable</t>
        </is>
      </c>
      <c r="E9" s="43" t="inlineStr">
        <is>
          <t>Indexable</t>
        </is>
      </c>
      <c r="F9" s="6" t="n"/>
      <c r="G9" s="43" t="n"/>
      <c r="H9" s="6" t="n"/>
      <c r="I9" s="6" t="n"/>
      <c r="J9" s="6" t="n"/>
      <c r="K9" s="43" t="inlineStr">
        <is>
          <t>https://asconafrica.org/2026-ascon-conference/thank-you-for-signing-up/</t>
        </is>
      </c>
      <c r="L9">
        <f>IFERROR(HYPERLINK("#Main!A"&amp;MATCH(A9,Main!A:A,0),"Open"),HYPERLINK("#Main!A1","Open"))</f>
        <v/>
      </c>
    </row>
    <row r="10" ht="30" customHeight="1">
      <c r="A10" s="46" t="inlineStr">
        <is>
          <t>https://asconafrica.org/thank-you-for-signing-up-for-updates/</t>
        </is>
      </c>
      <c r="B10" s="4" t="n">
        <v>200</v>
      </c>
      <c r="C10" s="37" t="inlineStr">
        <is>
          <t>2xx</t>
        </is>
      </c>
      <c r="D10" s="4" t="inlineStr">
        <is>
          <t>Indexable</t>
        </is>
      </c>
      <c r="E10" s="40" t="inlineStr">
        <is>
          <t>Indexable</t>
        </is>
      </c>
      <c r="F10" s="37" t="n"/>
      <c r="G10" s="40" t="n"/>
      <c r="H10" s="37" t="n"/>
      <c r="I10" s="37" t="n"/>
      <c r="J10" s="37" t="n"/>
      <c r="K10" s="40" t="inlineStr">
        <is>
          <t>https://asconafrica.org/thank-you-for-signing-up-for-updates/</t>
        </is>
      </c>
      <c r="L10">
        <f>IFERROR(HYPERLINK("#Main!A"&amp;MATCH(A10,Main!A:A,0),"Open"),HYPERLINK("#Main!A1","Open"))</f>
        <v/>
      </c>
    </row>
    <row r="11" ht="45" customHeight="1">
      <c r="A11" s="46" t="inlineStr">
        <is>
          <t>https://asconafrica.org/launch-event-2026-ascon-conference/thank-you-for-registering-conference-launch/</t>
        </is>
      </c>
      <c r="B11" s="4" t="n">
        <v>200</v>
      </c>
      <c r="C11" s="6" t="inlineStr">
        <is>
          <t>2xx</t>
        </is>
      </c>
      <c r="D11" s="4" t="inlineStr">
        <is>
          <t>Indexable</t>
        </is>
      </c>
      <c r="E11" s="43" t="inlineStr">
        <is>
          <t>Indexable</t>
        </is>
      </c>
      <c r="F11" s="6" t="n"/>
      <c r="G11" s="43" t="n"/>
      <c r="H11" s="6" t="n"/>
      <c r="I11" s="6" t="n"/>
      <c r="J11" s="6" t="n"/>
      <c r="K11" s="43" t="inlineStr">
        <is>
          <t>https://asconafrica.org/launch-event-2026-ascon-conference/thank-you-for-registering-conference-launch/</t>
        </is>
      </c>
      <c r="L11">
        <f>IFERROR(HYPERLINK("#Main!A"&amp;MATCH(A11,Main!A:A,0),"Open"),HYPERLINK("#Main!A1","Open"))</f>
        <v/>
      </c>
    </row>
    <row r="12" ht="30" customHeight="1">
      <c r="A12" s="46" t="inlineStr">
        <is>
          <t>https://asconafrica.org/launch-event-2026-ascon-conference/</t>
        </is>
      </c>
      <c r="B12" s="4" t="n">
        <v>200</v>
      </c>
      <c r="C12" s="37" t="inlineStr">
        <is>
          <t>2xx</t>
        </is>
      </c>
      <c r="D12" s="4" t="inlineStr">
        <is>
          <t>Indexable</t>
        </is>
      </c>
      <c r="E12" s="40" t="inlineStr">
        <is>
          <t>Indexable</t>
        </is>
      </c>
      <c r="F12" s="37" t="n"/>
      <c r="G12" s="40" t="n"/>
      <c r="H12" s="37" t="n"/>
      <c r="I12" s="37" t="n"/>
      <c r="J12" s="37" t="n"/>
      <c r="K12" s="40" t="inlineStr">
        <is>
          <t>https://asconafrica.org/launch-event-2026-ascon-conference/</t>
        </is>
      </c>
      <c r="L12">
        <f>IFERROR(HYPERLINK("#Main!A"&amp;MATCH(A12,Main!A:A,0),"Open"),HYPERLINK("#Main!A1","Open"))</f>
        <v/>
      </c>
    </row>
    <row r="13" ht="30" customHeight="1">
      <c r="A13" s="46" t="inlineStr">
        <is>
          <t>https://asconafrica.org/2026-ascon-awards/thank-you-for-your-nomination/</t>
        </is>
      </c>
      <c r="B13" s="4" t="n">
        <v>200</v>
      </c>
      <c r="C13" s="6" t="inlineStr">
        <is>
          <t>2xx</t>
        </is>
      </c>
      <c r="D13" s="4" t="inlineStr">
        <is>
          <t>Indexable</t>
        </is>
      </c>
      <c r="E13" s="43" t="inlineStr">
        <is>
          <t>Indexable</t>
        </is>
      </c>
      <c r="F13" s="6" t="n"/>
      <c r="G13" s="43" t="n"/>
      <c r="H13" s="6" t="n"/>
      <c r="I13" s="6" t="n"/>
      <c r="J13" s="6" t="n"/>
      <c r="K13" s="43" t="inlineStr">
        <is>
          <t>https://asconafrica.org/2026-ascon-awards/thank-you-for-your-nomination/</t>
        </is>
      </c>
      <c r="L13">
        <f>IFERROR(HYPERLINK("#Main!A"&amp;MATCH(A13,Main!A:A,0),"Open"),HYPERLINK("#Main!A1","Open"))</f>
        <v/>
      </c>
    </row>
    <row r="14">
      <c r="A14" s="46" t="inlineStr">
        <is>
          <t>https://asconafrica.org/unsubscribe-form/</t>
        </is>
      </c>
      <c r="B14" s="4" t="n">
        <v>200</v>
      </c>
      <c r="C14" s="37" t="inlineStr">
        <is>
          <t>2xx</t>
        </is>
      </c>
      <c r="D14" s="4" t="inlineStr">
        <is>
          <t>Indexable</t>
        </is>
      </c>
      <c r="E14" s="40" t="inlineStr">
        <is>
          <t>Indexable</t>
        </is>
      </c>
      <c r="F14" s="37" t="n"/>
      <c r="G14" s="40" t="n"/>
      <c r="H14" s="37" t="n"/>
      <c r="I14" s="37" t="n"/>
      <c r="J14" s="37" t="n"/>
      <c r="K14" s="40" t="inlineStr">
        <is>
          <t>https://asconafrica.org/unsubscribe-form/</t>
        </is>
      </c>
      <c r="L14">
        <f>IFERROR(HYPERLINK("#Main!A"&amp;MATCH(A14,Main!A:A,0),"Open"),HYPERLINK("#Main!A1","Open"))</f>
        <v/>
      </c>
    </row>
    <row r="15" ht="30" customHeight="1">
      <c r="A15" s="46" t="inlineStr">
        <is>
          <t>https://asconafrica.org/unsubscribe-form/successfully-unsubscribed/</t>
        </is>
      </c>
      <c r="B15" s="4" t="n">
        <v>200</v>
      </c>
      <c r="C15" s="6" t="inlineStr">
        <is>
          <t>2xx</t>
        </is>
      </c>
      <c r="D15" s="4" t="inlineStr">
        <is>
          <t>Indexable</t>
        </is>
      </c>
      <c r="E15" s="43" t="inlineStr">
        <is>
          <t>Indexable</t>
        </is>
      </c>
      <c r="F15" s="6" t="n"/>
      <c r="G15" s="43" t="n"/>
      <c r="H15" s="6" t="n"/>
      <c r="I15" s="6" t="n"/>
      <c r="J15" s="6" t="n"/>
      <c r="K15" s="43" t="inlineStr">
        <is>
          <t>https://asconafrica.org/unsubscribe-form/successfully-unsubscribed/</t>
        </is>
      </c>
      <c r="L15">
        <f>IFERROR(HYPERLINK("#Main!A"&amp;MATCH(A15,Main!A:A,0),"Open"),HYPERLINK("#Main!A1","Open"))</f>
        <v/>
      </c>
    </row>
    <row r="16">
      <c r="A16" s="46" t="inlineStr">
        <is>
          <t>https://asconafrica.org/contact-us/</t>
        </is>
      </c>
      <c r="B16" s="4" t="n">
        <v>200</v>
      </c>
      <c r="C16" s="37" t="inlineStr">
        <is>
          <t>2xx</t>
        </is>
      </c>
      <c r="D16" s="4" t="inlineStr">
        <is>
          <t>Indexable</t>
        </is>
      </c>
      <c r="E16" s="40" t="inlineStr">
        <is>
          <t>Indexable</t>
        </is>
      </c>
      <c r="F16" s="37" t="n"/>
      <c r="G16" s="40" t="n"/>
      <c r="H16" s="37" t="n"/>
      <c r="I16" s="37" t="n"/>
      <c r="J16" s="37" t="n"/>
      <c r="K16" s="40" t="inlineStr">
        <is>
          <t>https://asconafrica.org/contact-us/</t>
        </is>
      </c>
      <c r="L16">
        <f>IFERROR(HYPERLINK("#Main!A"&amp;MATCH(A16,Main!A:A,0),"Open"),HYPERLINK("#Main!A1","Open"))</f>
        <v/>
      </c>
    </row>
  </sheetData>
  <autoFilter ref="A1:K16"/>
  <conditionalFormatting sqref="B2:B1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Status Class" prompt="Grouped HTTP class (2xx/3xx/4xx/5xx). Use this to quickly triage crawl health and error concentration." type="custom">
      <formula1>TRUE</formula1>
    </dataValidation>
    <dataValidation sqref="D1" showDropDown="0" showInputMessage="1" showErrorMessage="0" allowBlank="1" promptTitle="Indexability Reason" prompt="Indexing/canonicalization signal. Fix: ensure indexable pages use correct canonicals and non-conflicting directives." type="custom">
      <formula1>TRUE</formula1>
    </dataValidation>
    <dataValidation sqref="E1" showDropDown="0" showInputMessage="1" showErrorMessage="0" allowBlank="1" promptTitle="Canonical URL" prompt="Canonical URL. Use this URL to inspect the page directly or jump to related tabs." type="custom">
      <formula1>TRUE</formula1>
    </dataValidation>
    <dataValidation sqref="F1" showDropDown="0" showInputMessage="1" showErrorMessage="0" allowBlank="1" promptTitle="Canonical Type" prompt="Indexing/canonicalization signal. Fix: ensure indexable pages use correct canonicals and non-conflicting directives." type="custom">
      <formula1>TRUE</formula1>
    </dataValidation>
    <dataValidation sqref="G1" showDropDown="0" showInputMessage="1" showErrorMessage="0" allowBlank="1" promptTitle="Canonical Matches Final URL" prompt="Canonical Matches Final URL. Use this URL to inspect the page directly or jump to related tabs." type="custom">
      <formula1>TRUE</formula1>
    </dataValidation>
    <dataValidation sqref="H1" showDropDown="0" showInputMessage="1" showErrorMessage="0" allowBlank="1" promptTitle="Canonical in Sitemap Match" prompt="Indexing/canonicalization signal. Fix: ensure indexable pages use correct canonicals and non-conflicting directives." type="custom">
      <formula1>TRUE</formula1>
    </dataValidation>
    <dataValidation sqref="I1" showDropDown="0" showInputMessage="1" showErrorMessage="0" allowBlank="1" promptTitle="Meta Robots Raw" prompt="Robots directives that influence indexation. Fix: remove unintended noindex/nofollow values on important pages." type="custom">
      <formula1>TRUE</formula1>
    </dataValidation>
    <dataValidation sqref="J1" showDropDown="0" showInputMessage="1" showErrorMessage="0" allowBlank="1" promptTitle="X-Robots-Tag" prompt="Robots directives that influence indexation. Fix: remove unintended noindex/nofollow values on important pages." type="custom">
      <formula1>TRUE</formula1>
    </dataValidation>
    <dataValidation sqref="K1" showDropDown="0" showInputMessage="1" showErrorMessage="0" allowBlank="1" promptTitle="Final URL" prompt="Final URL. Use this URL to inspect the page directly or jump to related tabs."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2" customWidth="1" min="2" max="2"/>
    <col width="17" customWidth="1" min="3" max="3"/>
    <col width="28" customWidth="1" min="4" max="4"/>
    <col width="10" customWidth="1" min="5" max="5"/>
    <col width="17" customWidth="1" min="6" max="6"/>
    <col width="18" customWidth="1" min="7" max="7"/>
    <col width="15" customWidth="1" min="8" max="8"/>
    <col width="26" customWidth="1" min="9" max="9"/>
    <col width="19" customWidth="1" min="10" max="10"/>
    <col width="16" customWidth="1" min="11" max="11"/>
    <col width="25" customWidth="1" min="12" max="12"/>
  </cols>
  <sheetData>
    <row r="1">
      <c r="A1" s="3" t="inlineStr">
        <is>
          <t>URL</t>
        </is>
      </c>
      <c r="B1" s="3" t="inlineStr">
        <is>
          <t>Word Count</t>
        </is>
      </c>
      <c r="C1" s="3" t="inlineStr">
        <is>
          <t>Word Count Band</t>
        </is>
      </c>
      <c r="D1" s="3" t="inlineStr">
        <is>
          <t>Readability (Rough Flesch)</t>
        </is>
      </c>
      <c r="E1" s="3" t="inlineStr">
        <is>
          <t>H1 Count</t>
        </is>
      </c>
      <c r="F1" s="3" t="inlineStr">
        <is>
          <t>Missing H1 Flag</t>
        </is>
      </c>
      <c r="G1" s="3" t="inlineStr">
        <is>
          <t>Multiple H1 Flag</t>
        </is>
      </c>
      <c r="H1" s="3" t="inlineStr">
        <is>
          <t>Title Missing</t>
        </is>
      </c>
      <c r="I1" s="3" t="inlineStr">
        <is>
          <t>Meta Description Missing</t>
        </is>
      </c>
      <c r="J1" s="3" t="inlineStr">
        <is>
          <t>Thin Content Flag</t>
        </is>
      </c>
      <c r="K1" s="3" t="inlineStr">
        <is>
          <t>Sentence Count</t>
        </is>
      </c>
      <c r="L1" s="3" t="inlineStr">
        <is>
          <t>Body Text-to-HTML Ratio</t>
        </is>
      </c>
      <c r="M1" t="inlineStr">
        <is>
          <t>Open in Main</t>
        </is>
      </c>
      <c r="N1" s="36" t="inlineStr">
        <is>
          <t>BACK TO DASHBOARD</t>
        </is>
      </c>
    </row>
    <row r="2">
      <c r="A2" s="46" t="inlineStr">
        <is>
          <t>https://asconafrica.org/2026-ascon-awards/</t>
        </is>
      </c>
      <c r="B2" s="37" t="n">
        <v>1488</v>
      </c>
      <c r="C2" s="4" t="inlineStr">
        <is>
          <t>Strong</t>
        </is>
      </c>
      <c r="D2" s="37" t="n">
        <v>184.62</v>
      </c>
      <c r="E2" s="37" t="n">
        <v>1</v>
      </c>
      <c r="F2" s="4" t="b">
        <v>0</v>
      </c>
      <c r="G2" s="37" t="b">
        <v>0</v>
      </c>
      <c r="H2" s="4" t="b">
        <v>0</v>
      </c>
      <c r="I2" s="4" t="b">
        <v>0</v>
      </c>
      <c r="J2" s="4" t="b">
        <v>0</v>
      </c>
      <c r="K2" s="37" t="n">
        <v>68</v>
      </c>
      <c r="L2" s="37" t="b">
        <v>0</v>
      </c>
      <c r="M2">
        <f>IFERROR(HYPERLINK("#Main!A"&amp;MATCH(A2,Main!A:A,0),"Open"),HYPERLINK("#Main!A1","Open"))</f>
        <v/>
      </c>
    </row>
    <row r="3">
      <c r="A3" s="46" t="inlineStr">
        <is>
          <t>https://asconafrica.org/</t>
        </is>
      </c>
      <c r="B3" s="6" t="n">
        <v>1322</v>
      </c>
      <c r="C3" s="4" t="inlineStr">
        <is>
          <t>Strong</t>
        </is>
      </c>
      <c r="D3" s="6" t="n">
        <v>171.52</v>
      </c>
      <c r="E3" s="6" t="n">
        <v>0</v>
      </c>
      <c r="F3" s="45" t="b">
        <v>1</v>
      </c>
      <c r="G3" s="6" t="b">
        <v>0</v>
      </c>
      <c r="H3" s="4" t="b">
        <v>0</v>
      </c>
      <c r="I3" s="4" t="b">
        <v>0</v>
      </c>
      <c r="J3" s="4" t="b">
        <v>0</v>
      </c>
      <c r="K3" s="6" t="n">
        <v>38</v>
      </c>
      <c r="L3" s="6" t="b">
        <v>0</v>
      </c>
      <c r="M3">
        <f>IFERROR(HYPERLINK("#Main!A"&amp;MATCH(A3,Main!A:A,0),"Open"),HYPERLINK("#Main!A1","Open"))</f>
        <v/>
      </c>
    </row>
    <row r="4">
      <c r="A4" s="46" t="inlineStr">
        <is>
          <t>https://asconafrica.org/news/</t>
        </is>
      </c>
      <c r="B4" s="37" t="n">
        <v>313</v>
      </c>
      <c r="C4" s="50" t="inlineStr">
        <is>
          <t>OK</t>
        </is>
      </c>
      <c r="D4" s="37" t="n">
        <v>171.54</v>
      </c>
      <c r="E4" s="37" t="n">
        <v>0</v>
      </c>
      <c r="F4" s="45" t="b">
        <v>1</v>
      </c>
      <c r="G4" s="37" t="b">
        <v>0</v>
      </c>
      <c r="H4" s="4" t="b">
        <v>0</v>
      </c>
      <c r="I4" s="4" t="b">
        <v>0</v>
      </c>
      <c r="J4" s="4" t="b">
        <v>0</v>
      </c>
      <c r="K4" s="37" t="n">
        <v>9</v>
      </c>
      <c r="L4" s="37" t="b">
        <v>0</v>
      </c>
      <c r="M4">
        <f>IFERROR(HYPERLINK("#Main!A"&amp;MATCH(A4,Main!A:A,0),"Open"),HYPERLINK("#Main!A1","Open"))</f>
        <v/>
      </c>
    </row>
    <row r="5">
      <c r="A5" s="46" t="inlineStr">
        <is>
          <t>https://asconafrica.org/our-members/</t>
        </is>
      </c>
      <c r="B5" s="6" t="n">
        <v>208</v>
      </c>
      <c r="C5" s="45" t="inlineStr">
        <is>
          <t>Thin</t>
        </is>
      </c>
      <c r="D5" s="6" t="n">
        <v>180.45</v>
      </c>
      <c r="E5" s="6" t="n">
        <v>1</v>
      </c>
      <c r="F5" s="4" t="b">
        <v>0</v>
      </c>
      <c r="G5" s="6" t="b">
        <v>0</v>
      </c>
      <c r="H5" s="4" t="b">
        <v>0</v>
      </c>
      <c r="I5" s="4" t="b">
        <v>0</v>
      </c>
      <c r="J5" s="45" t="b">
        <v>1</v>
      </c>
      <c r="K5" s="6" t="n">
        <v>8</v>
      </c>
      <c r="L5" s="6" t="b">
        <v>1</v>
      </c>
      <c r="M5">
        <f>IFERROR(HYPERLINK("#Main!A"&amp;MATCH(A5,Main!A:A,0),"Open"),HYPERLINK("#Main!A1","Open"))</f>
        <v/>
      </c>
    </row>
    <row r="6">
      <c r="A6" s="46" t="inlineStr">
        <is>
          <t>https://asconafrica.org/2026-ascon-conference/</t>
        </is>
      </c>
      <c r="B6" s="37" t="n">
        <v>1422</v>
      </c>
      <c r="C6" s="4" t="inlineStr">
        <is>
          <t>Strong</t>
        </is>
      </c>
      <c r="D6" s="37" t="n">
        <v>173.27</v>
      </c>
      <c r="E6" s="37" t="n">
        <v>1</v>
      </c>
      <c r="F6" s="4" t="b">
        <v>0</v>
      </c>
      <c r="G6" s="37" t="b">
        <v>0</v>
      </c>
      <c r="H6" s="4" t="b">
        <v>0</v>
      </c>
      <c r="I6" s="4" t="b">
        <v>0</v>
      </c>
      <c r="J6" s="4" t="b">
        <v>0</v>
      </c>
      <c r="K6" s="37" t="n">
        <v>43</v>
      </c>
      <c r="L6" s="37" t="b">
        <v>0</v>
      </c>
      <c r="M6">
        <f>IFERROR(HYPERLINK("#Main!A"&amp;MATCH(A6,Main!A:A,0),"Open"),HYPERLINK("#Main!A1","Open"))</f>
        <v/>
      </c>
    </row>
    <row r="7">
      <c r="A7" s="46" t="inlineStr">
        <is>
          <t>https://asconafrica.org/about-us/</t>
        </is>
      </c>
      <c r="B7" s="6" t="n">
        <v>950</v>
      </c>
      <c r="C7" s="4" t="inlineStr">
        <is>
          <t>Strong</t>
        </is>
      </c>
      <c r="D7" s="6" t="n">
        <v>188.64</v>
      </c>
      <c r="E7" s="6" t="n">
        <v>1</v>
      </c>
      <c r="F7" s="4" t="b">
        <v>0</v>
      </c>
      <c r="G7" s="6" t="b">
        <v>0</v>
      </c>
      <c r="H7" s="4" t="b">
        <v>0</v>
      </c>
      <c r="I7" s="4" t="b">
        <v>0</v>
      </c>
      <c r="J7" s="4" t="b">
        <v>0</v>
      </c>
      <c r="K7" s="6" t="n">
        <v>53</v>
      </c>
      <c r="L7" s="6" t="b">
        <v>0</v>
      </c>
      <c r="M7">
        <f>IFERROR(HYPERLINK("#Main!A"&amp;MATCH(A7,Main!A:A,0),"Open"),HYPERLINK("#Main!A1","Open"))</f>
        <v/>
      </c>
    </row>
    <row r="8">
      <c r="A8" s="46" t="inlineStr">
        <is>
          <t>https://asconafrica.org/privacy-policy/</t>
        </is>
      </c>
      <c r="B8" s="37" t="n">
        <v>2952</v>
      </c>
      <c r="C8" s="4" t="inlineStr">
        <is>
          <t>Strong</t>
        </is>
      </c>
      <c r="D8" s="37" t="n">
        <v>187.5</v>
      </c>
      <c r="E8" s="37" t="n">
        <v>0</v>
      </c>
      <c r="F8" s="45" t="b">
        <v>1</v>
      </c>
      <c r="G8" s="37" t="b">
        <v>0</v>
      </c>
      <c r="H8" s="4" t="b">
        <v>0</v>
      </c>
      <c r="I8" s="4" t="b">
        <v>0</v>
      </c>
      <c r="J8" s="4" t="b">
        <v>0</v>
      </c>
      <c r="K8" s="37" t="n">
        <v>155</v>
      </c>
      <c r="L8" s="37" t="b">
        <v>0</v>
      </c>
      <c r="M8">
        <f>IFERROR(HYPERLINK("#Main!A"&amp;MATCH(A8,Main!A:A,0),"Open"),HYPERLINK("#Main!A1","Open"))</f>
        <v/>
      </c>
    </row>
    <row r="9" ht="30" customHeight="1">
      <c r="A9" s="46" t="inlineStr">
        <is>
          <t>https://asconafrica.org/2026-ascon-conference/thank-you-for-signing-up/</t>
        </is>
      </c>
      <c r="B9" s="6" t="n">
        <v>113</v>
      </c>
      <c r="C9" s="45" t="inlineStr">
        <is>
          <t>Thin</t>
        </is>
      </c>
      <c r="D9" s="6" t="n">
        <v>187.72</v>
      </c>
      <c r="E9" s="6" t="n">
        <v>1</v>
      </c>
      <c r="F9" s="4" t="b">
        <v>0</v>
      </c>
      <c r="G9" s="6" t="b">
        <v>0</v>
      </c>
      <c r="H9" s="4" t="b">
        <v>0</v>
      </c>
      <c r="I9" s="4" t="b">
        <v>0</v>
      </c>
      <c r="J9" s="45" t="b">
        <v>1</v>
      </c>
      <c r="K9" s="6" t="n">
        <v>6</v>
      </c>
      <c r="L9" s="6" t="b">
        <v>1</v>
      </c>
      <c r="M9">
        <f>IFERROR(HYPERLINK("#Main!A"&amp;MATCH(A9,Main!A:A,0),"Open"),HYPERLINK("#Main!A1","Open"))</f>
        <v/>
      </c>
    </row>
    <row r="10" ht="30" customHeight="1">
      <c r="A10" s="46" t="inlineStr">
        <is>
          <t>https://asconafrica.org/thank-you-for-signing-up-for-updates/</t>
        </is>
      </c>
      <c r="B10" s="37" t="n">
        <v>95</v>
      </c>
      <c r="C10" s="45" t="inlineStr">
        <is>
          <t>Thin</t>
        </is>
      </c>
      <c r="D10" s="37" t="n">
        <v>187.55</v>
      </c>
      <c r="E10" s="37" t="n">
        <v>1</v>
      </c>
      <c r="F10" s="4" t="b">
        <v>0</v>
      </c>
      <c r="G10" s="37" t="b">
        <v>0</v>
      </c>
      <c r="H10" s="4" t="b">
        <v>0</v>
      </c>
      <c r="I10" s="4" t="b">
        <v>0</v>
      </c>
      <c r="J10" s="45" t="b">
        <v>1</v>
      </c>
      <c r="K10" s="37" t="n">
        <v>5</v>
      </c>
      <c r="L10" s="37" t="b">
        <v>1</v>
      </c>
      <c r="M10">
        <f>IFERROR(HYPERLINK("#Main!A"&amp;MATCH(A10,Main!A:A,0),"Open"),HYPERLINK("#Main!A1","Open"))</f>
        <v/>
      </c>
    </row>
    <row r="11" ht="45" customHeight="1">
      <c r="A11" s="46" t="inlineStr">
        <is>
          <t>https://asconafrica.org/launch-event-2026-ascon-conference/thank-you-for-registering-conference-launch/</t>
        </is>
      </c>
      <c r="B11" s="6" t="n">
        <v>102</v>
      </c>
      <c r="C11" s="45" t="inlineStr">
        <is>
          <t>Thin</t>
        </is>
      </c>
      <c r="D11" s="6" t="n">
        <v>180.95</v>
      </c>
      <c r="E11" s="6" t="n">
        <v>1</v>
      </c>
      <c r="F11" s="4" t="b">
        <v>0</v>
      </c>
      <c r="G11" s="6" t="b">
        <v>0</v>
      </c>
      <c r="H11" s="4" t="b">
        <v>0</v>
      </c>
      <c r="I11" s="4" t="b">
        <v>0</v>
      </c>
      <c r="J11" s="45" t="b">
        <v>1</v>
      </c>
      <c r="K11" s="6" t="n">
        <v>4</v>
      </c>
      <c r="L11" s="6" t="b">
        <v>1</v>
      </c>
      <c r="M11">
        <f>IFERROR(HYPERLINK("#Main!A"&amp;MATCH(A11,Main!A:A,0),"Open"),HYPERLINK("#Main!A1","Open"))</f>
        <v/>
      </c>
    </row>
    <row r="12" ht="30" customHeight="1">
      <c r="A12" s="46" t="inlineStr">
        <is>
          <t>https://asconafrica.org/launch-event-2026-ascon-conference/</t>
        </is>
      </c>
      <c r="B12" s="37" t="n">
        <v>747</v>
      </c>
      <c r="C12" s="50" t="inlineStr">
        <is>
          <t>OK</t>
        </is>
      </c>
      <c r="D12" s="37" t="n">
        <v>148.51</v>
      </c>
      <c r="E12" s="37" t="n">
        <v>1</v>
      </c>
      <c r="F12" s="4" t="b">
        <v>0</v>
      </c>
      <c r="G12" s="37" t="b">
        <v>0</v>
      </c>
      <c r="H12" s="4" t="b">
        <v>0</v>
      </c>
      <c r="I12" s="4" t="b">
        <v>0</v>
      </c>
      <c r="J12" s="4" t="b">
        <v>0</v>
      </c>
      <c r="K12" s="37" t="n">
        <v>13</v>
      </c>
      <c r="L12" s="37" t="b">
        <v>0</v>
      </c>
      <c r="M12">
        <f>IFERROR(HYPERLINK("#Main!A"&amp;MATCH(A12,Main!A:A,0),"Open"),HYPERLINK("#Main!A1","Open"))</f>
        <v/>
      </c>
    </row>
    <row r="13" ht="30" customHeight="1">
      <c r="A13" s="46" t="inlineStr">
        <is>
          <t>https://asconafrica.org/2026-ascon-awards/thank-you-for-your-nomination/</t>
        </is>
      </c>
      <c r="B13" s="6" t="n">
        <v>114</v>
      </c>
      <c r="C13" s="45" t="inlineStr">
        <is>
          <t>Thin</t>
        </is>
      </c>
      <c r="D13" s="6" t="n">
        <v>183.69</v>
      </c>
      <c r="E13" s="6" t="n">
        <v>1</v>
      </c>
      <c r="F13" s="4" t="b">
        <v>0</v>
      </c>
      <c r="G13" s="6" t="b">
        <v>0</v>
      </c>
      <c r="H13" s="4" t="b">
        <v>0</v>
      </c>
      <c r="I13" s="4" t="b">
        <v>0</v>
      </c>
      <c r="J13" s="45" t="b">
        <v>1</v>
      </c>
      <c r="K13" s="6" t="n">
        <v>5</v>
      </c>
      <c r="L13" s="6" t="b">
        <v>1</v>
      </c>
      <c r="M13">
        <f>IFERROR(HYPERLINK("#Main!A"&amp;MATCH(A13,Main!A:A,0),"Open"),HYPERLINK("#Main!A1","Open"))</f>
        <v/>
      </c>
    </row>
    <row r="14">
      <c r="A14" s="46" t="inlineStr">
        <is>
          <t>https://asconafrica.org/unsubscribe-form/</t>
        </is>
      </c>
      <c r="B14" s="37" t="n">
        <v>148</v>
      </c>
      <c r="C14" s="45" t="inlineStr">
        <is>
          <t>Thin</t>
        </is>
      </c>
      <c r="D14" s="37" t="n">
        <v>176.79</v>
      </c>
      <c r="E14" s="37" t="n">
        <v>0</v>
      </c>
      <c r="F14" s="45" t="b">
        <v>1</v>
      </c>
      <c r="G14" s="37" t="b">
        <v>0</v>
      </c>
      <c r="H14" s="4" t="b">
        <v>0</v>
      </c>
      <c r="I14" s="4" t="b">
        <v>0</v>
      </c>
      <c r="J14" s="45" t="b">
        <v>1</v>
      </c>
      <c r="K14" s="37" t="n">
        <v>5</v>
      </c>
      <c r="L14" s="37" t="b">
        <v>1</v>
      </c>
      <c r="M14">
        <f>IFERROR(HYPERLINK("#Main!A"&amp;MATCH(A14,Main!A:A,0),"Open"),HYPERLINK("#Main!A1","Open"))</f>
        <v/>
      </c>
    </row>
    <row r="15" ht="30" customHeight="1">
      <c r="A15" s="46" t="inlineStr">
        <is>
          <t>https://asconafrica.org/unsubscribe-form/successfully-unsubscribed/</t>
        </is>
      </c>
      <c r="B15" s="6" t="n">
        <v>90</v>
      </c>
      <c r="C15" s="45" t="inlineStr">
        <is>
          <t>Thin</t>
        </is>
      </c>
      <c r="D15" s="6" t="n">
        <v>188.56</v>
      </c>
      <c r="E15" s="6" t="n">
        <v>0</v>
      </c>
      <c r="F15" s="45" t="b">
        <v>1</v>
      </c>
      <c r="G15" s="6" t="b">
        <v>0</v>
      </c>
      <c r="H15" s="4" t="b">
        <v>0</v>
      </c>
      <c r="I15" s="4" t="b">
        <v>0</v>
      </c>
      <c r="J15" s="45" t="b">
        <v>1</v>
      </c>
      <c r="K15" s="6" t="n">
        <v>5</v>
      </c>
      <c r="L15" s="6" t="b">
        <v>1</v>
      </c>
      <c r="M15">
        <f>IFERROR(HYPERLINK("#Main!A"&amp;MATCH(A15,Main!A:A,0),"Open"),HYPERLINK("#Main!A1","Open"))</f>
        <v/>
      </c>
    </row>
    <row r="16">
      <c r="A16" s="46" t="inlineStr">
        <is>
          <t>https://asconafrica.org/contact-us/</t>
        </is>
      </c>
      <c r="B16" s="37" t="n">
        <v>124</v>
      </c>
      <c r="C16" s="45" t="inlineStr">
        <is>
          <t>Thin</t>
        </is>
      </c>
      <c r="D16" s="37" t="n">
        <v>188.86</v>
      </c>
      <c r="E16" s="37" t="n">
        <v>0</v>
      </c>
      <c r="F16" s="45" t="b">
        <v>1</v>
      </c>
      <c r="G16" s="37" t="b">
        <v>0</v>
      </c>
      <c r="H16" s="4" t="b">
        <v>0</v>
      </c>
      <c r="I16" s="4" t="b">
        <v>0</v>
      </c>
      <c r="J16" s="45" t="b">
        <v>1</v>
      </c>
      <c r="K16" s="37" t="n">
        <v>7</v>
      </c>
      <c r="L16" s="37" t="b">
        <v>1</v>
      </c>
      <c r="M16">
        <f>IFERROR(HYPERLINK("#Main!A"&amp;MATCH(A16,Main!A:A,0),"Open"),HYPERLINK("#Main!A1","Open"))</f>
        <v/>
      </c>
    </row>
  </sheetData>
  <autoFilter ref="A1:L16"/>
  <conditionalFormatting sqref="B2:B16">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14">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Word Count" prompt="Content quality depth metric. Fix: expand thin content and improve clarity for search intent." type="custom">
      <formula1>TRUE</formula1>
    </dataValidation>
    <dataValidation sqref="C1" showDropDown="0" showInputMessage="1" showErrorMessage="0" allowBlank="1" promptTitle="Word Count Band" prompt="Content quality depth metric. Fix: expand thin content and improve clarity for search intent." type="custom">
      <formula1>TRUE</formula1>
    </dataValidation>
    <dataValidation sqref="D1" showDropDown="0" showInputMessage="1" showErrorMessage="0" allowBlank="1" promptTitle="Readability (Rough Flesch)" prompt="Content quality depth metric. Fix: expand thin content and improve clarity for search intent." type="custom">
      <formula1>TRUE</formula1>
    </dataValidation>
    <dataValidation sqref="E1" showDropDown="0" showInputMessage="1" showErrorMessage="0" allowBlank="1" promptTitle="H1 Count" prompt="H1 Count. Review this metric to identify risk, then use linked tabs for details and remediation." type="custom">
      <formula1>TRUE</formula1>
    </dataValidation>
    <dataValidation sqref="F1" showDropDown="0" showInputMessage="1" showErrorMessage="0" allowBlank="1" promptTitle="Missing H1 Flag" prompt="Missing H1 Flag. Review this metric to identify risk, then use linked tabs for details and remediation." type="custom">
      <formula1>TRUE</formula1>
    </dataValidation>
    <dataValidation sqref="G1" showDropDown="0" showInputMessage="1" showErrorMessage="0" allowBlank="1" promptTitle="Multiple H1 Flag" prompt="Multiple H1 Flag. Review this metric to identify risk, then use linked tabs for details and remediation." type="custom">
      <formula1>TRUE</formula1>
    </dataValidation>
    <dataValidation sqref="H1" showDropDown="0" showInputMessage="1" showErrorMessage="0" allowBlank="1" promptTitle="Title Missing" prompt="Title Missing. Review this metric to identify risk, then use linked tabs for details and remediation." type="custom">
      <formula1>TRUE</formula1>
    </dataValidation>
    <dataValidation sqref="I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J1" showDropDown="0" showInputMessage="1" showErrorMessage="0" allowBlank="1" promptTitle="Thin Content Flag" prompt="Thin Content Flag. Review this metric to identify risk, then use linked tabs for details and remediation." type="custom">
      <formula1>TRUE</formula1>
    </dataValidation>
    <dataValidation sqref="K1" showDropDown="0" showInputMessage="1" showErrorMessage="0" allowBlank="1" promptTitle="Sentence Count" prompt="Sentence Count. Review this metric to identify risk, then use linked tabs for details and remediation." type="custom">
      <formula1>TRUE</formula1>
    </dataValidation>
    <dataValidation sqref="L1" showDropDown="0" showInputMessage="1" showErrorMessage="0" allowBlank="1" promptTitle="Body Text-to-HTML Ratio" prompt="Body Text-to-HTML Ratio. Review this metric to identify risk, then use linked tabs for details and remediation." type="custom">
      <formula1>TRUE</formula1>
    </dataValidation>
    <dataValidation sqref="M1" showDropDown="0" showInputMessage="1" showErrorMessage="0" allowBlank="1" promptTitle="Open in Main" prompt="Navigation helper. Click to jump directly to the related record in another tab." type="custom">
      <formula1>TRUE</formula1>
    </dataValidation>
    <dataValidation sqref="N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N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45" customWidth="1" min="3" max="3"/>
    <col width="23" customWidth="1" min="4" max="4"/>
    <col width="17" customWidth="1" min="5" max="5"/>
    <col width="15" customWidth="1" min="6" max="6"/>
    <col width="22" customWidth="1" min="7" max="7"/>
    <col width="20" customWidth="1" min="8" max="8"/>
  </cols>
  <sheetData>
    <row r="1">
      <c r="A1" s="3" t="inlineStr">
        <is>
          <t>URL</t>
        </is>
      </c>
      <c r="B1" s="3" t="inlineStr">
        <is>
          <t>Status Code</t>
        </is>
      </c>
      <c r="C1" s="3" t="inlineStr">
        <is>
          <t>Final URL</t>
        </is>
      </c>
      <c r="D1" s="3" t="inlineStr">
        <is>
          <t>Redirect Chain Length</t>
        </is>
      </c>
      <c r="E1" s="3" t="inlineStr">
        <is>
          <t>Redirect Target</t>
        </is>
      </c>
      <c r="F1" s="3" t="inlineStr">
        <is>
          <t>Redirect Hops</t>
        </is>
      </c>
      <c r="G1" s="3" t="inlineStr">
        <is>
          <t>HTTP-&gt;HTTPS Redirect</t>
        </is>
      </c>
      <c r="H1" s="3" t="inlineStr">
        <is>
          <t>Redirect Loop Flag</t>
        </is>
      </c>
      <c r="I1" t="inlineStr">
        <is>
          <t>Open in Main</t>
        </is>
      </c>
      <c r="J1" s="36" t="inlineStr">
        <is>
          <t>BACK TO DASHBOARD</t>
        </is>
      </c>
    </row>
    <row r="2">
      <c r="A2" s="46" t="inlineStr">
        <is>
          <t>https://asconafrica.org/2026-ascon-awards/</t>
        </is>
      </c>
      <c r="B2" s="4" t="n">
        <v>200</v>
      </c>
      <c r="C2" s="40" t="inlineStr">
        <is>
          <t>https://asconafrica.org/2026-ascon-awards/</t>
        </is>
      </c>
      <c r="D2" s="37" t="n">
        <v>0</v>
      </c>
      <c r="E2" s="37" t="n"/>
      <c r="F2" s="40" t="n"/>
      <c r="G2" s="37" t="b">
        <v>0</v>
      </c>
      <c r="H2" s="4" t="b">
        <v>0</v>
      </c>
      <c r="I2">
        <f>IFERROR(HYPERLINK("#Main!A"&amp;MATCH(A2,Main!A:A,0),"Open"),HYPERLINK("#Main!A1","Open"))</f>
        <v/>
      </c>
    </row>
    <row r="3">
      <c r="A3" s="46" t="inlineStr">
        <is>
          <t>https://asconafrica.org/</t>
        </is>
      </c>
      <c r="B3" s="4" t="n">
        <v>200</v>
      </c>
      <c r="C3" s="43" t="inlineStr">
        <is>
          <t>https://asconafrica.org/</t>
        </is>
      </c>
      <c r="D3" s="6" t="n">
        <v>0</v>
      </c>
      <c r="E3" s="6" t="n"/>
      <c r="F3" s="43" t="n"/>
      <c r="G3" s="6" t="b">
        <v>0</v>
      </c>
      <c r="H3" s="4" t="b">
        <v>0</v>
      </c>
      <c r="I3">
        <f>IFERROR(HYPERLINK("#Main!A"&amp;MATCH(A3,Main!A:A,0),"Open"),HYPERLINK("#Main!A1","Open"))</f>
        <v/>
      </c>
    </row>
    <row r="4">
      <c r="A4" s="46" t="inlineStr">
        <is>
          <t>https://asconafrica.org/news/</t>
        </is>
      </c>
      <c r="B4" s="4" t="n">
        <v>200</v>
      </c>
      <c r="C4" s="40" t="inlineStr">
        <is>
          <t>https://asconafrica.org/news/</t>
        </is>
      </c>
      <c r="D4" s="37" t="n">
        <v>0</v>
      </c>
      <c r="E4" s="37" t="n"/>
      <c r="F4" s="40" t="n"/>
      <c r="G4" s="37" t="b">
        <v>0</v>
      </c>
      <c r="H4" s="4" t="b">
        <v>0</v>
      </c>
      <c r="I4">
        <f>IFERROR(HYPERLINK("#Main!A"&amp;MATCH(A4,Main!A:A,0),"Open"),HYPERLINK("#Main!A1","Open"))</f>
        <v/>
      </c>
    </row>
    <row r="5">
      <c r="A5" s="46" t="inlineStr">
        <is>
          <t>https://asconafrica.org/our-members/</t>
        </is>
      </c>
      <c r="B5" s="4" t="n">
        <v>200</v>
      </c>
      <c r="C5" s="43" t="inlineStr">
        <is>
          <t>https://asconafrica.org/our-members/</t>
        </is>
      </c>
      <c r="D5" s="6" t="n">
        <v>0</v>
      </c>
      <c r="E5" s="6" t="n"/>
      <c r="F5" s="43" t="n"/>
      <c r="G5" s="6" t="b">
        <v>0</v>
      </c>
      <c r="H5" s="4" t="b">
        <v>0</v>
      </c>
      <c r="I5">
        <f>IFERROR(HYPERLINK("#Main!A"&amp;MATCH(A5,Main!A:A,0),"Open"),HYPERLINK("#Main!A1","Open"))</f>
        <v/>
      </c>
    </row>
    <row r="6">
      <c r="A6" s="46" t="inlineStr">
        <is>
          <t>https://asconafrica.org/2026-ascon-conference/</t>
        </is>
      </c>
      <c r="B6" s="4" t="n">
        <v>200</v>
      </c>
      <c r="C6" s="40" t="inlineStr">
        <is>
          <t>https://asconafrica.org/2026-ascon-conference/</t>
        </is>
      </c>
      <c r="D6" s="37" t="n">
        <v>0</v>
      </c>
      <c r="E6" s="37" t="n"/>
      <c r="F6" s="40" t="n"/>
      <c r="G6" s="37" t="b">
        <v>0</v>
      </c>
      <c r="H6" s="4" t="b">
        <v>0</v>
      </c>
      <c r="I6">
        <f>IFERROR(HYPERLINK("#Main!A"&amp;MATCH(A6,Main!A:A,0),"Open"),HYPERLINK("#Main!A1","Open"))</f>
        <v/>
      </c>
    </row>
    <row r="7">
      <c r="A7" s="46" t="inlineStr">
        <is>
          <t>https://asconafrica.org/about-us/</t>
        </is>
      </c>
      <c r="B7" s="4" t="n">
        <v>200</v>
      </c>
      <c r="C7" s="43" t="inlineStr">
        <is>
          <t>https://asconafrica.org/about-us/</t>
        </is>
      </c>
      <c r="D7" s="6" t="n">
        <v>0</v>
      </c>
      <c r="E7" s="6" t="n"/>
      <c r="F7" s="43" t="n"/>
      <c r="G7" s="6" t="b">
        <v>0</v>
      </c>
      <c r="H7" s="4" t="b">
        <v>0</v>
      </c>
      <c r="I7">
        <f>IFERROR(HYPERLINK("#Main!A"&amp;MATCH(A7,Main!A:A,0),"Open"),HYPERLINK("#Main!A1","Open"))</f>
        <v/>
      </c>
    </row>
    <row r="8">
      <c r="A8" s="46" t="inlineStr">
        <is>
          <t>https://asconafrica.org/privacy-policy/</t>
        </is>
      </c>
      <c r="B8" s="4" t="n">
        <v>200</v>
      </c>
      <c r="C8" s="40" t="inlineStr">
        <is>
          <t>https://asconafrica.org/privacy-policy/</t>
        </is>
      </c>
      <c r="D8" s="37" t="n">
        <v>0</v>
      </c>
      <c r="E8" s="37" t="n"/>
      <c r="F8" s="40" t="n"/>
      <c r="G8" s="37" t="b">
        <v>0</v>
      </c>
      <c r="H8" s="4" t="b">
        <v>0</v>
      </c>
      <c r="I8">
        <f>IFERROR(HYPERLINK("#Main!A"&amp;MATCH(A8,Main!A:A,0),"Open"),HYPERLINK("#Main!A1","Open"))</f>
        <v/>
      </c>
    </row>
    <row r="9" ht="30" customHeight="1">
      <c r="A9" s="46" t="inlineStr">
        <is>
          <t>https://asconafrica.org/2026-ascon-conference/thank-you-for-signing-up/</t>
        </is>
      </c>
      <c r="B9" s="4" t="n">
        <v>200</v>
      </c>
      <c r="C9" s="43" t="inlineStr">
        <is>
          <t>https://asconafrica.org/2026-ascon-conference/thank-you-for-signing-up/</t>
        </is>
      </c>
      <c r="D9" s="6" t="n">
        <v>0</v>
      </c>
      <c r="E9" s="6" t="n"/>
      <c r="F9" s="43" t="n"/>
      <c r="G9" s="6" t="b">
        <v>0</v>
      </c>
      <c r="H9" s="4" t="b">
        <v>0</v>
      </c>
      <c r="I9">
        <f>IFERROR(HYPERLINK("#Main!A"&amp;MATCH(A9,Main!A:A,0),"Open"),HYPERLINK("#Main!A1","Open"))</f>
        <v/>
      </c>
    </row>
    <row r="10" ht="30" customHeight="1">
      <c r="A10" s="46" t="inlineStr">
        <is>
          <t>https://asconafrica.org/thank-you-for-signing-up-for-updates/</t>
        </is>
      </c>
      <c r="B10" s="4" t="n">
        <v>200</v>
      </c>
      <c r="C10" s="40" t="inlineStr">
        <is>
          <t>https://asconafrica.org/thank-you-for-signing-up-for-updates/</t>
        </is>
      </c>
      <c r="D10" s="37" t="n">
        <v>0</v>
      </c>
      <c r="E10" s="37" t="n"/>
      <c r="F10" s="40" t="n"/>
      <c r="G10" s="37" t="b">
        <v>0</v>
      </c>
      <c r="H10" s="4" t="b">
        <v>0</v>
      </c>
      <c r="I10">
        <f>IFERROR(HYPERLINK("#Main!A"&amp;MATCH(A10,Main!A:A,0),"Open"),HYPERLINK("#Main!A1","Open"))</f>
        <v/>
      </c>
    </row>
    <row r="11" ht="45" customHeight="1">
      <c r="A11" s="46" t="inlineStr">
        <is>
          <t>https://asconafrica.org/launch-event-2026-ascon-conference/thank-you-for-registering-conference-launch/</t>
        </is>
      </c>
      <c r="B11" s="4" t="n">
        <v>200</v>
      </c>
      <c r="C11" s="43" t="inlineStr">
        <is>
          <t>https://asconafrica.org/launch-event-2026-ascon-conference/thank-you-for-registering-conference-launch/</t>
        </is>
      </c>
      <c r="D11" s="6" t="n">
        <v>0</v>
      </c>
      <c r="E11" s="6" t="n"/>
      <c r="F11" s="43" t="n"/>
      <c r="G11" s="6" t="b">
        <v>0</v>
      </c>
      <c r="H11" s="4" t="b">
        <v>0</v>
      </c>
      <c r="I11">
        <f>IFERROR(HYPERLINK("#Main!A"&amp;MATCH(A11,Main!A:A,0),"Open"),HYPERLINK("#Main!A1","Open"))</f>
        <v/>
      </c>
    </row>
    <row r="12" ht="30" customHeight="1">
      <c r="A12" s="46" t="inlineStr">
        <is>
          <t>https://asconafrica.org/launch-event-2026-ascon-conference/</t>
        </is>
      </c>
      <c r="B12" s="4" t="n">
        <v>200</v>
      </c>
      <c r="C12" s="40" t="inlineStr">
        <is>
          <t>https://asconafrica.org/launch-event-2026-ascon-conference/</t>
        </is>
      </c>
      <c r="D12" s="37" t="n">
        <v>0</v>
      </c>
      <c r="E12" s="37" t="n"/>
      <c r="F12" s="40" t="n"/>
      <c r="G12" s="37" t="b">
        <v>0</v>
      </c>
      <c r="H12" s="4" t="b">
        <v>0</v>
      </c>
      <c r="I12">
        <f>IFERROR(HYPERLINK("#Main!A"&amp;MATCH(A12,Main!A:A,0),"Open"),HYPERLINK("#Main!A1","Open"))</f>
        <v/>
      </c>
    </row>
    <row r="13" ht="30" customHeight="1">
      <c r="A13" s="46" t="inlineStr">
        <is>
          <t>https://asconafrica.org/2026-ascon-awards/thank-you-for-your-nomination/</t>
        </is>
      </c>
      <c r="B13" s="4" t="n">
        <v>200</v>
      </c>
      <c r="C13" s="43" t="inlineStr">
        <is>
          <t>https://asconafrica.org/2026-ascon-awards/thank-you-for-your-nomination/</t>
        </is>
      </c>
      <c r="D13" s="6" t="n">
        <v>0</v>
      </c>
      <c r="E13" s="6" t="n"/>
      <c r="F13" s="43" t="n"/>
      <c r="G13" s="6" t="b">
        <v>0</v>
      </c>
      <c r="H13" s="4" t="b">
        <v>0</v>
      </c>
      <c r="I13">
        <f>IFERROR(HYPERLINK("#Main!A"&amp;MATCH(A13,Main!A:A,0),"Open"),HYPERLINK("#Main!A1","Open"))</f>
        <v/>
      </c>
    </row>
    <row r="14">
      <c r="A14" s="46" t="inlineStr">
        <is>
          <t>https://asconafrica.org/unsubscribe-form/</t>
        </is>
      </c>
      <c r="B14" s="4" t="n">
        <v>200</v>
      </c>
      <c r="C14" s="40" t="inlineStr">
        <is>
          <t>https://asconafrica.org/unsubscribe-form/</t>
        </is>
      </c>
      <c r="D14" s="37" t="n">
        <v>0</v>
      </c>
      <c r="E14" s="37" t="n"/>
      <c r="F14" s="40" t="n"/>
      <c r="G14" s="37" t="b">
        <v>0</v>
      </c>
      <c r="H14" s="4" t="b">
        <v>0</v>
      </c>
      <c r="I14">
        <f>IFERROR(HYPERLINK("#Main!A"&amp;MATCH(A14,Main!A:A,0),"Open"),HYPERLINK("#Main!A1","Open"))</f>
        <v/>
      </c>
    </row>
    <row r="15" ht="30" customHeight="1">
      <c r="A15" s="46" t="inlineStr">
        <is>
          <t>https://asconafrica.org/unsubscribe-form/successfully-unsubscribed/</t>
        </is>
      </c>
      <c r="B15" s="4" t="n">
        <v>200</v>
      </c>
      <c r="C15" s="43" t="inlineStr">
        <is>
          <t>https://asconafrica.org/unsubscribe-form/successfully-unsubscribed/</t>
        </is>
      </c>
      <c r="D15" s="6" t="n">
        <v>0</v>
      </c>
      <c r="E15" s="6" t="n"/>
      <c r="F15" s="43" t="n"/>
      <c r="G15" s="6" t="b">
        <v>0</v>
      </c>
      <c r="H15" s="4" t="b">
        <v>0</v>
      </c>
      <c r="I15">
        <f>IFERROR(HYPERLINK("#Main!A"&amp;MATCH(A15,Main!A:A,0),"Open"),HYPERLINK("#Main!A1","Open"))</f>
        <v/>
      </c>
    </row>
    <row r="16">
      <c r="A16" s="46" t="inlineStr">
        <is>
          <t>https://asconafrica.org/contact-us/</t>
        </is>
      </c>
      <c r="B16" s="4" t="n">
        <v>200</v>
      </c>
      <c r="C16" s="40" t="inlineStr">
        <is>
          <t>https://asconafrica.org/contact-us/</t>
        </is>
      </c>
      <c r="D16" s="37" t="n">
        <v>0</v>
      </c>
      <c r="E16" s="37" t="n"/>
      <c r="F16" s="40" t="n"/>
      <c r="G16" s="37" t="b">
        <v>0</v>
      </c>
      <c r="H16" s="4" t="b">
        <v>0</v>
      </c>
      <c r="I16">
        <f>IFERROR(HYPERLINK("#Main!A"&amp;MATCH(A16,Main!A:A,0),"Open"),HYPERLINK("#Main!A1","Open"))</f>
        <v/>
      </c>
    </row>
  </sheetData>
  <autoFilter ref="A1:H16"/>
  <conditionalFormatting sqref="B2:B1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0">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atus Code" prompt="HTTP response code returned for this page/resource. Fix: Resolve 4xx/5xx errors and reduce unnecessary redirects." type="custom">
      <formula1>TRUE</formula1>
    </dataValidation>
    <dataValidation sqref="C1" showDropDown="0" showInputMessage="1" showErrorMessage="0" allowBlank="1" promptTitle="Final URL" prompt="Final URL. Use this URL to inspect the page directly or jump to related tabs." type="custom">
      <formula1>TRUE</formula1>
    </dataValidation>
    <dataValidation sqref="D1" showDropDown="0" showInputMessage="1" showErrorMessage="0" allowBlank="1" promptTitle="Redirect Chain Length" prompt="Redirect Chain Length. Review this metric to identify risk, then use linked tabs for details and remediation." type="custom">
      <formula1>TRUE</formula1>
    </dataValidation>
    <dataValidation sqref="E1" showDropDown="0" showInputMessage="1" showErrorMessage="0" allowBlank="1" promptTitle="Redirect Target" prompt="Redirect Target. Review this metric to identify risk, then use linked tabs for details and remediation." type="custom">
      <formula1>TRUE</formula1>
    </dataValidation>
    <dataValidation sqref="F1" showDropDown="0" showInputMessage="1" showErrorMessage="0" allowBlank="1" promptTitle="Redirect Hops" prompt="Redirect Hops. Review this metric to identify risk, then use linked tabs for details and remediation." type="custom">
      <formula1>TRUE</formula1>
    </dataValidation>
    <dataValidation sqref="G1" showDropDown="0" showInputMessage="1" showErrorMessage="0" allowBlank="1" promptTitle="HTTP-&gt;HTTPS Redirect" prompt="HTTP-&gt;HTTPS Redirect. Review this metric to identify risk, then use linked tabs for details and remediation." type="custom">
      <formula1>TRUE</formula1>
    </dataValidation>
    <dataValidation sqref="H1" showDropDown="0" showInputMessage="1" showErrorMessage="0" allowBlank="1" promptTitle="Redirect Loop Flag" prompt="Redirect Loop Flag. Review this metric to identify risk, then use linked tabs for details and remediation."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2" customWidth="1" min="2" max="2"/>
    <col width="29" customWidth="1" min="3" max="3"/>
    <col width="29" customWidth="1" min="4" max="4"/>
    <col width="33" customWidth="1" min="5" max="5"/>
    <col width="27" customWidth="1" min="6" max="6"/>
    <col width="22" customWidth="1" min="7" max="7"/>
    <col width="31" customWidth="1" min="8" max="8"/>
    <col width="31" customWidth="1" min="9" max="9"/>
    <col width="24" customWidth="1" min="10" max="10"/>
  </cols>
  <sheetData>
    <row r="1">
      <c r="A1" s="3" t="inlineStr">
        <is>
          <t>URL</t>
        </is>
      </c>
      <c r="B1" s="3" t="inlineStr">
        <is>
          <t>Internal Links Count</t>
        </is>
      </c>
      <c r="C1" s="3" t="inlineStr">
        <is>
          <t>Unique Internal Links Count</t>
        </is>
      </c>
      <c r="D1" s="3" t="inlineStr">
        <is>
          <t>Broken Internal Links Count</t>
        </is>
      </c>
      <c r="E1" s="3" t="inlineStr">
        <is>
          <t>Unresolved Internal Links Count</t>
        </is>
      </c>
      <c r="F1" s="3" t="inlineStr">
        <is>
          <t>Generic Anchor Text Count</t>
        </is>
      </c>
      <c r="G1" s="3" t="inlineStr">
        <is>
          <t>External Links Count</t>
        </is>
      </c>
      <c r="H1" s="3" t="inlineStr">
        <is>
          <t>Nofollow Internal Links Count</t>
        </is>
      </c>
      <c r="I1" s="3" t="inlineStr">
        <is>
          <t>Nofollow External Links Count</t>
        </is>
      </c>
      <c r="J1" s="3" t="inlineStr">
        <is>
          <t>Internal Link Statuses</t>
        </is>
      </c>
      <c r="K1" t="inlineStr">
        <is>
          <t>Open in Main</t>
        </is>
      </c>
      <c r="L1" s="36" t="inlineStr">
        <is>
          <t>BACK TO DASHBOARD</t>
        </is>
      </c>
    </row>
    <row r="2">
      <c r="A2" s="46" t="inlineStr">
        <is>
          <t>https://asconafrica.org/2026-ascon-awards/</t>
        </is>
      </c>
      <c r="B2" s="37" t="n">
        <v>0</v>
      </c>
      <c r="C2" s="37" t="n">
        <v>0</v>
      </c>
      <c r="D2" s="4" t="n">
        <v>0</v>
      </c>
      <c r="E2" s="37" t="n">
        <v>0</v>
      </c>
      <c r="F2" s="4" t="n">
        <v>0</v>
      </c>
      <c r="G2" s="37" t="n">
        <v>0</v>
      </c>
      <c r="H2" s="37" t="n">
        <v>0</v>
      </c>
      <c r="I2" s="37" t="n">
        <v>0</v>
      </c>
      <c r="J2" s="37" t="n"/>
      <c r="K2">
        <f>IFERROR(HYPERLINK("#Main!A"&amp;MATCH(A2,Main!A:A,0),"Open"),HYPERLINK("#Main!A1","Open"))</f>
        <v/>
      </c>
    </row>
    <row r="3">
      <c r="A3" s="46" t="inlineStr">
        <is>
          <t>https://asconafrica.org/</t>
        </is>
      </c>
      <c r="B3" s="6" t="n">
        <v>0</v>
      </c>
      <c r="C3" s="6" t="n">
        <v>0</v>
      </c>
      <c r="D3" s="4" t="n">
        <v>0</v>
      </c>
      <c r="E3" s="6" t="n">
        <v>0</v>
      </c>
      <c r="F3" s="4" t="n">
        <v>0</v>
      </c>
      <c r="G3" s="6" t="n">
        <v>0</v>
      </c>
      <c r="H3" s="6" t="n">
        <v>0</v>
      </c>
      <c r="I3" s="6" t="n">
        <v>0</v>
      </c>
      <c r="J3" s="6" t="n"/>
      <c r="K3">
        <f>IFERROR(HYPERLINK("#Main!A"&amp;MATCH(A3,Main!A:A,0),"Open"),HYPERLINK("#Main!A1","Open"))</f>
        <v/>
      </c>
    </row>
    <row r="4">
      <c r="A4" s="46" t="inlineStr">
        <is>
          <t>https://asconafrica.org/news/</t>
        </is>
      </c>
      <c r="B4" s="37" t="n">
        <v>0</v>
      </c>
      <c r="C4" s="37" t="n">
        <v>0</v>
      </c>
      <c r="D4" s="4" t="n">
        <v>0</v>
      </c>
      <c r="E4" s="37" t="n">
        <v>0</v>
      </c>
      <c r="F4" s="4" t="n">
        <v>0</v>
      </c>
      <c r="G4" s="37" t="n">
        <v>0</v>
      </c>
      <c r="H4" s="37" t="n">
        <v>0</v>
      </c>
      <c r="I4" s="37" t="n">
        <v>0</v>
      </c>
      <c r="J4" s="37" t="n"/>
      <c r="K4">
        <f>IFERROR(HYPERLINK("#Main!A"&amp;MATCH(A4,Main!A:A,0),"Open"),HYPERLINK("#Main!A1","Open"))</f>
        <v/>
      </c>
    </row>
    <row r="5">
      <c r="A5" s="46" t="inlineStr">
        <is>
          <t>https://asconafrica.org/our-members/</t>
        </is>
      </c>
      <c r="B5" s="6" t="n">
        <v>0</v>
      </c>
      <c r="C5" s="6" t="n">
        <v>0</v>
      </c>
      <c r="D5" s="4" t="n">
        <v>0</v>
      </c>
      <c r="E5" s="6" t="n">
        <v>0</v>
      </c>
      <c r="F5" s="4" t="n">
        <v>0</v>
      </c>
      <c r="G5" s="6" t="n">
        <v>0</v>
      </c>
      <c r="H5" s="6" t="n">
        <v>0</v>
      </c>
      <c r="I5" s="6" t="n">
        <v>0</v>
      </c>
      <c r="J5" s="6" t="n"/>
      <c r="K5">
        <f>IFERROR(HYPERLINK("#Main!A"&amp;MATCH(A5,Main!A:A,0),"Open"),HYPERLINK("#Main!A1","Open"))</f>
        <v/>
      </c>
    </row>
    <row r="6">
      <c r="A6" s="46" t="inlineStr">
        <is>
          <t>https://asconafrica.org/2026-ascon-conference/</t>
        </is>
      </c>
      <c r="B6" s="37" t="n">
        <v>0</v>
      </c>
      <c r="C6" s="37" t="n">
        <v>0</v>
      </c>
      <c r="D6" s="4" t="n">
        <v>0</v>
      </c>
      <c r="E6" s="37" t="n">
        <v>0</v>
      </c>
      <c r="F6" s="4" t="n">
        <v>0</v>
      </c>
      <c r="G6" s="37" t="n">
        <v>0</v>
      </c>
      <c r="H6" s="37" t="n">
        <v>0</v>
      </c>
      <c r="I6" s="37" t="n">
        <v>0</v>
      </c>
      <c r="J6" s="37" t="n"/>
      <c r="K6">
        <f>IFERROR(HYPERLINK("#Main!A"&amp;MATCH(A6,Main!A:A,0),"Open"),HYPERLINK("#Main!A1","Open"))</f>
        <v/>
      </c>
    </row>
    <row r="7">
      <c r="A7" s="46" t="inlineStr">
        <is>
          <t>https://asconafrica.org/about-us/</t>
        </is>
      </c>
      <c r="B7" s="6" t="n">
        <v>0</v>
      </c>
      <c r="C7" s="6" t="n">
        <v>0</v>
      </c>
      <c r="D7" s="4" t="n">
        <v>0</v>
      </c>
      <c r="E7" s="6" t="n">
        <v>0</v>
      </c>
      <c r="F7" s="4" t="n">
        <v>0</v>
      </c>
      <c r="G7" s="6" t="n">
        <v>0</v>
      </c>
      <c r="H7" s="6" t="n">
        <v>0</v>
      </c>
      <c r="I7" s="6" t="n">
        <v>0</v>
      </c>
      <c r="J7" s="6" t="n"/>
      <c r="K7">
        <f>IFERROR(HYPERLINK("#Main!A"&amp;MATCH(A7,Main!A:A,0),"Open"),HYPERLINK("#Main!A1","Open"))</f>
        <v/>
      </c>
    </row>
    <row r="8">
      <c r="A8" s="46" t="inlineStr">
        <is>
          <t>https://asconafrica.org/privacy-policy/</t>
        </is>
      </c>
      <c r="B8" s="37" t="n">
        <v>0</v>
      </c>
      <c r="C8" s="37" t="n">
        <v>0</v>
      </c>
      <c r="D8" s="4" t="n">
        <v>0</v>
      </c>
      <c r="E8" s="37" t="n">
        <v>0</v>
      </c>
      <c r="F8" s="4" t="n">
        <v>0</v>
      </c>
      <c r="G8" s="37" t="n">
        <v>0</v>
      </c>
      <c r="H8" s="37" t="n">
        <v>0</v>
      </c>
      <c r="I8" s="37" t="n">
        <v>0</v>
      </c>
      <c r="J8" s="37" t="n"/>
      <c r="K8">
        <f>IFERROR(HYPERLINK("#Main!A"&amp;MATCH(A8,Main!A:A,0),"Open"),HYPERLINK("#Main!A1","Open"))</f>
        <v/>
      </c>
    </row>
    <row r="9" ht="30" customHeight="1">
      <c r="A9" s="46" t="inlineStr">
        <is>
          <t>https://asconafrica.org/2026-ascon-conference/thank-you-for-signing-up/</t>
        </is>
      </c>
      <c r="B9" s="6" t="n">
        <v>0</v>
      </c>
      <c r="C9" s="6" t="n">
        <v>0</v>
      </c>
      <c r="D9" s="4" t="n">
        <v>0</v>
      </c>
      <c r="E9" s="6" t="n">
        <v>0</v>
      </c>
      <c r="F9" s="4" t="n">
        <v>0</v>
      </c>
      <c r="G9" s="6" t="n">
        <v>0</v>
      </c>
      <c r="H9" s="6" t="n">
        <v>0</v>
      </c>
      <c r="I9" s="6" t="n">
        <v>0</v>
      </c>
      <c r="J9" s="6" t="n"/>
      <c r="K9">
        <f>IFERROR(HYPERLINK("#Main!A"&amp;MATCH(A9,Main!A:A,0),"Open"),HYPERLINK("#Main!A1","Open"))</f>
        <v/>
      </c>
    </row>
    <row r="10" ht="30" customHeight="1">
      <c r="A10" s="46" t="inlineStr">
        <is>
          <t>https://asconafrica.org/thank-you-for-signing-up-for-updates/</t>
        </is>
      </c>
      <c r="B10" s="37" t="n">
        <v>0</v>
      </c>
      <c r="C10" s="37" t="n">
        <v>0</v>
      </c>
      <c r="D10" s="4" t="n">
        <v>0</v>
      </c>
      <c r="E10" s="37" t="n">
        <v>0</v>
      </c>
      <c r="F10" s="4" t="n">
        <v>0</v>
      </c>
      <c r="G10" s="37" t="n">
        <v>0</v>
      </c>
      <c r="H10" s="37" t="n">
        <v>0</v>
      </c>
      <c r="I10" s="37" t="n">
        <v>0</v>
      </c>
      <c r="J10" s="37" t="n"/>
      <c r="K10">
        <f>IFERROR(HYPERLINK("#Main!A"&amp;MATCH(A10,Main!A:A,0),"Open"),HYPERLINK("#Main!A1","Open"))</f>
        <v/>
      </c>
    </row>
    <row r="11" ht="45" customHeight="1">
      <c r="A11" s="46" t="inlineStr">
        <is>
          <t>https://asconafrica.org/launch-event-2026-ascon-conference/thank-you-for-registering-conference-launch/</t>
        </is>
      </c>
      <c r="B11" s="6" t="n">
        <v>0</v>
      </c>
      <c r="C11" s="6" t="n">
        <v>0</v>
      </c>
      <c r="D11" s="4" t="n">
        <v>0</v>
      </c>
      <c r="E11" s="6" t="n">
        <v>0</v>
      </c>
      <c r="F11" s="4" t="n">
        <v>0</v>
      </c>
      <c r="G11" s="6" t="n">
        <v>0</v>
      </c>
      <c r="H11" s="6" t="n">
        <v>0</v>
      </c>
      <c r="I11" s="6" t="n">
        <v>0</v>
      </c>
      <c r="J11" s="6" t="n"/>
      <c r="K11">
        <f>IFERROR(HYPERLINK("#Main!A"&amp;MATCH(A11,Main!A:A,0),"Open"),HYPERLINK("#Main!A1","Open"))</f>
        <v/>
      </c>
    </row>
    <row r="12" ht="30" customHeight="1">
      <c r="A12" s="46" t="inlineStr">
        <is>
          <t>https://asconafrica.org/launch-event-2026-ascon-conference/</t>
        </is>
      </c>
      <c r="B12" s="37" t="n">
        <v>0</v>
      </c>
      <c r="C12" s="37" t="n">
        <v>0</v>
      </c>
      <c r="D12" s="4" t="n">
        <v>0</v>
      </c>
      <c r="E12" s="37" t="n">
        <v>0</v>
      </c>
      <c r="F12" s="4" t="n">
        <v>0</v>
      </c>
      <c r="G12" s="37" t="n">
        <v>0</v>
      </c>
      <c r="H12" s="37" t="n">
        <v>0</v>
      </c>
      <c r="I12" s="37" t="n">
        <v>0</v>
      </c>
      <c r="J12" s="37" t="n"/>
      <c r="K12">
        <f>IFERROR(HYPERLINK("#Main!A"&amp;MATCH(A12,Main!A:A,0),"Open"),HYPERLINK("#Main!A1","Open"))</f>
        <v/>
      </c>
    </row>
    <row r="13" ht="30" customHeight="1">
      <c r="A13" s="46" t="inlineStr">
        <is>
          <t>https://asconafrica.org/2026-ascon-awards/thank-you-for-your-nomination/</t>
        </is>
      </c>
      <c r="B13" s="6" t="n">
        <v>0</v>
      </c>
      <c r="C13" s="6" t="n">
        <v>0</v>
      </c>
      <c r="D13" s="4" t="n">
        <v>0</v>
      </c>
      <c r="E13" s="6" t="n">
        <v>0</v>
      </c>
      <c r="F13" s="4" t="n">
        <v>0</v>
      </c>
      <c r="G13" s="6" t="n">
        <v>0</v>
      </c>
      <c r="H13" s="6" t="n">
        <v>0</v>
      </c>
      <c r="I13" s="6" t="n">
        <v>0</v>
      </c>
      <c r="J13" s="6" t="n"/>
      <c r="K13">
        <f>IFERROR(HYPERLINK("#Main!A"&amp;MATCH(A13,Main!A:A,0),"Open"),HYPERLINK("#Main!A1","Open"))</f>
        <v/>
      </c>
    </row>
    <row r="14">
      <c r="A14" s="46" t="inlineStr">
        <is>
          <t>https://asconafrica.org/unsubscribe-form/</t>
        </is>
      </c>
      <c r="B14" s="37" t="n">
        <v>0</v>
      </c>
      <c r="C14" s="37" t="n">
        <v>0</v>
      </c>
      <c r="D14" s="4" t="n">
        <v>0</v>
      </c>
      <c r="E14" s="37" t="n">
        <v>0</v>
      </c>
      <c r="F14" s="4" t="n">
        <v>0</v>
      </c>
      <c r="G14" s="37" t="n">
        <v>0</v>
      </c>
      <c r="H14" s="37" t="n">
        <v>0</v>
      </c>
      <c r="I14" s="37" t="n">
        <v>0</v>
      </c>
      <c r="J14" s="37" t="n"/>
      <c r="K14">
        <f>IFERROR(HYPERLINK("#Main!A"&amp;MATCH(A14,Main!A:A,0),"Open"),HYPERLINK("#Main!A1","Open"))</f>
        <v/>
      </c>
    </row>
    <row r="15" ht="30" customHeight="1">
      <c r="A15" s="46" t="inlineStr">
        <is>
          <t>https://asconafrica.org/unsubscribe-form/successfully-unsubscribed/</t>
        </is>
      </c>
      <c r="B15" s="6" t="n">
        <v>0</v>
      </c>
      <c r="C15" s="6" t="n">
        <v>0</v>
      </c>
      <c r="D15" s="4" t="n">
        <v>0</v>
      </c>
      <c r="E15" s="6" t="n">
        <v>0</v>
      </c>
      <c r="F15" s="4" t="n">
        <v>0</v>
      </c>
      <c r="G15" s="6" t="n">
        <v>0</v>
      </c>
      <c r="H15" s="6" t="n">
        <v>0</v>
      </c>
      <c r="I15" s="6" t="n">
        <v>0</v>
      </c>
      <c r="J15" s="6" t="n"/>
      <c r="K15">
        <f>IFERROR(HYPERLINK("#Main!A"&amp;MATCH(A15,Main!A:A,0),"Open"),HYPERLINK("#Main!A1","Open"))</f>
        <v/>
      </c>
    </row>
    <row r="16">
      <c r="A16" s="46" t="inlineStr">
        <is>
          <t>https://asconafrica.org/contact-us/</t>
        </is>
      </c>
      <c r="B16" s="37" t="n">
        <v>0</v>
      </c>
      <c r="C16" s="37" t="n">
        <v>0</v>
      </c>
      <c r="D16" s="4" t="n">
        <v>0</v>
      </c>
      <c r="E16" s="37" t="n">
        <v>0</v>
      </c>
      <c r="F16" s="4" t="n">
        <v>0</v>
      </c>
      <c r="G16" s="37" t="n">
        <v>0</v>
      </c>
      <c r="H16" s="37" t="n">
        <v>0</v>
      </c>
      <c r="I16" s="37" t="n">
        <v>0</v>
      </c>
      <c r="J16" s="37" t="n"/>
      <c r="K16">
        <f>IFERROR(HYPERLINK("#Main!A"&amp;MATCH(A16,Main!A:A,0),"Open"),HYPERLINK("#Main!A1","Open"))</f>
        <v/>
      </c>
    </row>
  </sheetData>
  <autoFilter ref="A1:J16"/>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ternal Links Count" prompt="Link quality and crawl-path metric. Fix: repair broken links and improve internal linking relevance." type="custom">
      <formula1>TRUE</formula1>
    </dataValidation>
    <dataValidation sqref="C1" showDropDown="0" showInputMessage="1" showErrorMessage="0" allowBlank="1" promptTitle="Unique Internal Links Count" prompt="Link quality and crawl-path metric. Fix: repair broken links and improve internal linking relevance." type="custom">
      <formula1>TRUE</formula1>
    </dataValidation>
    <dataValidation sqref="D1" showDropDown="0" showInputMessage="1" showErrorMessage="0" allowBlank="1" promptTitle="Broken Internal Links Count" prompt="Link quality and crawl-path metric. Fix: repair broken links and improve internal linking relevance." type="custom">
      <formula1>TRUE</formula1>
    </dataValidation>
    <dataValidation sqref="E1" showDropDown="0" showInputMessage="1" showErrorMessage="0" allowBlank="1" promptTitle="Unresolved Internal Links Count" prompt="Link quality and crawl-path metric. Fix: repair broken links and improve internal linking relevance." type="custom">
      <formula1>TRUE</formula1>
    </dataValidation>
    <dataValidation sqref="F1" showDropDown="0" showInputMessage="1" showErrorMessage="0" allowBlank="1" promptTitle="Generic Anchor Text Count" prompt="Link quality and crawl-path metric. Fix: repair broken links and improve internal linking relevance." type="custom">
      <formula1>TRUE</formula1>
    </dataValidation>
    <dataValidation sqref="G1" showDropDown="0" showInputMessage="1" showErrorMessage="0" allowBlank="1" promptTitle="External Links Count" prompt="Link quality and crawl-path metric. Fix: repair broken links and improve internal linking relevance." type="custom">
      <formula1>TRUE</formula1>
    </dataValidation>
    <dataValidation sqref="H1" showDropDown="0" showInputMessage="1" showErrorMessage="0" allowBlank="1" promptTitle="Nofollow Internal Links Count" prompt="Link quality and crawl-path metric. Fix: repair broken links and improve internal linking relevance." type="custom">
      <formula1>TRUE</formula1>
    </dataValidation>
    <dataValidation sqref="I1" showDropDown="0" showInputMessage="1" showErrorMessage="0" allowBlank="1" promptTitle="Nofollow External Links Count" prompt="Link quality and crawl-path metric. Fix: repair broken links and improve internal linking relevance." type="custom">
      <formula1>TRUE</formula1>
    </dataValidation>
    <dataValidation sqref="J1" showDropDown="0" showInputMessage="1" showErrorMessage="0" allowBlank="1" promptTitle="Internal Link Statuses" prompt="Link quality and crawl-path metric. Fix: repair broken links and improve internal linking relevance."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cols>
    <col width="6" customWidth="1" min="1" max="1"/>
  </cols>
  <sheetData>
    <row r="1">
      <c r="A1" s="3" t="n"/>
      <c r="B1" s="36" t="inlineStr">
        <is>
          <t>BACK TO DASHBOARD</t>
        </is>
      </c>
    </row>
  </sheetData>
  <autoFilter ref="A1:A1"/>
  <dataValidations count="1">
    <dataValidation sqref="B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B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1" customWidth="1" min="2" max="2"/>
    <col width="12" customWidth="1" min="3" max="3"/>
    <col width="60" customWidth="1" min="4" max="4"/>
    <col width="19" customWidth="1" min="5" max="5"/>
    <col width="24" customWidth="1" min="6" max="6"/>
    <col width="30" customWidth="1" min="7" max="7"/>
    <col width="27" customWidth="1" min="8" max="8"/>
    <col width="26" customWidth="1" min="9" max="9"/>
    <col width="14" customWidth="1" min="10" max="10"/>
    <col width="19" customWidth="1" min="11" max="11"/>
    <col width="26" customWidth="1" min="12" max="12"/>
    <col width="15" customWidth="1" min="13" max="13"/>
    <col width="26" customWidth="1" min="14" max="14"/>
  </cols>
  <sheetData>
    <row r="1">
      <c r="A1" s="3" t="inlineStr">
        <is>
          <t>URL</t>
        </is>
      </c>
      <c r="B1" s="3" t="inlineStr">
        <is>
          <t>AEO Readiness Score</t>
        </is>
      </c>
      <c r="C1" s="3" t="inlineStr">
        <is>
          <t>AEO Badge</t>
        </is>
      </c>
      <c r="D1" s="3" t="inlineStr">
        <is>
          <t>Why It Matters</t>
        </is>
      </c>
      <c r="E1" s="3" t="inlineStr">
        <is>
          <t>FAQ Section Count</t>
        </is>
      </c>
      <c r="F1" s="3" t="inlineStr">
        <is>
          <t>Question Heading Count</t>
        </is>
      </c>
      <c r="G1" s="3" t="inlineStr">
        <is>
          <t>Paragraphs 40-60 Words Count</t>
        </is>
      </c>
      <c r="H1" s="3" t="inlineStr">
        <is>
          <t>QAPage/FAQ Schema Present</t>
        </is>
      </c>
      <c r="I1" s="3" t="inlineStr">
        <is>
          <t>Speakable Schema Present</t>
        </is>
      </c>
      <c r="J1" s="3" t="inlineStr">
        <is>
          <t>HowTo Signal</t>
        </is>
      </c>
      <c r="K1" s="3" t="inlineStr">
        <is>
          <t>Definition Signal</t>
        </is>
      </c>
      <c r="L1" s="3" t="inlineStr">
        <is>
          <t>List/Table Answer Signal</t>
        </is>
      </c>
      <c r="M1" s="3" t="inlineStr">
        <is>
          <t>Title Missing</t>
        </is>
      </c>
      <c r="N1" s="3" t="inlineStr">
        <is>
          <t>Meta Description Missing</t>
        </is>
      </c>
      <c r="O1" t="inlineStr">
        <is>
          <t>Open in Main</t>
        </is>
      </c>
      <c r="P1" s="36" t="inlineStr">
        <is>
          <t>BACK TO DASHBOARD</t>
        </is>
      </c>
    </row>
    <row r="2">
      <c r="A2" s="46" t="inlineStr">
        <is>
          <t>https://asconafrica.org/2026-ascon-awards/</t>
        </is>
      </c>
      <c r="B2" s="48" t="n">
        <v>0</v>
      </c>
      <c r="C2" s="37" t="inlineStr">
        <is>
          <t>Needs Work</t>
        </is>
      </c>
      <c r="D2"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2" s="37" t="n">
        <v>0</v>
      </c>
      <c r="F2" s="37" t="n">
        <v>0</v>
      </c>
      <c r="G2" s="37" t="n">
        <v>0</v>
      </c>
      <c r="H2" s="50" t="b">
        <v>0</v>
      </c>
      <c r="I2" s="50" t="b">
        <v>0</v>
      </c>
      <c r="J2" s="37" t="b">
        <v>0</v>
      </c>
      <c r="K2" s="37" t="b">
        <v>0</v>
      </c>
      <c r="L2" s="37" t="b">
        <v>0</v>
      </c>
      <c r="M2" s="4" t="b">
        <v>0</v>
      </c>
      <c r="N2" s="4" t="b">
        <v>0</v>
      </c>
      <c r="O2">
        <f>IFERROR(HYPERLINK("#Main!A"&amp;MATCH(A2,Main!A:A,0),"Open"),HYPERLINK("#Main!A1","Open"))</f>
        <v/>
      </c>
    </row>
    <row r="3">
      <c r="A3" s="46" t="inlineStr">
        <is>
          <t>https://asconafrica.org/</t>
        </is>
      </c>
      <c r="B3" s="52" t="n">
        <v>0</v>
      </c>
      <c r="C3" s="6" t="inlineStr">
        <is>
          <t>Needs Work</t>
        </is>
      </c>
      <c r="D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3" s="6" t="n">
        <v>0</v>
      </c>
      <c r="F3" s="6" t="n">
        <v>0</v>
      </c>
      <c r="G3" s="6" t="n">
        <v>0</v>
      </c>
      <c r="H3" s="50" t="b">
        <v>0</v>
      </c>
      <c r="I3" s="50" t="b">
        <v>0</v>
      </c>
      <c r="J3" s="6" t="b">
        <v>0</v>
      </c>
      <c r="K3" s="6" t="b">
        <v>0</v>
      </c>
      <c r="L3" s="6" t="b">
        <v>0</v>
      </c>
      <c r="M3" s="4" t="b">
        <v>0</v>
      </c>
      <c r="N3" s="4" t="b">
        <v>0</v>
      </c>
      <c r="O3">
        <f>IFERROR(HYPERLINK("#Main!A"&amp;MATCH(A3,Main!A:A,0),"Open"),HYPERLINK("#Main!A1","Open"))</f>
        <v/>
      </c>
    </row>
    <row r="4">
      <c r="A4" s="46" t="inlineStr">
        <is>
          <t>https://asconafrica.org/news/</t>
        </is>
      </c>
      <c r="B4" s="48" t="n">
        <v>0</v>
      </c>
      <c r="C4" s="37" t="inlineStr">
        <is>
          <t>Needs Work</t>
        </is>
      </c>
      <c r="D4"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4" s="37" t="n">
        <v>0</v>
      </c>
      <c r="F4" s="37" t="n">
        <v>0</v>
      </c>
      <c r="G4" s="37" t="n">
        <v>0</v>
      </c>
      <c r="H4" s="50" t="b">
        <v>0</v>
      </c>
      <c r="I4" s="50" t="b">
        <v>0</v>
      </c>
      <c r="J4" s="37" t="b">
        <v>0</v>
      </c>
      <c r="K4" s="37" t="b">
        <v>0</v>
      </c>
      <c r="L4" s="37" t="b">
        <v>0</v>
      </c>
      <c r="M4" s="4" t="b">
        <v>0</v>
      </c>
      <c r="N4" s="4" t="b">
        <v>0</v>
      </c>
      <c r="O4">
        <f>IFERROR(HYPERLINK("#Main!A"&amp;MATCH(A4,Main!A:A,0),"Open"),HYPERLINK("#Main!A1","Open"))</f>
        <v/>
      </c>
    </row>
    <row r="5">
      <c r="A5" s="46" t="inlineStr">
        <is>
          <t>https://asconafrica.org/our-members/</t>
        </is>
      </c>
      <c r="B5" s="52" t="n">
        <v>0</v>
      </c>
      <c r="C5" s="6" t="inlineStr">
        <is>
          <t>Needs Work</t>
        </is>
      </c>
      <c r="D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5" s="6" t="n">
        <v>0</v>
      </c>
      <c r="F5" s="6" t="n">
        <v>0</v>
      </c>
      <c r="G5" s="6" t="n">
        <v>0</v>
      </c>
      <c r="H5" s="50" t="b">
        <v>0</v>
      </c>
      <c r="I5" s="50" t="b">
        <v>0</v>
      </c>
      <c r="J5" s="6" t="b">
        <v>0</v>
      </c>
      <c r="K5" s="6" t="b">
        <v>0</v>
      </c>
      <c r="L5" s="6" t="b">
        <v>0</v>
      </c>
      <c r="M5" s="4" t="b">
        <v>0</v>
      </c>
      <c r="N5" s="4" t="b">
        <v>0</v>
      </c>
      <c r="O5">
        <f>IFERROR(HYPERLINK("#Main!A"&amp;MATCH(A5,Main!A:A,0),"Open"),HYPERLINK("#Main!A1","Open"))</f>
        <v/>
      </c>
    </row>
    <row r="6">
      <c r="A6" s="46" t="inlineStr">
        <is>
          <t>https://asconafrica.org/2026-ascon-conference/</t>
        </is>
      </c>
      <c r="B6" s="48" t="n">
        <v>0</v>
      </c>
      <c r="C6" s="37" t="inlineStr">
        <is>
          <t>Needs Work</t>
        </is>
      </c>
      <c r="D6"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6" s="37" t="n">
        <v>0</v>
      </c>
      <c r="F6" s="37" t="n">
        <v>0</v>
      </c>
      <c r="G6" s="37" t="n">
        <v>0</v>
      </c>
      <c r="H6" s="50" t="b">
        <v>0</v>
      </c>
      <c r="I6" s="50" t="b">
        <v>0</v>
      </c>
      <c r="J6" s="37" t="b">
        <v>0</v>
      </c>
      <c r="K6" s="37" t="b">
        <v>0</v>
      </c>
      <c r="L6" s="37" t="b">
        <v>0</v>
      </c>
      <c r="M6" s="4" t="b">
        <v>0</v>
      </c>
      <c r="N6" s="4" t="b">
        <v>0</v>
      </c>
      <c r="O6">
        <f>IFERROR(HYPERLINK("#Main!A"&amp;MATCH(A6,Main!A:A,0),"Open"),HYPERLINK("#Main!A1","Open"))</f>
        <v/>
      </c>
    </row>
    <row r="7">
      <c r="A7" s="46" t="inlineStr">
        <is>
          <t>https://asconafrica.org/about-us/</t>
        </is>
      </c>
      <c r="B7" s="52" t="n">
        <v>0</v>
      </c>
      <c r="C7" s="6" t="inlineStr">
        <is>
          <t>Needs Work</t>
        </is>
      </c>
      <c r="D7"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7" s="6" t="n">
        <v>0</v>
      </c>
      <c r="F7" s="6" t="n">
        <v>0</v>
      </c>
      <c r="G7" s="6" t="n">
        <v>0</v>
      </c>
      <c r="H7" s="50" t="b">
        <v>0</v>
      </c>
      <c r="I7" s="50" t="b">
        <v>0</v>
      </c>
      <c r="J7" s="6" t="b">
        <v>0</v>
      </c>
      <c r="K7" s="6" t="b">
        <v>0</v>
      </c>
      <c r="L7" s="6" t="b">
        <v>0</v>
      </c>
      <c r="M7" s="4" t="b">
        <v>0</v>
      </c>
      <c r="N7" s="4" t="b">
        <v>0</v>
      </c>
      <c r="O7">
        <f>IFERROR(HYPERLINK("#Main!A"&amp;MATCH(A7,Main!A:A,0),"Open"),HYPERLINK("#Main!A1","Open"))</f>
        <v/>
      </c>
    </row>
    <row r="8">
      <c r="A8" s="46" t="inlineStr">
        <is>
          <t>https://asconafrica.org/privacy-policy/</t>
        </is>
      </c>
      <c r="B8" s="48" t="n">
        <v>0</v>
      </c>
      <c r="C8" s="37" t="inlineStr">
        <is>
          <t>Needs Work</t>
        </is>
      </c>
      <c r="D8" s="37" t="inlineStr">
        <is>
          <t>FAQ/QA schema improves machine understanding for rich answer surfaces. Speakable markup can improve voice assistant readability of key answers. Answer-friendly structure (how-to, definitions, lists/tables) helps extraction by answer engines.</t>
        </is>
      </c>
      <c r="E8" s="37" t="n">
        <v>0</v>
      </c>
      <c r="F8" s="37" t="n">
        <v>5</v>
      </c>
      <c r="G8" s="37" t="n">
        <v>5</v>
      </c>
      <c r="H8" s="50" t="b">
        <v>0</v>
      </c>
      <c r="I8" s="50" t="b">
        <v>0</v>
      </c>
      <c r="J8" s="37" t="b">
        <v>0</v>
      </c>
      <c r="K8" s="37" t="b">
        <v>0</v>
      </c>
      <c r="L8" s="37" t="b">
        <v>0</v>
      </c>
      <c r="M8" s="4" t="b">
        <v>0</v>
      </c>
      <c r="N8" s="4" t="b">
        <v>0</v>
      </c>
      <c r="O8">
        <f>IFERROR(HYPERLINK("#Main!A"&amp;MATCH(A8,Main!A:A,0),"Open"),HYPERLINK("#Main!A1","Open"))</f>
        <v/>
      </c>
    </row>
    <row r="9" ht="30" customHeight="1">
      <c r="A9" s="46" t="inlineStr">
        <is>
          <t>https://asconafrica.org/2026-ascon-conference/thank-you-for-signing-up/</t>
        </is>
      </c>
      <c r="B9" s="52" t="n">
        <v>0</v>
      </c>
      <c r="C9" s="6" t="inlineStr">
        <is>
          <t>Needs Work</t>
        </is>
      </c>
      <c r="D9"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9" s="6" t="n">
        <v>0</v>
      </c>
      <c r="F9" s="6" t="n">
        <v>0</v>
      </c>
      <c r="G9" s="6" t="n">
        <v>0</v>
      </c>
      <c r="H9" s="50" t="b">
        <v>0</v>
      </c>
      <c r="I9" s="50" t="b">
        <v>0</v>
      </c>
      <c r="J9" s="6" t="b">
        <v>0</v>
      </c>
      <c r="K9" s="6" t="b">
        <v>0</v>
      </c>
      <c r="L9" s="6" t="b">
        <v>0</v>
      </c>
      <c r="M9" s="4" t="b">
        <v>0</v>
      </c>
      <c r="N9" s="4" t="b">
        <v>0</v>
      </c>
      <c r="O9">
        <f>IFERROR(HYPERLINK("#Main!A"&amp;MATCH(A9,Main!A:A,0),"Open"),HYPERLINK("#Main!A1","Open"))</f>
        <v/>
      </c>
    </row>
    <row r="10" ht="30" customHeight="1">
      <c r="A10" s="46" t="inlineStr">
        <is>
          <t>https://asconafrica.org/thank-you-for-signing-up-for-updates/</t>
        </is>
      </c>
      <c r="B10" s="48" t="n">
        <v>0</v>
      </c>
      <c r="C10" s="37" t="inlineStr">
        <is>
          <t>Needs Work</t>
        </is>
      </c>
      <c r="D10"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0" s="37" t="n">
        <v>0</v>
      </c>
      <c r="F10" s="37" t="n">
        <v>0</v>
      </c>
      <c r="G10" s="37" t="n">
        <v>0</v>
      </c>
      <c r="H10" s="50" t="b">
        <v>0</v>
      </c>
      <c r="I10" s="50" t="b">
        <v>0</v>
      </c>
      <c r="J10" s="37" t="b">
        <v>0</v>
      </c>
      <c r="K10" s="37" t="b">
        <v>0</v>
      </c>
      <c r="L10" s="37" t="b">
        <v>0</v>
      </c>
      <c r="M10" s="4" t="b">
        <v>0</v>
      </c>
      <c r="N10" s="4" t="b">
        <v>0</v>
      </c>
      <c r="O10">
        <f>IFERROR(HYPERLINK("#Main!A"&amp;MATCH(A10,Main!A:A,0),"Open"),HYPERLINK("#Main!A1","Open"))</f>
        <v/>
      </c>
    </row>
    <row r="11" ht="45" customHeight="1">
      <c r="A11" s="46" t="inlineStr">
        <is>
          <t>https://asconafrica.org/launch-event-2026-ascon-conference/thank-you-for-registering-conference-launch/</t>
        </is>
      </c>
      <c r="B11" s="52" t="n">
        <v>0</v>
      </c>
      <c r="C11" s="6" t="inlineStr">
        <is>
          <t>Needs Work</t>
        </is>
      </c>
      <c r="D11"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1" s="6" t="n">
        <v>0</v>
      </c>
      <c r="F11" s="6" t="n">
        <v>0</v>
      </c>
      <c r="G11" s="6" t="n">
        <v>0</v>
      </c>
      <c r="H11" s="50" t="b">
        <v>0</v>
      </c>
      <c r="I11" s="50" t="b">
        <v>0</v>
      </c>
      <c r="J11" s="6" t="b">
        <v>0</v>
      </c>
      <c r="K11" s="6" t="b">
        <v>0</v>
      </c>
      <c r="L11" s="6" t="b">
        <v>0</v>
      </c>
      <c r="M11" s="4" t="b">
        <v>0</v>
      </c>
      <c r="N11" s="4" t="b">
        <v>0</v>
      </c>
      <c r="O11">
        <f>IFERROR(HYPERLINK("#Main!A"&amp;MATCH(A11,Main!A:A,0),"Open"),HYPERLINK("#Main!A1","Open"))</f>
        <v/>
      </c>
    </row>
    <row r="12" ht="30" customHeight="1">
      <c r="A12" s="46" t="inlineStr">
        <is>
          <t>https://asconafrica.org/launch-event-2026-ascon-conference/</t>
        </is>
      </c>
      <c r="B12" s="48" t="n">
        <v>0</v>
      </c>
      <c r="C12" s="37" t="inlineStr">
        <is>
          <t>Needs Work</t>
        </is>
      </c>
      <c r="D12"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2" s="37" t="n">
        <v>0</v>
      </c>
      <c r="F12" s="37" t="n">
        <v>0</v>
      </c>
      <c r="G12" s="37" t="n">
        <v>0</v>
      </c>
      <c r="H12" s="50" t="b">
        <v>0</v>
      </c>
      <c r="I12" s="50" t="b">
        <v>0</v>
      </c>
      <c r="J12" s="37" t="b">
        <v>0</v>
      </c>
      <c r="K12" s="37" t="b">
        <v>0</v>
      </c>
      <c r="L12" s="37" t="b">
        <v>0</v>
      </c>
      <c r="M12" s="4" t="b">
        <v>0</v>
      </c>
      <c r="N12" s="4" t="b">
        <v>0</v>
      </c>
      <c r="O12">
        <f>IFERROR(HYPERLINK("#Main!A"&amp;MATCH(A12,Main!A:A,0),"Open"),HYPERLINK("#Main!A1","Open"))</f>
        <v/>
      </c>
    </row>
    <row r="13" ht="30" customHeight="1">
      <c r="A13" s="46" t="inlineStr">
        <is>
          <t>https://asconafrica.org/2026-ascon-awards/thank-you-for-your-nomination/</t>
        </is>
      </c>
      <c r="B13" s="52" t="n">
        <v>0</v>
      </c>
      <c r="C13" s="6" t="inlineStr">
        <is>
          <t>Needs Work</t>
        </is>
      </c>
      <c r="D13"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3" s="6" t="n">
        <v>0</v>
      </c>
      <c r="F13" s="6" t="n">
        <v>0</v>
      </c>
      <c r="G13" s="6" t="n">
        <v>0</v>
      </c>
      <c r="H13" s="50" t="b">
        <v>0</v>
      </c>
      <c r="I13" s="50" t="b">
        <v>0</v>
      </c>
      <c r="J13" s="6" t="b">
        <v>0</v>
      </c>
      <c r="K13" s="6" t="b">
        <v>0</v>
      </c>
      <c r="L13" s="6" t="b">
        <v>0</v>
      </c>
      <c r="M13" s="4" t="b">
        <v>0</v>
      </c>
      <c r="N13" s="4" t="b">
        <v>0</v>
      </c>
      <c r="O13">
        <f>IFERROR(HYPERLINK("#Main!A"&amp;MATCH(A13,Main!A:A,0),"Open"),HYPERLINK("#Main!A1","Open"))</f>
        <v/>
      </c>
    </row>
    <row r="14">
      <c r="A14" s="46" t="inlineStr">
        <is>
          <t>https://asconafrica.org/unsubscribe-form/</t>
        </is>
      </c>
      <c r="B14" s="48" t="n">
        <v>0</v>
      </c>
      <c r="C14" s="37" t="inlineStr">
        <is>
          <t>Needs Work</t>
        </is>
      </c>
      <c r="D14"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4" s="37" t="n">
        <v>0</v>
      </c>
      <c r="F14" s="37" t="n">
        <v>0</v>
      </c>
      <c r="G14" s="37" t="n">
        <v>0</v>
      </c>
      <c r="H14" s="50" t="b">
        <v>0</v>
      </c>
      <c r="I14" s="50" t="b">
        <v>0</v>
      </c>
      <c r="J14" s="37" t="b">
        <v>0</v>
      </c>
      <c r="K14" s="37" t="b">
        <v>0</v>
      </c>
      <c r="L14" s="37" t="b">
        <v>0</v>
      </c>
      <c r="M14" s="4" t="b">
        <v>0</v>
      </c>
      <c r="N14" s="4" t="b">
        <v>0</v>
      </c>
      <c r="O14">
        <f>IFERROR(HYPERLINK("#Main!A"&amp;MATCH(A14,Main!A:A,0),"Open"),HYPERLINK("#Main!A1","Open"))</f>
        <v/>
      </c>
    </row>
    <row r="15" ht="30" customHeight="1">
      <c r="A15" s="46" t="inlineStr">
        <is>
          <t>https://asconafrica.org/unsubscribe-form/successfully-unsubscribed/</t>
        </is>
      </c>
      <c r="B15" s="52" t="n">
        <v>0</v>
      </c>
      <c r="C15" s="6" t="inlineStr">
        <is>
          <t>Needs Work</t>
        </is>
      </c>
      <c r="D15" s="6"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5" s="6" t="n">
        <v>0</v>
      </c>
      <c r="F15" s="6" t="n">
        <v>0</v>
      </c>
      <c r="G15" s="6" t="n">
        <v>0</v>
      </c>
      <c r="H15" s="50" t="b">
        <v>0</v>
      </c>
      <c r="I15" s="50" t="b">
        <v>0</v>
      </c>
      <c r="J15" s="6" t="b">
        <v>0</v>
      </c>
      <c r="K15" s="6" t="b">
        <v>0</v>
      </c>
      <c r="L15" s="6" t="b">
        <v>0</v>
      </c>
      <c r="M15" s="4" t="b">
        <v>0</v>
      </c>
      <c r="N15" s="4" t="b">
        <v>0</v>
      </c>
      <c r="O15">
        <f>IFERROR(HYPERLINK("#Main!A"&amp;MATCH(A15,Main!A:A,0),"Open"),HYPERLINK("#Main!A1","Open"))</f>
        <v/>
      </c>
    </row>
    <row r="16">
      <c r="A16" s="46" t="inlineStr">
        <is>
          <t>https://asconafrica.org/contact-us/</t>
        </is>
      </c>
      <c r="B16" s="48" t="n">
        <v>0</v>
      </c>
      <c r="C16" s="37" t="inlineStr">
        <is>
          <t>Needs Work</t>
        </is>
      </c>
      <c r="D16" s="37" t="inlineStr">
        <is>
          <t>Missing 40-60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is>
      </c>
      <c r="E16" s="37" t="n">
        <v>0</v>
      </c>
      <c r="F16" s="37" t="n">
        <v>0</v>
      </c>
      <c r="G16" s="37" t="n">
        <v>0</v>
      </c>
      <c r="H16" s="50" t="b">
        <v>0</v>
      </c>
      <c r="I16" s="50" t="b">
        <v>0</v>
      </c>
      <c r="J16" s="37" t="b">
        <v>0</v>
      </c>
      <c r="K16" s="37" t="b">
        <v>0</v>
      </c>
      <c r="L16" s="37" t="b">
        <v>0</v>
      </c>
      <c r="M16" s="4" t="b">
        <v>0</v>
      </c>
      <c r="N16" s="4" t="b">
        <v>0</v>
      </c>
      <c r="O16">
        <f>IFERROR(HYPERLINK("#Main!A"&amp;MATCH(A16,Main!A:A,0),"Open"),HYPERLINK("#Main!A1","Open"))</f>
        <v/>
      </c>
    </row>
  </sheetData>
  <autoFilter ref="A1:N16"/>
  <conditionalFormatting sqref="B2:B16">
    <cfRule type="colorScale" priority="1">
      <colorScale>
        <cfvo type="min"/>
        <cfvo type="percentile" val="50"/>
        <cfvo type="max"/>
        <color rgb="00F8696B"/>
        <color rgb="00FFEB84"/>
        <color rgb="0063BE7B"/>
      </colorScale>
    </cfRule>
  </conditionalFormatting>
  <dataValidations count="1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EO Readiness Score" prompt="AEO Readiness Score. Review this metric to identify risk, then use linked tabs for details and remediation." type="custom">
      <formula1>TRUE</formula1>
    </dataValidation>
    <dataValidation sqref="C1" showDropDown="0" showInputMessage="1" showErrorMessage="0" allowBlank="1" promptTitle="AEO Badge" prompt="AEO Badge. Review this metric to identify risk, then use linked tabs for details and remediation." type="custom">
      <formula1>TRUE</formula1>
    </dataValidation>
    <dataValidation sqref="D1" showDropDown="0" showInputMessage="1" showErrorMessage="0" allowBlank="1" promptTitle="Why It Matters" prompt="Why It Matters. Review this metric to identify risk, then use linked tabs for details and remediation." type="custom">
      <formula1>TRUE</formula1>
    </dataValidation>
    <dataValidation sqref="E1" showDropDown="0" showInputMessage="1" showErrorMessage="0" allowBlank="1" promptTitle="FAQ Section Count" prompt="Summary grouping/navigation field. Use with hyperlinks to jump into detailed tabs." type="custom">
      <formula1>TRUE</formula1>
    </dataValidation>
    <dataValidation sqref="F1" showDropDown="0" showInputMessage="1" showErrorMessage="0" allowBlank="1" promptTitle="Question Heading Count" prompt="Question Heading Count. Review this metric to identify risk, then use linked tabs for details and remediation." type="custom">
      <formula1>TRUE</formula1>
    </dataValidation>
    <dataValidation sqref="G1" showDropDown="0" showInputMessage="1" showErrorMessage="0" allowBlank="1" promptTitle="Paragraphs 40-60 Words Count" prompt="Paragraphs 40-60 Words Count. Review this metric to identify risk, then use linked tabs for details and remediation." type="custom">
      <formula1>TRUE</formula1>
    </dataValidation>
    <dataValidation sqref="H1" showDropDown="0" showInputMessage="1" showErrorMessage="0" allowBlank="1" promptTitle="QAPage/FAQ Schema Present" prompt="Structured data signal. Fix: add valid schema types and correct parsing/validation errors." type="custom">
      <formula1>TRUE</formula1>
    </dataValidation>
    <dataValidation sqref="I1" showDropDown="0" showInputMessage="1" showErrorMessage="0" allowBlank="1" promptTitle="Speakable Schema Present" prompt="Structured data signal. Fix: add valid schema types and correct parsing/validation errors." type="custom">
      <formula1>TRUE</formula1>
    </dataValidation>
    <dataValidation sqref="J1" showDropDown="0" showInputMessage="1" showErrorMessage="0" allowBlank="1" promptTitle="HowTo Signal" prompt="HowTo Signal. Review this metric to identify risk, then use linked tabs for details and remediation." type="custom">
      <formula1>TRUE</formula1>
    </dataValidation>
    <dataValidation sqref="K1" showDropDown="0" showInputMessage="1" showErrorMessage="0" allowBlank="1" promptTitle="Definition Signal" prompt="Definition Signal. Review this metric to identify risk, then use linked tabs for details and remediation." type="custom">
      <formula1>TRUE</formula1>
    </dataValidation>
    <dataValidation sqref="L1" showDropDown="0" showInputMessage="1" showErrorMessage="0" allowBlank="1" promptTitle="List/Table Answer Signal" prompt="List/Table Answer Signal. Review this metric to identify risk, then use linked tabs for details and remediation." type="custom">
      <formula1>TRUE</formula1>
    </dataValidation>
    <dataValidation sqref="M1" showDropDown="0" showInputMessage="1" showErrorMessage="0" allowBlank="1" promptTitle="Title Missing" prompt="Title Missing. Review this metric to identify risk, then use linked tabs for details and remediation." type="custom">
      <formula1>TRUE</formula1>
    </dataValidation>
    <dataValidation sqref="N1" showDropDown="0" showInputMessage="1" showErrorMessage="0" allowBlank="1" promptTitle="Meta Description Missing" prompt="Meta Description Missing. Review this metric to identify risk, then use linked tabs for details and remediation." type="custom">
      <formula1>TRUE</formula1>
    </dataValidation>
    <dataValidation sqref="O1" showDropDown="0" showInputMessage="1" showErrorMessage="0" allowBlank="1" promptTitle="Open in Main" prompt="Navigation helper. Click to jump directly to the related record in another tab." type="custom">
      <formula1>TRUE</formula1>
    </dataValidation>
    <dataValidation sqref="P1" showDropDown="0" showInputMessage="1" showErrorMessage="0" allowBlank="1" promptTitle="BACK TO DASHBOARD" prompt="BACK TO DASHBOARD. Review this metric to identify risk, then use linked tabs for details and remediation." type="custom">
      <formula1>TRUE</formula1>
    </dataValidation>
    <dataValidation sqref="B1" showDropDown="0" showInputMessage="1" showErrorMessage="0" allowBlank="1" promptTitle="AEO Readiness Score" prompt="Composite Answer Engine Optimization quality score. Fix: Add concise answer sections, FAQ schema, and clear question headings." type="custom">
      <formula1>TRUE</formula1>
    </dataValidation>
  </dataValidations>
  <hyperlinks>
    <hyperlink xmlns:r="http://schemas.openxmlformats.org/officeDocument/2006/relationships" ref="P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1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4" customWidth="1" min="2" max="2"/>
    <col width="10" customWidth="1" min="3" max="3"/>
    <col width="43" customWidth="1" min="4" max="4"/>
    <col width="16" customWidth="1" min="5" max="5"/>
    <col width="15" customWidth="1" min="6" max="6"/>
    <col width="35" customWidth="1" min="7" max="7"/>
    <col width="55" customWidth="1" min="8" max="8"/>
    <col width="16" customWidth="1" min="9" max="9"/>
    <col width="30" customWidth="1" min="10" max="10"/>
    <col width="15" customWidth="1" min="11" max="11"/>
    <col width="13" customWidth="1" min="12" max="12"/>
    <col width="8" customWidth="1" min="13" max="13"/>
    <col width="12" customWidth="1" min="14" max="14"/>
    <col width="60" customWidth="1" min="15" max="15"/>
    <col width="60" customWidth="1" min="16" max="16"/>
  </cols>
  <sheetData>
    <row r="1">
      <c r="A1" s="3" t="inlineStr">
        <is>
          <t>URL</t>
        </is>
      </c>
      <c r="B1" s="3" t="inlineStr">
        <is>
          <t>AIOSEO Panel</t>
        </is>
      </c>
      <c r="C1" s="3" t="inlineStr">
        <is>
          <t>Severity</t>
        </is>
      </c>
      <c r="D1" s="3" t="inlineStr">
        <is>
          <t>Issue</t>
        </is>
      </c>
      <c r="E1" s="3" t="inlineStr">
        <is>
          <t>Priority Score</t>
        </is>
      </c>
      <c r="F1" s="3" t="inlineStr">
        <is>
          <t>Current Value</t>
        </is>
      </c>
      <c r="G1" s="3" t="inlineStr">
        <is>
          <t>Recommended Target</t>
        </is>
      </c>
      <c r="H1" s="3" t="inlineStr">
        <is>
          <t>How to Fix in AIOSEO</t>
        </is>
      </c>
      <c r="I1" s="3" t="inlineStr">
        <is>
          <t>Reference Tab</t>
        </is>
      </c>
      <c r="J1" s="3" t="inlineStr">
        <is>
          <t>Reference Field</t>
        </is>
      </c>
      <c r="K1" s="3" t="inlineStr">
        <is>
          <t>Action Needed</t>
        </is>
      </c>
      <c r="L1" s="3" t="inlineStr">
        <is>
          <t>Owner</t>
        </is>
      </c>
      <c r="M1" s="3" t="inlineStr">
        <is>
          <t>Status</t>
        </is>
      </c>
      <c r="N1" s="3" t="inlineStr">
        <is>
          <t>Est. Hours</t>
        </is>
      </c>
      <c r="O1" s="3" t="inlineStr">
        <is>
          <t>Stable Issue ID</t>
        </is>
      </c>
      <c r="P1" s="3" t="inlineStr">
        <is>
          <t>Why It Matters</t>
        </is>
      </c>
      <c r="Q1" t="inlineStr">
        <is>
          <t>Open in Main</t>
        </is>
      </c>
      <c r="R1" t="inlineStr">
        <is>
          <t>Open in Technical</t>
        </is>
      </c>
      <c r="S1" s="36" t="inlineStr">
        <is>
          <t>BACK TO DASHBOARD</t>
        </is>
      </c>
    </row>
    <row r="2" ht="30" customHeight="1">
      <c r="A2" s="46" t="inlineStr">
        <is>
          <t>https://asconafrica.org/</t>
        </is>
      </c>
      <c r="B2" s="37" t="inlineStr">
        <is>
          <t>Content</t>
        </is>
      </c>
      <c r="C2" s="38" t="inlineStr">
        <is>
          <t>Warning</t>
        </is>
      </c>
      <c r="D2" s="37" t="inlineStr">
        <is>
          <t>Low AEO readiness score</t>
        </is>
      </c>
      <c r="E2" s="56" t="n">
        <v>67</v>
      </c>
      <c r="F2" s="37" t="n">
        <v>0</v>
      </c>
      <c r="G2" s="37" t="inlineStr">
        <is>
          <t>&gt;=60</t>
        </is>
      </c>
      <c r="H2" s="37" t="inlineStr">
        <is>
          <t>Add concise answer blocks, question-led subheadings, and clear structured sections.</t>
        </is>
      </c>
      <c r="I2" s="41" t="inlineStr">
        <is>
          <t>AEO</t>
        </is>
      </c>
      <c r="J2" s="37" t="inlineStr">
        <is>
          <t>AEO Readiness Score</t>
        </is>
      </c>
      <c r="K2" s="37" t="inlineStr">
        <is>
          <t>Yes</t>
        </is>
      </c>
      <c r="L2" s="37" t="inlineStr">
        <is>
          <t>Copy Writer</t>
        </is>
      </c>
      <c r="M2" s="45" t="inlineStr">
        <is>
          <t>Open</t>
        </is>
      </c>
      <c r="N2" s="37" t="n">
        <v>4</v>
      </c>
      <c r="O2" s="37" t="inlineStr">
        <is>
          <t>https://asconafrica.org/::aioseo_low_aeo_readiness_score</t>
        </is>
      </c>
      <c r="P2" s="37" t="inlineStr">
        <is>
          <t>Weak answer-style structure lowers AI/answer-engine retrieval potential.</t>
        </is>
      </c>
      <c r="Q2">
        <f>IFERROR(HYPERLINK("#Main!A"&amp;MATCH(A2,Main!A:A,0),"Open"),HYPERLINK("#Main!A1","Open"))</f>
        <v/>
      </c>
      <c r="R2">
        <f>IFERROR(HYPERLINK("#Technical!A"&amp;MATCH(A2,Technical!A:A,0),"Open"),HYPERLINK("#Technical!A1","Open"))</f>
        <v/>
      </c>
    </row>
    <row r="3" ht="30" customHeight="1">
      <c r="A3" s="46" t="inlineStr">
        <is>
          <t>https://asconafrica.org/2026-ascon-awards/</t>
        </is>
      </c>
      <c r="B3" s="6" t="inlineStr">
        <is>
          <t>Content</t>
        </is>
      </c>
      <c r="C3" s="38" t="inlineStr">
        <is>
          <t>Warning</t>
        </is>
      </c>
      <c r="D3" s="6" t="inlineStr">
        <is>
          <t>Low AEO readiness score</t>
        </is>
      </c>
      <c r="E3" s="7" t="n">
        <v>67</v>
      </c>
      <c r="F3" s="6" t="n">
        <v>0</v>
      </c>
      <c r="G3" s="6" t="inlineStr">
        <is>
          <t>&gt;=60</t>
        </is>
      </c>
      <c r="H3" s="6" t="inlineStr">
        <is>
          <t>Add concise answer blocks, question-led subheadings, and clear structured sections.</t>
        </is>
      </c>
      <c r="I3" s="44" t="inlineStr">
        <is>
          <t>AEO</t>
        </is>
      </c>
      <c r="J3" s="6" t="inlineStr">
        <is>
          <t>AEO Readiness Score</t>
        </is>
      </c>
      <c r="K3" s="6" t="inlineStr">
        <is>
          <t>Yes</t>
        </is>
      </c>
      <c r="L3" s="6" t="inlineStr">
        <is>
          <t>Copy Writer</t>
        </is>
      </c>
      <c r="M3" s="45" t="inlineStr">
        <is>
          <t>Open</t>
        </is>
      </c>
      <c r="N3" s="6" t="n">
        <v>4</v>
      </c>
      <c r="O3" s="6" t="inlineStr">
        <is>
          <t>https://asconafrica.org/2026-ascon-awards/::aioseo_low_aeo_readiness_score</t>
        </is>
      </c>
      <c r="P3" s="6" t="inlineStr">
        <is>
          <t>Weak answer-style structure lowers AI/answer-engine retrieval potential.</t>
        </is>
      </c>
      <c r="Q3">
        <f>IFERROR(HYPERLINK("#Main!A"&amp;MATCH(A3,Main!A:A,0),"Open"),HYPERLINK("#Main!A1","Open"))</f>
        <v/>
      </c>
      <c r="R3">
        <f>IFERROR(HYPERLINK("#Technical!A"&amp;MATCH(A3,Technical!A:A,0),"Open"),HYPERLINK("#Technical!A1","Open"))</f>
        <v/>
      </c>
    </row>
    <row r="4" ht="30" customHeight="1">
      <c r="A4" s="46" t="inlineStr">
        <is>
          <t>https://asconafrica.org/2026-ascon-awards/thank-you-for-your-nomination/</t>
        </is>
      </c>
      <c r="B4" s="37" t="inlineStr">
        <is>
          <t>Content</t>
        </is>
      </c>
      <c r="C4" s="38" t="inlineStr">
        <is>
          <t>Warning</t>
        </is>
      </c>
      <c r="D4" s="37" t="inlineStr">
        <is>
          <t>Low AEO readiness score</t>
        </is>
      </c>
      <c r="E4" s="56" t="n">
        <v>67</v>
      </c>
      <c r="F4" s="37" t="n">
        <v>0</v>
      </c>
      <c r="G4" s="37" t="inlineStr">
        <is>
          <t>&gt;=60</t>
        </is>
      </c>
      <c r="H4" s="37" t="inlineStr">
        <is>
          <t>Add concise answer blocks, question-led subheadings, and clear structured sections.</t>
        </is>
      </c>
      <c r="I4" s="41" t="inlineStr">
        <is>
          <t>AEO</t>
        </is>
      </c>
      <c r="J4" s="37" t="inlineStr">
        <is>
          <t>AEO Readiness Score</t>
        </is>
      </c>
      <c r="K4" s="37" t="inlineStr">
        <is>
          <t>Yes</t>
        </is>
      </c>
      <c r="L4" s="37" t="inlineStr">
        <is>
          <t>Copy Writer</t>
        </is>
      </c>
      <c r="M4" s="45" t="inlineStr">
        <is>
          <t>Open</t>
        </is>
      </c>
      <c r="N4" s="37" t="n">
        <v>4</v>
      </c>
      <c r="O4" s="37" t="inlineStr">
        <is>
          <t>https://asconafrica.org/2026-ascon-awards/thank-you-for-your-nomination/::aioseo_low_aeo_readiness_score</t>
        </is>
      </c>
      <c r="P4" s="37" t="inlineStr">
        <is>
          <t>Weak answer-style structure lowers AI/answer-engine retrieval potential.</t>
        </is>
      </c>
      <c r="Q4">
        <f>IFERROR(HYPERLINK("#Main!A"&amp;MATCH(A4,Main!A:A,0),"Open"),HYPERLINK("#Main!A1","Open"))</f>
        <v/>
      </c>
      <c r="R4">
        <f>IFERROR(HYPERLINK("#Technical!A"&amp;MATCH(A4,Technical!A:A,0),"Open"),HYPERLINK("#Technical!A1","Open"))</f>
        <v/>
      </c>
    </row>
    <row r="5" ht="30" customHeight="1">
      <c r="A5" s="46" t="inlineStr">
        <is>
          <t>https://asconafrica.org/2026-ascon-conference/</t>
        </is>
      </c>
      <c r="B5" s="6" t="inlineStr">
        <is>
          <t>Content</t>
        </is>
      </c>
      <c r="C5" s="38" t="inlineStr">
        <is>
          <t>Warning</t>
        </is>
      </c>
      <c r="D5" s="6" t="inlineStr">
        <is>
          <t>Low AEO readiness score</t>
        </is>
      </c>
      <c r="E5" s="7" t="n">
        <v>67</v>
      </c>
      <c r="F5" s="6" t="n">
        <v>0</v>
      </c>
      <c r="G5" s="6" t="inlineStr">
        <is>
          <t>&gt;=60</t>
        </is>
      </c>
      <c r="H5" s="6" t="inlineStr">
        <is>
          <t>Add concise answer blocks, question-led subheadings, and clear structured sections.</t>
        </is>
      </c>
      <c r="I5" s="44" t="inlineStr">
        <is>
          <t>AEO</t>
        </is>
      </c>
      <c r="J5" s="6" t="inlineStr">
        <is>
          <t>AEO Readiness Score</t>
        </is>
      </c>
      <c r="K5" s="6" t="inlineStr">
        <is>
          <t>Yes</t>
        </is>
      </c>
      <c r="L5" s="6" t="inlineStr">
        <is>
          <t>Copy Writer</t>
        </is>
      </c>
      <c r="M5" s="45" t="inlineStr">
        <is>
          <t>Open</t>
        </is>
      </c>
      <c r="N5" s="6" t="n">
        <v>4</v>
      </c>
      <c r="O5" s="6" t="inlineStr">
        <is>
          <t>https://asconafrica.org/2026-ascon-conference/::aioseo_low_aeo_readiness_score</t>
        </is>
      </c>
      <c r="P5" s="6" t="inlineStr">
        <is>
          <t>Weak answer-style structure lowers AI/answer-engine retrieval potential.</t>
        </is>
      </c>
      <c r="Q5">
        <f>IFERROR(HYPERLINK("#Main!A"&amp;MATCH(A5,Main!A:A,0),"Open"),HYPERLINK("#Main!A1","Open"))</f>
        <v/>
      </c>
      <c r="R5">
        <f>IFERROR(HYPERLINK("#Technical!A"&amp;MATCH(A5,Technical!A:A,0),"Open"),HYPERLINK("#Technical!A1","Open"))</f>
        <v/>
      </c>
    </row>
    <row r="6" ht="30" customHeight="1">
      <c r="A6" s="46" t="inlineStr">
        <is>
          <t>https://asconafrica.org/2026-ascon-conference/thank-you-for-signing-up/</t>
        </is>
      </c>
      <c r="B6" s="37" t="inlineStr">
        <is>
          <t>Content</t>
        </is>
      </c>
      <c r="C6" s="38" t="inlineStr">
        <is>
          <t>Warning</t>
        </is>
      </c>
      <c r="D6" s="37" t="inlineStr">
        <is>
          <t>Low AEO readiness score</t>
        </is>
      </c>
      <c r="E6" s="56" t="n">
        <v>67</v>
      </c>
      <c r="F6" s="37" t="n">
        <v>0</v>
      </c>
      <c r="G6" s="37" t="inlineStr">
        <is>
          <t>&gt;=60</t>
        </is>
      </c>
      <c r="H6" s="37" t="inlineStr">
        <is>
          <t>Add concise answer blocks, question-led subheadings, and clear structured sections.</t>
        </is>
      </c>
      <c r="I6" s="41" t="inlineStr">
        <is>
          <t>AEO</t>
        </is>
      </c>
      <c r="J6" s="37" t="inlineStr">
        <is>
          <t>AEO Readiness Score</t>
        </is>
      </c>
      <c r="K6" s="37" t="inlineStr">
        <is>
          <t>Yes</t>
        </is>
      </c>
      <c r="L6" s="37" t="inlineStr">
        <is>
          <t>Copy Writer</t>
        </is>
      </c>
      <c r="M6" s="45" t="inlineStr">
        <is>
          <t>Open</t>
        </is>
      </c>
      <c r="N6" s="37" t="n">
        <v>4</v>
      </c>
      <c r="O6" s="37" t="inlineStr">
        <is>
          <t>https://asconafrica.org/2026-ascon-conference/thank-you-for-signing-up/::aioseo_low_aeo_readiness_score</t>
        </is>
      </c>
      <c r="P6" s="37" t="inlineStr">
        <is>
          <t>Weak answer-style structure lowers AI/answer-engine retrieval potential.</t>
        </is>
      </c>
      <c r="Q6">
        <f>IFERROR(HYPERLINK("#Main!A"&amp;MATCH(A6,Main!A:A,0),"Open"),HYPERLINK("#Main!A1","Open"))</f>
        <v/>
      </c>
      <c r="R6">
        <f>IFERROR(HYPERLINK("#Technical!A"&amp;MATCH(A6,Technical!A:A,0),"Open"),HYPERLINK("#Technical!A1","Open"))</f>
        <v/>
      </c>
    </row>
    <row r="7" ht="30" customHeight="1">
      <c r="A7" s="46" t="inlineStr">
        <is>
          <t>https://asconafrica.org/about-us/</t>
        </is>
      </c>
      <c r="B7" s="6" t="inlineStr">
        <is>
          <t>Content</t>
        </is>
      </c>
      <c r="C7" s="38" t="inlineStr">
        <is>
          <t>Warning</t>
        </is>
      </c>
      <c r="D7" s="6" t="inlineStr">
        <is>
          <t>Low AEO readiness score</t>
        </is>
      </c>
      <c r="E7" s="7" t="n">
        <v>67</v>
      </c>
      <c r="F7" s="6" t="n">
        <v>0</v>
      </c>
      <c r="G7" s="6" t="inlineStr">
        <is>
          <t>&gt;=60</t>
        </is>
      </c>
      <c r="H7" s="6" t="inlineStr">
        <is>
          <t>Add concise answer blocks, question-led subheadings, and clear structured sections.</t>
        </is>
      </c>
      <c r="I7" s="44" t="inlineStr">
        <is>
          <t>AEO</t>
        </is>
      </c>
      <c r="J7" s="6" t="inlineStr">
        <is>
          <t>AEO Readiness Score</t>
        </is>
      </c>
      <c r="K7" s="6" t="inlineStr">
        <is>
          <t>Yes</t>
        </is>
      </c>
      <c r="L7" s="6" t="inlineStr">
        <is>
          <t>Copy Writer</t>
        </is>
      </c>
      <c r="M7" s="45" t="inlineStr">
        <is>
          <t>Open</t>
        </is>
      </c>
      <c r="N7" s="6" t="n">
        <v>4</v>
      </c>
      <c r="O7" s="6" t="inlineStr">
        <is>
          <t>https://asconafrica.org/about-us/::aioseo_low_aeo_readiness_score</t>
        </is>
      </c>
      <c r="P7" s="6" t="inlineStr">
        <is>
          <t>Weak answer-style structure lowers AI/answer-engine retrieval potential.</t>
        </is>
      </c>
      <c r="Q7">
        <f>IFERROR(HYPERLINK("#Main!A"&amp;MATCH(A7,Main!A:A,0),"Open"),HYPERLINK("#Main!A1","Open"))</f>
        <v/>
      </c>
      <c r="R7">
        <f>IFERROR(HYPERLINK("#Technical!A"&amp;MATCH(A7,Technical!A:A,0),"Open"),HYPERLINK("#Technical!A1","Open"))</f>
        <v/>
      </c>
    </row>
    <row r="8" ht="30" customHeight="1">
      <c r="A8" s="46" t="inlineStr">
        <is>
          <t>https://asconafrica.org/contact-us/</t>
        </is>
      </c>
      <c r="B8" s="37" t="inlineStr">
        <is>
          <t>Content</t>
        </is>
      </c>
      <c r="C8" s="38" t="inlineStr">
        <is>
          <t>Warning</t>
        </is>
      </c>
      <c r="D8" s="37" t="inlineStr">
        <is>
          <t>Low AEO readiness score</t>
        </is>
      </c>
      <c r="E8" s="56" t="n">
        <v>67</v>
      </c>
      <c r="F8" s="37" t="n">
        <v>0</v>
      </c>
      <c r="G8" s="37" t="inlineStr">
        <is>
          <t>&gt;=60</t>
        </is>
      </c>
      <c r="H8" s="37" t="inlineStr">
        <is>
          <t>Add concise answer blocks, question-led subheadings, and clear structured sections.</t>
        </is>
      </c>
      <c r="I8" s="41" t="inlineStr">
        <is>
          <t>AEO</t>
        </is>
      </c>
      <c r="J8" s="37" t="inlineStr">
        <is>
          <t>AEO Readiness Score</t>
        </is>
      </c>
      <c r="K8" s="37" t="inlineStr">
        <is>
          <t>Yes</t>
        </is>
      </c>
      <c r="L8" s="37" t="inlineStr">
        <is>
          <t>Copy Writer</t>
        </is>
      </c>
      <c r="M8" s="45" t="inlineStr">
        <is>
          <t>Open</t>
        </is>
      </c>
      <c r="N8" s="37" t="n">
        <v>4</v>
      </c>
      <c r="O8" s="37" t="inlineStr">
        <is>
          <t>https://asconafrica.org/contact-us/::aioseo_low_aeo_readiness_score</t>
        </is>
      </c>
      <c r="P8" s="37" t="inlineStr">
        <is>
          <t>Weak answer-style structure lowers AI/answer-engine retrieval potential.</t>
        </is>
      </c>
      <c r="Q8">
        <f>IFERROR(HYPERLINK("#Main!A"&amp;MATCH(A8,Main!A:A,0),"Open"),HYPERLINK("#Main!A1","Open"))</f>
        <v/>
      </c>
      <c r="R8">
        <f>IFERROR(HYPERLINK("#Technical!A"&amp;MATCH(A8,Technical!A:A,0),"Open"),HYPERLINK("#Technical!A1","Open"))</f>
        <v/>
      </c>
    </row>
    <row r="9" ht="30" customHeight="1">
      <c r="A9" s="46" t="inlineStr">
        <is>
          <t>https://asconafrica.org/launch-event-2026-ascon-conference/</t>
        </is>
      </c>
      <c r="B9" s="6" t="inlineStr">
        <is>
          <t>Content</t>
        </is>
      </c>
      <c r="C9" s="38" t="inlineStr">
        <is>
          <t>Warning</t>
        </is>
      </c>
      <c r="D9" s="6" t="inlineStr">
        <is>
          <t>Low AEO readiness score</t>
        </is>
      </c>
      <c r="E9" s="7" t="n">
        <v>67</v>
      </c>
      <c r="F9" s="6" t="n">
        <v>0</v>
      </c>
      <c r="G9" s="6" t="inlineStr">
        <is>
          <t>&gt;=60</t>
        </is>
      </c>
      <c r="H9" s="6" t="inlineStr">
        <is>
          <t>Add concise answer blocks, question-led subheadings, and clear structured sections.</t>
        </is>
      </c>
      <c r="I9" s="44" t="inlineStr">
        <is>
          <t>AEO</t>
        </is>
      </c>
      <c r="J9" s="6" t="inlineStr">
        <is>
          <t>AEO Readiness Score</t>
        </is>
      </c>
      <c r="K9" s="6" t="inlineStr">
        <is>
          <t>Yes</t>
        </is>
      </c>
      <c r="L9" s="6" t="inlineStr">
        <is>
          <t>Copy Writer</t>
        </is>
      </c>
      <c r="M9" s="45" t="inlineStr">
        <is>
          <t>Open</t>
        </is>
      </c>
      <c r="N9" s="6" t="n">
        <v>4</v>
      </c>
      <c r="O9" s="6" t="inlineStr">
        <is>
          <t>https://asconafrica.org/launch-event-2026-ascon-conference/::aioseo_low_aeo_readiness_score</t>
        </is>
      </c>
      <c r="P9" s="6" t="inlineStr">
        <is>
          <t>Weak answer-style structure lowers AI/answer-engine retrieval potential.</t>
        </is>
      </c>
      <c r="Q9">
        <f>IFERROR(HYPERLINK("#Main!A"&amp;MATCH(A9,Main!A:A,0),"Open"),HYPERLINK("#Main!A1","Open"))</f>
        <v/>
      </c>
      <c r="R9">
        <f>IFERROR(HYPERLINK("#Technical!A"&amp;MATCH(A9,Technical!A:A,0),"Open"),HYPERLINK("#Technical!A1","Open"))</f>
        <v/>
      </c>
    </row>
    <row r="10" ht="45" customHeight="1">
      <c r="A10" s="46" t="inlineStr">
        <is>
          <t>https://asconafrica.org/launch-event-2026-ascon-conference/thank-you-for-registering-conference-launch/</t>
        </is>
      </c>
      <c r="B10" s="37" t="inlineStr">
        <is>
          <t>Content</t>
        </is>
      </c>
      <c r="C10" s="38" t="inlineStr">
        <is>
          <t>Warning</t>
        </is>
      </c>
      <c r="D10" s="37" t="inlineStr">
        <is>
          <t>Low AEO readiness score</t>
        </is>
      </c>
      <c r="E10" s="56" t="n">
        <v>67</v>
      </c>
      <c r="F10" s="37" t="n">
        <v>0</v>
      </c>
      <c r="G10" s="37" t="inlineStr">
        <is>
          <t>&gt;=60</t>
        </is>
      </c>
      <c r="H10" s="37" t="inlineStr">
        <is>
          <t>Add concise answer blocks, question-led subheadings, and clear structured sections.</t>
        </is>
      </c>
      <c r="I10" s="41" t="inlineStr">
        <is>
          <t>AEO</t>
        </is>
      </c>
      <c r="J10" s="37" t="inlineStr">
        <is>
          <t>AEO Readiness Score</t>
        </is>
      </c>
      <c r="K10" s="37" t="inlineStr">
        <is>
          <t>Yes</t>
        </is>
      </c>
      <c r="L10" s="37" t="inlineStr">
        <is>
          <t>Copy Writer</t>
        </is>
      </c>
      <c r="M10" s="45" t="inlineStr">
        <is>
          <t>Open</t>
        </is>
      </c>
      <c r="N10" s="37" t="n">
        <v>4</v>
      </c>
      <c r="O10" s="37" t="inlineStr">
        <is>
          <t>https://asconafrica.org/launch-event-2026-ascon-conference/thank-you-for-registering-conference-launch/::aioseo_low_aeo_readiness_score</t>
        </is>
      </c>
      <c r="P10" s="37" t="inlineStr">
        <is>
          <t>Weak answer-style structure lowers AI/answer-engine retrieval potential.</t>
        </is>
      </c>
      <c r="Q10">
        <f>IFERROR(HYPERLINK("#Main!A"&amp;MATCH(A10,Main!A:A,0),"Open"),HYPERLINK("#Main!A1","Open"))</f>
        <v/>
      </c>
      <c r="R10">
        <f>IFERROR(HYPERLINK("#Technical!A"&amp;MATCH(A10,Technical!A:A,0),"Open"),HYPERLINK("#Technical!A1","Open"))</f>
        <v/>
      </c>
    </row>
    <row r="11" ht="30" customHeight="1">
      <c r="A11" s="46" t="inlineStr">
        <is>
          <t>https://asconafrica.org/news/</t>
        </is>
      </c>
      <c r="B11" s="6" t="inlineStr">
        <is>
          <t>Content</t>
        </is>
      </c>
      <c r="C11" s="38" t="inlineStr">
        <is>
          <t>Warning</t>
        </is>
      </c>
      <c r="D11" s="6" t="inlineStr">
        <is>
          <t>Low AEO readiness score</t>
        </is>
      </c>
      <c r="E11" s="7" t="n">
        <v>67</v>
      </c>
      <c r="F11" s="6" t="n">
        <v>0</v>
      </c>
      <c r="G11" s="6" t="inlineStr">
        <is>
          <t>&gt;=60</t>
        </is>
      </c>
      <c r="H11" s="6" t="inlineStr">
        <is>
          <t>Add concise answer blocks, question-led subheadings, and clear structured sections.</t>
        </is>
      </c>
      <c r="I11" s="44" t="inlineStr">
        <is>
          <t>AEO</t>
        </is>
      </c>
      <c r="J11" s="6" t="inlineStr">
        <is>
          <t>AEO Readiness Score</t>
        </is>
      </c>
      <c r="K11" s="6" t="inlineStr">
        <is>
          <t>Yes</t>
        </is>
      </c>
      <c r="L11" s="6" t="inlineStr">
        <is>
          <t>Copy Writer</t>
        </is>
      </c>
      <c r="M11" s="45" t="inlineStr">
        <is>
          <t>Open</t>
        </is>
      </c>
      <c r="N11" s="6" t="n">
        <v>4</v>
      </c>
      <c r="O11" s="6" t="inlineStr">
        <is>
          <t>https://asconafrica.org/news/::aioseo_low_aeo_readiness_score</t>
        </is>
      </c>
      <c r="P11" s="6" t="inlineStr">
        <is>
          <t>Weak answer-style structure lowers AI/answer-engine retrieval potential.</t>
        </is>
      </c>
      <c r="Q11">
        <f>IFERROR(HYPERLINK("#Main!A"&amp;MATCH(A11,Main!A:A,0),"Open"),HYPERLINK("#Main!A1","Open"))</f>
        <v/>
      </c>
      <c r="R11">
        <f>IFERROR(HYPERLINK("#Technical!A"&amp;MATCH(A11,Technical!A:A,0),"Open"),HYPERLINK("#Technical!A1","Open"))</f>
        <v/>
      </c>
    </row>
    <row r="12" ht="30" customHeight="1">
      <c r="A12" s="46" t="inlineStr">
        <is>
          <t>https://asconafrica.org/our-members/</t>
        </is>
      </c>
      <c r="B12" s="37" t="inlineStr">
        <is>
          <t>Content</t>
        </is>
      </c>
      <c r="C12" s="38" t="inlineStr">
        <is>
          <t>Warning</t>
        </is>
      </c>
      <c r="D12" s="37" t="inlineStr">
        <is>
          <t>Low AEO readiness score</t>
        </is>
      </c>
      <c r="E12" s="56" t="n">
        <v>67</v>
      </c>
      <c r="F12" s="37" t="n">
        <v>0</v>
      </c>
      <c r="G12" s="37" t="inlineStr">
        <is>
          <t>&gt;=60</t>
        </is>
      </c>
      <c r="H12" s="37" t="inlineStr">
        <is>
          <t>Add concise answer blocks, question-led subheadings, and clear structured sections.</t>
        </is>
      </c>
      <c r="I12" s="41" t="inlineStr">
        <is>
          <t>AEO</t>
        </is>
      </c>
      <c r="J12" s="37" t="inlineStr">
        <is>
          <t>AEO Readiness Score</t>
        </is>
      </c>
      <c r="K12" s="37" t="inlineStr">
        <is>
          <t>Yes</t>
        </is>
      </c>
      <c r="L12" s="37" t="inlineStr">
        <is>
          <t>Copy Writer</t>
        </is>
      </c>
      <c r="M12" s="45" t="inlineStr">
        <is>
          <t>Open</t>
        </is>
      </c>
      <c r="N12" s="37" t="n">
        <v>4</v>
      </c>
      <c r="O12" s="37" t="inlineStr">
        <is>
          <t>https://asconafrica.org/our-members/::aioseo_low_aeo_readiness_score</t>
        </is>
      </c>
      <c r="P12" s="37" t="inlineStr">
        <is>
          <t>Weak answer-style structure lowers AI/answer-engine retrieval potential.</t>
        </is>
      </c>
      <c r="Q12">
        <f>IFERROR(HYPERLINK("#Main!A"&amp;MATCH(A12,Main!A:A,0),"Open"),HYPERLINK("#Main!A1","Open"))</f>
        <v/>
      </c>
      <c r="R12">
        <f>IFERROR(HYPERLINK("#Technical!A"&amp;MATCH(A12,Technical!A:A,0),"Open"),HYPERLINK("#Technical!A1","Open"))</f>
        <v/>
      </c>
    </row>
    <row r="13" ht="30" customHeight="1">
      <c r="A13" s="46" t="inlineStr">
        <is>
          <t>https://asconafrica.org/privacy-policy/</t>
        </is>
      </c>
      <c r="B13" s="6" t="inlineStr">
        <is>
          <t>Content</t>
        </is>
      </c>
      <c r="C13" s="38" t="inlineStr">
        <is>
          <t>Warning</t>
        </is>
      </c>
      <c r="D13" s="6" t="inlineStr">
        <is>
          <t>Low AEO readiness score</t>
        </is>
      </c>
      <c r="E13" s="7" t="n">
        <v>67</v>
      </c>
      <c r="F13" s="6" t="n">
        <v>0</v>
      </c>
      <c r="G13" s="6" t="inlineStr">
        <is>
          <t>&gt;=60</t>
        </is>
      </c>
      <c r="H13" s="6" t="inlineStr">
        <is>
          <t>Add concise answer blocks, question-led subheadings, and clear structured sections.</t>
        </is>
      </c>
      <c r="I13" s="44" t="inlineStr">
        <is>
          <t>AEO</t>
        </is>
      </c>
      <c r="J13" s="6" t="inlineStr">
        <is>
          <t>AEO Readiness Score</t>
        </is>
      </c>
      <c r="K13" s="6" t="inlineStr">
        <is>
          <t>Yes</t>
        </is>
      </c>
      <c r="L13" s="6" t="inlineStr">
        <is>
          <t>Copy Writer</t>
        </is>
      </c>
      <c r="M13" s="45" t="inlineStr">
        <is>
          <t>Open</t>
        </is>
      </c>
      <c r="N13" s="6" t="n">
        <v>4</v>
      </c>
      <c r="O13" s="6" t="inlineStr">
        <is>
          <t>https://asconafrica.org/privacy-policy/::aioseo_low_aeo_readiness_score</t>
        </is>
      </c>
      <c r="P13" s="6" t="inlineStr">
        <is>
          <t>Weak answer-style structure lowers AI/answer-engine retrieval potential.</t>
        </is>
      </c>
      <c r="Q13">
        <f>IFERROR(HYPERLINK("#Main!A"&amp;MATCH(A13,Main!A:A,0),"Open"),HYPERLINK("#Main!A1","Open"))</f>
        <v/>
      </c>
      <c r="R13">
        <f>IFERROR(HYPERLINK("#Technical!A"&amp;MATCH(A13,Technical!A:A,0),"Open"),HYPERLINK("#Technical!A1","Open"))</f>
        <v/>
      </c>
    </row>
    <row r="14" ht="30" customHeight="1">
      <c r="A14" s="46" t="inlineStr">
        <is>
          <t>https://asconafrica.org/thank-you-for-signing-up-for-updates/</t>
        </is>
      </c>
      <c r="B14" s="37" t="inlineStr">
        <is>
          <t>Content</t>
        </is>
      </c>
      <c r="C14" s="38" t="inlineStr">
        <is>
          <t>Warning</t>
        </is>
      </c>
      <c r="D14" s="37" t="inlineStr">
        <is>
          <t>Low AEO readiness score</t>
        </is>
      </c>
      <c r="E14" s="56" t="n">
        <v>67</v>
      </c>
      <c r="F14" s="37" t="n">
        <v>0</v>
      </c>
      <c r="G14" s="37" t="inlineStr">
        <is>
          <t>&gt;=60</t>
        </is>
      </c>
      <c r="H14" s="37" t="inlineStr">
        <is>
          <t>Add concise answer blocks, question-led subheadings, and clear structured sections.</t>
        </is>
      </c>
      <c r="I14" s="41" t="inlineStr">
        <is>
          <t>AEO</t>
        </is>
      </c>
      <c r="J14" s="37" t="inlineStr">
        <is>
          <t>AEO Readiness Score</t>
        </is>
      </c>
      <c r="K14" s="37" t="inlineStr">
        <is>
          <t>Yes</t>
        </is>
      </c>
      <c r="L14" s="37" t="inlineStr">
        <is>
          <t>Copy Writer</t>
        </is>
      </c>
      <c r="M14" s="45" t="inlineStr">
        <is>
          <t>Open</t>
        </is>
      </c>
      <c r="N14" s="37" t="n">
        <v>4</v>
      </c>
      <c r="O14" s="37" t="inlineStr">
        <is>
          <t>https://asconafrica.org/thank-you-for-signing-up-for-updates/::aioseo_low_aeo_readiness_score</t>
        </is>
      </c>
      <c r="P14" s="37" t="inlineStr">
        <is>
          <t>Weak answer-style structure lowers AI/answer-engine retrieval potential.</t>
        </is>
      </c>
      <c r="Q14">
        <f>IFERROR(HYPERLINK("#Main!A"&amp;MATCH(A14,Main!A:A,0),"Open"),HYPERLINK("#Main!A1","Open"))</f>
        <v/>
      </c>
      <c r="R14">
        <f>IFERROR(HYPERLINK("#Technical!A"&amp;MATCH(A14,Technical!A:A,0),"Open"),HYPERLINK("#Technical!A1","Open"))</f>
        <v/>
      </c>
    </row>
    <row r="15" ht="30" customHeight="1">
      <c r="A15" s="46" t="inlineStr">
        <is>
          <t>https://asconafrica.org/unsubscribe-form/</t>
        </is>
      </c>
      <c r="B15" s="6" t="inlineStr">
        <is>
          <t>Content</t>
        </is>
      </c>
      <c r="C15" s="38" t="inlineStr">
        <is>
          <t>Warning</t>
        </is>
      </c>
      <c r="D15" s="6" t="inlineStr">
        <is>
          <t>Low AEO readiness score</t>
        </is>
      </c>
      <c r="E15" s="7" t="n">
        <v>67</v>
      </c>
      <c r="F15" s="6" t="n">
        <v>0</v>
      </c>
      <c r="G15" s="6" t="inlineStr">
        <is>
          <t>&gt;=60</t>
        </is>
      </c>
      <c r="H15" s="6" t="inlineStr">
        <is>
          <t>Add concise answer blocks, question-led subheadings, and clear structured sections.</t>
        </is>
      </c>
      <c r="I15" s="44" t="inlineStr">
        <is>
          <t>AEO</t>
        </is>
      </c>
      <c r="J15" s="6" t="inlineStr">
        <is>
          <t>AEO Readiness Score</t>
        </is>
      </c>
      <c r="K15" s="6" t="inlineStr">
        <is>
          <t>Yes</t>
        </is>
      </c>
      <c r="L15" s="6" t="inlineStr">
        <is>
          <t>Copy Writer</t>
        </is>
      </c>
      <c r="M15" s="45" t="inlineStr">
        <is>
          <t>Open</t>
        </is>
      </c>
      <c r="N15" s="6" t="n">
        <v>4</v>
      </c>
      <c r="O15" s="6" t="inlineStr">
        <is>
          <t>https://asconafrica.org/unsubscribe-form/::aioseo_low_aeo_readiness_score</t>
        </is>
      </c>
      <c r="P15" s="6" t="inlineStr">
        <is>
          <t>Weak answer-style structure lowers AI/answer-engine retrieval potential.</t>
        </is>
      </c>
      <c r="Q15">
        <f>IFERROR(HYPERLINK("#Main!A"&amp;MATCH(A15,Main!A:A,0),"Open"),HYPERLINK("#Main!A1","Open"))</f>
        <v/>
      </c>
      <c r="R15">
        <f>IFERROR(HYPERLINK("#Technical!A"&amp;MATCH(A15,Technical!A:A,0),"Open"),HYPERLINK("#Technical!A1","Open"))</f>
        <v/>
      </c>
    </row>
    <row r="16" ht="30" customHeight="1">
      <c r="A16" s="46" t="inlineStr">
        <is>
          <t>https://asconafrica.org/unsubscribe-form/successfully-unsubscribed/</t>
        </is>
      </c>
      <c r="B16" s="37" t="inlineStr">
        <is>
          <t>Content</t>
        </is>
      </c>
      <c r="C16" s="38" t="inlineStr">
        <is>
          <t>Warning</t>
        </is>
      </c>
      <c r="D16" s="37" t="inlineStr">
        <is>
          <t>Low AEO readiness score</t>
        </is>
      </c>
      <c r="E16" s="56" t="n">
        <v>67</v>
      </c>
      <c r="F16" s="37" t="n">
        <v>0</v>
      </c>
      <c r="G16" s="37" t="inlineStr">
        <is>
          <t>&gt;=60</t>
        </is>
      </c>
      <c r="H16" s="37" t="inlineStr">
        <is>
          <t>Add concise answer blocks, question-led subheadings, and clear structured sections.</t>
        </is>
      </c>
      <c r="I16" s="41" t="inlineStr">
        <is>
          <t>AEO</t>
        </is>
      </c>
      <c r="J16" s="37" t="inlineStr">
        <is>
          <t>AEO Readiness Score</t>
        </is>
      </c>
      <c r="K16" s="37" t="inlineStr">
        <is>
          <t>Yes</t>
        </is>
      </c>
      <c r="L16" s="37" t="inlineStr">
        <is>
          <t>Copy Writer</t>
        </is>
      </c>
      <c r="M16" s="45" t="inlineStr">
        <is>
          <t>Open</t>
        </is>
      </c>
      <c r="N16" s="37" t="n">
        <v>4</v>
      </c>
      <c r="O16" s="37" t="inlineStr">
        <is>
          <t>https://asconafrica.org/unsubscribe-form/successfully-unsubscribed/::aioseo_low_aeo_readiness_score</t>
        </is>
      </c>
      <c r="P16" s="37" t="inlineStr">
        <is>
          <t>Weak answer-style structure lowers AI/answer-engine retrieval potential.</t>
        </is>
      </c>
      <c r="Q16">
        <f>IFERROR(HYPERLINK("#Main!A"&amp;MATCH(A16,Main!A:A,0),"Open"),HYPERLINK("#Main!A1","Open"))</f>
        <v/>
      </c>
      <c r="R16">
        <f>IFERROR(HYPERLINK("#Technical!A"&amp;MATCH(A16,Technical!A:A,0),"Open"),HYPERLINK("#Technical!A1","Open"))</f>
        <v/>
      </c>
    </row>
    <row r="17" ht="30" customHeight="1">
      <c r="A17" s="46" t="inlineStr">
        <is>
          <t>https://asconafrica.org/</t>
        </is>
      </c>
      <c r="B17" s="6" t="inlineStr">
        <is>
          <t>Readability</t>
        </is>
      </c>
      <c r="C17" s="38" t="inlineStr">
        <is>
          <t>Warning</t>
        </is>
      </c>
      <c r="D17" s="6" t="inlineStr">
        <is>
          <t>Missing H1 heading</t>
        </is>
      </c>
      <c r="E17" s="7" t="n">
        <v>67</v>
      </c>
      <c r="F17" s="6" t="n">
        <v>0</v>
      </c>
      <c r="G17" s="6" t="inlineStr">
        <is>
          <t>Exactly 1 descriptive H1</t>
        </is>
      </c>
      <c r="H17" s="6" t="inlineStr">
        <is>
          <t>Update page content to include a single descriptive H1 aligned to primary intent.</t>
        </is>
      </c>
      <c r="I17" s="44" t="inlineStr">
        <is>
          <t>Content</t>
        </is>
      </c>
      <c r="J17" s="6" t="inlineStr">
        <is>
          <t>Missing H1 Flag</t>
        </is>
      </c>
      <c r="K17" s="6" t="inlineStr">
        <is>
          <t>Yes</t>
        </is>
      </c>
      <c r="L17" s="6" t="inlineStr">
        <is>
          <t>Copy Writer</t>
        </is>
      </c>
      <c r="M17" s="45" t="inlineStr">
        <is>
          <t>Open</t>
        </is>
      </c>
      <c r="N17" s="6" t="n">
        <v>4</v>
      </c>
      <c r="O17" s="6" t="inlineStr">
        <is>
          <t>https://asconafrica.org/::aioseo_missing_h1_heading</t>
        </is>
      </c>
      <c r="P17" s="6" t="inlineStr">
        <is>
          <t>A missing H1 weakens topical clarity for users and crawlers.</t>
        </is>
      </c>
      <c r="Q17">
        <f>IFERROR(HYPERLINK("#Main!A"&amp;MATCH(A17,Main!A:A,0),"Open"),HYPERLINK("#Main!A1","Open"))</f>
        <v/>
      </c>
      <c r="R17">
        <f>IFERROR(HYPERLINK("#Technical!A"&amp;MATCH(A17,Technical!A:A,0),"Open"),HYPERLINK("#Technical!A1","Open"))</f>
        <v/>
      </c>
    </row>
    <row r="18" ht="30" customHeight="1">
      <c r="A18" s="46" t="inlineStr">
        <is>
          <t>https://asconafrica.org/2026-ascon-awards/thank-you-for-your-nomination/</t>
        </is>
      </c>
      <c r="B18" s="37" t="inlineStr">
        <is>
          <t>Readability</t>
        </is>
      </c>
      <c r="C18" s="38" t="inlineStr">
        <is>
          <t>Warning</t>
        </is>
      </c>
      <c r="D18" s="37" t="inlineStr">
        <is>
          <t>Thin content</t>
        </is>
      </c>
      <c r="E18" s="56" t="n">
        <v>67</v>
      </c>
      <c r="F18" s="37" t="n">
        <v>114</v>
      </c>
      <c r="G18" s="37" t="inlineStr">
        <is>
          <t>&gt;=300 words (quality first)</t>
        </is>
      </c>
      <c r="H18" s="37" t="inlineStr">
        <is>
          <t>Expand page copy with useful, unique sections that answer key user questions.</t>
        </is>
      </c>
      <c r="I18" s="41" t="inlineStr">
        <is>
          <t>Content</t>
        </is>
      </c>
      <c r="J18" s="37" t="inlineStr">
        <is>
          <t>Word Count</t>
        </is>
      </c>
      <c r="K18" s="37" t="inlineStr">
        <is>
          <t>Yes</t>
        </is>
      </c>
      <c r="L18" s="37" t="inlineStr">
        <is>
          <t>Copy Writer</t>
        </is>
      </c>
      <c r="M18" s="45" t="inlineStr">
        <is>
          <t>Open</t>
        </is>
      </c>
      <c r="N18" s="37" t="n">
        <v>4</v>
      </c>
      <c r="O18" s="37" t="inlineStr">
        <is>
          <t>https://asconafrica.org/2026-ascon-awards/thank-you-for-your-nomination/::aioseo_thin_content</t>
        </is>
      </c>
      <c r="P18" s="37" t="inlineStr">
        <is>
          <t>Low-content pages can struggle to satisfy intent and rank competitively.</t>
        </is>
      </c>
      <c r="Q18">
        <f>IFERROR(HYPERLINK("#Main!A"&amp;MATCH(A18,Main!A:A,0),"Open"),HYPERLINK("#Main!A1","Open"))</f>
        <v/>
      </c>
      <c r="R18">
        <f>IFERROR(HYPERLINK("#Technical!A"&amp;MATCH(A18,Technical!A:A,0),"Open"),HYPERLINK("#Technical!A1","Open"))</f>
        <v/>
      </c>
    </row>
    <row r="19" ht="30" customHeight="1">
      <c r="A19" s="46" t="inlineStr">
        <is>
          <t>https://asconafrica.org/2026-ascon-conference/thank-you-for-signing-up/</t>
        </is>
      </c>
      <c r="B19" s="6" t="inlineStr">
        <is>
          <t>Readability</t>
        </is>
      </c>
      <c r="C19" s="38" t="inlineStr">
        <is>
          <t>Warning</t>
        </is>
      </c>
      <c r="D19" s="6" t="inlineStr">
        <is>
          <t>Thin content</t>
        </is>
      </c>
      <c r="E19" s="7" t="n">
        <v>67</v>
      </c>
      <c r="F19" s="6" t="n">
        <v>113</v>
      </c>
      <c r="G19" s="6" t="inlineStr">
        <is>
          <t>&gt;=300 words (quality first)</t>
        </is>
      </c>
      <c r="H19" s="6" t="inlineStr">
        <is>
          <t>Expand page copy with useful, unique sections that answer key user questions.</t>
        </is>
      </c>
      <c r="I19" s="44" t="inlineStr">
        <is>
          <t>Content</t>
        </is>
      </c>
      <c r="J19" s="6" t="inlineStr">
        <is>
          <t>Word Count</t>
        </is>
      </c>
      <c r="K19" s="6" t="inlineStr">
        <is>
          <t>Yes</t>
        </is>
      </c>
      <c r="L19" s="6" t="inlineStr">
        <is>
          <t>Copy Writer</t>
        </is>
      </c>
      <c r="M19" s="45" t="inlineStr">
        <is>
          <t>Open</t>
        </is>
      </c>
      <c r="N19" s="6" t="n">
        <v>4</v>
      </c>
      <c r="O19" s="6" t="inlineStr">
        <is>
          <t>https://asconafrica.org/2026-ascon-conference/thank-you-for-signing-up/::aioseo_thin_content</t>
        </is>
      </c>
      <c r="P19" s="6" t="inlineStr">
        <is>
          <t>Low-content pages can struggle to satisfy intent and rank competitively.</t>
        </is>
      </c>
      <c r="Q19">
        <f>IFERROR(HYPERLINK("#Main!A"&amp;MATCH(A19,Main!A:A,0),"Open"),HYPERLINK("#Main!A1","Open"))</f>
        <v/>
      </c>
      <c r="R19">
        <f>IFERROR(HYPERLINK("#Technical!A"&amp;MATCH(A19,Technical!A:A,0),"Open"),HYPERLINK("#Technical!A1","Open"))</f>
        <v/>
      </c>
    </row>
    <row r="20" ht="30" customHeight="1">
      <c r="A20" s="46" t="inlineStr">
        <is>
          <t>https://asconafrica.org/contact-us/</t>
        </is>
      </c>
      <c r="B20" s="37" t="inlineStr">
        <is>
          <t>Readability</t>
        </is>
      </c>
      <c r="C20" s="38" t="inlineStr">
        <is>
          <t>Warning</t>
        </is>
      </c>
      <c r="D20" s="37" t="inlineStr">
        <is>
          <t>Missing H1 heading</t>
        </is>
      </c>
      <c r="E20" s="56" t="n">
        <v>67</v>
      </c>
      <c r="F20" s="37" t="n">
        <v>0</v>
      </c>
      <c r="G20" s="37" t="inlineStr">
        <is>
          <t>Exactly 1 descriptive H1</t>
        </is>
      </c>
      <c r="H20" s="37" t="inlineStr">
        <is>
          <t>Update page content to include a single descriptive H1 aligned to primary intent.</t>
        </is>
      </c>
      <c r="I20" s="41" t="inlineStr">
        <is>
          <t>Content</t>
        </is>
      </c>
      <c r="J20" s="37" t="inlineStr">
        <is>
          <t>Missing H1 Flag</t>
        </is>
      </c>
      <c r="K20" s="37" t="inlineStr">
        <is>
          <t>Yes</t>
        </is>
      </c>
      <c r="L20" s="37" t="inlineStr">
        <is>
          <t>Copy Writer</t>
        </is>
      </c>
      <c r="M20" s="45" t="inlineStr">
        <is>
          <t>Open</t>
        </is>
      </c>
      <c r="N20" s="37" t="n">
        <v>4</v>
      </c>
      <c r="O20" s="37" t="inlineStr">
        <is>
          <t>https://asconafrica.org/contact-us/::aioseo_missing_h1_heading</t>
        </is>
      </c>
      <c r="P20" s="37" t="inlineStr">
        <is>
          <t>A missing H1 weakens topical clarity for users and crawlers.</t>
        </is>
      </c>
      <c r="Q20">
        <f>IFERROR(HYPERLINK("#Main!A"&amp;MATCH(A20,Main!A:A,0),"Open"),HYPERLINK("#Main!A1","Open"))</f>
        <v/>
      </c>
      <c r="R20">
        <f>IFERROR(HYPERLINK("#Technical!A"&amp;MATCH(A20,Technical!A:A,0),"Open"),HYPERLINK("#Technical!A1","Open"))</f>
        <v/>
      </c>
    </row>
    <row r="21" ht="30" customHeight="1">
      <c r="A21" s="46" t="inlineStr">
        <is>
          <t>https://asconafrica.org/contact-us/</t>
        </is>
      </c>
      <c r="B21" s="6" t="inlineStr">
        <is>
          <t>Readability</t>
        </is>
      </c>
      <c r="C21" s="38" t="inlineStr">
        <is>
          <t>Warning</t>
        </is>
      </c>
      <c r="D21" s="6" t="inlineStr">
        <is>
          <t>Thin content</t>
        </is>
      </c>
      <c r="E21" s="7" t="n">
        <v>67</v>
      </c>
      <c r="F21" s="6" t="n">
        <v>124</v>
      </c>
      <c r="G21" s="6" t="inlineStr">
        <is>
          <t>&gt;=300 words (quality first)</t>
        </is>
      </c>
      <c r="H21" s="6" t="inlineStr">
        <is>
          <t>Expand page copy with useful, unique sections that answer key user questions.</t>
        </is>
      </c>
      <c r="I21" s="44" t="inlineStr">
        <is>
          <t>Content</t>
        </is>
      </c>
      <c r="J21" s="6" t="inlineStr">
        <is>
          <t>Word Count</t>
        </is>
      </c>
      <c r="K21" s="6" t="inlineStr">
        <is>
          <t>Yes</t>
        </is>
      </c>
      <c r="L21" s="6" t="inlineStr">
        <is>
          <t>Copy Writer</t>
        </is>
      </c>
      <c r="M21" s="45" t="inlineStr">
        <is>
          <t>Open</t>
        </is>
      </c>
      <c r="N21" s="6" t="n">
        <v>4</v>
      </c>
      <c r="O21" s="6" t="inlineStr">
        <is>
          <t>https://asconafrica.org/contact-us/::aioseo_thin_content</t>
        </is>
      </c>
      <c r="P21" s="6" t="inlineStr">
        <is>
          <t>Low-content pages can struggle to satisfy intent and rank competitively.</t>
        </is>
      </c>
      <c r="Q21">
        <f>IFERROR(HYPERLINK("#Main!A"&amp;MATCH(A21,Main!A:A,0),"Open"),HYPERLINK("#Main!A1","Open"))</f>
        <v/>
      </c>
      <c r="R21">
        <f>IFERROR(HYPERLINK("#Technical!A"&amp;MATCH(A21,Technical!A:A,0),"Open"),HYPERLINK("#Technical!A1","Open"))</f>
        <v/>
      </c>
    </row>
    <row r="22" ht="45" customHeight="1">
      <c r="A22" s="46" t="inlineStr">
        <is>
          <t>https://asconafrica.org/launch-event-2026-ascon-conference/thank-you-for-registering-conference-launch/</t>
        </is>
      </c>
      <c r="B22" s="37" t="inlineStr">
        <is>
          <t>Readability</t>
        </is>
      </c>
      <c r="C22" s="38" t="inlineStr">
        <is>
          <t>Warning</t>
        </is>
      </c>
      <c r="D22" s="37" t="inlineStr">
        <is>
          <t>Thin content</t>
        </is>
      </c>
      <c r="E22" s="56" t="n">
        <v>67</v>
      </c>
      <c r="F22" s="37" t="n">
        <v>102</v>
      </c>
      <c r="G22" s="37" t="inlineStr">
        <is>
          <t>&gt;=300 words (quality first)</t>
        </is>
      </c>
      <c r="H22" s="37" t="inlineStr">
        <is>
          <t>Expand page copy with useful, unique sections that answer key user questions.</t>
        </is>
      </c>
      <c r="I22" s="41" t="inlineStr">
        <is>
          <t>Content</t>
        </is>
      </c>
      <c r="J22" s="37" t="inlineStr">
        <is>
          <t>Word Count</t>
        </is>
      </c>
      <c r="K22" s="37" t="inlineStr">
        <is>
          <t>Yes</t>
        </is>
      </c>
      <c r="L22" s="37" t="inlineStr">
        <is>
          <t>Copy Writer</t>
        </is>
      </c>
      <c r="M22" s="45" t="inlineStr">
        <is>
          <t>Open</t>
        </is>
      </c>
      <c r="N22" s="37" t="n">
        <v>4</v>
      </c>
      <c r="O22" s="37" t="inlineStr">
        <is>
          <t>https://asconafrica.org/launch-event-2026-ascon-conference/thank-you-for-registering-conference-launch/::aioseo_thin_content</t>
        </is>
      </c>
      <c r="P22" s="37" t="inlineStr">
        <is>
          <t>Low-content pages can struggle to satisfy intent and rank competitively.</t>
        </is>
      </c>
      <c r="Q22">
        <f>IFERROR(HYPERLINK("#Main!A"&amp;MATCH(A22,Main!A:A,0),"Open"),HYPERLINK("#Main!A1","Open"))</f>
        <v/>
      </c>
      <c r="R22">
        <f>IFERROR(HYPERLINK("#Technical!A"&amp;MATCH(A22,Technical!A:A,0),"Open"),HYPERLINK("#Technical!A1","Open"))</f>
        <v/>
      </c>
    </row>
    <row r="23" ht="30" customHeight="1">
      <c r="A23" s="46" t="inlineStr">
        <is>
          <t>https://asconafrica.org/news/</t>
        </is>
      </c>
      <c r="B23" s="6" t="inlineStr">
        <is>
          <t>Readability</t>
        </is>
      </c>
      <c r="C23" s="38" t="inlineStr">
        <is>
          <t>Warning</t>
        </is>
      </c>
      <c r="D23" s="6" t="inlineStr">
        <is>
          <t>Missing H1 heading</t>
        </is>
      </c>
      <c r="E23" s="7" t="n">
        <v>67</v>
      </c>
      <c r="F23" s="6" t="n">
        <v>0</v>
      </c>
      <c r="G23" s="6" t="inlineStr">
        <is>
          <t>Exactly 1 descriptive H1</t>
        </is>
      </c>
      <c r="H23" s="6" t="inlineStr">
        <is>
          <t>Update page content to include a single descriptive H1 aligned to primary intent.</t>
        </is>
      </c>
      <c r="I23" s="44" t="inlineStr">
        <is>
          <t>Content</t>
        </is>
      </c>
      <c r="J23" s="6" t="inlineStr">
        <is>
          <t>Missing H1 Flag</t>
        </is>
      </c>
      <c r="K23" s="6" t="inlineStr">
        <is>
          <t>Yes</t>
        </is>
      </c>
      <c r="L23" s="6" t="inlineStr">
        <is>
          <t>Copy Writer</t>
        </is>
      </c>
      <c r="M23" s="45" t="inlineStr">
        <is>
          <t>Open</t>
        </is>
      </c>
      <c r="N23" s="6" t="n">
        <v>4</v>
      </c>
      <c r="O23" s="6" t="inlineStr">
        <is>
          <t>https://asconafrica.org/news/::aioseo_missing_h1_heading</t>
        </is>
      </c>
      <c r="P23" s="6" t="inlineStr">
        <is>
          <t>A missing H1 weakens topical clarity for users and crawlers.</t>
        </is>
      </c>
      <c r="Q23">
        <f>IFERROR(HYPERLINK("#Main!A"&amp;MATCH(A23,Main!A:A,0),"Open"),HYPERLINK("#Main!A1","Open"))</f>
        <v/>
      </c>
      <c r="R23">
        <f>IFERROR(HYPERLINK("#Technical!A"&amp;MATCH(A23,Technical!A:A,0),"Open"),HYPERLINK("#Technical!A1","Open"))</f>
        <v/>
      </c>
    </row>
    <row r="24" ht="30" customHeight="1">
      <c r="A24" s="46" t="inlineStr">
        <is>
          <t>https://asconafrica.org/our-members/</t>
        </is>
      </c>
      <c r="B24" s="37" t="inlineStr">
        <is>
          <t>Readability</t>
        </is>
      </c>
      <c r="C24" s="38" t="inlineStr">
        <is>
          <t>Warning</t>
        </is>
      </c>
      <c r="D24" s="37" t="inlineStr">
        <is>
          <t>Thin content</t>
        </is>
      </c>
      <c r="E24" s="56" t="n">
        <v>67</v>
      </c>
      <c r="F24" s="37" t="n">
        <v>208</v>
      </c>
      <c r="G24" s="37" t="inlineStr">
        <is>
          <t>&gt;=300 words (quality first)</t>
        </is>
      </c>
      <c r="H24" s="37" t="inlineStr">
        <is>
          <t>Expand page copy with useful, unique sections that answer key user questions.</t>
        </is>
      </c>
      <c r="I24" s="41" t="inlineStr">
        <is>
          <t>Content</t>
        </is>
      </c>
      <c r="J24" s="37" t="inlineStr">
        <is>
          <t>Word Count</t>
        </is>
      </c>
      <c r="K24" s="37" t="inlineStr">
        <is>
          <t>Yes</t>
        </is>
      </c>
      <c r="L24" s="37" t="inlineStr">
        <is>
          <t>Copy Writer</t>
        </is>
      </c>
      <c r="M24" s="45" t="inlineStr">
        <is>
          <t>Open</t>
        </is>
      </c>
      <c r="N24" s="37" t="n">
        <v>4</v>
      </c>
      <c r="O24" s="37" t="inlineStr">
        <is>
          <t>https://asconafrica.org/our-members/::aioseo_thin_content</t>
        </is>
      </c>
      <c r="P24" s="37" t="inlineStr">
        <is>
          <t>Low-content pages can struggle to satisfy intent and rank competitively.</t>
        </is>
      </c>
      <c r="Q24">
        <f>IFERROR(HYPERLINK("#Main!A"&amp;MATCH(A24,Main!A:A,0),"Open"),HYPERLINK("#Main!A1","Open"))</f>
        <v/>
      </c>
      <c r="R24">
        <f>IFERROR(HYPERLINK("#Technical!A"&amp;MATCH(A24,Technical!A:A,0),"Open"),HYPERLINK("#Technical!A1","Open"))</f>
        <v/>
      </c>
    </row>
    <row r="25" ht="30" customHeight="1">
      <c r="A25" s="46" t="inlineStr">
        <is>
          <t>https://asconafrica.org/privacy-policy/</t>
        </is>
      </c>
      <c r="B25" s="6" t="inlineStr">
        <is>
          <t>Readability</t>
        </is>
      </c>
      <c r="C25" s="38" t="inlineStr">
        <is>
          <t>Warning</t>
        </is>
      </c>
      <c r="D25" s="6" t="inlineStr">
        <is>
          <t>Missing H1 heading</t>
        </is>
      </c>
      <c r="E25" s="7" t="n">
        <v>67</v>
      </c>
      <c r="F25" s="6" t="n">
        <v>0</v>
      </c>
      <c r="G25" s="6" t="inlineStr">
        <is>
          <t>Exactly 1 descriptive H1</t>
        </is>
      </c>
      <c r="H25" s="6" t="inlineStr">
        <is>
          <t>Update page content to include a single descriptive H1 aligned to primary intent.</t>
        </is>
      </c>
      <c r="I25" s="44" t="inlineStr">
        <is>
          <t>Content</t>
        </is>
      </c>
      <c r="J25" s="6" t="inlineStr">
        <is>
          <t>Missing H1 Flag</t>
        </is>
      </c>
      <c r="K25" s="6" t="inlineStr">
        <is>
          <t>Yes</t>
        </is>
      </c>
      <c r="L25" s="6" t="inlineStr">
        <is>
          <t>Copy Writer</t>
        </is>
      </c>
      <c r="M25" s="45" t="inlineStr">
        <is>
          <t>Open</t>
        </is>
      </c>
      <c r="N25" s="6" t="n">
        <v>4</v>
      </c>
      <c r="O25" s="6" t="inlineStr">
        <is>
          <t>https://asconafrica.org/privacy-policy/::aioseo_missing_h1_heading</t>
        </is>
      </c>
      <c r="P25" s="6" t="inlineStr">
        <is>
          <t>A missing H1 weakens topical clarity for users and crawlers.</t>
        </is>
      </c>
      <c r="Q25">
        <f>IFERROR(HYPERLINK("#Main!A"&amp;MATCH(A25,Main!A:A,0),"Open"),HYPERLINK("#Main!A1","Open"))</f>
        <v/>
      </c>
      <c r="R25">
        <f>IFERROR(HYPERLINK("#Technical!A"&amp;MATCH(A25,Technical!A:A,0),"Open"),HYPERLINK("#Technical!A1","Open"))</f>
        <v/>
      </c>
    </row>
    <row r="26" ht="30" customHeight="1">
      <c r="A26" s="46" t="inlineStr">
        <is>
          <t>https://asconafrica.org/thank-you-for-signing-up-for-updates/</t>
        </is>
      </c>
      <c r="B26" s="37" t="inlineStr">
        <is>
          <t>Readability</t>
        </is>
      </c>
      <c r="C26" s="38" t="inlineStr">
        <is>
          <t>Warning</t>
        </is>
      </c>
      <c r="D26" s="37" t="inlineStr">
        <is>
          <t>Thin content</t>
        </is>
      </c>
      <c r="E26" s="56" t="n">
        <v>67</v>
      </c>
      <c r="F26" s="37" t="n">
        <v>95</v>
      </c>
      <c r="G26" s="37" t="inlineStr">
        <is>
          <t>&gt;=300 words (quality first)</t>
        </is>
      </c>
      <c r="H26" s="37" t="inlineStr">
        <is>
          <t>Expand page copy with useful, unique sections that answer key user questions.</t>
        </is>
      </c>
      <c r="I26" s="41" t="inlineStr">
        <is>
          <t>Content</t>
        </is>
      </c>
      <c r="J26" s="37" t="inlineStr">
        <is>
          <t>Word Count</t>
        </is>
      </c>
      <c r="K26" s="37" t="inlineStr">
        <is>
          <t>Yes</t>
        </is>
      </c>
      <c r="L26" s="37" t="inlineStr">
        <is>
          <t>Copy Writer</t>
        </is>
      </c>
      <c r="M26" s="45" t="inlineStr">
        <is>
          <t>Open</t>
        </is>
      </c>
      <c r="N26" s="37" t="n">
        <v>4</v>
      </c>
      <c r="O26" s="37" t="inlineStr">
        <is>
          <t>https://asconafrica.org/thank-you-for-signing-up-for-updates/::aioseo_thin_content</t>
        </is>
      </c>
      <c r="P26" s="37" t="inlineStr">
        <is>
          <t>Low-content pages can struggle to satisfy intent and rank competitively.</t>
        </is>
      </c>
      <c r="Q26">
        <f>IFERROR(HYPERLINK("#Main!A"&amp;MATCH(A26,Main!A:A,0),"Open"),HYPERLINK("#Main!A1","Open"))</f>
        <v/>
      </c>
      <c r="R26">
        <f>IFERROR(HYPERLINK("#Technical!A"&amp;MATCH(A26,Technical!A:A,0),"Open"),HYPERLINK("#Technical!A1","Open"))</f>
        <v/>
      </c>
    </row>
    <row r="27" ht="30" customHeight="1">
      <c r="A27" s="46" t="inlineStr">
        <is>
          <t>https://asconafrica.org/unsubscribe-form/</t>
        </is>
      </c>
      <c r="B27" s="6" t="inlineStr">
        <is>
          <t>Readability</t>
        </is>
      </c>
      <c r="C27" s="38" t="inlineStr">
        <is>
          <t>Warning</t>
        </is>
      </c>
      <c r="D27" s="6" t="inlineStr">
        <is>
          <t>Missing H1 heading</t>
        </is>
      </c>
      <c r="E27" s="7" t="n">
        <v>67</v>
      </c>
      <c r="F27" s="6" t="n">
        <v>0</v>
      </c>
      <c r="G27" s="6" t="inlineStr">
        <is>
          <t>Exactly 1 descriptive H1</t>
        </is>
      </c>
      <c r="H27" s="6" t="inlineStr">
        <is>
          <t>Update page content to include a single descriptive H1 aligned to primary intent.</t>
        </is>
      </c>
      <c r="I27" s="44" t="inlineStr">
        <is>
          <t>Content</t>
        </is>
      </c>
      <c r="J27" s="6" t="inlineStr">
        <is>
          <t>Missing H1 Flag</t>
        </is>
      </c>
      <c r="K27" s="6" t="inlineStr">
        <is>
          <t>Yes</t>
        </is>
      </c>
      <c r="L27" s="6" t="inlineStr">
        <is>
          <t>Copy Writer</t>
        </is>
      </c>
      <c r="M27" s="45" t="inlineStr">
        <is>
          <t>Open</t>
        </is>
      </c>
      <c r="N27" s="6" t="n">
        <v>4</v>
      </c>
      <c r="O27" s="6" t="inlineStr">
        <is>
          <t>https://asconafrica.org/unsubscribe-form/::aioseo_missing_h1_heading</t>
        </is>
      </c>
      <c r="P27" s="6" t="inlineStr">
        <is>
          <t>A missing H1 weakens topical clarity for users and crawlers.</t>
        </is>
      </c>
      <c r="Q27">
        <f>IFERROR(HYPERLINK("#Main!A"&amp;MATCH(A27,Main!A:A,0),"Open"),HYPERLINK("#Main!A1","Open"))</f>
        <v/>
      </c>
      <c r="R27">
        <f>IFERROR(HYPERLINK("#Technical!A"&amp;MATCH(A27,Technical!A:A,0),"Open"),HYPERLINK("#Technical!A1","Open"))</f>
        <v/>
      </c>
    </row>
    <row r="28" ht="30" customHeight="1">
      <c r="A28" s="46" t="inlineStr">
        <is>
          <t>https://asconafrica.org/unsubscribe-form/</t>
        </is>
      </c>
      <c r="B28" s="37" t="inlineStr">
        <is>
          <t>Readability</t>
        </is>
      </c>
      <c r="C28" s="38" t="inlineStr">
        <is>
          <t>Warning</t>
        </is>
      </c>
      <c r="D28" s="37" t="inlineStr">
        <is>
          <t>Thin content</t>
        </is>
      </c>
      <c r="E28" s="56" t="n">
        <v>67</v>
      </c>
      <c r="F28" s="37" t="n">
        <v>148</v>
      </c>
      <c r="G28" s="37" t="inlineStr">
        <is>
          <t>&gt;=300 words (quality first)</t>
        </is>
      </c>
      <c r="H28" s="37" t="inlineStr">
        <is>
          <t>Expand page copy with useful, unique sections that answer key user questions.</t>
        </is>
      </c>
      <c r="I28" s="41" t="inlineStr">
        <is>
          <t>Content</t>
        </is>
      </c>
      <c r="J28" s="37" t="inlineStr">
        <is>
          <t>Word Count</t>
        </is>
      </c>
      <c r="K28" s="37" t="inlineStr">
        <is>
          <t>Yes</t>
        </is>
      </c>
      <c r="L28" s="37" t="inlineStr">
        <is>
          <t>Copy Writer</t>
        </is>
      </c>
      <c r="M28" s="45" t="inlineStr">
        <is>
          <t>Open</t>
        </is>
      </c>
      <c r="N28" s="37" t="n">
        <v>4</v>
      </c>
      <c r="O28" s="37" t="inlineStr">
        <is>
          <t>https://asconafrica.org/unsubscribe-form/::aioseo_thin_content</t>
        </is>
      </c>
      <c r="P28" s="37" t="inlineStr">
        <is>
          <t>Low-content pages can struggle to satisfy intent and rank competitively.</t>
        </is>
      </c>
      <c r="Q28">
        <f>IFERROR(HYPERLINK("#Main!A"&amp;MATCH(A28,Main!A:A,0),"Open"),HYPERLINK("#Main!A1","Open"))</f>
        <v/>
      </c>
      <c r="R28">
        <f>IFERROR(HYPERLINK("#Technical!A"&amp;MATCH(A28,Technical!A:A,0),"Open"),HYPERLINK("#Technical!A1","Open"))</f>
        <v/>
      </c>
    </row>
    <row r="29" ht="30" customHeight="1">
      <c r="A29" s="46" t="inlineStr">
        <is>
          <t>https://asconafrica.org/unsubscribe-form/successfully-unsubscribed/</t>
        </is>
      </c>
      <c r="B29" s="6" t="inlineStr">
        <is>
          <t>Readability</t>
        </is>
      </c>
      <c r="C29" s="38" t="inlineStr">
        <is>
          <t>Warning</t>
        </is>
      </c>
      <c r="D29" s="6" t="inlineStr">
        <is>
          <t>Missing H1 heading</t>
        </is>
      </c>
      <c r="E29" s="7" t="n">
        <v>67</v>
      </c>
      <c r="F29" s="6" t="n">
        <v>0</v>
      </c>
      <c r="G29" s="6" t="inlineStr">
        <is>
          <t>Exactly 1 descriptive H1</t>
        </is>
      </c>
      <c r="H29" s="6" t="inlineStr">
        <is>
          <t>Update page content to include a single descriptive H1 aligned to primary intent.</t>
        </is>
      </c>
      <c r="I29" s="44" t="inlineStr">
        <is>
          <t>Content</t>
        </is>
      </c>
      <c r="J29" s="6" t="inlineStr">
        <is>
          <t>Missing H1 Flag</t>
        </is>
      </c>
      <c r="K29" s="6" t="inlineStr">
        <is>
          <t>Yes</t>
        </is>
      </c>
      <c r="L29" s="6" t="inlineStr">
        <is>
          <t>Copy Writer</t>
        </is>
      </c>
      <c r="M29" s="45" t="inlineStr">
        <is>
          <t>Open</t>
        </is>
      </c>
      <c r="N29" s="6" t="n">
        <v>4</v>
      </c>
      <c r="O29" s="6" t="inlineStr">
        <is>
          <t>https://asconafrica.org/unsubscribe-form/successfully-unsubscribed/::aioseo_missing_h1_heading</t>
        </is>
      </c>
      <c r="P29" s="6" t="inlineStr">
        <is>
          <t>A missing H1 weakens topical clarity for users and crawlers.</t>
        </is>
      </c>
      <c r="Q29">
        <f>IFERROR(HYPERLINK("#Main!A"&amp;MATCH(A29,Main!A:A,0),"Open"),HYPERLINK("#Main!A1","Open"))</f>
        <v/>
      </c>
      <c r="R29">
        <f>IFERROR(HYPERLINK("#Technical!A"&amp;MATCH(A29,Technical!A:A,0),"Open"),HYPERLINK("#Technical!A1","Open"))</f>
        <v/>
      </c>
    </row>
    <row r="30" ht="30" customHeight="1">
      <c r="A30" s="46" t="inlineStr">
        <is>
          <t>https://asconafrica.org/unsubscribe-form/successfully-unsubscribed/</t>
        </is>
      </c>
      <c r="B30" s="37" t="inlineStr">
        <is>
          <t>Readability</t>
        </is>
      </c>
      <c r="C30" s="38" t="inlineStr">
        <is>
          <t>Warning</t>
        </is>
      </c>
      <c r="D30" s="37" t="inlineStr">
        <is>
          <t>Thin content</t>
        </is>
      </c>
      <c r="E30" s="56" t="n">
        <v>67</v>
      </c>
      <c r="F30" s="37" t="n">
        <v>90</v>
      </c>
      <c r="G30" s="37" t="inlineStr">
        <is>
          <t>&gt;=300 words (quality first)</t>
        </is>
      </c>
      <c r="H30" s="37" t="inlineStr">
        <is>
          <t>Expand page copy with useful, unique sections that answer key user questions.</t>
        </is>
      </c>
      <c r="I30" s="41" t="inlineStr">
        <is>
          <t>Content</t>
        </is>
      </c>
      <c r="J30" s="37" t="inlineStr">
        <is>
          <t>Word Count</t>
        </is>
      </c>
      <c r="K30" s="37" t="inlineStr">
        <is>
          <t>Yes</t>
        </is>
      </c>
      <c r="L30" s="37" t="inlineStr">
        <is>
          <t>Copy Writer</t>
        </is>
      </c>
      <c r="M30" s="45" t="inlineStr">
        <is>
          <t>Open</t>
        </is>
      </c>
      <c r="N30" s="37" t="n">
        <v>4</v>
      </c>
      <c r="O30" s="37" t="inlineStr">
        <is>
          <t>https://asconafrica.org/unsubscribe-form/successfully-unsubscribed/::aioseo_thin_content</t>
        </is>
      </c>
      <c r="P30" s="37" t="inlineStr">
        <is>
          <t>Low-content pages can struggle to satisfy intent and rank competitively.</t>
        </is>
      </c>
      <c r="Q30">
        <f>IFERROR(HYPERLINK("#Main!A"&amp;MATCH(A30,Main!A:A,0),"Open"),HYPERLINK("#Main!A1","Open"))</f>
        <v/>
      </c>
      <c r="R30">
        <f>IFERROR(HYPERLINK("#Technical!A"&amp;MATCH(A30,Technical!A:A,0),"Open"),HYPERLINK("#Technical!A1","Open"))</f>
        <v/>
      </c>
    </row>
    <row r="31" ht="45" customHeight="1">
      <c r="A31" s="46" t="inlineStr">
        <is>
          <t>https://asconafrica.org/</t>
        </is>
      </c>
      <c r="B31" s="6" t="inlineStr">
        <is>
          <t>Schema</t>
        </is>
      </c>
      <c r="C31" s="38" t="inlineStr">
        <is>
          <t>Warning</t>
        </is>
      </c>
      <c r="D31" s="6" t="inlineStr">
        <is>
          <t>No schema markup detected</t>
        </is>
      </c>
      <c r="E31" s="7" t="n">
        <v>67</v>
      </c>
      <c r="F31" s="6" t="n">
        <v>0</v>
      </c>
      <c r="G31" s="6" t="inlineStr">
        <is>
          <t>At least one relevant schema type</t>
        </is>
      </c>
      <c r="H31" s="6" t="inlineStr">
        <is>
          <t>In AIOSEO schema settings for the page, add the most relevant type (Article/FAQ/HowTo/Product, etc.).</t>
        </is>
      </c>
      <c r="I31" s="44" t="inlineStr">
        <is>
          <t>StructuredData</t>
        </is>
      </c>
      <c r="J31" s="6" t="inlineStr">
        <is>
          <t>Schema Types Count</t>
        </is>
      </c>
      <c r="K31" s="6" t="inlineStr">
        <is>
          <t>Yes</t>
        </is>
      </c>
      <c r="L31" s="6" t="inlineStr">
        <is>
          <t>Copy Writer</t>
        </is>
      </c>
      <c r="M31" s="45" t="inlineStr">
        <is>
          <t>Open</t>
        </is>
      </c>
      <c r="N31" s="6" t="n">
        <v>4</v>
      </c>
      <c r="O31" s="6" t="inlineStr">
        <is>
          <t>https://asconafrica.org/::aioseo_no_schema_markup_detected</t>
        </is>
      </c>
      <c r="P31" s="6" t="inlineStr">
        <is>
          <t>Schema improves understanding and rich result eligibility.</t>
        </is>
      </c>
      <c r="Q31">
        <f>IFERROR(HYPERLINK("#Main!A"&amp;MATCH(A31,Main!A:A,0),"Open"),HYPERLINK("#Main!A1","Open"))</f>
        <v/>
      </c>
      <c r="R31">
        <f>IFERROR(HYPERLINK("#Technical!A"&amp;MATCH(A31,Technical!A:A,0),"Open"),HYPERLINK("#Technical!A1","Open"))</f>
        <v/>
      </c>
    </row>
    <row r="32" ht="45" customHeight="1">
      <c r="A32" s="46" t="inlineStr">
        <is>
          <t>https://asconafrica.org/2026-ascon-awards/</t>
        </is>
      </c>
      <c r="B32" s="37" t="inlineStr">
        <is>
          <t>Schema</t>
        </is>
      </c>
      <c r="C32" s="38" t="inlineStr">
        <is>
          <t>Warning</t>
        </is>
      </c>
      <c r="D32" s="37" t="inlineStr">
        <is>
          <t>No schema markup detected</t>
        </is>
      </c>
      <c r="E32" s="56" t="n">
        <v>67</v>
      </c>
      <c r="F32" s="37" t="n">
        <v>0</v>
      </c>
      <c r="G32" s="37" t="inlineStr">
        <is>
          <t>At least one relevant schema type</t>
        </is>
      </c>
      <c r="H32" s="37" t="inlineStr">
        <is>
          <t>In AIOSEO schema settings for the page, add the most relevant type (Article/FAQ/HowTo/Product, etc.).</t>
        </is>
      </c>
      <c r="I32" s="41" t="inlineStr">
        <is>
          <t>StructuredData</t>
        </is>
      </c>
      <c r="J32" s="37" t="inlineStr">
        <is>
          <t>Schema Types Count</t>
        </is>
      </c>
      <c r="K32" s="37" t="inlineStr">
        <is>
          <t>Yes</t>
        </is>
      </c>
      <c r="L32" s="37" t="inlineStr">
        <is>
          <t>Copy Writer</t>
        </is>
      </c>
      <c r="M32" s="45" t="inlineStr">
        <is>
          <t>Open</t>
        </is>
      </c>
      <c r="N32" s="37" t="n">
        <v>4</v>
      </c>
      <c r="O32" s="37" t="inlineStr">
        <is>
          <t>https://asconafrica.org/2026-ascon-awards/::aioseo_no_schema_markup_detected</t>
        </is>
      </c>
      <c r="P32" s="37" t="inlineStr">
        <is>
          <t>Schema improves understanding and rich result eligibility.</t>
        </is>
      </c>
      <c r="Q32">
        <f>IFERROR(HYPERLINK("#Main!A"&amp;MATCH(A32,Main!A:A,0),"Open"),HYPERLINK("#Main!A1","Open"))</f>
        <v/>
      </c>
      <c r="R32">
        <f>IFERROR(HYPERLINK("#Technical!A"&amp;MATCH(A32,Technical!A:A,0),"Open"),HYPERLINK("#Technical!A1","Open"))</f>
        <v/>
      </c>
    </row>
    <row r="33" ht="45" customHeight="1">
      <c r="A33" s="46" t="inlineStr">
        <is>
          <t>https://asconafrica.org/2026-ascon-awards/thank-you-for-your-nomination/</t>
        </is>
      </c>
      <c r="B33" s="6" t="inlineStr">
        <is>
          <t>Schema</t>
        </is>
      </c>
      <c r="C33" s="38" t="inlineStr">
        <is>
          <t>Warning</t>
        </is>
      </c>
      <c r="D33" s="6" t="inlineStr">
        <is>
          <t>No schema markup detected</t>
        </is>
      </c>
      <c r="E33" s="7" t="n">
        <v>67</v>
      </c>
      <c r="F33" s="6" t="n">
        <v>0</v>
      </c>
      <c r="G33" s="6" t="inlineStr">
        <is>
          <t>At least one relevant schema type</t>
        </is>
      </c>
      <c r="H33" s="6" t="inlineStr">
        <is>
          <t>In AIOSEO schema settings for the page, add the most relevant type (Article/FAQ/HowTo/Product, etc.).</t>
        </is>
      </c>
      <c r="I33" s="44" t="inlineStr">
        <is>
          <t>StructuredData</t>
        </is>
      </c>
      <c r="J33" s="6" t="inlineStr">
        <is>
          <t>Schema Types Count</t>
        </is>
      </c>
      <c r="K33" s="6" t="inlineStr">
        <is>
          <t>Yes</t>
        </is>
      </c>
      <c r="L33" s="6" t="inlineStr">
        <is>
          <t>Copy Writer</t>
        </is>
      </c>
      <c r="M33" s="45" t="inlineStr">
        <is>
          <t>Open</t>
        </is>
      </c>
      <c r="N33" s="6" t="n">
        <v>4</v>
      </c>
      <c r="O33" s="6" t="inlineStr">
        <is>
          <t>https://asconafrica.org/2026-ascon-awards/thank-you-for-your-nomination/::aioseo_no_schema_markup_detected</t>
        </is>
      </c>
      <c r="P33" s="6" t="inlineStr">
        <is>
          <t>Schema improves understanding and rich result eligibility.</t>
        </is>
      </c>
      <c r="Q33">
        <f>IFERROR(HYPERLINK("#Main!A"&amp;MATCH(A33,Main!A:A,0),"Open"),HYPERLINK("#Main!A1","Open"))</f>
        <v/>
      </c>
      <c r="R33">
        <f>IFERROR(HYPERLINK("#Technical!A"&amp;MATCH(A33,Technical!A:A,0),"Open"),HYPERLINK("#Technical!A1","Open"))</f>
        <v/>
      </c>
    </row>
    <row r="34" ht="45" customHeight="1">
      <c r="A34" s="46" t="inlineStr">
        <is>
          <t>https://asconafrica.org/2026-ascon-conference/</t>
        </is>
      </c>
      <c r="B34" s="37" t="inlineStr">
        <is>
          <t>Schema</t>
        </is>
      </c>
      <c r="C34" s="38" t="inlineStr">
        <is>
          <t>Warning</t>
        </is>
      </c>
      <c r="D34" s="37" t="inlineStr">
        <is>
          <t>No schema markup detected</t>
        </is>
      </c>
      <c r="E34" s="56" t="n">
        <v>67</v>
      </c>
      <c r="F34" s="37" t="n">
        <v>0</v>
      </c>
      <c r="G34" s="37" t="inlineStr">
        <is>
          <t>At least one relevant schema type</t>
        </is>
      </c>
      <c r="H34" s="37" t="inlineStr">
        <is>
          <t>In AIOSEO schema settings for the page, add the most relevant type (Article/FAQ/HowTo/Product, etc.).</t>
        </is>
      </c>
      <c r="I34" s="41" t="inlineStr">
        <is>
          <t>StructuredData</t>
        </is>
      </c>
      <c r="J34" s="37" t="inlineStr">
        <is>
          <t>Schema Types Count</t>
        </is>
      </c>
      <c r="K34" s="37" t="inlineStr">
        <is>
          <t>Yes</t>
        </is>
      </c>
      <c r="L34" s="37" t="inlineStr">
        <is>
          <t>Copy Writer</t>
        </is>
      </c>
      <c r="M34" s="45" t="inlineStr">
        <is>
          <t>Open</t>
        </is>
      </c>
      <c r="N34" s="37" t="n">
        <v>4</v>
      </c>
      <c r="O34" s="37" t="inlineStr">
        <is>
          <t>https://asconafrica.org/2026-ascon-conference/::aioseo_no_schema_markup_detected</t>
        </is>
      </c>
      <c r="P34" s="37" t="inlineStr">
        <is>
          <t>Schema improves understanding and rich result eligibility.</t>
        </is>
      </c>
      <c r="Q34">
        <f>IFERROR(HYPERLINK("#Main!A"&amp;MATCH(A34,Main!A:A,0),"Open"),HYPERLINK("#Main!A1","Open"))</f>
        <v/>
      </c>
      <c r="R34">
        <f>IFERROR(HYPERLINK("#Technical!A"&amp;MATCH(A34,Technical!A:A,0),"Open"),HYPERLINK("#Technical!A1","Open"))</f>
        <v/>
      </c>
    </row>
    <row r="35" ht="45" customHeight="1">
      <c r="A35" s="46" t="inlineStr">
        <is>
          <t>https://asconafrica.org/2026-ascon-conference/thank-you-for-signing-up/</t>
        </is>
      </c>
      <c r="B35" s="6" t="inlineStr">
        <is>
          <t>Schema</t>
        </is>
      </c>
      <c r="C35" s="38" t="inlineStr">
        <is>
          <t>Warning</t>
        </is>
      </c>
      <c r="D35" s="6" t="inlineStr">
        <is>
          <t>No schema markup detected</t>
        </is>
      </c>
      <c r="E35" s="7" t="n">
        <v>67</v>
      </c>
      <c r="F35" s="6" t="n">
        <v>0</v>
      </c>
      <c r="G35" s="6" t="inlineStr">
        <is>
          <t>At least one relevant schema type</t>
        </is>
      </c>
      <c r="H35" s="6" t="inlineStr">
        <is>
          <t>In AIOSEO schema settings for the page, add the most relevant type (Article/FAQ/HowTo/Product, etc.).</t>
        </is>
      </c>
      <c r="I35" s="44" t="inlineStr">
        <is>
          <t>StructuredData</t>
        </is>
      </c>
      <c r="J35" s="6" t="inlineStr">
        <is>
          <t>Schema Types Count</t>
        </is>
      </c>
      <c r="K35" s="6" t="inlineStr">
        <is>
          <t>Yes</t>
        </is>
      </c>
      <c r="L35" s="6" t="inlineStr">
        <is>
          <t>Copy Writer</t>
        </is>
      </c>
      <c r="M35" s="45" t="inlineStr">
        <is>
          <t>Open</t>
        </is>
      </c>
      <c r="N35" s="6" t="n">
        <v>4</v>
      </c>
      <c r="O35" s="6" t="inlineStr">
        <is>
          <t>https://asconafrica.org/2026-ascon-conference/thank-you-for-signing-up/::aioseo_no_schema_markup_detected</t>
        </is>
      </c>
      <c r="P35" s="6" t="inlineStr">
        <is>
          <t>Schema improves understanding and rich result eligibility.</t>
        </is>
      </c>
      <c r="Q35">
        <f>IFERROR(HYPERLINK("#Main!A"&amp;MATCH(A35,Main!A:A,0),"Open"),HYPERLINK("#Main!A1","Open"))</f>
        <v/>
      </c>
      <c r="R35">
        <f>IFERROR(HYPERLINK("#Technical!A"&amp;MATCH(A35,Technical!A:A,0),"Open"),HYPERLINK("#Technical!A1","Open"))</f>
        <v/>
      </c>
    </row>
    <row r="36" ht="45" customHeight="1">
      <c r="A36" s="46" t="inlineStr">
        <is>
          <t>https://asconafrica.org/about-us/</t>
        </is>
      </c>
      <c r="B36" s="37" t="inlineStr">
        <is>
          <t>Schema</t>
        </is>
      </c>
      <c r="C36" s="38" t="inlineStr">
        <is>
          <t>Warning</t>
        </is>
      </c>
      <c r="D36" s="37" t="inlineStr">
        <is>
          <t>No schema markup detected</t>
        </is>
      </c>
      <c r="E36" s="56" t="n">
        <v>67</v>
      </c>
      <c r="F36" s="37" t="n">
        <v>0</v>
      </c>
      <c r="G36" s="37" t="inlineStr">
        <is>
          <t>At least one relevant schema type</t>
        </is>
      </c>
      <c r="H36" s="37" t="inlineStr">
        <is>
          <t>In AIOSEO schema settings for the page, add the most relevant type (Article/FAQ/HowTo/Product, etc.).</t>
        </is>
      </c>
      <c r="I36" s="41" t="inlineStr">
        <is>
          <t>StructuredData</t>
        </is>
      </c>
      <c r="J36" s="37" t="inlineStr">
        <is>
          <t>Schema Types Count</t>
        </is>
      </c>
      <c r="K36" s="37" t="inlineStr">
        <is>
          <t>Yes</t>
        </is>
      </c>
      <c r="L36" s="37" t="inlineStr">
        <is>
          <t>Copy Writer</t>
        </is>
      </c>
      <c r="M36" s="45" t="inlineStr">
        <is>
          <t>Open</t>
        </is>
      </c>
      <c r="N36" s="37" t="n">
        <v>4</v>
      </c>
      <c r="O36" s="37" t="inlineStr">
        <is>
          <t>https://asconafrica.org/about-us/::aioseo_no_schema_markup_detected</t>
        </is>
      </c>
      <c r="P36" s="37" t="inlineStr">
        <is>
          <t>Schema improves understanding and rich result eligibility.</t>
        </is>
      </c>
      <c r="Q36">
        <f>IFERROR(HYPERLINK("#Main!A"&amp;MATCH(A36,Main!A:A,0),"Open"),HYPERLINK("#Main!A1","Open"))</f>
        <v/>
      </c>
      <c r="R36">
        <f>IFERROR(HYPERLINK("#Technical!A"&amp;MATCH(A36,Technical!A:A,0),"Open"),HYPERLINK("#Technical!A1","Open"))</f>
        <v/>
      </c>
    </row>
    <row r="37" ht="45" customHeight="1">
      <c r="A37" s="46" t="inlineStr">
        <is>
          <t>https://asconafrica.org/contact-us/</t>
        </is>
      </c>
      <c r="B37" s="6" t="inlineStr">
        <is>
          <t>Schema</t>
        </is>
      </c>
      <c r="C37" s="38" t="inlineStr">
        <is>
          <t>Warning</t>
        </is>
      </c>
      <c r="D37" s="6" t="inlineStr">
        <is>
          <t>No schema markup detected</t>
        </is>
      </c>
      <c r="E37" s="7" t="n">
        <v>67</v>
      </c>
      <c r="F37" s="6" t="n">
        <v>0</v>
      </c>
      <c r="G37" s="6" t="inlineStr">
        <is>
          <t>At least one relevant schema type</t>
        </is>
      </c>
      <c r="H37" s="6" t="inlineStr">
        <is>
          <t>In AIOSEO schema settings for the page, add the most relevant type (Article/FAQ/HowTo/Product, etc.).</t>
        </is>
      </c>
      <c r="I37" s="44" t="inlineStr">
        <is>
          <t>StructuredData</t>
        </is>
      </c>
      <c r="J37" s="6" t="inlineStr">
        <is>
          <t>Schema Types Count</t>
        </is>
      </c>
      <c r="K37" s="6" t="inlineStr">
        <is>
          <t>Yes</t>
        </is>
      </c>
      <c r="L37" s="6" t="inlineStr">
        <is>
          <t>Copy Writer</t>
        </is>
      </c>
      <c r="M37" s="45" t="inlineStr">
        <is>
          <t>Open</t>
        </is>
      </c>
      <c r="N37" s="6" t="n">
        <v>4</v>
      </c>
      <c r="O37" s="6" t="inlineStr">
        <is>
          <t>https://asconafrica.org/contact-us/::aioseo_no_schema_markup_detected</t>
        </is>
      </c>
      <c r="P37" s="6" t="inlineStr">
        <is>
          <t>Schema improves understanding and rich result eligibility.</t>
        </is>
      </c>
      <c r="Q37">
        <f>IFERROR(HYPERLINK("#Main!A"&amp;MATCH(A37,Main!A:A,0),"Open"),HYPERLINK("#Main!A1","Open"))</f>
        <v/>
      </c>
      <c r="R37">
        <f>IFERROR(HYPERLINK("#Technical!A"&amp;MATCH(A37,Technical!A:A,0),"Open"),HYPERLINK("#Technical!A1","Open"))</f>
        <v/>
      </c>
    </row>
    <row r="38" ht="45" customHeight="1">
      <c r="A38" s="46" t="inlineStr">
        <is>
          <t>https://asconafrica.org/launch-event-2026-ascon-conference/</t>
        </is>
      </c>
      <c r="B38" s="37" t="inlineStr">
        <is>
          <t>Schema</t>
        </is>
      </c>
      <c r="C38" s="38" t="inlineStr">
        <is>
          <t>Warning</t>
        </is>
      </c>
      <c r="D38" s="37" t="inlineStr">
        <is>
          <t>No schema markup detected</t>
        </is>
      </c>
      <c r="E38" s="56" t="n">
        <v>67</v>
      </c>
      <c r="F38" s="37" t="n">
        <v>0</v>
      </c>
      <c r="G38" s="37" t="inlineStr">
        <is>
          <t>At least one relevant schema type</t>
        </is>
      </c>
      <c r="H38" s="37" t="inlineStr">
        <is>
          <t>In AIOSEO schema settings for the page, add the most relevant type (Article/FAQ/HowTo/Product, etc.).</t>
        </is>
      </c>
      <c r="I38" s="41" t="inlineStr">
        <is>
          <t>StructuredData</t>
        </is>
      </c>
      <c r="J38" s="37" t="inlineStr">
        <is>
          <t>Schema Types Count</t>
        </is>
      </c>
      <c r="K38" s="37" t="inlineStr">
        <is>
          <t>Yes</t>
        </is>
      </c>
      <c r="L38" s="37" t="inlineStr">
        <is>
          <t>Copy Writer</t>
        </is>
      </c>
      <c r="M38" s="45" t="inlineStr">
        <is>
          <t>Open</t>
        </is>
      </c>
      <c r="N38" s="37" t="n">
        <v>4</v>
      </c>
      <c r="O38" s="37" t="inlineStr">
        <is>
          <t>https://asconafrica.org/launch-event-2026-ascon-conference/::aioseo_no_schema_markup_detected</t>
        </is>
      </c>
      <c r="P38" s="37" t="inlineStr">
        <is>
          <t>Schema improves understanding and rich result eligibility.</t>
        </is>
      </c>
      <c r="Q38">
        <f>IFERROR(HYPERLINK("#Main!A"&amp;MATCH(A38,Main!A:A,0),"Open"),HYPERLINK("#Main!A1","Open"))</f>
        <v/>
      </c>
      <c r="R38">
        <f>IFERROR(HYPERLINK("#Technical!A"&amp;MATCH(A38,Technical!A:A,0),"Open"),HYPERLINK("#Technical!A1","Open"))</f>
        <v/>
      </c>
    </row>
    <row r="39" ht="45" customHeight="1">
      <c r="A39" s="46" t="inlineStr">
        <is>
          <t>https://asconafrica.org/launch-event-2026-ascon-conference/thank-you-for-registering-conference-launch/</t>
        </is>
      </c>
      <c r="B39" s="6" t="inlineStr">
        <is>
          <t>Schema</t>
        </is>
      </c>
      <c r="C39" s="38" t="inlineStr">
        <is>
          <t>Warning</t>
        </is>
      </c>
      <c r="D39" s="6" t="inlineStr">
        <is>
          <t>No schema markup detected</t>
        </is>
      </c>
      <c r="E39" s="7" t="n">
        <v>67</v>
      </c>
      <c r="F39" s="6" t="n">
        <v>0</v>
      </c>
      <c r="G39" s="6" t="inlineStr">
        <is>
          <t>At least one relevant schema type</t>
        </is>
      </c>
      <c r="H39" s="6" t="inlineStr">
        <is>
          <t>In AIOSEO schema settings for the page, add the most relevant type (Article/FAQ/HowTo/Product, etc.).</t>
        </is>
      </c>
      <c r="I39" s="44" t="inlineStr">
        <is>
          <t>StructuredData</t>
        </is>
      </c>
      <c r="J39" s="6" t="inlineStr">
        <is>
          <t>Schema Types Count</t>
        </is>
      </c>
      <c r="K39" s="6" t="inlineStr">
        <is>
          <t>Yes</t>
        </is>
      </c>
      <c r="L39" s="6" t="inlineStr">
        <is>
          <t>Copy Writer</t>
        </is>
      </c>
      <c r="M39" s="45" t="inlineStr">
        <is>
          <t>Open</t>
        </is>
      </c>
      <c r="N39" s="6" t="n">
        <v>4</v>
      </c>
      <c r="O39" s="6" t="inlineStr">
        <is>
          <t>https://asconafrica.org/launch-event-2026-ascon-conference/thank-you-for-registering-conference-launch/::aioseo_no_schema_markup_detected</t>
        </is>
      </c>
      <c r="P39" s="6" t="inlineStr">
        <is>
          <t>Schema improves understanding and rich result eligibility.</t>
        </is>
      </c>
      <c r="Q39">
        <f>IFERROR(HYPERLINK("#Main!A"&amp;MATCH(A39,Main!A:A,0),"Open"),HYPERLINK("#Main!A1","Open"))</f>
        <v/>
      </c>
      <c r="R39">
        <f>IFERROR(HYPERLINK("#Technical!A"&amp;MATCH(A39,Technical!A:A,0),"Open"),HYPERLINK("#Technical!A1","Open"))</f>
        <v/>
      </c>
    </row>
    <row r="40" ht="45" customHeight="1">
      <c r="A40" s="46" t="inlineStr">
        <is>
          <t>https://asconafrica.org/news/</t>
        </is>
      </c>
      <c r="B40" s="37" t="inlineStr">
        <is>
          <t>Schema</t>
        </is>
      </c>
      <c r="C40" s="38" t="inlineStr">
        <is>
          <t>Warning</t>
        </is>
      </c>
      <c r="D40" s="37" t="inlineStr">
        <is>
          <t>No schema markup detected</t>
        </is>
      </c>
      <c r="E40" s="56" t="n">
        <v>67</v>
      </c>
      <c r="F40" s="37" t="n">
        <v>0</v>
      </c>
      <c r="G40" s="37" t="inlineStr">
        <is>
          <t>At least one relevant schema type</t>
        </is>
      </c>
      <c r="H40" s="37" t="inlineStr">
        <is>
          <t>In AIOSEO schema settings for the page, add the most relevant type (Article/FAQ/HowTo/Product, etc.).</t>
        </is>
      </c>
      <c r="I40" s="41" t="inlineStr">
        <is>
          <t>StructuredData</t>
        </is>
      </c>
      <c r="J40" s="37" t="inlineStr">
        <is>
          <t>Schema Types Count</t>
        </is>
      </c>
      <c r="K40" s="37" t="inlineStr">
        <is>
          <t>Yes</t>
        </is>
      </c>
      <c r="L40" s="37" t="inlineStr">
        <is>
          <t>Copy Writer</t>
        </is>
      </c>
      <c r="M40" s="45" t="inlineStr">
        <is>
          <t>Open</t>
        </is>
      </c>
      <c r="N40" s="37" t="n">
        <v>4</v>
      </c>
      <c r="O40" s="37" t="inlineStr">
        <is>
          <t>https://asconafrica.org/news/::aioseo_no_schema_markup_detected</t>
        </is>
      </c>
      <c r="P40" s="37" t="inlineStr">
        <is>
          <t>Schema improves understanding and rich result eligibility.</t>
        </is>
      </c>
      <c r="Q40">
        <f>IFERROR(HYPERLINK("#Main!A"&amp;MATCH(A40,Main!A:A,0),"Open"),HYPERLINK("#Main!A1","Open"))</f>
        <v/>
      </c>
      <c r="R40">
        <f>IFERROR(HYPERLINK("#Technical!A"&amp;MATCH(A40,Technical!A:A,0),"Open"),HYPERLINK("#Technical!A1","Open"))</f>
        <v/>
      </c>
    </row>
    <row r="41" ht="45" customHeight="1">
      <c r="A41" s="46" t="inlineStr">
        <is>
          <t>https://asconafrica.org/our-members/</t>
        </is>
      </c>
      <c r="B41" s="6" t="inlineStr">
        <is>
          <t>Schema</t>
        </is>
      </c>
      <c r="C41" s="38" t="inlineStr">
        <is>
          <t>Warning</t>
        </is>
      </c>
      <c r="D41" s="6" t="inlineStr">
        <is>
          <t>No schema markup detected</t>
        </is>
      </c>
      <c r="E41" s="7" t="n">
        <v>67</v>
      </c>
      <c r="F41" s="6" t="n">
        <v>0</v>
      </c>
      <c r="G41" s="6" t="inlineStr">
        <is>
          <t>At least one relevant schema type</t>
        </is>
      </c>
      <c r="H41" s="6" t="inlineStr">
        <is>
          <t>In AIOSEO schema settings for the page, add the most relevant type (Article/FAQ/HowTo/Product, etc.).</t>
        </is>
      </c>
      <c r="I41" s="44" t="inlineStr">
        <is>
          <t>StructuredData</t>
        </is>
      </c>
      <c r="J41" s="6" t="inlineStr">
        <is>
          <t>Schema Types Count</t>
        </is>
      </c>
      <c r="K41" s="6" t="inlineStr">
        <is>
          <t>Yes</t>
        </is>
      </c>
      <c r="L41" s="6" t="inlineStr">
        <is>
          <t>Copy Writer</t>
        </is>
      </c>
      <c r="M41" s="45" t="inlineStr">
        <is>
          <t>Open</t>
        </is>
      </c>
      <c r="N41" s="6" t="n">
        <v>4</v>
      </c>
      <c r="O41" s="6" t="inlineStr">
        <is>
          <t>https://asconafrica.org/our-members/::aioseo_no_schema_markup_detected</t>
        </is>
      </c>
      <c r="P41" s="6" t="inlineStr">
        <is>
          <t>Schema improves understanding and rich result eligibility.</t>
        </is>
      </c>
      <c r="Q41">
        <f>IFERROR(HYPERLINK("#Main!A"&amp;MATCH(A41,Main!A:A,0),"Open"),HYPERLINK("#Main!A1","Open"))</f>
        <v/>
      </c>
      <c r="R41">
        <f>IFERROR(HYPERLINK("#Technical!A"&amp;MATCH(A41,Technical!A:A,0),"Open"),HYPERLINK("#Technical!A1","Open"))</f>
        <v/>
      </c>
    </row>
    <row r="42" ht="45" customHeight="1">
      <c r="A42" s="46" t="inlineStr">
        <is>
          <t>https://asconafrica.org/privacy-policy/</t>
        </is>
      </c>
      <c r="B42" s="37" t="inlineStr">
        <is>
          <t>Schema</t>
        </is>
      </c>
      <c r="C42" s="38" t="inlineStr">
        <is>
          <t>Warning</t>
        </is>
      </c>
      <c r="D42" s="37" t="inlineStr">
        <is>
          <t>No schema markup detected</t>
        </is>
      </c>
      <c r="E42" s="56" t="n">
        <v>67</v>
      </c>
      <c r="F42" s="37" t="n">
        <v>0</v>
      </c>
      <c r="G42" s="37" t="inlineStr">
        <is>
          <t>At least one relevant schema type</t>
        </is>
      </c>
      <c r="H42" s="37" t="inlineStr">
        <is>
          <t>In AIOSEO schema settings for the page, add the most relevant type (Article/FAQ/HowTo/Product, etc.).</t>
        </is>
      </c>
      <c r="I42" s="41" t="inlineStr">
        <is>
          <t>StructuredData</t>
        </is>
      </c>
      <c r="J42" s="37" t="inlineStr">
        <is>
          <t>Schema Types Count</t>
        </is>
      </c>
      <c r="K42" s="37" t="inlineStr">
        <is>
          <t>Yes</t>
        </is>
      </c>
      <c r="L42" s="37" t="inlineStr">
        <is>
          <t>Copy Writer</t>
        </is>
      </c>
      <c r="M42" s="45" t="inlineStr">
        <is>
          <t>Open</t>
        </is>
      </c>
      <c r="N42" s="37" t="n">
        <v>4</v>
      </c>
      <c r="O42" s="37" t="inlineStr">
        <is>
          <t>https://asconafrica.org/privacy-policy/::aioseo_no_schema_markup_detected</t>
        </is>
      </c>
      <c r="P42" s="37" t="inlineStr">
        <is>
          <t>Schema improves understanding and rich result eligibility.</t>
        </is>
      </c>
      <c r="Q42">
        <f>IFERROR(HYPERLINK("#Main!A"&amp;MATCH(A42,Main!A:A,0),"Open"),HYPERLINK("#Main!A1","Open"))</f>
        <v/>
      </c>
      <c r="R42">
        <f>IFERROR(HYPERLINK("#Technical!A"&amp;MATCH(A42,Technical!A:A,0),"Open"),HYPERLINK("#Technical!A1","Open"))</f>
        <v/>
      </c>
    </row>
    <row r="43" ht="45" customHeight="1">
      <c r="A43" s="46" t="inlineStr">
        <is>
          <t>https://asconafrica.org/thank-you-for-signing-up-for-updates/</t>
        </is>
      </c>
      <c r="B43" s="6" t="inlineStr">
        <is>
          <t>Schema</t>
        </is>
      </c>
      <c r="C43" s="38" t="inlineStr">
        <is>
          <t>Warning</t>
        </is>
      </c>
      <c r="D43" s="6" t="inlineStr">
        <is>
          <t>No schema markup detected</t>
        </is>
      </c>
      <c r="E43" s="7" t="n">
        <v>67</v>
      </c>
      <c r="F43" s="6" t="n">
        <v>0</v>
      </c>
      <c r="G43" s="6" t="inlineStr">
        <is>
          <t>At least one relevant schema type</t>
        </is>
      </c>
      <c r="H43" s="6" t="inlineStr">
        <is>
          <t>In AIOSEO schema settings for the page, add the most relevant type (Article/FAQ/HowTo/Product, etc.).</t>
        </is>
      </c>
      <c r="I43" s="44" t="inlineStr">
        <is>
          <t>StructuredData</t>
        </is>
      </c>
      <c r="J43" s="6" t="inlineStr">
        <is>
          <t>Schema Types Count</t>
        </is>
      </c>
      <c r="K43" s="6" t="inlineStr">
        <is>
          <t>Yes</t>
        </is>
      </c>
      <c r="L43" s="6" t="inlineStr">
        <is>
          <t>Copy Writer</t>
        </is>
      </c>
      <c r="M43" s="45" t="inlineStr">
        <is>
          <t>Open</t>
        </is>
      </c>
      <c r="N43" s="6" t="n">
        <v>4</v>
      </c>
      <c r="O43" s="6" t="inlineStr">
        <is>
          <t>https://asconafrica.org/thank-you-for-signing-up-for-updates/::aioseo_no_schema_markup_detected</t>
        </is>
      </c>
      <c r="P43" s="6" t="inlineStr">
        <is>
          <t>Schema improves understanding and rich result eligibility.</t>
        </is>
      </c>
      <c r="Q43">
        <f>IFERROR(HYPERLINK("#Main!A"&amp;MATCH(A43,Main!A:A,0),"Open"),HYPERLINK("#Main!A1","Open"))</f>
        <v/>
      </c>
      <c r="R43">
        <f>IFERROR(HYPERLINK("#Technical!A"&amp;MATCH(A43,Technical!A:A,0),"Open"),HYPERLINK("#Technical!A1","Open"))</f>
        <v/>
      </c>
    </row>
    <row r="44" ht="45" customHeight="1">
      <c r="A44" s="46" t="inlineStr">
        <is>
          <t>https://asconafrica.org/unsubscribe-form/</t>
        </is>
      </c>
      <c r="B44" s="37" t="inlineStr">
        <is>
          <t>Schema</t>
        </is>
      </c>
      <c r="C44" s="38" t="inlineStr">
        <is>
          <t>Warning</t>
        </is>
      </c>
      <c r="D44" s="37" t="inlineStr">
        <is>
          <t>No schema markup detected</t>
        </is>
      </c>
      <c r="E44" s="56" t="n">
        <v>67</v>
      </c>
      <c r="F44" s="37" t="n">
        <v>0</v>
      </c>
      <c r="G44" s="37" t="inlineStr">
        <is>
          <t>At least one relevant schema type</t>
        </is>
      </c>
      <c r="H44" s="37" t="inlineStr">
        <is>
          <t>In AIOSEO schema settings for the page, add the most relevant type (Article/FAQ/HowTo/Product, etc.).</t>
        </is>
      </c>
      <c r="I44" s="41" t="inlineStr">
        <is>
          <t>StructuredData</t>
        </is>
      </c>
      <c r="J44" s="37" t="inlineStr">
        <is>
          <t>Schema Types Count</t>
        </is>
      </c>
      <c r="K44" s="37" t="inlineStr">
        <is>
          <t>Yes</t>
        </is>
      </c>
      <c r="L44" s="37" t="inlineStr">
        <is>
          <t>Copy Writer</t>
        </is>
      </c>
      <c r="M44" s="45" t="inlineStr">
        <is>
          <t>Open</t>
        </is>
      </c>
      <c r="N44" s="37" t="n">
        <v>4</v>
      </c>
      <c r="O44" s="37" t="inlineStr">
        <is>
          <t>https://asconafrica.org/unsubscribe-form/::aioseo_no_schema_markup_detected</t>
        </is>
      </c>
      <c r="P44" s="37" t="inlineStr">
        <is>
          <t>Schema improves understanding and rich result eligibility.</t>
        </is>
      </c>
      <c r="Q44">
        <f>IFERROR(HYPERLINK("#Main!A"&amp;MATCH(A44,Main!A:A,0),"Open"),HYPERLINK("#Main!A1","Open"))</f>
        <v/>
      </c>
      <c r="R44">
        <f>IFERROR(HYPERLINK("#Technical!A"&amp;MATCH(A44,Technical!A:A,0),"Open"),HYPERLINK("#Technical!A1","Open"))</f>
        <v/>
      </c>
    </row>
    <row r="45" ht="45" customHeight="1">
      <c r="A45" s="46" t="inlineStr">
        <is>
          <t>https://asconafrica.org/unsubscribe-form/successfully-unsubscribed/</t>
        </is>
      </c>
      <c r="B45" s="6" t="inlineStr">
        <is>
          <t>Schema</t>
        </is>
      </c>
      <c r="C45" s="38" t="inlineStr">
        <is>
          <t>Warning</t>
        </is>
      </c>
      <c r="D45" s="6" t="inlineStr">
        <is>
          <t>No schema markup detected</t>
        </is>
      </c>
      <c r="E45" s="7" t="n">
        <v>67</v>
      </c>
      <c r="F45" s="6" t="n">
        <v>0</v>
      </c>
      <c r="G45" s="6" t="inlineStr">
        <is>
          <t>At least one relevant schema type</t>
        </is>
      </c>
      <c r="H45" s="6" t="inlineStr">
        <is>
          <t>In AIOSEO schema settings for the page, add the most relevant type (Article/FAQ/HowTo/Product, etc.).</t>
        </is>
      </c>
      <c r="I45" s="44" t="inlineStr">
        <is>
          <t>StructuredData</t>
        </is>
      </c>
      <c r="J45" s="6" t="inlineStr">
        <is>
          <t>Schema Types Count</t>
        </is>
      </c>
      <c r="K45" s="6" t="inlineStr">
        <is>
          <t>Yes</t>
        </is>
      </c>
      <c r="L45" s="6" t="inlineStr">
        <is>
          <t>Copy Writer</t>
        </is>
      </c>
      <c r="M45" s="45" t="inlineStr">
        <is>
          <t>Open</t>
        </is>
      </c>
      <c r="N45" s="6" t="n">
        <v>4</v>
      </c>
      <c r="O45" s="6" t="inlineStr">
        <is>
          <t>https://asconafrica.org/unsubscribe-form/successfully-unsubscribed/::aioseo_no_schema_markup_detected</t>
        </is>
      </c>
      <c r="P45" s="6" t="inlineStr">
        <is>
          <t>Schema improves understanding and rich result eligibility.</t>
        </is>
      </c>
      <c r="Q45">
        <f>IFERROR(HYPERLINK("#Main!A"&amp;MATCH(A45,Main!A:A,0),"Open"),HYPERLINK("#Main!A1","Open"))</f>
        <v/>
      </c>
      <c r="R45">
        <f>IFERROR(HYPERLINK("#Technical!A"&amp;MATCH(A45,Technical!A:A,0),"Open"),HYPERLINK("#Technical!A1","Open"))</f>
        <v/>
      </c>
    </row>
    <row r="46" ht="30" customHeight="1">
      <c r="A46" s="46" t="inlineStr">
        <is>
          <t>https://asconafrica.org/</t>
        </is>
      </c>
      <c r="B46" s="37" t="inlineStr">
        <is>
          <t>Basic SEO</t>
        </is>
      </c>
      <c r="C46" s="42" t="inlineStr">
        <is>
          <t>Info</t>
        </is>
      </c>
      <c r="D46" s="37" t="inlineStr">
        <is>
          <t>Meta description too long</t>
        </is>
      </c>
      <c r="E46" s="56" t="n">
        <v>37</v>
      </c>
      <c r="F46" s="37" t="n">
        <v>443</v>
      </c>
      <c r="G46" s="37" t="inlineStr">
        <is>
          <t>120-160 characters</t>
        </is>
      </c>
      <c r="H46" s="37" t="inlineStr">
        <is>
          <t>Trim meta description in AIOSEO and front-load essential context.</t>
        </is>
      </c>
      <c r="I46" s="41" t="inlineStr">
        <is>
          <t>Main</t>
        </is>
      </c>
      <c r="J46" s="37" t="inlineStr">
        <is>
          <t>Meta Description</t>
        </is>
      </c>
      <c r="K46" s="37" t="inlineStr">
        <is>
          <t>No</t>
        </is>
      </c>
      <c r="L46" s="37" t="inlineStr">
        <is>
          <t>Copy Writer</t>
        </is>
      </c>
      <c r="M46" s="45" t="inlineStr">
        <is>
          <t>Open</t>
        </is>
      </c>
      <c r="N46" s="37" t="n">
        <v>4</v>
      </c>
      <c r="O46" s="37" t="inlineStr">
        <is>
          <t>https://asconafrica.org/::aioseo_meta_description_too_long</t>
        </is>
      </c>
      <c r="P46" s="37" t="inlineStr">
        <is>
          <t>Long descriptions are often truncated and lose message clarity.</t>
        </is>
      </c>
      <c r="Q46">
        <f>IFERROR(HYPERLINK("#Main!A"&amp;MATCH(A46,Main!A:A,0),"Open"),HYPERLINK("#Main!A1","Open"))</f>
        <v/>
      </c>
      <c r="R46">
        <f>IFERROR(HYPERLINK("#Technical!A"&amp;MATCH(A46,Technical!A:A,0),"Open"),HYPERLINK("#Technical!A1","Open"))</f>
        <v/>
      </c>
    </row>
    <row r="47" ht="30" customHeight="1">
      <c r="A47" s="46" t="inlineStr">
        <is>
          <t>https://asconafrica.org/</t>
        </is>
      </c>
      <c r="B47" s="6" t="inlineStr">
        <is>
          <t>Basic SEO</t>
        </is>
      </c>
      <c r="C47" s="42" t="inlineStr">
        <is>
          <t>Info</t>
        </is>
      </c>
      <c r="D47" s="6" t="inlineStr">
        <is>
          <t>No internal links found</t>
        </is>
      </c>
      <c r="E47" s="7" t="n">
        <v>37</v>
      </c>
      <c r="F47" s="6" t="n">
        <v>0</v>
      </c>
      <c r="G47" s="6" t="inlineStr">
        <is>
          <t>&gt;=2 relevant internal links</t>
        </is>
      </c>
      <c r="H47" s="6" t="inlineStr">
        <is>
          <t>Add contextual internal links from and to related pages using descriptive anchor text.</t>
        </is>
      </c>
      <c r="I47" s="44" t="inlineStr">
        <is>
          <t>Links</t>
        </is>
      </c>
      <c r="J47" s="6" t="inlineStr">
        <is>
          <t>Internal Links Count</t>
        </is>
      </c>
      <c r="K47" s="6" t="inlineStr">
        <is>
          <t>No</t>
        </is>
      </c>
      <c r="L47" s="6" t="inlineStr">
        <is>
          <t>Copy Writer</t>
        </is>
      </c>
      <c r="M47" s="45" t="inlineStr">
        <is>
          <t>Open</t>
        </is>
      </c>
      <c r="N47" s="6" t="n">
        <v>4</v>
      </c>
      <c r="O47" s="6" t="inlineStr">
        <is>
          <t>https://asconafrica.org/::aioseo_no_internal_links_found</t>
        </is>
      </c>
      <c r="P47" s="6" t="inlineStr">
        <is>
          <t>Internal links help discovery, topical signals, and authority flow.</t>
        </is>
      </c>
      <c r="Q47">
        <f>IFERROR(HYPERLINK("#Main!A"&amp;MATCH(A47,Main!A:A,0),"Open"),HYPERLINK("#Main!A1","Open"))</f>
        <v/>
      </c>
      <c r="R47">
        <f>IFERROR(HYPERLINK("#Technical!A"&amp;MATCH(A47,Technical!A:A,0),"Open"),HYPERLINK("#Technical!A1","Open"))</f>
        <v/>
      </c>
    </row>
    <row r="48" ht="30" customHeight="1">
      <c r="A48" s="46" t="inlineStr">
        <is>
          <t>https://asconafrica.org/2026-ascon-awards/</t>
        </is>
      </c>
      <c r="B48" s="37" t="inlineStr">
        <is>
          <t>Basic SEO</t>
        </is>
      </c>
      <c r="C48" s="42" t="inlineStr">
        <is>
          <t>Info</t>
        </is>
      </c>
      <c r="D48" s="37" t="inlineStr">
        <is>
          <t>Meta description too long</t>
        </is>
      </c>
      <c r="E48" s="56" t="n">
        <v>37</v>
      </c>
      <c r="F48" s="37" t="n">
        <v>382</v>
      </c>
      <c r="G48" s="37" t="inlineStr">
        <is>
          <t>120-160 characters</t>
        </is>
      </c>
      <c r="H48" s="37" t="inlineStr">
        <is>
          <t>Trim meta description in AIOSEO and front-load essential context.</t>
        </is>
      </c>
      <c r="I48" s="41" t="inlineStr">
        <is>
          <t>Main</t>
        </is>
      </c>
      <c r="J48" s="37" t="inlineStr">
        <is>
          <t>Meta Description</t>
        </is>
      </c>
      <c r="K48" s="37" t="inlineStr">
        <is>
          <t>No</t>
        </is>
      </c>
      <c r="L48" s="37" t="inlineStr">
        <is>
          <t>Copy Writer</t>
        </is>
      </c>
      <c r="M48" s="45" t="inlineStr">
        <is>
          <t>Open</t>
        </is>
      </c>
      <c r="N48" s="37" t="n">
        <v>4</v>
      </c>
      <c r="O48" s="37" t="inlineStr">
        <is>
          <t>https://asconafrica.org/2026-ascon-awards/::aioseo_meta_description_too_long</t>
        </is>
      </c>
      <c r="P48" s="37" t="inlineStr">
        <is>
          <t>Long descriptions are often truncated and lose message clarity.</t>
        </is>
      </c>
      <c r="Q48">
        <f>IFERROR(HYPERLINK("#Main!A"&amp;MATCH(A48,Main!A:A,0),"Open"),HYPERLINK("#Main!A1","Open"))</f>
        <v/>
      </c>
      <c r="R48">
        <f>IFERROR(HYPERLINK("#Technical!A"&amp;MATCH(A48,Technical!A:A,0),"Open"),HYPERLINK("#Technical!A1","Open"))</f>
        <v/>
      </c>
    </row>
    <row r="49" ht="30" customHeight="1">
      <c r="A49" s="46" t="inlineStr">
        <is>
          <t>https://asconafrica.org/2026-ascon-awards/</t>
        </is>
      </c>
      <c r="B49" s="6" t="inlineStr">
        <is>
          <t>Basic SEO</t>
        </is>
      </c>
      <c r="C49" s="42" t="inlineStr">
        <is>
          <t>Info</t>
        </is>
      </c>
      <c r="D49" s="6" t="inlineStr">
        <is>
          <t>No internal links found</t>
        </is>
      </c>
      <c r="E49" s="7" t="n">
        <v>37</v>
      </c>
      <c r="F49" s="6" t="n">
        <v>0</v>
      </c>
      <c r="G49" s="6" t="inlineStr">
        <is>
          <t>&gt;=2 relevant internal links</t>
        </is>
      </c>
      <c r="H49" s="6" t="inlineStr">
        <is>
          <t>Add contextual internal links from and to related pages using descriptive anchor text.</t>
        </is>
      </c>
      <c r="I49" s="44" t="inlineStr">
        <is>
          <t>Links</t>
        </is>
      </c>
      <c r="J49" s="6" t="inlineStr">
        <is>
          <t>Internal Links Count</t>
        </is>
      </c>
      <c r="K49" s="6" t="inlineStr">
        <is>
          <t>No</t>
        </is>
      </c>
      <c r="L49" s="6" t="inlineStr">
        <is>
          <t>Copy Writer</t>
        </is>
      </c>
      <c r="M49" s="45" t="inlineStr">
        <is>
          <t>Open</t>
        </is>
      </c>
      <c r="N49" s="6" t="n">
        <v>4</v>
      </c>
      <c r="O49" s="6" t="inlineStr">
        <is>
          <t>https://asconafrica.org/2026-ascon-awards/::aioseo_no_internal_links_found</t>
        </is>
      </c>
      <c r="P49" s="6" t="inlineStr">
        <is>
          <t>Internal links help discovery, topical signals, and authority flow.</t>
        </is>
      </c>
      <c r="Q49">
        <f>IFERROR(HYPERLINK("#Main!A"&amp;MATCH(A49,Main!A:A,0),"Open"),HYPERLINK("#Main!A1","Open"))</f>
        <v/>
      </c>
      <c r="R49">
        <f>IFERROR(HYPERLINK("#Technical!A"&amp;MATCH(A49,Technical!A:A,0),"Open"),HYPERLINK("#Technical!A1","Open"))</f>
        <v/>
      </c>
    </row>
    <row r="50" ht="30" customHeight="1">
      <c r="A50" s="46" t="inlineStr">
        <is>
          <t>https://asconafrica.org/2026-ascon-awards/thank-you-for-your-nomination/</t>
        </is>
      </c>
      <c r="B50" s="37" t="inlineStr">
        <is>
          <t>Basic SEO</t>
        </is>
      </c>
      <c r="C50" s="42" t="inlineStr">
        <is>
          <t>Info</t>
        </is>
      </c>
      <c r="D50" s="37" t="inlineStr">
        <is>
          <t>Meta description too long</t>
        </is>
      </c>
      <c r="E50" s="56" t="n">
        <v>37</v>
      </c>
      <c r="F50" s="37" t="n">
        <v>283</v>
      </c>
      <c r="G50" s="37" t="inlineStr">
        <is>
          <t>120-160 characters</t>
        </is>
      </c>
      <c r="H50" s="37" t="inlineStr">
        <is>
          <t>Trim meta description in AIOSEO and front-load essential context.</t>
        </is>
      </c>
      <c r="I50" s="41" t="inlineStr">
        <is>
          <t>Main</t>
        </is>
      </c>
      <c r="J50" s="37" t="inlineStr">
        <is>
          <t>Meta Description</t>
        </is>
      </c>
      <c r="K50" s="37" t="inlineStr">
        <is>
          <t>No</t>
        </is>
      </c>
      <c r="L50" s="37" t="inlineStr">
        <is>
          <t>Copy Writer</t>
        </is>
      </c>
      <c r="M50" s="45" t="inlineStr">
        <is>
          <t>Open</t>
        </is>
      </c>
      <c r="N50" s="37" t="n">
        <v>4</v>
      </c>
      <c r="O50" s="37" t="inlineStr">
        <is>
          <t>https://asconafrica.org/2026-ascon-awards/thank-you-for-your-nomination/::aioseo_meta_description_too_long</t>
        </is>
      </c>
      <c r="P50" s="37" t="inlineStr">
        <is>
          <t>Long descriptions are often truncated and lose message clarity.</t>
        </is>
      </c>
      <c r="Q50">
        <f>IFERROR(HYPERLINK("#Main!A"&amp;MATCH(A50,Main!A:A,0),"Open"),HYPERLINK("#Main!A1","Open"))</f>
        <v/>
      </c>
      <c r="R50">
        <f>IFERROR(HYPERLINK("#Technical!A"&amp;MATCH(A50,Technical!A:A,0),"Open"),HYPERLINK("#Technical!A1","Open"))</f>
        <v/>
      </c>
    </row>
    <row r="51" ht="30" customHeight="1">
      <c r="A51" s="46" t="inlineStr">
        <is>
          <t>https://asconafrica.org/2026-ascon-awards/thank-you-for-your-nomination/</t>
        </is>
      </c>
      <c r="B51" s="6" t="inlineStr">
        <is>
          <t>Basic SEO</t>
        </is>
      </c>
      <c r="C51" s="42" t="inlineStr">
        <is>
          <t>Info</t>
        </is>
      </c>
      <c r="D51" s="6" t="inlineStr">
        <is>
          <t>No internal links found</t>
        </is>
      </c>
      <c r="E51" s="7" t="n">
        <v>37</v>
      </c>
      <c r="F51" s="6" t="n">
        <v>0</v>
      </c>
      <c r="G51" s="6" t="inlineStr">
        <is>
          <t>&gt;=2 relevant internal links</t>
        </is>
      </c>
      <c r="H51" s="6" t="inlineStr">
        <is>
          <t>Add contextual internal links from and to related pages using descriptive anchor text.</t>
        </is>
      </c>
      <c r="I51" s="44" t="inlineStr">
        <is>
          <t>Links</t>
        </is>
      </c>
      <c r="J51" s="6" t="inlineStr">
        <is>
          <t>Internal Links Count</t>
        </is>
      </c>
      <c r="K51" s="6" t="inlineStr">
        <is>
          <t>No</t>
        </is>
      </c>
      <c r="L51" s="6" t="inlineStr">
        <is>
          <t>Copy Writer</t>
        </is>
      </c>
      <c r="M51" s="45" t="inlineStr">
        <is>
          <t>Open</t>
        </is>
      </c>
      <c r="N51" s="6" t="n">
        <v>4</v>
      </c>
      <c r="O51" s="6" t="inlineStr">
        <is>
          <t>https://asconafrica.org/2026-ascon-awards/thank-you-for-your-nomination/::aioseo_no_internal_links_found</t>
        </is>
      </c>
      <c r="P51" s="6" t="inlineStr">
        <is>
          <t>Internal links help discovery, topical signals, and authority flow.</t>
        </is>
      </c>
      <c r="Q51">
        <f>IFERROR(HYPERLINK("#Main!A"&amp;MATCH(A51,Main!A:A,0),"Open"),HYPERLINK("#Main!A1","Open"))</f>
        <v/>
      </c>
      <c r="R51">
        <f>IFERROR(HYPERLINK("#Technical!A"&amp;MATCH(A51,Technical!A:A,0),"Open"),HYPERLINK("#Technical!A1","Open"))</f>
        <v/>
      </c>
    </row>
    <row r="52" ht="30" customHeight="1">
      <c r="A52" s="46" t="inlineStr">
        <is>
          <t>https://asconafrica.org/2026-ascon-conference/</t>
        </is>
      </c>
      <c r="B52" s="37" t="inlineStr">
        <is>
          <t>Basic SEO</t>
        </is>
      </c>
      <c r="C52" s="42" t="inlineStr">
        <is>
          <t>Info</t>
        </is>
      </c>
      <c r="D52" s="37" t="inlineStr">
        <is>
          <t>Meta description too long</t>
        </is>
      </c>
      <c r="E52" s="56" t="n">
        <v>37</v>
      </c>
      <c r="F52" s="37" t="n">
        <v>413</v>
      </c>
      <c r="G52" s="37" t="inlineStr">
        <is>
          <t>120-160 characters</t>
        </is>
      </c>
      <c r="H52" s="37" t="inlineStr">
        <is>
          <t>Trim meta description in AIOSEO and front-load essential context.</t>
        </is>
      </c>
      <c r="I52" s="41" t="inlineStr">
        <is>
          <t>Main</t>
        </is>
      </c>
      <c r="J52" s="37" t="inlineStr">
        <is>
          <t>Meta Description</t>
        </is>
      </c>
      <c r="K52" s="37" t="inlineStr">
        <is>
          <t>No</t>
        </is>
      </c>
      <c r="L52" s="37" t="inlineStr">
        <is>
          <t>Copy Writer</t>
        </is>
      </c>
      <c r="M52" s="45" t="inlineStr">
        <is>
          <t>Open</t>
        </is>
      </c>
      <c r="N52" s="37" t="n">
        <v>4</v>
      </c>
      <c r="O52" s="37" t="inlineStr">
        <is>
          <t>https://asconafrica.org/2026-ascon-conference/::aioseo_meta_description_too_long</t>
        </is>
      </c>
      <c r="P52" s="37" t="inlineStr">
        <is>
          <t>Long descriptions are often truncated and lose message clarity.</t>
        </is>
      </c>
      <c r="Q52">
        <f>IFERROR(HYPERLINK("#Main!A"&amp;MATCH(A52,Main!A:A,0),"Open"),HYPERLINK("#Main!A1","Open"))</f>
        <v/>
      </c>
      <c r="R52">
        <f>IFERROR(HYPERLINK("#Technical!A"&amp;MATCH(A52,Technical!A:A,0),"Open"),HYPERLINK("#Technical!A1","Open"))</f>
        <v/>
      </c>
    </row>
    <row r="53" ht="30" customHeight="1">
      <c r="A53" s="46" t="inlineStr">
        <is>
          <t>https://asconafrica.org/2026-ascon-conference/</t>
        </is>
      </c>
      <c r="B53" s="6" t="inlineStr">
        <is>
          <t>Basic SEO</t>
        </is>
      </c>
      <c r="C53" s="42" t="inlineStr">
        <is>
          <t>Info</t>
        </is>
      </c>
      <c r="D53" s="6" t="inlineStr">
        <is>
          <t>No internal links found</t>
        </is>
      </c>
      <c r="E53" s="7" t="n">
        <v>37</v>
      </c>
      <c r="F53" s="6" t="n">
        <v>0</v>
      </c>
      <c r="G53" s="6" t="inlineStr">
        <is>
          <t>&gt;=2 relevant internal links</t>
        </is>
      </c>
      <c r="H53" s="6" t="inlineStr">
        <is>
          <t>Add contextual internal links from and to related pages using descriptive anchor text.</t>
        </is>
      </c>
      <c r="I53" s="44" t="inlineStr">
        <is>
          <t>Links</t>
        </is>
      </c>
      <c r="J53" s="6" t="inlineStr">
        <is>
          <t>Internal Links Count</t>
        </is>
      </c>
      <c r="K53" s="6" t="inlineStr">
        <is>
          <t>No</t>
        </is>
      </c>
      <c r="L53" s="6" t="inlineStr">
        <is>
          <t>Copy Writer</t>
        </is>
      </c>
      <c r="M53" s="45" t="inlineStr">
        <is>
          <t>Open</t>
        </is>
      </c>
      <c r="N53" s="6" t="n">
        <v>4</v>
      </c>
      <c r="O53" s="6" t="inlineStr">
        <is>
          <t>https://asconafrica.org/2026-ascon-conference/::aioseo_no_internal_links_found</t>
        </is>
      </c>
      <c r="P53" s="6" t="inlineStr">
        <is>
          <t>Internal links help discovery, topical signals, and authority flow.</t>
        </is>
      </c>
      <c r="Q53">
        <f>IFERROR(HYPERLINK("#Main!A"&amp;MATCH(A53,Main!A:A,0),"Open"),HYPERLINK("#Main!A1","Open"))</f>
        <v/>
      </c>
      <c r="R53">
        <f>IFERROR(HYPERLINK("#Technical!A"&amp;MATCH(A53,Technical!A:A,0),"Open"),HYPERLINK("#Technical!A1","Open"))</f>
        <v/>
      </c>
    </row>
    <row r="54" ht="30" customHeight="1">
      <c r="A54" s="46" t="inlineStr">
        <is>
          <t>https://asconafrica.org/2026-ascon-conference/thank-you-for-signing-up/</t>
        </is>
      </c>
      <c r="B54" s="37" t="inlineStr">
        <is>
          <t>Basic SEO</t>
        </is>
      </c>
      <c r="C54" s="42" t="inlineStr">
        <is>
          <t>Info</t>
        </is>
      </c>
      <c r="D54" s="37" t="inlineStr">
        <is>
          <t>Meta description too long</t>
        </is>
      </c>
      <c r="E54" s="56" t="n">
        <v>37</v>
      </c>
      <c r="F54" s="37" t="n">
        <v>267</v>
      </c>
      <c r="G54" s="37" t="inlineStr">
        <is>
          <t>120-160 characters</t>
        </is>
      </c>
      <c r="H54" s="37" t="inlineStr">
        <is>
          <t>Trim meta description in AIOSEO and front-load essential context.</t>
        </is>
      </c>
      <c r="I54" s="41" t="inlineStr">
        <is>
          <t>Main</t>
        </is>
      </c>
      <c r="J54" s="37" t="inlineStr">
        <is>
          <t>Meta Description</t>
        </is>
      </c>
      <c r="K54" s="37" t="inlineStr">
        <is>
          <t>No</t>
        </is>
      </c>
      <c r="L54" s="37" t="inlineStr">
        <is>
          <t>Copy Writer</t>
        </is>
      </c>
      <c r="M54" s="45" t="inlineStr">
        <is>
          <t>Open</t>
        </is>
      </c>
      <c r="N54" s="37" t="n">
        <v>4</v>
      </c>
      <c r="O54" s="37" t="inlineStr">
        <is>
          <t>https://asconafrica.org/2026-ascon-conference/thank-you-for-signing-up/::aioseo_meta_description_too_long</t>
        </is>
      </c>
      <c r="P54" s="37" t="inlineStr">
        <is>
          <t>Long descriptions are often truncated and lose message clarity.</t>
        </is>
      </c>
      <c r="Q54">
        <f>IFERROR(HYPERLINK("#Main!A"&amp;MATCH(A54,Main!A:A,0),"Open"),HYPERLINK("#Main!A1","Open"))</f>
        <v/>
      </c>
      <c r="R54">
        <f>IFERROR(HYPERLINK("#Technical!A"&amp;MATCH(A54,Technical!A:A,0),"Open"),HYPERLINK("#Technical!A1","Open"))</f>
        <v/>
      </c>
    </row>
    <row r="55" ht="30" customHeight="1">
      <c r="A55" s="46" t="inlineStr">
        <is>
          <t>https://asconafrica.org/2026-ascon-conference/thank-you-for-signing-up/</t>
        </is>
      </c>
      <c r="B55" s="6" t="inlineStr">
        <is>
          <t>Basic SEO</t>
        </is>
      </c>
      <c r="C55" s="42" t="inlineStr">
        <is>
          <t>Info</t>
        </is>
      </c>
      <c r="D55" s="6" t="inlineStr">
        <is>
          <t>No internal links found</t>
        </is>
      </c>
      <c r="E55" s="7" t="n">
        <v>37</v>
      </c>
      <c r="F55" s="6" t="n">
        <v>0</v>
      </c>
      <c r="G55" s="6" t="inlineStr">
        <is>
          <t>&gt;=2 relevant internal links</t>
        </is>
      </c>
      <c r="H55" s="6" t="inlineStr">
        <is>
          <t>Add contextual internal links from and to related pages using descriptive anchor text.</t>
        </is>
      </c>
      <c r="I55" s="44" t="inlineStr">
        <is>
          <t>Links</t>
        </is>
      </c>
      <c r="J55" s="6" t="inlineStr">
        <is>
          <t>Internal Links Count</t>
        </is>
      </c>
      <c r="K55" s="6" t="inlineStr">
        <is>
          <t>No</t>
        </is>
      </c>
      <c r="L55" s="6" t="inlineStr">
        <is>
          <t>Copy Writer</t>
        </is>
      </c>
      <c r="M55" s="45" t="inlineStr">
        <is>
          <t>Open</t>
        </is>
      </c>
      <c r="N55" s="6" t="n">
        <v>4</v>
      </c>
      <c r="O55" s="6" t="inlineStr">
        <is>
          <t>https://asconafrica.org/2026-ascon-conference/thank-you-for-signing-up/::aioseo_no_internal_links_found</t>
        </is>
      </c>
      <c r="P55" s="6" t="inlineStr">
        <is>
          <t>Internal links help discovery, topical signals, and authority flow.</t>
        </is>
      </c>
      <c r="Q55">
        <f>IFERROR(HYPERLINK("#Main!A"&amp;MATCH(A55,Main!A:A,0),"Open"),HYPERLINK("#Main!A1","Open"))</f>
        <v/>
      </c>
      <c r="R55">
        <f>IFERROR(HYPERLINK("#Technical!A"&amp;MATCH(A55,Technical!A:A,0),"Open"),HYPERLINK("#Technical!A1","Open"))</f>
        <v/>
      </c>
    </row>
    <row r="56" ht="30" customHeight="1">
      <c r="A56" s="46" t="inlineStr">
        <is>
          <t>https://asconafrica.org/about-us/</t>
        </is>
      </c>
      <c r="B56" s="37" t="inlineStr">
        <is>
          <t>Basic SEO</t>
        </is>
      </c>
      <c r="C56" s="42" t="inlineStr">
        <is>
          <t>Info</t>
        </is>
      </c>
      <c r="D56" s="37" t="inlineStr">
        <is>
          <t>Meta description too long</t>
        </is>
      </c>
      <c r="E56" s="56" t="n">
        <v>37</v>
      </c>
      <c r="F56" s="37" t="n">
        <v>441</v>
      </c>
      <c r="G56" s="37" t="inlineStr">
        <is>
          <t>120-160 characters</t>
        </is>
      </c>
      <c r="H56" s="37" t="inlineStr">
        <is>
          <t>Trim meta description in AIOSEO and front-load essential context.</t>
        </is>
      </c>
      <c r="I56" s="41" t="inlineStr">
        <is>
          <t>Main</t>
        </is>
      </c>
      <c r="J56" s="37" t="inlineStr">
        <is>
          <t>Meta Description</t>
        </is>
      </c>
      <c r="K56" s="37" t="inlineStr">
        <is>
          <t>No</t>
        </is>
      </c>
      <c r="L56" s="37" t="inlineStr">
        <is>
          <t>Copy Writer</t>
        </is>
      </c>
      <c r="M56" s="45" t="inlineStr">
        <is>
          <t>Open</t>
        </is>
      </c>
      <c r="N56" s="37" t="n">
        <v>4</v>
      </c>
      <c r="O56" s="37" t="inlineStr">
        <is>
          <t>https://asconafrica.org/about-us/::aioseo_meta_description_too_long</t>
        </is>
      </c>
      <c r="P56" s="37" t="inlineStr">
        <is>
          <t>Long descriptions are often truncated and lose message clarity.</t>
        </is>
      </c>
      <c r="Q56">
        <f>IFERROR(HYPERLINK("#Main!A"&amp;MATCH(A56,Main!A:A,0),"Open"),HYPERLINK("#Main!A1","Open"))</f>
        <v/>
      </c>
      <c r="R56">
        <f>IFERROR(HYPERLINK("#Technical!A"&amp;MATCH(A56,Technical!A:A,0),"Open"),HYPERLINK("#Technical!A1","Open"))</f>
        <v/>
      </c>
    </row>
    <row r="57" ht="30" customHeight="1">
      <c r="A57" s="46" t="inlineStr">
        <is>
          <t>https://asconafrica.org/about-us/</t>
        </is>
      </c>
      <c r="B57" s="6" t="inlineStr">
        <is>
          <t>Basic SEO</t>
        </is>
      </c>
      <c r="C57" s="42" t="inlineStr">
        <is>
          <t>Info</t>
        </is>
      </c>
      <c r="D57" s="6" t="inlineStr">
        <is>
          <t>No internal links found</t>
        </is>
      </c>
      <c r="E57" s="7" t="n">
        <v>37</v>
      </c>
      <c r="F57" s="6" t="n">
        <v>0</v>
      </c>
      <c r="G57" s="6" t="inlineStr">
        <is>
          <t>&gt;=2 relevant internal links</t>
        </is>
      </c>
      <c r="H57" s="6" t="inlineStr">
        <is>
          <t>Add contextual internal links from and to related pages using descriptive anchor text.</t>
        </is>
      </c>
      <c r="I57" s="44" t="inlineStr">
        <is>
          <t>Links</t>
        </is>
      </c>
      <c r="J57" s="6" t="inlineStr">
        <is>
          <t>Internal Links Count</t>
        </is>
      </c>
      <c r="K57" s="6" t="inlineStr">
        <is>
          <t>No</t>
        </is>
      </c>
      <c r="L57" s="6" t="inlineStr">
        <is>
          <t>Copy Writer</t>
        </is>
      </c>
      <c r="M57" s="45" t="inlineStr">
        <is>
          <t>Open</t>
        </is>
      </c>
      <c r="N57" s="6" t="n">
        <v>4</v>
      </c>
      <c r="O57" s="6" t="inlineStr">
        <is>
          <t>https://asconafrica.org/about-us/::aioseo_no_internal_links_found</t>
        </is>
      </c>
      <c r="P57" s="6" t="inlineStr">
        <is>
          <t>Internal links help discovery, topical signals, and authority flow.</t>
        </is>
      </c>
      <c r="Q57">
        <f>IFERROR(HYPERLINK("#Main!A"&amp;MATCH(A57,Main!A:A,0),"Open"),HYPERLINK("#Main!A1","Open"))</f>
        <v/>
      </c>
      <c r="R57">
        <f>IFERROR(HYPERLINK("#Technical!A"&amp;MATCH(A57,Technical!A:A,0),"Open"),HYPERLINK("#Technical!A1","Open"))</f>
        <v/>
      </c>
    </row>
    <row r="58" ht="30" customHeight="1">
      <c r="A58" s="46" t="inlineStr">
        <is>
          <t>https://asconafrica.org/contact-us/</t>
        </is>
      </c>
      <c r="B58" s="37" t="inlineStr">
        <is>
          <t>Basic SEO</t>
        </is>
      </c>
      <c r="C58" s="42" t="inlineStr">
        <is>
          <t>Info</t>
        </is>
      </c>
      <c r="D58" s="37" t="inlineStr">
        <is>
          <t>Meta description too long</t>
        </is>
      </c>
      <c r="E58" s="56" t="n">
        <v>37</v>
      </c>
      <c r="F58" s="37" t="n">
        <v>378</v>
      </c>
      <c r="G58" s="37" t="inlineStr">
        <is>
          <t>120-160 characters</t>
        </is>
      </c>
      <c r="H58" s="37" t="inlineStr">
        <is>
          <t>Trim meta description in AIOSEO and front-load essential context.</t>
        </is>
      </c>
      <c r="I58" s="41" t="inlineStr">
        <is>
          <t>Main</t>
        </is>
      </c>
      <c r="J58" s="37" t="inlineStr">
        <is>
          <t>Meta Description</t>
        </is>
      </c>
      <c r="K58" s="37" t="inlineStr">
        <is>
          <t>No</t>
        </is>
      </c>
      <c r="L58" s="37" t="inlineStr">
        <is>
          <t>Copy Writer</t>
        </is>
      </c>
      <c r="M58" s="45" t="inlineStr">
        <is>
          <t>Open</t>
        </is>
      </c>
      <c r="N58" s="37" t="n">
        <v>4</v>
      </c>
      <c r="O58" s="37" t="inlineStr">
        <is>
          <t>https://asconafrica.org/contact-us/::aioseo_meta_description_too_long</t>
        </is>
      </c>
      <c r="P58" s="37" t="inlineStr">
        <is>
          <t>Long descriptions are often truncated and lose message clarity.</t>
        </is>
      </c>
      <c r="Q58">
        <f>IFERROR(HYPERLINK("#Main!A"&amp;MATCH(A58,Main!A:A,0),"Open"),HYPERLINK("#Main!A1","Open"))</f>
        <v/>
      </c>
      <c r="R58">
        <f>IFERROR(HYPERLINK("#Technical!A"&amp;MATCH(A58,Technical!A:A,0),"Open"),HYPERLINK("#Technical!A1","Open"))</f>
        <v/>
      </c>
    </row>
    <row r="59" ht="30" customHeight="1">
      <c r="A59" s="46" t="inlineStr">
        <is>
          <t>https://asconafrica.org/contact-us/</t>
        </is>
      </c>
      <c r="B59" s="6" t="inlineStr">
        <is>
          <t>Basic SEO</t>
        </is>
      </c>
      <c r="C59" s="42" t="inlineStr">
        <is>
          <t>Info</t>
        </is>
      </c>
      <c r="D59" s="6" t="inlineStr">
        <is>
          <t>No internal links found</t>
        </is>
      </c>
      <c r="E59" s="7" t="n">
        <v>37</v>
      </c>
      <c r="F59" s="6" t="n">
        <v>0</v>
      </c>
      <c r="G59" s="6" t="inlineStr">
        <is>
          <t>&gt;=2 relevant internal links</t>
        </is>
      </c>
      <c r="H59" s="6" t="inlineStr">
        <is>
          <t>Add contextual internal links from and to related pages using descriptive anchor text.</t>
        </is>
      </c>
      <c r="I59" s="44" t="inlineStr">
        <is>
          <t>Links</t>
        </is>
      </c>
      <c r="J59" s="6" t="inlineStr">
        <is>
          <t>Internal Links Count</t>
        </is>
      </c>
      <c r="K59" s="6" t="inlineStr">
        <is>
          <t>No</t>
        </is>
      </c>
      <c r="L59" s="6" t="inlineStr">
        <is>
          <t>Copy Writer</t>
        </is>
      </c>
      <c r="M59" s="45" t="inlineStr">
        <is>
          <t>Open</t>
        </is>
      </c>
      <c r="N59" s="6" t="n">
        <v>4</v>
      </c>
      <c r="O59" s="6" t="inlineStr">
        <is>
          <t>https://asconafrica.org/contact-us/::aioseo_no_internal_links_found</t>
        </is>
      </c>
      <c r="P59" s="6" t="inlineStr">
        <is>
          <t>Internal links help discovery, topical signals, and authority flow.</t>
        </is>
      </c>
      <c r="Q59">
        <f>IFERROR(HYPERLINK("#Main!A"&amp;MATCH(A59,Main!A:A,0),"Open"),HYPERLINK("#Main!A1","Open"))</f>
        <v/>
      </c>
      <c r="R59">
        <f>IFERROR(HYPERLINK("#Technical!A"&amp;MATCH(A59,Technical!A:A,0),"Open"),HYPERLINK("#Technical!A1","Open"))</f>
        <v/>
      </c>
    </row>
    <row r="60" ht="30" customHeight="1">
      <c r="A60" s="46" t="inlineStr">
        <is>
          <t>https://asconafrica.org/launch-event-2026-ascon-conference/</t>
        </is>
      </c>
      <c r="B60" s="37" t="inlineStr">
        <is>
          <t>Basic SEO</t>
        </is>
      </c>
      <c r="C60" s="42" t="inlineStr">
        <is>
          <t>Info</t>
        </is>
      </c>
      <c r="D60" s="37" t="inlineStr">
        <is>
          <t>Meta description too long</t>
        </is>
      </c>
      <c r="E60" s="56" t="n">
        <v>37</v>
      </c>
      <c r="F60" s="37" t="n">
        <v>346</v>
      </c>
      <c r="G60" s="37" t="inlineStr">
        <is>
          <t>120-160 characters</t>
        </is>
      </c>
      <c r="H60" s="37" t="inlineStr">
        <is>
          <t>Trim meta description in AIOSEO and front-load essential context.</t>
        </is>
      </c>
      <c r="I60" s="41" t="inlineStr">
        <is>
          <t>Main</t>
        </is>
      </c>
      <c r="J60" s="37" t="inlineStr">
        <is>
          <t>Meta Description</t>
        </is>
      </c>
      <c r="K60" s="37" t="inlineStr">
        <is>
          <t>No</t>
        </is>
      </c>
      <c r="L60" s="37" t="inlineStr">
        <is>
          <t>Copy Writer</t>
        </is>
      </c>
      <c r="M60" s="45" t="inlineStr">
        <is>
          <t>Open</t>
        </is>
      </c>
      <c r="N60" s="37" t="n">
        <v>4</v>
      </c>
      <c r="O60" s="37" t="inlineStr">
        <is>
          <t>https://asconafrica.org/launch-event-2026-ascon-conference/::aioseo_meta_description_too_long</t>
        </is>
      </c>
      <c r="P60" s="37" t="inlineStr">
        <is>
          <t>Long descriptions are often truncated and lose message clarity.</t>
        </is>
      </c>
      <c r="Q60">
        <f>IFERROR(HYPERLINK("#Main!A"&amp;MATCH(A60,Main!A:A,0),"Open"),HYPERLINK("#Main!A1","Open"))</f>
        <v/>
      </c>
      <c r="R60">
        <f>IFERROR(HYPERLINK("#Technical!A"&amp;MATCH(A60,Technical!A:A,0),"Open"),HYPERLINK("#Technical!A1","Open"))</f>
        <v/>
      </c>
    </row>
    <row r="61" ht="30" customHeight="1">
      <c r="A61" s="46" t="inlineStr">
        <is>
          <t>https://asconafrica.org/launch-event-2026-ascon-conference/</t>
        </is>
      </c>
      <c r="B61" s="6" t="inlineStr">
        <is>
          <t>Basic SEO</t>
        </is>
      </c>
      <c r="C61" s="42" t="inlineStr">
        <is>
          <t>Info</t>
        </is>
      </c>
      <c r="D61" s="6" t="inlineStr">
        <is>
          <t>No internal links found</t>
        </is>
      </c>
      <c r="E61" s="7" t="n">
        <v>37</v>
      </c>
      <c r="F61" s="6" t="n">
        <v>0</v>
      </c>
      <c r="G61" s="6" t="inlineStr">
        <is>
          <t>&gt;=2 relevant internal links</t>
        </is>
      </c>
      <c r="H61" s="6" t="inlineStr">
        <is>
          <t>Add contextual internal links from and to related pages using descriptive anchor text.</t>
        </is>
      </c>
      <c r="I61" s="44" t="inlineStr">
        <is>
          <t>Links</t>
        </is>
      </c>
      <c r="J61" s="6" t="inlineStr">
        <is>
          <t>Internal Links Count</t>
        </is>
      </c>
      <c r="K61" s="6" t="inlineStr">
        <is>
          <t>No</t>
        </is>
      </c>
      <c r="L61" s="6" t="inlineStr">
        <is>
          <t>Copy Writer</t>
        </is>
      </c>
      <c r="M61" s="45" t="inlineStr">
        <is>
          <t>Open</t>
        </is>
      </c>
      <c r="N61" s="6" t="n">
        <v>4</v>
      </c>
      <c r="O61" s="6" t="inlineStr">
        <is>
          <t>https://asconafrica.org/launch-event-2026-ascon-conference/::aioseo_no_internal_links_found</t>
        </is>
      </c>
      <c r="P61" s="6" t="inlineStr">
        <is>
          <t>Internal links help discovery, topical signals, and authority flow.</t>
        </is>
      </c>
      <c r="Q61">
        <f>IFERROR(HYPERLINK("#Main!A"&amp;MATCH(A61,Main!A:A,0),"Open"),HYPERLINK("#Main!A1","Open"))</f>
        <v/>
      </c>
      <c r="R61">
        <f>IFERROR(HYPERLINK("#Technical!A"&amp;MATCH(A61,Technical!A:A,0),"Open"),HYPERLINK("#Technical!A1","Open"))</f>
        <v/>
      </c>
    </row>
    <row r="62" ht="45" customHeight="1">
      <c r="A62" s="46" t="inlineStr">
        <is>
          <t>https://asconafrica.org/launch-event-2026-ascon-conference/thank-you-for-registering-conference-launch/</t>
        </is>
      </c>
      <c r="B62" s="37" t="inlineStr">
        <is>
          <t>Basic SEO</t>
        </is>
      </c>
      <c r="C62" s="42" t="inlineStr">
        <is>
          <t>Info</t>
        </is>
      </c>
      <c r="D62" s="37" t="inlineStr">
        <is>
          <t>Meta description too long</t>
        </is>
      </c>
      <c r="E62" s="56" t="n">
        <v>37</v>
      </c>
      <c r="F62" s="37" t="n">
        <v>200</v>
      </c>
      <c r="G62" s="37" t="inlineStr">
        <is>
          <t>120-160 characters</t>
        </is>
      </c>
      <c r="H62" s="37" t="inlineStr">
        <is>
          <t>Trim meta description in AIOSEO and front-load essential context.</t>
        </is>
      </c>
      <c r="I62" s="41" t="inlineStr">
        <is>
          <t>Main</t>
        </is>
      </c>
      <c r="J62" s="37" t="inlineStr">
        <is>
          <t>Meta Description</t>
        </is>
      </c>
      <c r="K62" s="37" t="inlineStr">
        <is>
          <t>No</t>
        </is>
      </c>
      <c r="L62" s="37" t="inlineStr">
        <is>
          <t>Copy Writer</t>
        </is>
      </c>
      <c r="M62" s="45" t="inlineStr">
        <is>
          <t>Open</t>
        </is>
      </c>
      <c r="N62" s="37" t="n">
        <v>4</v>
      </c>
      <c r="O62" s="37" t="inlineStr">
        <is>
          <t>https://asconafrica.org/launch-event-2026-ascon-conference/thank-you-for-registering-conference-launch/::aioseo_meta_description_too_long</t>
        </is>
      </c>
      <c r="P62" s="37" t="inlineStr">
        <is>
          <t>Long descriptions are often truncated and lose message clarity.</t>
        </is>
      </c>
      <c r="Q62">
        <f>IFERROR(HYPERLINK("#Main!A"&amp;MATCH(A62,Main!A:A,0),"Open"),HYPERLINK("#Main!A1","Open"))</f>
        <v/>
      </c>
      <c r="R62">
        <f>IFERROR(HYPERLINK("#Technical!A"&amp;MATCH(A62,Technical!A:A,0),"Open"),HYPERLINK("#Technical!A1","Open"))</f>
        <v/>
      </c>
    </row>
    <row r="63" ht="45" customHeight="1">
      <c r="A63" s="46" t="inlineStr">
        <is>
          <t>https://asconafrica.org/launch-event-2026-ascon-conference/thank-you-for-registering-conference-launch/</t>
        </is>
      </c>
      <c r="B63" s="6" t="inlineStr">
        <is>
          <t>Basic SEO</t>
        </is>
      </c>
      <c r="C63" s="42" t="inlineStr">
        <is>
          <t>Info</t>
        </is>
      </c>
      <c r="D63" s="6" t="inlineStr">
        <is>
          <t>No internal links found</t>
        </is>
      </c>
      <c r="E63" s="7" t="n">
        <v>37</v>
      </c>
      <c r="F63" s="6" t="n">
        <v>0</v>
      </c>
      <c r="G63" s="6" t="inlineStr">
        <is>
          <t>&gt;=2 relevant internal links</t>
        </is>
      </c>
      <c r="H63" s="6" t="inlineStr">
        <is>
          <t>Add contextual internal links from and to related pages using descriptive anchor text.</t>
        </is>
      </c>
      <c r="I63" s="44" t="inlineStr">
        <is>
          <t>Links</t>
        </is>
      </c>
      <c r="J63" s="6" t="inlineStr">
        <is>
          <t>Internal Links Count</t>
        </is>
      </c>
      <c r="K63" s="6" t="inlineStr">
        <is>
          <t>No</t>
        </is>
      </c>
      <c r="L63" s="6" t="inlineStr">
        <is>
          <t>Copy Writer</t>
        </is>
      </c>
      <c r="M63" s="45" t="inlineStr">
        <is>
          <t>Open</t>
        </is>
      </c>
      <c r="N63" s="6" t="n">
        <v>4</v>
      </c>
      <c r="O63" s="6" t="inlineStr">
        <is>
          <t>https://asconafrica.org/launch-event-2026-ascon-conference/thank-you-for-registering-conference-launch/::aioseo_no_internal_links_found</t>
        </is>
      </c>
      <c r="P63" s="6" t="inlineStr">
        <is>
          <t>Internal links help discovery, topical signals, and authority flow.</t>
        </is>
      </c>
      <c r="Q63">
        <f>IFERROR(HYPERLINK("#Main!A"&amp;MATCH(A63,Main!A:A,0),"Open"),HYPERLINK("#Main!A1","Open"))</f>
        <v/>
      </c>
      <c r="R63">
        <f>IFERROR(HYPERLINK("#Technical!A"&amp;MATCH(A63,Technical!A:A,0),"Open"),HYPERLINK("#Technical!A1","Open"))</f>
        <v/>
      </c>
    </row>
    <row r="64" ht="30" customHeight="1">
      <c r="A64" s="46" t="inlineStr">
        <is>
          <t>https://asconafrica.org/news/</t>
        </is>
      </c>
      <c r="B64" s="37" t="inlineStr">
        <is>
          <t>Basic SEO</t>
        </is>
      </c>
      <c r="C64" s="42" t="inlineStr">
        <is>
          <t>Info</t>
        </is>
      </c>
      <c r="D64" s="37" t="inlineStr">
        <is>
          <t>Meta description too long</t>
        </is>
      </c>
      <c r="E64" s="56" t="n">
        <v>37</v>
      </c>
      <c r="F64" s="37" t="n">
        <v>407</v>
      </c>
      <c r="G64" s="37" t="inlineStr">
        <is>
          <t>120-160 characters</t>
        </is>
      </c>
      <c r="H64" s="37" t="inlineStr">
        <is>
          <t>Trim meta description in AIOSEO and front-load essential context.</t>
        </is>
      </c>
      <c r="I64" s="41" t="inlineStr">
        <is>
          <t>Main</t>
        </is>
      </c>
      <c r="J64" s="37" t="inlineStr">
        <is>
          <t>Meta Description</t>
        </is>
      </c>
      <c r="K64" s="37" t="inlineStr">
        <is>
          <t>No</t>
        </is>
      </c>
      <c r="L64" s="37" t="inlineStr">
        <is>
          <t>Copy Writer</t>
        </is>
      </c>
      <c r="M64" s="45" t="inlineStr">
        <is>
          <t>Open</t>
        </is>
      </c>
      <c r="N64" s="37" t="n">
        <v>4</v>
      </c>
      <c r="O64" s="37" t="inlineStr">
        <is>
          <t>https://asconafrica.org/news/::aioseo_meta_description_too_long</t>
        </is>
      </c>
      <c r="P64" s="37" t="inlineStr">
        <is>
          <t>Long descriptions are often truncated and lose message clarity.</t>
        </is>
      </c>
      <c r="Q64">
        <f>IFERROR(HYPERLINK("#Main!A"&amp;MATCH(A64,Main!A:A,0),"Open"),HYPERLINK("#Main!A1","Open"))</f>
        <v/>
      </c>
      <c r="R64">
        <f>IFERROR(HYPERLINK("#Technical!A"&amp;MATCH(A64,Technical!A:A,0),"Open"),HYPERLINK("#Technical!A1","Open"))</f>
        <v/>
      </c>
    </row>
    <row r="65" ht="30" customHeight="1">
      <c r="A65" s="46" t="inlineStr">
        <is>
          <t>https://asconafrica.org/news/</t>
        </is>
      </c>
      <c r="B65" s="6" t="inlineStr">
        <is>
          <t>Basic SEO</t>
        </is>
      </c>
      <c r="C65" s="42" t="inlineStr">
        <is>
          <t>Info</t>
        </is>
      </c>
      <c r="D65" s="6" t="inlineStr">
        <is>
          <t>No internal links found</t>
        </is>
      </c>
      <c r="E65" s="7" t="n">
        <v>37</v>
      </c>
      <c r="F65" s="6" t="n">
        <v>0</v>
      </c>
      <c r="G65" s="6" t="inlineStr">
        <is>
          <t>&gt;=2 relevant internal links</t>
        </is>
      </c>
      <c r="H65" s="6" t="inlineStr">
        <is>
          <t>Add contextual internal links from and to related pages using descriptive anchor text.</t>
        </is>
      </c>
      <c r="I65" s="44" t="inlineStr">
        <is>
          <t>Links</t>
        </is>
      </c>
      <c r="J65" s="6" t="inlineStr">
        <is>
          <t>Internal Links Count</t>
        </is>
      </c>
      <c r="K65" s="6" t="inlineStr">
        <is>
          <t>No</t>
        </is>
      </c>
      <c r="L65" s="6" t="inlineStr">
        <is>
          <t>Copy Writer</t>
        </is>
      </c>
      <c r="M65" s="45" t="inlineStr">
        <is>
          <t>Open</t>
        </is>
      </c>
      <c r="N65" s="6" t="n">
        <v>4</v>
      </c>
      <c r="O65" s="6" t="inlineStr">
        <is>
          <t>https://asconafrica.org/news/::aioseo_no_internal_links_found</t>
        </is>
      </c>
      <c r="P65" s="6" t="inlineStr">
        <is>
          <t>Internal links help discovery, topical signals, and authority flow.</t>
        </is>
      </c>
      <c r="Q65">
        <f>IFERROR(HYPERLINK("#Main!A"&amp;MATCH(A65,Main!A:A,0),"Open"),HYPERLINK("#Main!A1","Open"))</f>
        <v/>
      </c>
      <c r="R65">
        <f>IFERROR(HYPERLINK("#Technical!A"&amp;MATCH(A65,Technical!A:A,0),"Open"),HYPERLINK("#Technical!A1","Open"))</f>
        <v/>
      </c>
    </row>
    <row r="66" ht="30" customHeight="1">
      <c r="A66" s="46" t="inlineStr">
        <is>
          <t>https://asconafrica.org/our-members/</t>
        </is>
      </c>
      <c r="B66" s="37" t="inlineStr">
        <is>
          <t>Basic SEO</t>
        </is>
      </c>
      <c r="C66" s="42" t="inlineStr">
        <is>
          <t>Info</t>
        </is>
      </c>
      <c r="D66" s="37" t="inlineStr">
        <is>
          <t>Meta description too long</t>
        </is>
      </c>
      <c r="E66" s="56" t="n">
        <v>37</v>
      </c>
      <c r="F66" s="37" t="n">
        <v>384</v>
      </c>
      <c r="G66" s="37" t="inlineStr">
        <is>
          <t>120-160 characters</t>
        </is>
      </c>
      <c r="H66" s="37" t="inlineStr">
        <is>
          <t>Trim meta description in AIOSEO and front-load essential context.</t>
        </is>
      </c>
      <c r="I66" s="41" t="inlineStr">
        <is>
          <t>Main</t>
        </is>
      </c>
      <c r="J66" s="37" t="inlineStr">
        <is>
          <t>Meta Description</t>
        </is>
      </c>
      <c r="K66" s="37" t="inlineStr">
        <is>
          <t>No</t>
        </is>
      </c>
      <c r="L66" s="37" t="inlineStr">
        <is>
          <t>Copy Writer</t>
        </is>
      </c>
      <c r="M66" s="45" t="inlineStr">
        <is>
          <t>Open</t>
        </is>
      </c>
      <c r="N66" s="37" t="n">
        <v>4</v>
      </c>
      <c r="O66" s="37" t="inlineStr">
        <is>
          <t>https://asconafrica.org/our-members/::aioseo_meta_description_too_long</t>
        </is>
      </c>
      <c r="P66" s="37" t="inlineStr">
        <is>
          <t>Long descriptions are often truncated and lose message clarity.</t>
        </is>
      </c>
      <c r="Q66">
        <f>IFERROR(HYPERLINK("#Main!A"&amp;MATCH(A66,Main!A:A,0),"Open"),HYPERLINK("#Main!A1","Open"))</f>
        <v/>
      </c>
      <c r="R66">
        <f>IFERROR(HYPERLINK("#Technical!A"&amp;MATCH(A66,Technical!A:A,0),"Open"),HYPERLINK("#Technical!A1","Open"))</f>
        <v/>
      </c>
    </row>
    <row r="67" ht="30" customHeight="1">
      <c r="A67" s="46" t="inlineStr">
        <is>
          <t>https://asconafrica.org/our-members/</t>
        </is>
      </c>
      <c r="B67" s="6" t="inlineStr">
        <is>
          <t>Basic SEO</t>
        </is>
      </c>
      <c r="C67" s="42" t="inlineStr">
        <is>
          <t>Info</t>
        </is>
      </c>
      <c r="D67" s="6" t="inlineStr">
        <is>
          <t>No internal links found</t>
        </is>
      </c>
      <c r="E67" s="7" t="n">
        <v>37</v>
      </c>
      <c r="F67" s="6" t="n">
        <v>0</v>
      </c>
      <c r="G67" s="6" t="inlineStr">
        <is>
          <t>&gt;=2 relevant internal links</t>
        </is>
      </c>
      <c r="H67" s="6" t="inlineStr">
        <is>
          <t>Add contextual internal links from and to related pages using descriptive anchor text.</t>
        </is>
      </c>
      <c r="I67" s="44" t="inlineStr">
        <is>
          <t>Links</t>
        </is>
      </c>
      <c r="J67" s="6" t="inlineStr">
        <is>
          <t>Internal Links Count</t>
        </is>
      </c>
      <c r="K67" s="6" t="inlineStr">
        <is>
          <t>No</t>
        </is>
      </c>
      <c r="L67" s="6" t="inlineStr">
        <is>
          <t>Copy Writer</t>
        </is>
      </c>
      <c r="M67" s="45" t="inlineStr">
        <is>
          <t>Open</t>
        </is>
      </c>
      <c r="N67" s="6" t="n">
        <v>4</v>
      </c>
      <c r="O67" s="6" t="inlineStr">
        <is>
          <t>https://asconafrica.org/our-members/::aioseo_no_internal_links_found</t>
        </is>
      </c>
      <c r="P67" s="6" t="inlineStr">
        <is>
          <t>Internal links help discovery, topical signals, and authority flow.</t>
        </is>
      </c>
      <c r="Q67">
        <f>IFERROR(HYPERLINK("#Main!A"&amp;MATCH(A67,Main!A:A,0),"Open"),HYPERLINK("#Main!A1","Open"))</f>
        <v/>
      </c>
      <c r="R67">
        <f>IFERROR(HYPERLINK("#Technical!A"&amp;MATCH(A67,Technical!A:A,0),"Open"),HYPERLINK("#Technical!A1","Open"))</f>
        <v/>
      </c>
    </row>
    <row r="68" ht="30" customHeight="1">
      <c r="A68" s="46" t="inlineStr">
        <is>
          <t>https://asconafrica.org/privacy-policy/</t>
        </is>
      </c>
      <c r="B68" s="37" t="inlineStr">
        <is>
          <t>Basic SEO</t>
        </is>
      </c>
      <c r="C68" s="42" t="inlineStr">
        <is>
          <t>Info</t>
        </is>
      </c>
      <c r="D68" s="37" t="inlineStr">
        <is>
          <t>Meta description too long</t>
        </is>
      </c>
      <c r="E68" s="56" t="n">
        <v>37</v>
      </c>
      <c r="F68" s="37" t="n">
        <v>396</v>
      </c>
      <c r="G68" s="37" t="inlineStr">
        <is>
          <t>120-160 characters</t>
        </is>
      </c>
      <c r="H68" s="37" t="inlineStr">
        <is>
          <t>Trim meta description in AIOSEO and front-load essential context.</t>
        </is>
      </c>
      <c r="I68" s="41" t="inlineStr">
        <is>
          <t>Main</t>
        </is>
      </c>
      <c r="J68" s="37" t="inlineStr">
        <is>
          <t>Meta Description</t>
        </is>
      </c>
      <c r="K68" s="37" t="inlineStr">
        <is>
          <t>No</t>
        </is>
      </c>
      <c r="L68" s="37" t="inlineStr">
        <is>
          <t>Copy Writer</t>
        </is>
      </c>
      <c r="M68" s="45" t="inlineStr">
        <is>
          <t>Open</t>
        </is>
      </c>
      <c r="N68" s="37" t="n">
        <v>4</v>
      </c>
      <c r="O68" s="37" t="inlineStr">
        <is>
          <t>https://asconafrica.org/privacy-policy/::aioseo_meta_description_too_long</t>
        </is>
      </c>
      <c r="P68" s="37" t="inlineStr">
        <is>
          <t>Long descriptions are often truncated and lose message clarity.</t>
        </is>
      </c>
      <c r="Q68">
        <f>IFERROR(HYPERLINK("#Main!A"&amp;MATCH(A68,Main!A:A,0),"Open"),HYPERLINK("#Main!A1","Open"))</f>
        <v/>
      </c>
      <c r="R68">
        <f>IFERROR(HYPERLINK("#Technical!A"&amp;MATCH(A68,Technical!A:A,0),"Open"),HYPERLINK("#Technical!A1","Open"))</f>
        <v/>
      </c>
    </row>
    <row r="69" ht="30" customHeight="1">
      <c r="A69" s="46" t="inlineStr">
        <is>
          <t>https://asconafrica.org/privacy-policy/</t>
        </is>
      </c>
      <c r="B69" s="6" t="inlineStr">
        <is>
          <t>Basic SEO</t>
        </is>
      </c>
      <c r="C69" s="42" t="inlineStr">
        <is>
          <t>Info</t>
        </is>
      </c>
      <c r="D69" s="6" t="inlineStr">
        <is>
          <t>No internal links found</t>
        </is>
      </c>
      <c r="E69" s="7" t="n">
        <v>37</v>
      </c>
      <c r="F69" s="6" t="n">
        <v>0</v>
      </c>
      <c r="G69" s="6" t="inlineStr">
        <is>
          <t>&gt;=2 relevant internal links</t>
        </is>
      </c>
      <c r="H69" s="6" t="inlineStr">
        <is>
          <t>Add contextual internal links from and to related pages using descriptive anchor text.</t>
        </is>
      </c>
      <c r="I69" s="44" t="inlineStr">
        <is>
          <t>Links</t>
        </is>
      </c>
      <c r="J69" s="6" t="inlineStr">
        <is>
          <t>Internal Links Count</t>
        </is>
      </c>
      <c r="K69" s="6" t="inlineStr">
        <is>
          <t>No</t>
        </is>
      </c>
      <c r="L69" s="6" t="inlineStr">
        <is>
          <t>Copy Writer</t>
        </is>
      </c>
      <c r="M69" s="45" t="inlineStr">
        <is>
          <t>Open</t>
        </is>
      </c>
      <c r="N69" s="6" t="n">
        <v>4</v>
      </c>
      <c r="O69" s="6" t="inlineStr">
        <is>
          <t>https://asconafrica.org/privacy-policy/::aioseo_no_internal_links_found</t>
        </is>
      </c>
      <c r="P69" s="6" t="inlineStr">
        <is>
          <t>Internal links help discovery, topical signals, and authority flow.</t>
        </is>
      </c>
      <c r="Q69">
        <f>IFERROR(HYPERLINK("#Main!A"&amp;MATCH(A69,Main!A:A,0),"Open"),HYPERLINK("#Main!A1","Open"))</f>
        <v/>
      </c>
      <c r="R69">
        <f>IFERROR(HYPERLINK("#Technical!A"&amp;MATCH(A69,Technical!A:A,0),"Open"),HYPERLINK("#Technical!A1","Open"))</f>
        <v/>
      </c>
    </row>
    <row r="70" ht="30" customHeight="1">
      <c r="A70" s="46" t="inlineStr">
        <is>
          <t>https://asconafrica.org/thank-you-for-signing-up-for-updates/</t>
        </is>
      </c>
      <c r="B70" s="37" t="inlineStr">
        <is>
          <t>Basic SEO</t>
        </is>
      </c>
      <c r="C70" s="42" t="inlineStr">
        <is>
          <t>Info</t>
        </is>
      </c>
      <c r="D70" s="37" t="inlineStr">
        <is>
          <t>No internal links found</t>
        </is>
      </c>
      <c r="E70" s="56" t="n">
        <v>37</v>
      </c>
      <c r="F70" s="37" t="n">
        <v>0</v>
      </c>
      <c r="G70" s="37" t="inlineStr">
        <is>
          <t>&gt;=2 relevant internal links</t>
        </is>
      </c>
      <c r="H70" s="37" t="inlineStr">
        <is>
          <t>Add contextual internal links from and to related pages using descriptive anchor text.</t>
        </is>
      </c>
      <c r="I70" s="41" t="inlineStr">
        <is>
          <t>Links</t>
        </is>
      </c>
      <c r="J70" s="37" t="inlineStr">
        <is>
          <t>Internal Links Count</t>
        </is>
      </c>
      <c r="K70" s="37" t="inlineStr">
        <is>
          <t>No</t>
        </is>
      </c>
      <c r="L70" s="37" t="inlineStr">
        <is>
          <t>Copy Writer</t>
        </is>
      </c>
      <c r="M70" s="45" t="inlineStr">
        <is>
          <t>Open</t>
        </is>
      </c>
      <c r="N70" s="37" t="n">
        <v>4</v>
      </c>
      <c r="O70" s="37" t="inlineStr">
        <is>
          <t>https://asconafrica.org/thank-you-for-signing-up-for-updates/::aioseo_no_internal_links_found</t>
        </is>
      </c>
      <c r="P70" s="37" t="inlineStr">
        <is>
          <t>Internal links help discovery, topical signals, and authority flow.</t>
        </is>
      </c>
      <c r="Q70">
        <f>IFERROR(HYPERLINK("#Main!A"&amp;MATCH(A70,Main!A:A,0),"Open"),HYPERLINK("#Main!A1","Open"))</f>
        <v/>
      </c>
      <c r="R70">
        <f>IFERROR(HYPERLINK("#Technical!A"&amp;MATCH(A70,Technical!A:A,0),"Open"),HYPERLINK("#Technical!A1","Open"))</f>
        <v/>
      </c>
    </row>
    <row r="71" ht="30" customHeight="1">
      <c r="A71" s="46" t="inlineStr">
        <is>
          <t>https://asconafrica.org/unsubscribe-form/</t>
        </is>
      </c>
      <c r="B71" s="6" t="inlineStr">
        <is>
          <t>Basic SEO</t>
        </is>
      </c>
      <c r="C71" s="42" t="inlineStr">
        <is>
          <t>Info</t>
        </is>
      </c>
      <c r="D71" s="6" t="inlineStr">
        <is>
          <t>Meta description too long</t>
        </is>
      </c>
      <c r="E71" s="7" t="n">
        <v>37</v>
      </c>
      <c r="F71" s="6" t="n">
        <v>344</v>
      </c>
      <c r="G71" s="6" t="inlineStr">
        <is>
          <t>120-160 characters</t>
        </is>
      </c>
      <c r="H71" s="6" t="inlineStr">
        <is>
          <t>Trim meta description in AIOSEO and front-load essential context.</t>
        </is>
      </c>
      <c r="I71" s="44" t="inlineStr">
        <is>
          <t>Main</t>
        </is>
      </c>
      <c r="J71" s="6" t="inlineStr">
        <is>
          <t>Meta Description</t>
        </is>
      </c>
      <c r="K71" s="6" t="inlineStr">
        <is>
          <t>No</t>
        </is>
      </c>
      <c r="L71" s="6" t="inlineStr">
        <is>
          <t>Copy Writer</t>
        </is>
      </c>
      <c r="M71" s="45" t="inlineStr">
        <is>
          <t>Open</t>
        </is>
      </c>
      <c r="N71" s="6" t="n">
        <v>4</v>
      </c>
      <c r="O71" s="6" t="inlineStr">
        <is>
          <t>https://asconafrica.org/unsubscribe-form/::aioseo_meta_description_too_long</t>
        </is>
      </c>
      <c r="P71" s="6" t="inlineStr">
        <is>
          <t>Long descriptions are often truncated and lose message clarity.</t>
        </is>
      </c>
      <c r="Q71">
        <f>IFERROR(HYPERLINK("#Main!A"&amp;MATCH(A71,Main!A:A,0),"Open"),HYPERLINK("#Main!A1","Open"))</f>
        <v/>
      </c>
      <c r="R71">
        <f>IFERROR(HYPERLINK("#Technical!A"&amp;MATCH(A71,Technical!A:A,0),"Open"),HYPERLINK("#Technical!A1","Open"))</f>
        <v/>
      </c>
    </row>
    <row r="72" ht="30" customHeight="1">
      <c r="A72" s="46" t="inlineStr">
        <is>
          <t>https://asconafrica.org/unsubscribe-form/</t>
        </is>
      </c>
      <c r="B72" s="37" t="inlineStr">
        <is>
          <t>Basic SEO</t>
        </is>
      </c>
      <c r="C72" s="42" t="inlineStr">
        <is>
          <t>Info</t>
        </is>
      </c>
      <c r="D72" s="37" t="inlineStr">
        <is>
          <t>No internal links found</t>
        </is>
      </c>
      <c r="E72" s="56" t="n">
        <v>37</v>
      </c>
      <c r="F72" s="37" t="n">
        <v>0</v>
      </c>
      <c r="G72" s="37" t="inlineStr">
        <is>
          <t>&gt;=2 relevant internal links</t>
        </is>
      </c>
      <c r="H72" s="37" t="inlineStr">
        <is>
          <t>Add contextual internal links from and to related pages using descriptive anchor text.</t>
        </is>
      </c>
      <c r="I72" s="41" t="inlineStr">
        <is>
          <t>Links</t>
        </is>
      </c>
      <c r="J72" s="37" t="inlineStr">
        <is>
          <t>Internal Links Count</t>
        </is>
      </c>
      <c r="K72" s="37" t="inlineStr">
        <is>
          <t>No</t>
        </is>
      </c>
      <c r="L72" s="37" t="inlineStr">
        <is>
          <t>Copy Writer</t>
        </is>
      </c>
      <c r="M72" s="45" t="inlineStr">
        <is>
          <t>Open</t>
        </is>
      </c>
      <c r="N72" s="37" t="n">
        <v>4</v>
      </c>
      <c r="O72" s="37" t="inlineStr">
        <is>
          <t>https://asconafrica.org/unsubscribe-form/::aioseo_no_internal_links_found</t>
        </is>
      </c>
      <c r="P72" s="37" t="inlineStr">
        <is>
          <t>Internal links help discovery, topical signals, and authority flow.</t>
        </is>
      </c>
      <c r="Q72">
        <f>IFERROR(HYPERLINK("#Main!A"&amp;MATCH(A72,Main!A:A,0),"Open"),HYPERLINK("#Main!A1","Open"))</f>
        <v/>
      </c>
      <c r="R72">
        <f>IFERROR(HYPERLINK("#Technical!A"&amp;MATCH(A72,Technical!A:A,0),"Open"),HYPERLINK("#Technical!A1","Open"))</f>
        <v/>
      </c>
    </row>
    <row r="73" ht="30" customHeight="1">
      <c r="A73" s="46" t="inlineStr">
        <is>
          <t>https://asconafrica.org/unsubscribe-form/successfully-unsubscribed/</t>
        </is>
      </c>
      <c r="B73" s="6" t="inlineStr">
        <is>
          <t>Basic SEO</t>
        </is>
      </c>
      <c r="C73" s="42" t="inlineStr">
        <is>
          <t>Info</t>
        </is>
      </c>
      <c r="D73" s="6" t="inlineStr">
        <is>
          <t>Meta description too short</t>
        </is>
      </c>
      <c r="E73" s="7" t="n">
        <v>37</v>
      </c>
      <c r="F73" s="6" t="n">
        <v>115</v>
      </c>
      <c r="G73" s="6" t="inlineStr">
        <is>
          <t>120-160 characters</t>
        </is>
      </c>
      <c r="H73" s="6" t="inlineStr">
        <is>
          <t>Expand meta description in AIOSEO to include key value points and intent terms naturally.</t>
        </is>
      </c>
      <c r="I73" s="44" t="inlineStr">
        <is>
          <t>Main</t>
        </is>
      </c>
      <c r="J73" s="6" t="inlineStr">
        <is>
          <t>Meta Description</t>
        </is>
      </c>
      <c r="K73" s="6" t="inlineStr">
        <is>
          <t>No</t>
        </is>
      </c>
      <c r="L73" s="6" t="inlineStr">
        <is>
          <t>Copy Writer</t>
        </is>
      </c>
      <c r="M73" s="45" t="inlineStr">
        <is>
          <t>Open</t>
        </is>
      </c>
      <c r="N73" s="6" t="n">
        <v>4</v>
      </c>
      <c r="O73" s="6" t="inlineStr">
        <is>
          <t>https://asconafrica.org/unsubscribe-form/successfully-unsubscribed/::aioseo_meta_description_too_short</t>
        </is>
      </c>
      <c r="P73" s="6" t="inlineStr">
        <is>
          <t>Short descriptions can under-communicate relevance and value.</t>
        </is>
      </c>
      <c r="Q73">
        <f>IFERROR(HYPERLINK("#Main!A"&amp;MATCH(A73,Main!A:A,0),"Open"),HYPERLINK("#Main!A1","Open"))</f>
        <v/>
      </c>
      <c r="R73">
        <f>IFERROR(HYPERLINK("#Technical!A"&amp;MATCH(A73,Technical!A:A,0),"Open"),HYPERLINK("#Technical!A1","Open"))</f>
        <v/>
      </c>
    </row>
    <row r="74" ht="30" customHeight="1">
      <c r="A74" s="46" t="inlineStr">
        <is>
          <t>https://asconafrica.org/unsubscribe-form/successfully-unsubscribed/</t>
        </is>
      </c>
      <c r="B74" s="37" t="inlineStr">
        <is>
          <t>Basic SEO</t>
        </is>
      </c>
      <c r="C74" s="42" t="inlineStr">
        <is>
          <t>Info</t>
        </is>
      </c>
      <c r="D74" s="37" t="inlineStr">
        <is>
          <t>No internal links found</t>
        </is>
      </c>
      <c r="E74" s="56" t="n">
        <v>37</v>
      </c>
      <c r="F74" s="37" t="n">
        <v>0</v>
      </c>
      <c r="G74" s="37" t="inlineStr">
        <is>
          <t>&gt;=2 relevant internal links</t>
        </is>
      </c>
      <c r="H74" s="37" t="inlineStr">
        <is>
          <t>Add contextual internal links from and to related pages using descriptive anchor text.</t>
        </is>
      </c>
      <c r="I74" s="41" t="inlineStr">
        <is>
          <t>Links</t>
        </is>
      </c>
      <c r="J74" s="37" t="inlineStr">
        <is>
          <t>Internal Links Count</t>
        </is>
      </c>
      <c r="K74" s="37" t="inlineStr">
        <is>
          <t>No</t>
        </is>
      </c>
      <c r="L74" s="37" t="inlineStr">
        <is>
          <t>Copy Writer</t>
        </is>
      </c>
      <c r="M74" s="45" t="inlineStr">
        <is>
          <t>Open</t>
        </is>
      </c>
      <c r="N74" s="37" t="n">
        <v>4</v>
      </c>
      <c r="O74" s="37" t="inlineStr">
        <is>
          <t>https://asconafrica.org/unsubscribe-form/successfully-unsubscribed/::aioseo_no_internal_links_found</t>
        </is>
      </c>
      <c r="P74" s="37" t="inlineStr">
        <is>
          <t>Internal links help discovery, topical signals, and authority flow.</t>
        </is>
      </c>
      <c r="Q74">
        <f>IFERROR(HYPERLINK("#Main!A"&amp;MATCH(A74,Main!A:A,0),"Open"),HYPERLINK("#Main!A1","Open"))</f>
        <v/>
      </c>
      <c r="R74">
        <f>IFERROR(HYPERLINK("#Technical!A"&amp;MATCH(A74,Technical!A:A,0),"Open"),HYPERLINK("#Technical!A1","Open"))</f>
        <v/>
      </c>
    </row>
    <row r="75" ht="30" customHeight="1">
      <c r="A75" s="46" t="inlineStr">
        <is>
          <t>https://asconafrica.org/</t>
        </is>
      </c>
      <c r="B75" s="6" t="inlineStr">
        <is>
          <t>Content</t>
        </is>
      </c>
      <c r="C75" s="42" t="inlineStr">
        <is>
          <t>Info</t>
        </is>
      </c>
      <c r="D75" s="6" t="inlineStr">
        <is>
          <t>No concise answer paragraph (40-60 words)</t>
        </is>
      </c>
      <c r="E75" s="7" t="n">
        <v>37</v>
      </c>
      <c r="F75" s="6" t="n">
        <v>0</v>
      </c>
      <c r="G75" s="6" t="inlineStr">
        <is>
          <t>&gt;=1 concise answer block</t>
        </is>
      </c>
      <c r="H75" s="6" t="inlineStr">
        <is>
          <t>Add a direct 40-60 word answer immediately below key question headings.</t>
        </is>
      </c>
      <c r="I75" s="44" t="inlineStr">
        <is>
          <t>AEO</t>
        </is>
      </c>
      <c r="J75" s="6" t="inlineStr">
        <is>
          <t>Paragraphs 40-60 Words Count</t>
        </is>
      </c>
      <c r="K75" s="6" t="inlineStr">
        <is>
          <t>No</t>
        </is>
      </c>
      <c r="L75" s="6" t="inlineStr">
        <is>
          <t>Copy Writer</t>
        </is>
      </c>
      <c r="M75" s="45" t="inlineStr">
        <is>
          <t>Open</t>
        </is>
      </c>
      <c r="N75" s="6" t="n">
        <v>4</v>
      </c>
      <c r="O75" s="6" t="inlineStr">
        <is>
          <t>https://asconafrica.org/::aioseo_no_concise_answer_paragraph_40-60_words_</t>
        </is>
      </c>
      <c r="P75" s="6" t="inlineStr">
        <is>
          <t>Compact answer blocks improve direct-answer extraction chances.</t>
        </is>
      </c>
      <c r="Q75">
        <f>IFERROR(HYPERLINK("#Main!A"&amp;MATCH(A75,Main!A:A,0),"Open"),HYPERLINK("#Main!A1","Open"))</f>
        <v/>
      </c>
      <c r="R75">
        <f>IFERROR(HYPERLINK("#Technical!A"&amp;MATCH(A75,Technical!A:A,0),"Open"),HYPERLINK("#Technical!A1","Open"))</f>
        <v/>
      </c>
    </row>
    <row r="76" ht="30" customHeight="1">
      <c r="A76" s="46" t="inlineStr">
        <is>
          <t>https://asconafrica.org/2026-ascon-awards/</t>
        </is>
      </c>
      <c r="B76" s="37" t="inlineStr">
        <is>
          <t>Content</t>
        </is>
      </c>
      <c r="C76" s="42" t="inlineStr">
        <is>
          <t>Info</t>
        </is>
      </c>
      <c r="D76" s="37" t="inlineStr">
        <is>
          <t>No concise answer paragraph (40-60 words)</t>
        </is>
      </c>
      <c r="E76" s="56" t="n">
        <v>37</v>
      </c>
      <c r="F76" s="37" t="n">
        <v>0</v>
      </c>
      <c r="G76" s="37" t="inlineStr">
        <is>
          <t>&gt;=1 concise answer block</t>
        </is>
      </c>
      <c r="H76" s="37" t="inlineStr">
        <is>
          <t>Add a direct 40-60 word answer immediately below key question headings.</t>
        </is>
      </c>
      <c r="I76" s="41" t="inlineStr">
        <is>
          <t>AEO</t>
        </is>
      </c>
      <c r="J76" s="37" t="inlineStr">
        <is>
          <t>Paragraphs 40-60 Words Count</t>
        </is>
      </c>
      <c r="K76" s="37" t="inlineStr">
        <is>
          <t>No</t>
        </is>
      </c>
      <c r="L76" s="37" t="inlineStr">
        <is>
          <t>Copy Writer</t>
        </is>
      </c>
      <c r="M76" s="45" t="inlineStr">
        <is>
          <t>Open</t>
        </is>
      </c>
      <c r="N76" s="37" t="n">
        <v>4</v>
      </c>
      <c r="O76" s="37" t="inlineStr">
        <is>
          <t>https://asconafrica.org/2026-ascon-awards/::aioseo_no_concise_answer_paragraph_40-60_words_</t>
        </is>
      </c>
      <c r="P76" s="37" t="inlineStr">
        <is>
          <t>Compact answer blocks improve direct-answer extraction chances.</t>
        </is>
      </c>
      <c r="Q76">
        <f>IFERROR(HYPERLINK("#Main!A"&amp;MATCH(A76,Main!A:A,0),"Open"),HYPERLINK("#Main!A1","Open"))</f>
        <v/>
      </c>
      <c r="R76">
        <f>IFERROR(HYPERLINK("#Technical!A"&amp;MATCH(A76,Technical!A:A,0),"Open"),HYPERLINK("#Technical!A1","Open"))</f>
        <v/>
      </c>
    </row>
    <row r="77" ht="30" customHeight="1">
      <c r="A77" s="46" t="inlineStr">
        <is>
          <t>https://asconafrica.org/2026-ascon-awards/thank-you-for-your-nomination/</t>
        </is>
      </c>
      <c r="B77" s="6" t="inlineStr">
        <is>
          <t>Content</t>
        </is>
      </c>
      <c r="C77" s="42" t="inlineStr">
        <is>
          <t>Info</t>
        </is>
      </c>
      <c r="D77" s="6" t="inlineStr">
        <is>
          <t>No concise answer paragraph (40-60 words)</t>
        </is>
      </c>
      <c r="E77" s="7" t="n">
        <v>37</v>
      </c>
      <c r="F77" s="6" t="n">
        <v>0</v>
      </c>
      <c r="G77" s="6" t="inlineStr">
        <is>
          <t>&gt;=1 concise answer block</t>
        </is>
      </c>
      <c r="H77" s="6" t="inlineStr">
        <is>
          <t>Add a direct 40-60 word answer immediately below key question headings.</t>
        </is>
      </c>
      <c r="I77" s="44" t="inlineStr">
        <is>
          <t>AEO</t>
        </is>
      </c>
      <c r="J77" s="6" t="inlineStr">
        <is>
          <t>Paragraphs 40-60 Words Count</t>
        </is>
      </c>
      <c r="K77" s="6" t="inlineStr">
        <is>
          <t>No</t>
        </is>
      </c>
      <c r="L77" s="6" t="inlineStr">
        <is>
          <t>Copy Writer</t>
        </is>
      </c>
      <c r="M77" s="45" t="inlineStr">
        <is>
          <t>Open</t>
        </is>
      </c>
      <c r="N77" s="6" t="n">
        <v>4</v>
      </c>
      <c r="O77" s="6" t="inlineStr">
        <is>
          <t>https://asconafrica.org/2026-ascon-awards/thank-you-for-your-nomination/::aioseo_no_concise_answer_paragraph_40-60_words_</t>
        </is>
      </c>
      <c r="P77" s="6" t="inlineStr">
        <is>
          <t>Compact answer blocks improve direct-answer extraction chances.</t>
        </is>
      </c>
      <c r="Q77">
        <f>IFERROR(HYPERLINK("#Main!A"&amp;MATCH(A77,Main!A:A,0),"Open"),HYPERLINK("#Main!A1","Open"))</f>
        <v/>
      </c>
      <c r="R77">
        <f>IFERROR(HYPERLINK("#Technical!A"&amp;MATCH(A77,Technical!A:A,0),"Open"),HYPERLINK("#Technical!A1","Open"))</f>
        <v/>
      </c>
    </row>
    <row r="78" ht="30" customHeight="1">
      <c r="A78" s="46" t="inlineStr">
        <is>
          <t>https://asconafrica.org/2026-ascon-conference/</t>
        </is>
      </c>
      <c r="B78" s="37" t="inlineStr">
        <is>
          <t>Content</t>
        </is>
      </c>
      <c r="C78" s="42" t="inlineStr">
        <is>
          <t>Info</t>
        </is>
      </c>
      <c r="D78" s="37" t="inlineStr">
        <is>
          <t>No concise answer paragraph (40-60 words)</t>
        </is>
      </c>
      <c r="E78" s="56" t="n">
        <v>37</v>
      </c>
      <c r="F78" s="37" t="n">
        <v>0</v>
      </c>
      <c r="G78" s="37" t="inlineStr">
        <is>
          <t>&gt;=1 concise answer block</t>
        </is>
      </c>
      <c r="H78" s="37" t="inlineStr">
        <is>
          <t>Add a direct 40-60 word answer immediately below key question headings.</t>
        </is>
      </c>
      <c r="I78" s="41" t="inlineStr">
        <is>
          <t>AEO</t>
        </is>
      </c>
      <c r="J78" s="37" t="inlineStr">
        <is>
          <t>Paragraphs 40-60 Words Count</t>
        </is>
      </c>
      <c r="K78" s="37" t="inlineStr">
        <is>
          <t>No</t>
        </is>
      </c>
      <c r="L78" s="37" t="inlineStr">
        <is>
          <t>Copy Writer</t>
        </is>
      </c>
      <c r="M78" s="45" t="inlineStr">
        <is>
          <t>Open</t>
        </is>
      </c>
      <c r="N78" s="37" t="n">
        <v>4</v>
      </c>
      <c r="O78" s="37" t="inlineStr">
        <is>
          <t>https://asconafrica.org/2026-ascon-conference/::aioseo_no_concise_answer_paragraph_40-60_words_</t>
        </is>
      </c>
      <c r="P78" s="37" t="inlineStr">
        <is>
          <t>Compact answer blocks improve direct-answer extraction chances.</t>
        </is>
      </c>
      <c r="Q78">
        <f>IFERROR(HYPERLINK("#Main!A"&amp;MATCH(A78,Main!A:A,0),"Open"),HYPERLINK("#Main!A1","Open"))</f>
        <v/>
      </c>
      <c r="R78">
        <f>IFERROR(HYPERLINK("#Technical!A"&amp;MATCH(A78,Technical!A:A,0),"Open"),HYPERLINK("#Technical!A1","Open"))</f>
        <v/>
      </c>
    </row>
    <row r="79" ht="30" customHeight="1">
      <c r="A79" s="46" t="inlineStr">
        <is>
          <t>https://asconafrica.org/2026-ascon-conference/thank-you-for-signing-up/</t>
        </is>
      </c>
      <c r="B79" s="6" t="inlineStr">
        <is>
          <t>Content</t>
        </is>
      </c>
      <c r="C79" s="42" t="inlineStr">
        <is>
          <t>Info</t>
        </is>
      </c>
      <c r="D79" s="6" t="inlineStr">
        <is>
          <t>No concise answer paragraph (40-60 words)</t>
        </is>
      </c>
      <c r="E79" s="7" t="n">
        <v>37</v>
      </c>
      <c r="F79" s="6" t="n">
        <v>0</v>
      </c>
      <c r="G79" s="6" t="inlineStr">
        <is>
          <t>&gt;=1 concise answer block</t>
        </is>
      </c>
      <c r="H79" s="6" t="inlineStr">
        <is>
          <t>Add a direct 40-60 word answer immediately below key question headings.</t>
        </is>
      </c>
      <c r="I79" s="44" t="inlineStr">
        <is>
          <t>AEO</t>
        </is>
      </c>
      <c r="J79" s="6" t="inlineStr">
        <is>
          <t>Paragraphs 40-60 Words Count</t>
        </is>
      </c>
      <c r="K79" s="6" t="inlineStr">
        <is>
          <t>No</t>
        </is>
      </c>
      <c r="L79" s="6" t="inlineStr">
        <is>
          <t>Copy Writer</t>
        </is>
      </c>
      <c r="M79" s="45" t="inlineStr">
        <is>
          <t>Open</t>
        </is>
      </c>
      <c r="N79" s="6" t="n">
        <v>4</v>
      </c>
      <c r="O79" s="6" t="inlineStr">
        <is>
          <t>https://asconafrica.org/2026-ascon-conference/thank-you-for-signing-up/::aioseo_no_concise_answer_paragraph_40-60_words_</t>
        </is>
      </c>
      <c r="P79" s="6" t="inlineStr">
        <is>
          <t>Compact answer blocks improve direct-answer extraction chances.</t>
        </is>
      </c>
      <c r="Q79">
        <f>IFERROR(HYPERLINK("#Main!A"&amp;MATCH(A79,Main!A:A,0),"Open"),HYPERLINK("#Main!A1","Open"))</f>
        <v/>
      </c>
      <c r="R79">
        <f>IFERROR(HYPERLINK("#Technical!A"&amp;MATCH(A79,Technical!A:A,0),"Open"),HYPERLINK("#Technical!A1","Open"))</f>
        <v/>
      </c>
    </row>
    <row r="80" ht="30" customHeight="1">
      <c r="A80" s="46" t="inlineStr">
        <is>
          <t>https://asconafrica.org/about-us/</t>
        </is>
      </c>
      <c r="B80" s="37" t="inlineStr">
        <is>
          <t>Content</t>
        </is>
      </c>
      <c r="C80" s="42" t="inlineStr">
        <is>
          <t>Info</t>
        </is>
      </c>
      <c r="D80" s="37" t="inlineStr">
        <is>
          <t>No concise answer paragraph (40-60 words)</t>
        </is>
      </c>
      <c r="E80" s="56" t="n">
        <v>37</v>
      </c>
      <c r="F80" s="37" t="n">
        <v>0</v>
      </c>
      <c r="G80" s="37" t="inlineStr">
        <is>
          <t>&gt;=1 concise answer block</t>
        </is>
      </c>
      <c r="H80" s="37" t="inlineStr">
        <is>
          <t>Add a direct 40-60 word answer immediately below key question headings.</t>
        </is>
      </c>
      <c r="I80" s="41" t="inlineStr">
        <is>
          <t>AEO</t>
        </is>
      </c>
      <c r="J80" s="37" t="inlineStr">
        <is>
          <t>Paragraphs 40-60 Words Count</t>
        </is>
      </c>
      <c r="K80" s="37" t="inlineStr">
        <is>
          <t>No</t>
        </is>
      </c>
      <c r="L80" s="37" t="inlineStr">
        <is>
          <t>Copy Writer</t>
        </is>
      </c>
      <c r="M80" s="45" t="inlineStr">
        <is>
          <t>Open</t>
        </is>
      </c>
      <c r="N80" s="37" t="n">
        <v>4</v>
      </c>
      <c r="O80" s="37" t="inlineStr">
        <is>
          <t>https://asconafrica.org/about-us/::aioseo_no_concise_answer_paragraph_40-60_words_</t>
        </is>
      </c>
      <c r="P80" s="37" t="inlineStr">
        <is>
          <t>Compact answer blocks improve direct-answer extraction chances.</t>
        </is>
      </c>
      <c r="Q80">
        <f>IFERROR(HYPERLINK("#Main!A"&amp;MATCH(A80,Main!A:A,0),"Open"),HYPERLINK("#Main!A1","Open"))</f>
        <v/>
      </c>
      <c r="R80">
        <f>IFERROR(HYPERLINK("#Technical!A"&amp;MATCH(A80,Technical!A:A,0),"Open"),HYPERLINK("#Technical!A1","Open"))</f>
        <v/>
      </c>
    </row>
    <row r="81" ht="30" customHeight="1">
      <c r="A81" s="46" t="inlineStr">
        <is>
          <t>https://asconafrica.org/contact-us/</t>
        </is>
      </c>
      <c r="B81" s="6" t="inlineStr">
        <is>
          <t>Content</t>
        </is>
      </c>
      <c r="C81" s="42" t="inlineStr">
        <is>
          <t>Info</t>
        </is>
      </c>
      <c r="D81" s="6" t="inlineStr">
        <is>
          <t>No concise answer paragraph (40-60 words)</t>
        </is>
      </c>
      <c r="E81" s="7" t="n">
        <v>37</v>
      </c>
      <c r="F81" s="6" t="n">
        <v>0</v>
      </c>
      <c r="G81" s="6" t="inlineStr">
        <is>
          <t>&gt;=1 concise answer block</t>
        </is>
      </c>
      <c r="H81" s="6" t="inlineStr">
        <is>
          <t>Add a direct 40-60 word answer immediately below key question headings.</t>
        </is>
      </c>
      <c r="I81" s="44" t="inlineStr">
        <is>
          <t>AEO</t>
        </is>
      </c>
      <c r="J81" s="6" t="inlineStr">
        <is>
          <t>Paragraphs 40-60 Words Count</t>
        </is>
      </c>
      <c r="K81" s="6" t="inlineStr">
        <is>
          <t>No</t>
        </is>
      </c>
      <c r="L81" s="6" t="inlineStr">
        <is>
          <t>Copy Writer</t>
        </is>
      </c>
      <c r="M81" s="45" t="inlineStr">
        <is>
          <t>Open</t>
        </is>
      </c>
      <c r="N81" s="6" t="n">
        <v>4</v>
      </c>
      <c r="O81" s="6" t="inlineStr">
        <is>
          <t>https://asconafrica.org/contact-us/::aioseo_no_concise_answer_paragraph_40-60_words_</t>
        </is>
      </c>
      <c r="P81" s="6" t="inlineStr">
        <is>
          <t>Compact answer blocks improve direct-answer extraction chances.</t>
        </is>
      </c>
      <c r="Q81">
        <f>IFERROR(HYPERLINK("#Main!A"&amp;MATCH(A81,Main!A:A,0),"Open"),HYPERLINK("#Main!A1","Open"))</f>
        <v/>
      </c>
      <c r="R81">
        <f>IFERROR(HYPERLINK("#Technical!A"&amp;MATCH(A81,Technical!A:A,0),"Open"),HYPERLINK("#Technical!A1","Open"))</f>
        <v/>
      </c>
    </row>
    <row r="82" ht="30" customHeight="1">
      <c r="A82" s="46" t="inlineStr">
        <is>
          <t>https://asconafrica.org/launch-event-2026-ascon-conference/</t>
        </is>
      </c>
      <c r="B82" s="37" t="inlineStr">
        <is>
          <t>Content</t>
        </is>
      </c>
      <c r="C82" s="42" t="inlineStr">
        <is>
          <t>Info</t>
        </is>
      </c>
      <c r="D82" s="37" t="inlineStr">
        <is>
          <t>No concise answer paragraph (40-60 words)</t>
        </is>
      </c>
      <c r="E82" s="56" t="n">
        <v>37</v>
      </c>
      <c r="F82" s="37" t="n">
        <v>0</v>
      </c>
      <c r="G82" s="37" t="inlineStr">
        <is>
          <t>&gt;=1 concise answer block</t>
        </is>
      </c>
      <c r="H82" s="37" t="inlineStr">
        <is>
          <t>Add a direct 40-60 word answer immediately below key question headings.</t>
        </is>
      </c>
      <c r="I82" s="41" t="inlineStr">
        <is>
          <t>AEO</t>
        </is>
      </c>
      <c r="J82" s="37" t="inlineStr">
        <is>
          <t>Paragraphs 40-60 Words Count</t>
        </is>
      </c>
      <c r="K82" s="37" t="inlineStr">
        <is>
          <t>No</t>
        </is>
      </c>
      <c r="L82" s="37" t="inlineStr">
        <is>
          <t>Copy Writer</t>
        </is>
      </c>
      <c r="M82" s="45" t="inlineStr">
        <is>
          <t>Open</t>
        </is>
      </c>
      <c r="N82" s="37" t="n">
        <v>4</v>
      </c>
      <c r="O82" s="37" t="inlineStr">
        <is>
          <t>https://asconafrica.org/launch-event-2026-ascon-conference/::aioseo_no_concise_answer_paragraph_40-60_words_</t>
        </is>
      </c>
      <c r="P82" s="37" t="inlineStr">
        <is>
          <t>Compact answer blocks improve direct-answer extraction chances.</t>
        </is>
      </c>
      <c r="Q82">
        <f>IFERROR(HYPERLINK("#Main!A"&amp;MATCH(A82,Main!A:A,0),"Open"),HYPERLINK("#Main!A1","Open"))</f>
        <v/>
      </c>
      <c r="R82">
        <f>IFERROR(HYPERLINK("#Technical!A"&amp;MATCH(A82,Technical!A:A,0),"Open"),HYPERLINK("#Technical!A1","Open"))</f>
        <v/>
      </c>
    </row>
    <row r="83" ht="45" customHeight="1">
      <c r="A83" s="46" t="inlineStr">
        <is>
          <t>https://asconafrica.org/launch-event-2026-ascon-conference/thank-you-for-registering-conference-launch/</t>
        </is>
      </c>
      <c r="B83" s="6" t="inlineStr">
        <is>
          <t>Content</t>
        </is>
      </c>
      <c r="C83" s="42" t="inlineStr">
        <is>
          <t>Info</t>
        </is>
      </c>
      <c r="D83" s="6" t="inlineStr">
        <is>
          <t>No concise answer paragraph (40-60 words)</t>
        </is>
      </c>
      <c r="E83" s="7" t="n">
        <v>37</v>
      </c>
      <c r="F83" s="6" t="n">
        <v>0</v>
      </c>
      <c r="G83" s="6" t="inlineStr">
        <is>
          <t>&gt;=1 concise answer block</t>
        </is>
      </c>
      <c r="H83" s="6" t="inlineStr">
        <is>
          <t>Add a direct 40-60 word answer immediately below key question headings.</t>
        </is>
      </c>
      <c r="I83" s="44" t="inlineStr">
        <is>
          <t>AEO</t>
        </is>
      </c>
      <c r="J83" s="6" t="inlineStr">
        <is>
          <t>Paragraphs 40-60 Words Count</t>
        </is>
      </c>
      <c r="K83" s="6" t="inlineStr">
        <is>
          <t>No</t>
        </is>
      </c>
      <c r="L83" s="6" t="inlineStr">
        <is>
          <t>Copy Writer</t>
        </is>
      </c>
      <c r="M83" s="45" t="inlineStr">
        <is>
          <t>Open</t>
        </is>
      </c>
      <c r="N83" s="6" t="n">
        <v>4</v>
      </c>
      <c r="O83" s="6" t="inlineStr">
        <is>
          <t>https://asconafrica.org/launch-event-2026-ascon-conference/thank-you-for-registering-conference-launch/::aioseo_no_concise_answer_paragraph_40-60_words_</t>
        </is>
      </c>
      <c r="P83" s="6" t="inlineStr">
        <is>
          <t>Compact answer blocks improve direct-answer extraction chances.</t>
        </is>
      </c>
      <c r="Q83">
        <f>IFERROR(HYPERLINK("#Main!A"&amp;MATCH(A83,Main!A:A,0),"Open"),HYPERLINK("#Main!A1","Open"))</f>
        <v/>
      </c>
      <c r="R83">
        <f>IFERROR(HYPERLINK("#Technical!A"&amp;MATCH(A83,Technical!A:A,0),"Open"),HYPERLINK("#Technical!A1","Open"))</f>
        <v/>
      </c>
    </row>
    <row r="84" ht="30" customHeight="1">
      <c r="A84" s="46" t="inlineStr">
        <is>
          <t>https://asconafrica.org/news/</t>
        </is>
      </c>
      <c r="B84" s="37" t="inlineStr">
        <is>
          <t>Content</t>
        </is>
      </c>
      <c r="C84" s="42" t="inlineStr">
        <is>
          <t>Info</t>
        </is>
      </c>
      <c r="D84" s="37" t="inlineStr">
        <is>
          <t>No concise answer paragraph (40-60 words)</t>
        </is>
      </c>
      <c r="E84" s="56" t="n">
        <v>37</v>
      </c>
      <c r="F84" s="37" t="n">
        <v>0</v>
      </c>
      <c r="G84" s="37" t="inlineStr">
        <is>
          <t>&gt;=1 concise answer block</t>
        </is>
      </c>
      <c r="H84" s="37" t="inlineStr">
        <is>
          <t>Add a direct 40-60 word answer immediately below key question headings.</t>
        </is>
      </c>
      <c r="I84" s="41" t="inlineStr">
        <is>
          <t>AEO</t>
        </is>
      </c>
      <c r="J84" s="37" t="inlineStr">
        <is>
          <t>Paragraphs 40-60 Words Count</t>
        </is>
      </c>
      <c r="K84" s="37" t="inlineStr">
        <is>
          <t>No</t>
        </is>
      </c>
      <c r="L84" s="37" t="inlineStr">
        <is>
          <t>Copy Writer</t>
        </is>
      </c>
      <c r="M84" s="45" t="inlineStr">
        <is>
          <t>Open</t>
        </is>
      </c>
      <c r="N84" s="37" t="n">
        <v>4</v>
      </c>
      <c r="O84" s="37" t="inlineStr">
        <is>
          <t>https://asconafrica.org/news/::aioseo_no_concise_answer_paragraph_40-60_words_</t>
        </is>
      </c>
      <c r="P84" s="37" t="inlineStr">
        <is>
          <t>Compact answer blocks improve direct-answer extraction chances.</t>
        </is>
      </c>
      <c r="Q84">
        <f>IFERROR(HYPERLINK("#Main!A"&amp;MATCH(A84,Main!A:A,0),"Open"),HYPERLINK("#Main!A1","Open"))</f>
        <v/>
      </c>
      <c r="R84">
        <f>IFERROR(HYPERLINK("#Technical!A"&amp;MATCH(A84,Technical!A:A,0),"Open"),HYPERLINK("#Technical!A1","Open"))</f>
        <v/>
      </c>
    </row>
    <row r="85" ht="30" customHeight="1">
      <c r="A85" s="46" t="inlineStr">
        <is>
          <t>https://asconafrica.org/our-members/</t>
        </is>
      </c>
      <c r="B85" s="6" t="inlineStr">
        <is>
          <t>Content</t>
        </is>
      </c>
      <c r="C85" s="42" t="inlineStr">
        <is>
          <t>Info</t>
        </is>
      </c>
      <c r="D85" s="6" t="inlineStr">
        <is>
          <t>No concise answer paragraph (40-60 words)</t>
        </is>
      </c>
      <c r="E85" s="7" t="n">
        <v>37</v>
      </c>
      <c r="F85" s="6" t="n">
        <v>0</v>
      </c>
      <c r="G85" s="6" t="inlineStr">
        <is>
          <t>&gt;=1 concise answer block</t>
        </is>
      </c>
      <c r="H85" s="6" t="inlineStr">
        <is>
          <t>Add a direct 40-60 word answer immediately below key question headings.</t>
        </is>
      </c>
      <c r="I85" s="44" t="inlineStr">
        <is>
          <t>AEO</t>
        </is>
      </c>
      <c r="J85" s="6" t="inlineStr">
        <is>
          <t>Paragraphs 40-60 Words Count</t>
        </is>
      </c>
      <c r="K85" s="6" t="inlineStr">
        <is>
          <t>No</t>
        </is>
      </c>
      <c r="L85" s="6" t="inlineStr">
        <is>
          <t>Copy Writer</t>
        </is>
      </c>
      <c r="M85" s="45" t="inlineStr">
        <is>
          <t>Open</t>
        </is>
      </c>
      <c r="N85" s="6" t="n">
        <v>4</v>
      </c>
      <c r="O85" s="6" t="inlineStr">
        <is>
          <t>https://asconafrica.org/our-members/::aioseo_no_concise_answer_paragraph_40-60_words_</t>
        </is>
      </c>
      <c r="P85" s="6" t="inlineStr">
        <is>
          <t>Compact answer blocks improve direct-answer extraction chances.</t>
        </is>
      </c>
      <c r="Q85">
        <f>IFERROR(HYPERLINK("#Main!A"&amp;MATCH(A85,Main!A:A,0),"Open"),HYPERLINK("#Main!A1","Open"))</f>
        <v/>
      </c>
      <c r="R85">
        <f>IFERROR(HYPERLINK("#Technical!A"&amp;MATCH(A85,Technical!A:A,0),"Open"),HYPERLINK("#Technical!A1","Open"))</f>
        <v/>
      </c>
    </row>
    <row r="86" ht="30" customHeight="1">
      <c r="A86" s="46" t="inlineStr">
        <is>
          <t>https://asconafrica.org/thank-you-for-signing-up-for-updates/</t>
        </is>
      </c>
      <c r="B86" s="37" t="inlineStr">
        <is>
          <t>Content</t>
        </is>
      </c>
      <c r="C86" s="42" t="inlineStr">
        <is>
          <t>Info</t>
        </is>
      </c>
      <c r="D86" s="37" t="inlineStr">
        <is>
          <t>No concise answer paragraph (40-60 words)</t>
        </is>
      </c>
      <c r="E86" s="56" t="n">
        <v>37</v>
      </c>
      <c r="F86" s="37" t="n">
        <v>0</v>
      </c>
      <c r="G86" s="37" t="inlineStr">
        <is>
          <t>&gt;=1 concise answer block</t>
        </is>
      </c>
      <c r="H86" s="37" t="inlineStr">
        <is>
          <t>Add a direct 40-60 word answer immediately below key question headings.</t>
        </is>
      </c>
      <c r="I86" s="41" t="inlineStr">
        <is>
          <t>AEO</t>
        </is>
      </c>
      <c r="J86" s="37" t="inlineStr">
        <is>
          <t>Paragraphs 40-60 Words Count</t>
        </is>
      </c>
      <c r="K86" s="37" t="inlineStr">
        <is>
          <t>No</t>
        </is>
      </c>
      <c r="L86" s="37" t="inlineStr">
        <is>
          <t>Copy Writer</t>
        </is>
      </c>
      <c r="M86" s="45" t="inlineStr">
        <is>
          <t>Open</t>
        </is>
      </c>
      <c r="N86" s="37" t="n">
        <v>4</v>
      </c>
      <c r="O86" s="37" t="inlineStr">
        <is>
          <t>https://asconafrica.org/thank-you-for-signing-up-for-updates/::aioseo_no_concise_answer_paragraph_40-60_words_</t>
        </is>
      </c>
      <c r="P86" s="37" t="inlineStr">
        <is>
          <t>Compact answer blocks improve direct-answer extraction chances.</t>
        </is>
      </c>
      <c r="Q86">
        <f>IFERROR(HYPERLINK("#Main!A"&amp;MATCH(A86,Main!A:A,0),"Open"),HYPERLINK("#Main!A1","Open"))</f>
        <v/>
      </c>
      <c r="R86">
        <f>IFERROR(HYPERLINK("#Technical!A"&amp;MATCH(A86,Technical!A:A,0),"Open"),HYPERLINK("#Technical!A1","Open"))</f>
        <v/>
      </c>
    </row>
    <row r="87" ht="30" customHeight="1">
      <c r="A87" s="46" t="inlineStr">
        <is>
          <t>https://asconafrica.org/unsubscribe-form/</t>
        </is>
      </c>
      <c r="B87" s="6" t="inlineStr">
        <is>
          <t>Content</t>
        </is>
      </c>
      <c r="C87" s="42" t="inlineStr">
        <is>
          <t>Info</t>
        </is>
      </c>
      <c r="D87" s="6" t="inlineStr">
        <is>
          <t>No concise answer paragraph (40-60 words)</t>
        </is>
      </c>
      <c r="E87" s="7" t="n">
        <v>37</v>
      </c>
      <c r="F87" s="6" t="n">
        <v>0</v>
      </c>
      <c r="G87" s="6" t="inlineStr">
        <is>
          <t>&gt;=1 concise answer block</t>
        </is>
      </c>
      <c r="H87" s="6" t="inlineStr">
        <is>
          <t>Add a direct 40-60 word answer immediately below key question headings.</t>
        </is>
      </c>
      <c r="I87" s="44" t="inlineStr">
        <is>
          <t>AEO</t>
        </is>
      </c>
      <c r="J87" s="6" t="inlineStr">
        <is>
          <t>Paragraphs 40-60 Words Count</t>
        </is>
      </c>
      <c r="K87" s="6" t="inlineStr">
        <is>
          <t>No</t>
        </is>
      </c>
      <c r="L87" s="6" t="inlineStr">
        <is>
          <t>Copy Writer</t>
        </is>
      </c>
      <c r="M87" s="45" t="inlineStr">
        <is>
          <t>Open</t>
        </is>
      </c>
      <c r="N87" s="6" t="n">
        <v>4</v>
      </c>
      <c r="O87" s="6" t="inlineStr">
        <is>
          <t>https://asconafrica.org/unsubscribe-form/::aioseo_no_concise_answer_paragraph_40-60_words_</t>
        </is>
      </c>
      <c r="P87" s="6" t="inlineStr">
        <is>
          <t>Compact answer blocks improve direct-answer extraction chances.</t>
        </is>
      </c>
      <c r="Q87">
        <f>IFERROR(HYPERLINK("#Main!A"&amp;MATCH(A87,Main!A:A,0),"Open"),HYPERLINK("#Main!A1","Open"))</f>
        <v/>
      </c>
      <c r="R87">
        <f>IFERROR(HYPERLINK("#Technical!A"&amp;MATCH(A87,Technical!A:A,0),"Open"),HYPERLINK("#Technical!A1","Open"))</f>
        <v/>
      </c>
    </row>
    <row r="88" ht="30" customHeight="1">
      <c r="A88" s="46" t="inlineStr">
        <is>
          <t>https://asconafrica.org/unsubscribe-form/successfully-unsubscribed/</t>
        </is>
      </c>
      <c r="B88" s="37" t="inlineStr">
        <is>
          <t>Content</t>
        </is>
      </c>
      <c r="C88" s="42" t="inlineStr">
        <is>
          <t>Info</t>
        </is>
      </c>
      <c r="D88" s="37" t="inlineStr">
        <is>
          <t>No concise answer paragraph (40-60 words)</t>
        </is>
      </c>
      <c r="E88" s="56" t="n">
        <v>37</v>
      </c>
      <c r="F88" s="37" t="n">
        <v>0</v>
      </c>
      <c r="G88" s="37" t="inlineStr">
        <is>
          <t>&gt;=1 concise answer block</t>
        </is>
      </c>
      <c r="H88" s="37" t="inlineStr">
        <is>
          <t>Add a direct 40-60 word answer immediately below key question headings.</t>
        </is>
      </c>
      <c r="I88" s="41" t="inlineStr">
        <is>
          <t>AEO</t>
        </is>
      </c>
      <c r="J88" s="37" t="inlineStr">
        <is>
          <t>Paragraphs 40-60 Words Count</t>
        </is>
      </c>
      <c r="K88" s="37" t="inlineStr">
        <is>
          <t>No</t>
        </is>
      </c>
      <c r="L88" s="37" t="inlineStr">
        <is>
          <t>Copy Writer</t>
        </is>
      </c>
      <c r="M88" s="45" t="inlineStr">
        <is>
          <t>Open</t>
        </is>
      </c>
      <c r="N88" s="37" t="n">
        <v>4</v>
      </c>
      <c r="O88" s="37" t="inlineStr">
        <is>
          <t>https://asconafrica.org/unsubscribe-form/successfully-unsubscribed/::aioseo_no_concise_answer_paragraph_40-60_words_</t>
        </is>
      </c>
      <c r="P88" s="37" t="inlineStr">
        <is>
          <t>Compact answer blocks improve direct-answer extraction chances.</t>
        </is>
      </c>
      <c r="Q88">
        <f>IFERROR(HYPERLINK("#Main!A"&amp;MATCH(A88,Main!A:A,0),"Open"),HYPERLINK("#Main!A1","Open"))</f>
        <v/>
      </c>
      <c r="R88">
        <f>IFERROR(HYPERLINK("#Technical!A"&amp;MATCH(A88,Technical!A:A,0),"Open"),HYPERLINK("#Technical!A1","Open"))</f>
        <v/>
      </c>
    </row>
    <row r="89" ht="30" customHeight="1">
      <c r="A89" s="46" t="inlineStr">
        <is>
          <t>https://asconafrica.org/</t>
        </is>
      </c>
      <c r="B89" s="6" t="inlineStr">
        <is>
          <t>Readability</t>
        </is>
      </c>
      <c r="C89" s="42" t="inlineStr">
        <is>
          <t>Info</t>
        </is>
      </c>
      <c r="D89" s="6" t="inlineStr">
        <is>
          <t>No question-style headings</t>
        </is>
      </c>
      <c r="E89" s="7" t="n">
        <v>37</v>
      </c>
      <c r="F89" s="6" t="n">
        <v>0</v>
      </c>
      <c r="G89" s="6" t="inlineStr">
        <is>
          <t>&gt;=1 where intent is informational</t>
        </is>
      </c>
      <c r="H89" s="6" t="inlineStr">
        <is>
          <t>Add at least one natural question heading (H2/H3) matching user intent.</t>
        </is>
      </c>
      <c r="I89" s="44" t="inlineStr">
        <is>
          <t>AEO</t>
        </is>
      </c>
      <c r="J89" s="6" t="inlineStr">
        <is>
          <t>Question Heading Count</t>
        </is>
      </c>
      <c r="K89" s="6" t="inlineStr">
        <is>
          <t>No</t>
        </is>
      </c>
      <c r="L89" s="6" t="inlineStr">
        <is>
          <t>Copy Writer</t>
        </is>
      </c>
      <c r="M89" s="45" t="inlineStr">
        <is>
          <t>Open</t>
        </is>
      </c>
      <c r="N89" s="6" t="n">
        <v>4</v>
      </c>
      <c r="O89" s="6" t="inlineStr">
        <is>
          <t>https://asconafrica.org/::aioseo_no_question-style_headings</t>
        </is>
      </c>
      <c r="P89" s="6" t="inlineStr">
        <is>
          <t>Question headings better align with query phrasing and snippet extraction.</t>
        </is>
      </c>
      <c r="Q89">
        <f>IFERROR(HYPERLINK("#Main!A"&amp;MATCH(A89,Main!A:A,0),"Open"),HYPERLINK("#Main!A1","Open"))</f>
        <v/>
      </c>
      <c r="R89">
        <f>IFERROR(HYPERLINK("#Technical!A"&amp;MATCH(A89,Technical!A:A,0),"Open"),HYPERLINK("#Technical!A1","Open"))</f>
        <v/>
      </c>
    </row>
    <row r="90" ht="30" customHeight="1">
      <c r="A90" s="46" t="inlineStr">
        <is>
          <t>https://asconafrica.org/2026-ascon-awards/</t>
        </is>
      </c>
      <c r="B90" s="37" t="inlineStr">
        <is>
          <t>Readability</t>
        </is>
      </c>
      <c r="C90" s="42" t="inlineStr">
        <is>
          <t>Info</t>
        </is>
      </c>
      <c r="D90" s="37" t="inlineStr">
        <is>
          <t>No question-style headings</t>
        </is>
      </c>
      <c r="E90" s="56" t="n">
        <v>37</v>
      </c>
      <c r="F90" s="37" t="n">
        <v>0</v>
      </c>
      <c r="G90" s="37" t="inlineStr">
        <is>
          <t>&gt;=1 where intent is informational</t>
        </is>
      </c>
      <c r="H90" s="37" t="inlineStr">
        <is>
          <t>Add at least one natural question heading (H2/H3) matching user intent.</t>
        </is>
      </c>
      <c r="I90" s="41" t="inlineStr">
        <is>
          <t>AEO</t>
        </is>
      </c>
      <c r="J90" s="37" t="inlineStr">
        <is>
          <t>Question Heading Count</t>
        </is>
      </c>
      <c r="K90" s="37" t="inlineStr">
        <is>
          <t>No</t>
        </is>
      </c>
      <c r="L90" s="37" t="inlineStr">
        <is>
          <t>Copy Writer</t>
        </is>
      </c>
      <c r="M90" s="45" t="inlineStr">
        <is>
          <t>Open</t>
        </is>
      </c>
      <c r="N90" s="37" t="n">
        <v>4</v>
      </c>
      <c r="O90" s="37" t="inlineStr">
        <is>
          <t>https://asconafrica.org/2026-ascon-awards/::aioseo_no_question-style_headings</t>
        </is>
      </c>
      <c r="P90" s="37" t="inlineStr">
        <is>
          <t>Question headings better align with query phrasing and snippet extraction.</t>
        </is>
      </c>
      <c r="Q90">
        <f>IFERROR(HYPERLINK("#Main!A"&amp;MATCH(A90,Main!A:A,0),"Open"),HYPERLINK("#Main!A1","Open"))</f>
        <v/>
      </c>
      <c r="R90">
        <f>IFERROR(HYPERLINK("#Technical!A"&amp;MATCH(A90,Technical!A:A,0),"Open"),HYPERLINK("#Technical!A1","Open"))</f>
        <v/>
      </c>
    </row>
    <row r="91" ht="30" customHeight="1">
      <c r="A91" s="46" t="inlineStr">
        <is>
          <t>https://asconafrica.org/2026-ascon-awards/thank-you-for-your-nomination/</t>
        </is>
      </c>
      <c r="B91" s="6" t="inlineStr">
        <is>
          <t>Readability</t>
        </is>
      </c>
      <c r="C91" s="42" t="inlineStr">
        <is>
          <t>Info</t>
        </is>
      </c>
      <c r="D91" s="6" t="inlineStr">
        <is>
          <t>No question-style headings</t>
        </is>
      </c>
      <c r="E91" s="7" t="n">
        <v>37</v>
      </c>
      <c r="F91" s="6" t="n">
        <v>0</v>
      </c>
      <c r="G91" s="6" t="inlineStr">
        <is>
          <t>&gt;=1 where intent is informational</t>
        </is>
      </c>
      <c r="H91" s="6" t="inlineStr">
        <is>
          <t>Add at least one natural question heading (H2/H3) matching user intent.</t>
        </is>
      </c>
      <c r="I91" s="44" t="inlineStr">
        <is>
          <t>AEO</t>
        </is>
      </c>
      <c r="J91" s="6" t="inlineStr">
        <is>
          <t>Question Heading Count</t>
        </is>
      </c>
      <c r="K91" s="6" t="inlineStr">
        <is>
          <t>No</t>
        </is>
      </c>
      <c r="L91" s="6" t="inlineStr">
        <is>
          <t>Copy Writer</t>
        </is>
      </c>
      <c r="M91" s="45" t="inlineStr">
        <is>
          <t>Open</t>
        </is>
      </c>
      <c r="N91" s="6" t="n">
        <v>4</v>
      </c>
      <c r="O91" s="6" t="inlineStr">
        <is>
          <t>https://asconafrica.org/2026-ascon-awards/thank-you-for-your-nomination/::aioseo_no_question-style_headings</t>
        </is>
      </c>
      <c r="P91" s="6" t="inlineStr">
        <is>
          <t>Question headings better align with query phrasing and snippet extraction.</t>
        </is>
      </c>
      <c r="Q91">
        <f>IFERROR(HYPERLINK("#Main!A"&amp;MATCH(A91,Main!A:A,0),"Open"),HYPERLINK("#Main!A1","Open"))</f>
        <v/>
      </c>
      <c r="R91">
        <f>IFERROR(HYPERLINK("#Technical!A"&amp;MATCH(A91,Technical!A:A,0),"Open"),HYPERLINK("#Technical!A1","Open"))</f>
        <v/>
      </c>
    </row>
    <row r="92" ht="30" customHeight="1">
      <c r="A92" s="46" t="inlineStr">
        <is>
          <t>https://asconafrica.org/2026-ascon-conference/</t>
        </is>
      </c>
      <c r="B92" s="37" t="inlineStr">
        <is>
          <t>Readability</t>
        </is>
      </c>
      <c r="C92" s="42" t="inlineStr">
        <is>
          <t>Info</t>
        </is>
      </c>
      <c r="D92" s="37" t="inlineStr">
        <is>
          <t>No question-style headings</t>
        </is>
      </c>
      <c r="E92" s="56" t="n">
        <v>37</v>
      </c>
      <c r="F92" s="37" t="n">
        <v>0</v>
      </c>
      <c r="G92" s="37" t="inlineStr">
        <is>
          <t>&gt;=1 where intent is informational</t>
        </is>
      </c>
      <c r="H92" s="37" t="inlineStr">
        <is>
          <t>Add at least one natural question heading (H2/H3) matching user intent.</t>
        </is>
      </c>
      <c r="I92" s="41" t="inlineStr">
        <is>
          <t>AEO</t>
        </is>
      </c>
      <c r="J92" s="37" t="inlineStr">
        <is>
          <t>Question Heading Count</t>
        </is>
      </c>
      <c r="K92" s="37" t="inlineStr">
        <is>
          <t>No</t>
        </is>
      </c>
      <c r="L92" s="37" t="inlineStr">
        <is>
          <t>Copy Writer</t>
        </is>
      </c>
      <c r="M92" s="45" t="inlineStr">
        <is>
          <t>Open</t>
        </is>
      </c>
      <c r="N92" s="37" t="n">
        <v>4</v>
      </c>
      <c r="O92" s="37" t="inlineStr">
        <is>
          <t>https://asconafrica.org/2026-ascon-conference/::aioseo_no_question-style_headings</t>
        </is>
      </c>
      <c r="P92" s="37" t="inlineStr">
        <is>
          <t>Question headings better align with query phrasing and snippet extraction.</t>
        </is>
      </c>
      <c r="Q92">
        <f>IFERROR(HYPERLINK("#Main!A"&amp;MATCH(A92,Main!A:A,0),"Open"),HYPERLINK("#Main!A1","Open"))</f>
        <v/>
      </c>
      <c r="R92">
        <f>IFERROR(HYPERLINK("#Technical!A"&amp;MATCH(A92,Technical!A:A,0),"Open"),HYPERLINK("#Technical!A1","Open"))</f>
        <v/>
      </c>
    </row>
    <row r="93" ht="30" customHeight="1">
      <c r="A93" s="46" t="inlineStr">
        <is>
          <t>https://asconafrica.org/2026-ascon-conference/thank-you-for-signing-up/</t>
        </is>
      </c>
      <c r="B93" s="6" t="inlineStr">
        <is>
          <t>Readability</t>
        </is>
      </c>
      <c r="C93" s="42" t="inlineStr">
        <is>
          <t>Info</t>
        </is>
      </c>
      <c r="D93" s="6" t="inlineStr">
        <is>
          <t>No question-style headings</t>
        </is>
      </c>
      <c r="E93" s="7" t="n">
        <v>37</v>
      </c>
      <c r="F93" s="6" t="n">
        <v>0</v>
      </c>
      <c r="G93" s="6" t="inlineStr">
        <is>
          <t>&gt;=1 where intent is informational</t>
        </is>
      </c>
      <c r="H93" s="6" t="inlineStr">
        <is>
          <t>Add at least one natural question heading (H2/H3) matching user intent.</t>
        </is>
      </c>
      <c r="I93" s="44" t="inlineStr">
        <is>
          <t>AEO</t>
        </is>
      </c>
      <c r="J93" s="6" t="inlineStr">
        <is>
          <t>Question Heading Count</t>
        </is>
      </c>
      <c r="K93" s="6" t="inlineStr">
        <is>
          <t>No</t>
        </is>
      </c>
      <c r="L93" s="6" t="inlineStr">
        <is>
          <t>Copy Writer</t>
        </is>
      </c>
      <c r="M93" s="45" t="inlineStr">
        <is>
          <t>Open</t>
        </is>
      </c>
      <c r="N93" s="6" t="n">
        <v>4</v>
      </c>
      <c r="O93" s="6" t="inlineStr">
        <is>
          <t>https://asconafrica.org/2026-ascon-conference/thank-you-for-signing-up/::aioseo_no_question-style_headings</t>
        </is>
      </c>
      <c r="P93" s="6" t="inlineStr">
        <is>
          <t>Question headings better align with query phrasing and snippet extraction.</t>
        </is>
      </c>
      <c r="Q93">
        <f>IFERROR(HYPERLINK("#Main!A"&amp;MATCH(A93,Main!A:A,0),"Open"),HYPERLINK("#Main!A1","Open"))</f>
        <v/>
      </c>
      <c r="R93">
        <f>IFERROR(HYPERLINK("#Technical!A"&amp;MATCH(A93,Technical!A:A,0),"Open"),HYPERLINK("#Technical!A1","Open"))</f>
        <v/>
      </c>
    </row>
    <row r="94" ht="30" customHeight="1">
      <c r="A94" s="46" t="inlineStr">
        <is>
          <t>https://asconafrica.org/about-us/</t>
        </is>
      </c>
      <c r="B94" s="37" t="inlineStr">
        <is>
          <t>Readability</t>
        </is>
      </c>
      <c r="C94" s="42" t="inlineStr">
        <is>
          <t>Info</t>
        </is>
      </c>
      <c r="D94" s="37" t="inlineStr">
        <is>
          <t>No question-style headings</t>
        </is>
      </c>
      <c r="E94" s="56" t="n">
        <v>37</v>
      </c>
      <c r="F94" s="37" t="n">
        <v>0</v>
      </c>
      <c r="G94" s="37" t="inlineStr">
        <is>
          <t>&gt;=1 where intent is informational</t>
        </is>
      </c>
      <c r="H94" s="37" t="inlineStr">
        <is>
          <t>Add at least one natural question heading (H2/H3) matching user intent.</t>
        </is>
      </c>
      <c r="I94" s="41" t="inlineStr">
        <is>
          <t>AEO</t>
        </is>
      </c>
      <c r="J94" s="37" t="inlineStr">
        <is>
          <t>Question Heading Count</t>
        </is>
      </c>
      <c r="K94" s="37" t="inlineStr">
        <is>
          <t>No</t>
        </is>
      </c>
      <c r="L94" s="37" t="inlineStr">
        <is>
          <t>Copy Writer</t>
        </is>
      </c>
      <c r="M94" s="45" t="inlineStr">
        <is>
          <t>Open</t>
        </is>
      </c>
      <c r="N94" s="37" t="n">
        <v>4</v>
      </c>
      <c r="O94" s="37" t="inlineStr">
        <is>
          <t>https://asconafrica.org/about-us/::aioseo_no_question-style_headings</t>
        </is>
      </c>
      <c r="P94" s="37" t="inlineStr">
        <is>
          <t>Question headings better align with query phrasing and snippet extraction.</t>
        </is>
      </c>
      <c r="Q94">
        <f>IFERROR(HYPERLINK("#Main!A"&amp;MATCH(A94,Main!A:A,0),"Open"),HYPERLINK("#Main!A1","Open"))</f>
        <v/>
      </c>
      <c r="R94">
        <f>IFERROR(HYPERLINK("#Technical!A"&amp;MATCH(A94,Technical!A:A,0),"Open"),HYPERLINK("#Technical!A1","Open"))</f>
        <v/>
      </c>
    </row>
    <row r="95" ht="30" customHeight="1">
      <c r="A95" s="46" t="inlineStr">
        <is>
          <t>https://asconafrica.org/contact-us/</t>
        </is>
      </c>
      <c r="B95" s="6" t="inlineStr">
        <is>
          <t>Readability</t>
        </is>
      </c>
      <c r="C95" s="42" t="inlineStr">
        <is>
          <t>Info</t>
        </is>
      </c>
      <c r="D95" s="6" t="inlineStr">
        <is>
          <t>No question-style headings</t>
        </is>
      </c>
      <c r="E95" s="7" t="n">
        <v>37</v>
      </c>
      <c r="F95" s="6" t="n">
        <v>0</v>
      </c>
      <c r="G95" s="6" t="inlineStr">
        <is>
          <t>&gt;=1 where intent is informational</t>
        </is>
      </c>
      <c r="H95" s="6" t="inlineStr">
        <is>
          <t>Add at least one natural question heading (H2/H3) matching user intent.</t>
        </is>
      </c>
      <c r="I95" s="44" t="inlineStr">
        <is>
          <t>AEO</t>
        </is>
      </c>
      <c r="J95" s="6" t="inlineStr">
        <is>
          <t>Question Heading Count</t>
        </is>
      </c>
      <c r="K95" s="6" t="inlineStr">
        <is>
          <t>No</t>
        </is>
      </c>
      <c r="L95" s="6" t="inlineStr">
        <is>
          <t>Copy Writer</t>
        </is>
      </c>
      <c r="M95" s="45" t="inlineStr">
        <is>
          <t>Open</t>
        </is>
      </c>
      <c r="N95" s="6" t="n">
        <v>4</v>
      </c>
      <c r="O95" s="6" t="inlineStr">
        <is>
          <t>https://asconafrica.org/contact-us/::aioseo_no_question-style_headings</t>
        </is>
      </c>
      <c r="P95" s="6" t="inlineStr">
        <is>
          <t>Question headings better align with query phrasing and snippet extraction.</t>
        </is>
      </c>
      <c r="Q95">
        <f>IFERROR(HYPERLINK("#Main!A"&amp;MATCH(A95,Main!A:A,0),"Open"),HYPERLINK("#Main!A1","Open"))</f>
        <v/>
      </c>
      <c r="R95">
        <f>IFERROR(HYPERLINK("#Technical!A"&amp;MATCH(A95,Technical!A:A,0),"Open"),HYPERLINK("#Technical!A1","Open"))</f>
        <v/>
      </c>
    </row>
    <row r="96" ht="30" customHeight="1">
      <c r="A96" s="46" t="inlineStr">
        <is>
          <t>https://asconafrica.org/launch-event-2026-ascon-conference/</t>
        </is>
      </c>
      <c r="B96" s="37" t="inlineStr">
        <is>
          <t>Readability</t>
        </is>
      </c>
      <c r="C96" s="42" t="inlineStr">
        <is>
          <t>Info</t>
        </is>
      </c>
      <c r="D96" s="37" t="inlineStr">
        <is>
          <t>No question-style headings</t>
        </is>
      </c>
      <c r="E96" s="56" t="n">
        <v>37</v>
      </c>
      <c r="F96" s="37" t="n">
        <v>0</v>
      </c>
      <c r="G96" s="37" t="inlineStr">
        <is>
          <t>&gt;=1 where intent is informational</t>
        </is>
      </c>
      <c r="H96" s="37" t="inlineStr">
        <is>
          <t>Add at least one natural question heading (H2/H3) matching user intent.</t>
        </is>
      </c>
      <c r="I96" s="41" t="inlineStr">
        <is>
          <t>AEO</t>
        </is>
      </c>
      <c r="J96" s="37" t="inlineStr">
        <is>
          <t>Question Heading Count</t>
        </is>
      </c>
      <c r="K96" s="37" t="inlineStr">
        <is>
          <t>No</t>
        </is>
      </c>
      <c r="L96" s="37" t="inlineStr">
        <is>
          <t>Copy Writer</t>
        </is>
      </c>
      <c r="M96" s="45" t="inlineStr">
        <is>
          <t>Open</t>
        </is>
      </c>
      <c r="N96" s="37" t="n">
        <v>4</v>
      </c>
      <c r="O96" s="37" t="inlineStr">
        <is>
          <t>https://asconafrica.org/launch-event-2026-ascon-conference/::aioseo_no_question-style_headings</t>
        </is>
      </c>
      <c r="P96" s="37" t="inlineStr">
        <is>
          <t>Question headings better align with query phrasing and snippet extraction.</t>
        </is>
      </c>
      <c r="Q96">
        <f>IFERROR(HYPERLINK("#Main!A"&amp;MATCH(A96,Main!A:A,0),"Open"),HYPERLINK("#Main!A1","Open"))</f>
        <v/>
      </c>
      <c r="R96">
        <f>IFERROR(HYPERLINK("#Technical!A"&amp;MATCH(A96,Technical!A:A,0),"Open"),HYPERLINK("#Technical!A1","Open"))</f>
        <v/>
      </c>
    </row>
    <row r="97" ht="45" customHeight="1">
      <c r="A97" s="46" t="inlineStr">
        <is>
          <t>https://asconafrica.org/launch-event-2026-ascon-conference/thank-you-for-registering-conference-launch/</t>
        </is>
      </c>
      <c r="B97" s="6" t="inlineStr">
        <is>
          <t>Readability</t>
        </is>
      </c>
      <c r="C97" s="42" t="inlineStr">
        <is>
          <t>Info</t>
        </is>
      </c>
      <c r="D97" s="6" t="inlineStr">
        <is>
          <t>No question-style headings</t>
        </is>
      </c>
      <c r="E97" s="7" t="n">
        <v>37</v>
      </c>
      <c r="F97" s="6" t="n">
        <v>0</v>
      </c>
      <c r="G97" s="6" t="inlineStr">
        <is>
          <t>&gt;=1 where intent is informational</t>
        </is>
      </c>
      <c r="H97" s="6" t="inlineStr">
        <is>
          <t>Add at least one natural question heading (H2/H3) matching user intent.</t>
        </is>
      </c>
      <c r="I97" s="44" t="inlineStr">
        <is>
          <t>AEO</t>
        </is>
      </c>
      <c r="J97" s="6" t="inlineStr">
        <is>
          <t>Question Heading Count</t>
        </is>
      </c>
      <c r="K97" s="6" t="inlineStr">
        <is>
          <t>No</t>
        </is>
      </c>
      <c r="L97" s="6" t="inlineStr">
        <is>
          <t>Copy Writer</t>
        </is>
      </c>
      <c r="M97" s="45" t="inlineStr">
        <is>
          <t>Open</t>
        </is>
      </c>
      <c r="N97" s="6" t="n">
        <v>4</v>
      </c>
      <c r="O97" s="6" t="inlineStr">
        <is>
          <t>https://asconafrica.org/launch-event-2026-ascon-conference/thank-you-for-registering-conference-launch/::aioseo_no_question-style_headings</t>
        </is>
      </c>
      <c r="P97" s="6" t="inlineStr">
        <is>
          <t>Question headings better align with query phrasing and snippet extraction.</t>
        </is>
      </c>
      <c r="Q97">
        <f>IFERROR(HYPERLINK("#Main!A"&amp;MATCH(A97,Main!A:A,0),"Open"),HYPERLINK("#Main!A1","Open"))</f>
        <v/>
      </c>
      <c r="R97">
        <f>IFERROR(HYPERLINK("#Technical!A"&amp;MATCH(A97,Technical!A:A,0),"Open"),HYPERLINK("#Technical!A1","Open"))</f>
        <v/>
      </c>
    </row>
    <row r="98" ht="30" customHeight="1">
      <c r="A98" s="46" t="inlineStr">
        <is>
          <t>https://asconafrica.org/news/</t>
        </is>
      </c>
      <c r="B98" s="37" t="inlineStr">
        <is>
          <t>Readability</t>
        </is>
      </c>
      <c r="C98" s="42" t="inlineStr">
        <is>
          <t>Info</t>
        </is>
      </c>
      <c r="D98" s="37" t="inlineStr">
        <is>
          <t>No question-style headings</t>
        </is>
      </c>
      <c r="E98" s="56" t="n">
        <v>37</v>
      </c>
      <c r="F98" s="37" t="n">
        <v>0</v>
      </c>
      <c r="G98" s="37" t="inlineStr">
        <is>
          <t>&gt;=1 where intent is informational</t>
        </is>
      </c>
      <c r="H98" s="37" t="inlineStr">
        <is>
          <t>Add at least one natural question heading (H2/H3) matching user intent.</t>
        </is>
      </c>
      <c r="I98" s="41" t="inlineStr">
        <is>
          <t>AEO</t>
        </is>
      </c>
      <c r="J98" s="37" t="inlineStr">
        <is>
          <t>Question Heading Count</t>
        </is>
      </c>
      <c r="K98" s="37" t="inlineStr">
        <is>
          <t>No</t>
        </is>
      </c>
      <c r="L98" s="37" t="inlineStr">
        <is>
          <t>Copy Writer</t>
        </is>
      </c>
      <c r="M98" s="45" t="inlineStr">
        <is>
          <t>Open</t>
        </is>
      </c>
      <c r="N98" s="37" t="n">
        <v>4</v>
      </c>
      <c r="O98" s="37" t="inlineStr">
        <is>
          <t>https://asconafrica.org/news/::aioseo_no_question-style_headings</t>
        </is>
      </c>
      <c r="P98" s="37" t="inlineStr">
        <is>
          <t>Question headings better align with query phrasing and snippet extraction.</t>
        </is>
      </c>
      <c r="Q98">
        <f>IFERROR(HYPERLINK("#Main!A"&amp;MATCH(A98,Main!A:A,0),"Open"),HYPERLINK("#Main!A1","Open"))</f>
        <v/>
      </c>
      <c r="R98">
        <f>IFERROR(HYPERLINK("#Technical!A"&amp;MATCH(A98,Technical!A:A,0),"Open"),HYPERLINK("#Technical!A1","Open"))</f>
        <v/>
      </c>
    </row>
    <row r="99" ht="30" customHeight="1">
      <c r="A99" s="46" t="inlineStr">
        <is>
          <t>https://asconafrica.org/our-members/</t>
        </is>
      </c>
      <c r="B99" s="6" t="inlineStr">
        <is>
          <t>Readability</t>
        </is>
      </c>
      <c r="C99" s="42" t="inlineStr">
        <is>
          <t>Info</t>
        </is>
      </c>
      <c r="D99" s="6" t="inlineStr">
        <is>
          <t>No question-style headings</t>
        </is>
      </c>
      <c r="E99" s="7" t="n">
        <v>37</v>
      </c>
      <c r="F99" s="6" t="n">
        <v>0</v>
      </c>
      <c r="G99" s="6" t="inlineStr">
        <is>
          <t>&gt;=1 where intent is informational</t>
        </is>
      </c>
      <c r="H99" s="6" t="inlineStr">
        <is>
          <t>Add at least one natural question heading (H2/H3) matching user intent.</t>
        </is>
      </c>
      <c r="I99" s="44" t="inlineStr">
        <is>
          <t>AEO</t>
        </is>
      </c>
      <c r="J99" s="6" t="inlineStr">
        <is>
          <t>Question Heading Count</t>
        </is>
      </c>
      <c r="K99" s="6" t="inlineStr">
        <is>
          <t>No</t>
        </is>
      </c>
      <c r="L99" s="6" t="inlineStr">
        <is>
          <t>Copy Writer</t>
        </is>
      </c>
      <c r="M99" s="45" t="inlineStr">
        <is>
          <t>Open</t>
        </is>
      </c>
      <c r="N99" s="6" t="n">
        <v>4</v>
      </c>
      <c r="O99" s="6" t="inlineStr">
        <is>
          <t>https://asconafrica.org/our-members/::aioseo_no_question-style_headings</t>
        </is>
      </c>
      <c r="P99" s="6" t="inlineStr">
        <is>
          <t>Question headings better align with query phrasing and snippet extraction.</t>
        </is>
      </c>
      <c r="Q99">
        <f>IFERROR(HYPERLINK("#Main!A"&amp;MATCH(A99,Main!A:A,0),"Open"),HYPERLINK("#Main!A1","Open"))</f>
        <v/>
      </c>
      <c r="R99">
        <f>IFERROR(HYPERLINK("#Technical!A"&amp;MATCH(A99,Technical!A:A,0),"Open"),HYPERLINK("#Technical!A1","Open"))</f>
        <v/>
      </c>
    </row>
    <row r="100" ht="30" customHeight="1">
      <c r="A100" s="46" t="inlineStr">
        <is>
          <t>https://asconafrica.org/thank-you-for-signing-up-for-updates/</t>
        </is>
      </c>
      <c r="B100" s="37" t="inlineStr">
        <is>
          <t>Readability</t>
        </is>
      </c>
      <c r="C100" s="42" t="inlineStr">
        <is>
          <t>Info</t>
        </is>
      </c>
      <c r="D100" s="37" t="inlineStr">
        <is>
          <t>No question-style headings</t>
        </is>
      </c>
      <c r="E100" s="56" t="n">
        <v>37</v>
      </c>
      <c r="F100" s="37" t="n">
        <v>0</v>
      </c>
      <c r="G100" s="37" t="inlineStr">
        <is>
          <t>&gt;=1 where intent is informational</t>
        </is>
      </c>
      <c r="H100" s="37" t="inlineStr">
        <is>
          <t>Add at least one natural question heading (H2/H3) matching user intent.</t>
        </is>
      </c>
      <c r="I100" s="41" t="inlineStr">
        <is>
          <t>AEO</t>
        </is>
      </c>
      <c r="J100" s="37" t="inlineStr">
        <is>
          <t>Question Heading Count</t>
        </is>
      </c>
      <c r="K100" s="37" t="inlineStr">
        <is>
          <t>No</t>
        </is>
      </c>
      <c r="L100" s="37" t="inlineStr">
        <is>
          <t>Copy Writer</t>
        </is>
      </c>
      <c r="M100" s="45" t="inlineStr">
        <is>
          <t>Open</t>
        </is>
      </c>
      <c r="N100" s="37" t="n">
        <v>4</v>
      </c>
      <c r="O100" s="37" t="inlineStr">
        <is>
          <t>https://asconafrica.org/thank-you-for-signing-up-for-updates/::aioseo_no_question-style_headings</t>
        </is>
      </c>
      <c r="P100" s="37" t="inlineStr">
        <is>
          <t>Question headings better align with query phrasing and snippet extraction.</t>
        </is>
      </c>
      <c r="Q100">
        <f>IFERROR(HYPERLINK("#Main!A"&amp;MATCH(A100,Main!A:A,0),"Open"),HYPERLINK("#Main!A1","Open"))</f>
        <v/>
      </c>
      <c r="R100">
        <f>IFERROR(HYPERLINK("#Technical!A"&amp;MATCH(A100,Technical!A:A,0),"Open"),HYPERLINK("#Technical!A1","Open"))</f>
        <v/>
      </c>
    </row>
    <row r="101" ht="30" customHeight="1">
      <c r="A101" s="46" t="inlineStr">
        <is>
          <t>https://asconafrica.org/unsubscribe-form/</t>
        </is>
      </c>
      <c r="B101" s="6" t="inlineStr">
        <is>
          <t>Readability</t>
        </is>
      </c>
      <c r="C101" s="42" t="inlineStr">
        <is>
          <t>Info</t>
        </is>
      </c>
      <c r="D101" s="6" t="inlineStr">
        <is>
          <t>No question-style headings</t>
        </is>
      </c>
      <c r="E101" s="7" t="n">
        <v>37</v>
      </c>
      <c r="F101" s="6" t="n">
        <v>0</v>
      </c>
      <c r="G101" s="6" t="inlineStr">
        <is>
          <t>&gt;=1 where intent is informational</t>
        </is>
      </c>
      <c r="H101" s="6" t="inlineStr">
        <is>
          <t>Add at least one natural question heading (H2/H3) matching user intent.</t>
        </is>
      </c>
      <c r="I101" s="44" t="inlineStr">
        <is>
          <t>AEO</t>
        </is>
      </c>
      <c r="J101" s="6" t="inlineStr">
        <is>
          <t>Question Heading Count</t>
        </is>
      </c>
      <c r="K101" s="6" t="inlineStr">
        <is>
          <t>No</t>
        </is>
      </c>
      <c r="L101" s="6" t="inlineStr">
        <is>
          <t>Copy Writer</t>
        </is>
      </c>
      <c r="M101" s="45" t="inlineStr">
        <is>
          <t>Open</t>
        </is>
      </c>
      <c r="N101" s="6" t="n">
        <v>4</v>
      </c>
      <c r="O101" s="6" t="inlineStr">
        <is>
          <t>https://asconafrica.org/unsubscribe-form/::aioseo_no_question-style_headings</t>
        </is>
      </c>
      <c r="P101" s="6" t="inlineStr">
        <is>
          <t>Question headings better align with query phrasing and snippet extraction.</t>
        </is>
      </c>
      <c r="Q101">
        <f>IFERROR(HYPERLINK("#Main!A"&amp;MATCH(A101,Main!A:A,0),"Open"),HYPERLINK("#Main!A1","Open"))</f>
        <v/>
      </c>
      <c r="R101">
        <f>IFERROR(HYPERLINK("#Technical!A"&amp;MATCH(A101,Technical!A:A,0),"Open"),HYPERLINK("#Technical!A1","Open"))</f>
        <v/>
      </c>
    </row>
    <row r="102" ht="30" customHeight="1">
      <c r="A102" s="46" t="inlineStr">
        <is>
          <t>https://asconafrica.org/unsubscribe-form/successfully-unsubscribed/</t>
        </is>
      </c>
      <c r="B102" s="37" t="inlineStr">
        <is>
          <t>Readability</t>
        </is>
      </c>
      <c r="C102" s="42" t="inlineStr">
        <is>
          <t>Info</t>
        </is>
      </c>
      <c r="D102" s="37" t="inlineStr">
        <is>
          <t>No question-style headings</t>
        </is>
      </c>
      <c r="E102" s="56" t="n">
        <v>37</v>
      </c>
      <c r="F102" s="37" t="n">
        <v>0</v>
      </c>
      <c r="G102" s="37" t="inlineStr">
        <is>
          <t>&gt;=1 where intent is informational</t>
        </is>
      </c>
      <c r="H102" s="37" t="inlineStr">
        <is>
          <t>Add at least one natural question heading (H2/H3) matching user intent.</t>
        </is>
      </c>
      <c r="I102" s="41" t="inlineStr">
        <is>
          <t>AEO</t>
        </is>
      </c>
      <c r="J102" s="37" t="inlineStr">
        <is>
          <t>Question Heading Count</t>
        </is>
      </c>
      <c r="K102" s="37" t="inlineStr">
        <is>
          <t>No</t>
        </is>
      </c>
      <c r="L102" s="37" t="inlineStr">
        <is>
          <t>Copy Writer</t>
        </is>
      </c>
      <c r="M102" s="45" t="inlineStr">
        <is>
          <t>Open</t>
        </is>
      </c>
      <c r="N102" s="37" t="n">
        <v>4</v>
      </c>
      <c r="O102" s="37" t="inlineStr">
        <is>
          <t>https://asconafrica.org/unsubscribe-form/successfully-unsubscribed/::aioseo_no_question-style_headings</t>
        </is>
      </c>
      <c r="P102" s="37" t="inlineStr">
        <is>
          <t>Question headings better align with query phrasing and snippet extraction.</t>
        </is>
      </c>
      <c r="Q102">
        <f>IFERROR(HYPERLINK("#Main!A"&amp;MATCH(A102,Main!A:A,0),"Open"),HYPERLINK("#Main!A1","Open"))</f>
        <v/>
      </c>
      <c r="R102">
        <f>IFERROR(HYPERLINK("#Technical!A"&amp;MATCH(A102,Technical!A:A,0),"Open"),HYPERLINK("#Technical!A1","Open"))</f>
        <v/>
      </c>
    </row>
    <row r="103" ht="45" customHeight="1">
      <c r="A103" s="46" t="inlineStr">
        <is>
          <t>https://asconafrica.org/</t>
        </is>
      </c>
      <c r="B103" s="6" t="inlineStr">
        <is>
          <t>Schema</t>
        </is>
      </c>
      <c r="C103" s="42" t="inlineStr">
        <is>
          <t>Info</t>
        </is>
      </c>
      <c r="D103" s="6" t="inlineStr">
        <is>
          <t>No FAQ/QA schema</t>
        </is>
      </c>
      <c r="E103" s="7" t="n">
        <v>37</v>
      </c>
      <c r="F103" s="6" t="b">
        <v>0</v>
      </c>
      <c r="G103" s="6" t="inlineStr">
        <is>
          <t>True when page has Q&amp;A intent</t>
        </is>
      </c>
      <c r="H103" s="6" t="inlineStr">
        <is>
          <t>If content is Q&amp;A style, add FAQPage/QAPage schema in AIOSEO and keep markup aligned with on-page content.</t>
        </is>
      </c>
      <c r="I103" s="44" t="inlineStr">
        <is>
          <t>AEO</t>
        </is>
      </c>
      <c r="J103" s="6" t="inlineStr">
        <is>
          <t>QAPage/FAQ Schema Present</t>
        </is>
      </c>
      <c r="K103" s="6" t="inlineStr">
        <is>
          <t>No</t>
        </is>
      </c>
      <c r="L103" s="6" t="inlineStr">
        <is>
          <t>Copy Writer</t>
        </is>
      </c>
      <c r="M103" s="45" t="inlineStr">
        <is>
          <t>Open</t>
        </is>
      </c>
      <c r="N103" s="6" t="n">
        <v>4</v>
      </c>
      <c r="O103" s="6" t="inlineStr">
        <is>
          <t>https://asconafrica.org/::aioseo_no_faq_qa_schema</t>
        </is>
      </c>
      <c r="P103" s="6" t="inlineStr">
        <is>
          <t>Q&amp;A schema can improve eligibility for answer-rich results.</t>
        </is>
      </c>
      <c r="Q103">
        <f>IFERROR(HYPERLINK("#Main!A"&amp;MATCH(A103,Main!A:A,0),"Open"),HYPERLINK("#Main!A1","Open"))</f>
        <v/>
      </c>
      <c r="R103">
        <f>IFERROR(HYPERLINK("#Technical!A"&amp;MATCH(A103,Technical!A:A,0),"Open"),HYPERLINK("#Technical!A1","Open"))</f>
        <v/>
      </c>
    </row>
    <row r="104" ht="45" customHeight="1">
      <c r="A104" s="46" t="inlineStr">
        <is>
          <t>https://asconafrica.org/2026-ascon-awards/</t>
        </is>
      </c>
      <c r="B104" s="37" t="inlineStr">
        <is>
          <t>Schema</t>
        </is>
      </c>
      <c r="C104" s="42" t="inlineStr">
        <is>
          <t>Info</t>
        </is>
      </c>
      <c r="D104" s="37" t="inlineStr">
        <is>
          <t>No FAQ/QA schema</t>
        </is>
      </c>
      <c r="E104" s="56" t="n">
        <v>37</v>
      </c>
      <c r="F104" s="37" t="b">
        <v>0</v>
      </c>
      <c r="G104" s="37" t="inlineStr">
        <is>
          <t>True when page has Q&amp;A intent</t>
        </is>
      </c>
      <c r="H104" s="37" t="inlineStr">
        <is>
          <t>If content is Q&amp;A style, add FAQPage/QAPage schema in AIOSEO and keep markup aligned with on-page content.</t>
        </is>
      </c>
      <c r="I104" s="41" t="inlineStr">
        <is>
          <t>AEO</t>
        </is>
      </c>
      <c r="J104" s="37" t="inlineStr">
        <is>
          <t>QAPage/FAQ Schema Present</t>
        </is>
      </c>
      <c r="K104" s="37" t="inlineStr">
        <is>
          <t>No</t>
        </is>
      </c>
      <c r="L104" s="37" t="inlineStr">
        <is>
          <t>Copy Writer</t>
        </is>
      </c>
      <c r="M104" s="45" t="inlineStr">
        <is>
          <t>Open</t>
        </is>
      </c>
      <c r="N104" s="37" t="n">
        <v>4</v>
      </c>
      <c r="O104" s="37" t="inlineStr">
        <is>
          <t>https://asconafrica.org/2026-ascon-awards/::aioseo_no_faq_qa_schema</t>
        </is>
      </c>
      <c r="P104" s="37" t="inlineStr">
        <is>
          <t>Q&amp;A schema can improve eligibility for answer-rich results.</t>
        </is>
      </c>
      <c r="Q104">
        <f>IFERROR(HYPERLINK("#Main!A"&amp;MATCH(A104,Main!A:A,0),"Open"),HYPERLINK("#Main!A1","Open"))</f>
        <v/>
      </c>
      <c r="R104">
        <f>IFERROR(HYPERLINK("#Technical!A"&amp;MATCH(A104,Technical!A:A,0),"Open"),HYPERLINK("#Technical!A1","Open"))</f>
        <v/>
      </c>
    </row>
    <row r="105" ht="45" customHeight="1">
      <c r="A105" s="46" t="inlineStr">
        <is>
          <t>https://asconafrica.org/2026-ascon-awards/thank-you-for-your-nomination/</t>
        </is>
      </c>
      <c r="B105" s="6" t="inlineStr">
        <is>
          <t>Schema</t>
        </is>
      </c>
      <c r="C105" s="42" t="inlineStr">
        <is>
          <t>Info</t>
        </is>
      </c>
      <c r="D105" s="6" t="inlineStr">
        <is>
          <t>No FAQ/QA schema</t>
        </is>
      </c>
      <c r="E105" s="7" t="n">
        <v>37</v>
      </c>
      <c r="F105" s="6" t="b">
        <v>0</v>
      </c>
      <c r="G105" s="6" t="inlineStr">
        <is>
          <t>True when page has Q&amp;A intent</t>
        </is>
      </c>
      <c r="H105" s="6" t="inlineStr">
        <is>
          <t>If content is Q&amp;A style, add FAQPage/QAPage schema in AIOSEO and keep markup aligned with on-page content.</t>
        </is>
      </c>
      <c r="I105" s="44" t="inlineStr">
        <is>
          <t>AEO</t>
        </is>
      </c>
      <c r="J105" s="6" t="inlineStr">
        <is>
          <t>QAPage/FAQ Schema Present</t>
        </is>
      </c>
      <c r="K105" s="6" t="inlineStr">
        <is>
          <t>No</t>
        </is>
      </c>
      <c r="L105" s="6" t="inlineStr">
        <is>
          <t>Copy Writer</t>
        </is>
      </c>
      <c r="M105" s="45" t="inlineStr">
        <is>
          <t>Open</t>
        </is>
      </c>
      <c r="N105" s="6" t="n">
        <v>4</v>
      </c>
      <c r="O105" s="6" t="inlineStr">
        <is>
          <t>https://asconafrica.org/2026-ascon-awards/thank-you-for-your-nomination/::aioseo_no_faq_qa_schema</t>
        </is>
      </c>
      <c r="P105" s="6" t="inlineStr">
        <is>
          <t>Q&amp;A schema can improve eligibility for answer-rich results.</t>
        </is>
      </c>
      <c r="Q105">
        <f>IFERROR(HYPERLINK("#Main!A"&amp;MATCH(A105,Main!A:A,0),"Open"),HYPERLINK("#Main!A1","Open"))</f>
        <v/>
      </c>
      <c r="R105">
        <f>IFERROR(HYPERLINK("#Technical!A"&amp;MATCH(A105,Technical!A:A,0),"Open"),HYPERLINK("#Technical!A1","Open"))</f>
        <v/>
      </c>
    </row>
    <row r="106" ht="45" customHeight="1">
      <c r="A106" s="46" t="inlineStr">
        <is>
          <t>https://asconafrica.org/2026-ascon-conference/</t>
        </is>
      </c>
      <c r="B106" s="37" t="inlineStr">
        <is>
          <t>Schema</t>
        </is>
      </c>
      <c r="C106" s="42" t="inlineStr">
        <is>
          <t>Info</t>
        </is>
      </c>
      <c r="D106" s="37" t="inlineStr">
        <is>
          <t>No FAQ/QA schema</t>
        </is>
      </c>
      <c r="E106" s="56" t="n">
        <v>37</v>
      </c>
      <c r="F106" s="37" t="b">
        <v>0</v>
      </c>
      <c r="G106" s="37" t="inlineStr">
        <is>
          <t>True when page has Q&amp;A intent</t>
        </is>
      </c>
      <c r="H106" s="37" t="inlineStr">
        <is>
          <t>If content is Q&amp;A style, add FAQPage/QAPage schema in AIOSEO and keep markup aligned with on-page content.</t>
        </is>
      </c>
      <c r="I106" s="41" t="inlineStr">
        <is>
          <t>AEO</t>
        </is>
      </c>
      <c r="J106" s="37" t="inlineStr">
        <is>
          <t>QAPage/FAQ Schema Present</t>
        </is>
      </c>
      <c r="K106" s="37" t="inlineStr">
        <is>
          <t>No</t>
        </is>
      </c>
      <c r="L106" s="37" t="inlineStr">
        <is>
          <t>Copy Writer</t>
        </is>
      </c>
      <c r="M106" s="45" t="inlineStr">
        <is>
          <t>Open</t>
        </is>
      </c>
      <c r="N106" s="37" t="n">
        <v>4</v>
      </c>
      <c r="O106" s="37" t="inlineStr">
        <is>
          <t>https://asconafrica.org/2026-ascon-conference/::aioseo_no_faq_qa_schema</t>
        </is>
      </c>
      <c r="P106" s="37" t="inlineStr">
        <is>
          <t>Q&amp;A schema can improve eligibility for answer-rich results.</t>
        </is>
      </c>
      <c r="Q106">
        <f>IFERROR(HYPERLINK("#Main!A"&amp;MATCH(A106,Main!A:A,0),"Open"),HYPERLINK("#Main!A1","Open"))</f>
        <v/>
      </c>
      <c r="R106">
        <f>IFERROR(HYPERLINK("#Technical!A"&amp;MATCH(A106,Technical!A:A,0),"Open"),HYPERLINK("#Technical!A1","Open"))</f>
        <v/>
      </c>
    </row>
    <row r="107" ht="45" customHeight="1">
      <c r="A107" s="46" t="inlineStr">
        <is>
          <t>https://asconafrica.org/2026-ascon-conference/thank-you-for-signing-up/</t>
        </is>
      </c>
      <c r="B107" s="6" t="inlineStr">
        <is>
          <t>Schema</t>
        </is>
      </c>
      <c r="C107" s="42" t="inlineStr">
        <is>
          <t>Info</t>
        </is>
      </c>
      <c r="D107" s="6" t="inlineStr">
        <is>
          <t>No FAQ/QA schema</t>
        </is>
      </c>
      <c r="E107" s="7" t="n">
        <v>37</v>
      </c>
      <c r="F107" s="6" t="b">
        <v>0</v>
      </c>
      <c r="G107" s="6" t="inlineStr">
        <is>
          <t>True when page has Q&amp;A intent</t>
        </is>
      </c>
      <c r="H107" s="6" t="inlineStr">
        <is>
          <t>If content is Q&amp;A style, add FAQPage/QAPage schema in AIOSEO and keep markup aligned with on-page content.</t>
        </is>
      </c>
      <c r="I107" s="44" t="inlineStr">
        <is>
          <t>AEO</t>
        </is>
      </c>
      <c r="J107" s="6" t="inlineStr">
        <is>
          <t>QAPage/FAQ Schema Present</t>
        </is>
      </c>
      <c r="K107" s="6" t="inlineStr">
        <is>
          <t>No</t>
        </is>
      </c>
      <c r="L107" s="6" t="inlineStr">
        <is>
          <t>Copy Writer</t>
        </is>
      </c>
      <c r="M107" s="45" t="inlineStr">
        <is>
          <t>Open</t>
        </is>
      </c>
      <c r="N107" s="6" t="n">
        <v>4</v>
      </c>
      <c r="O107" s="6" t="inlineStr">
        <is>
          <t>https://asconafrica.org/2026-ascon-conference/thank-you-for-signing-up/::aioseo_no_faq_qa_schema</t>
        </is>
      </c>
      <c r="P107" s="6" t="inlineStr">
        <is>
          <t>Q&amp;A schema can improve eligibility for answer-rich results.</t>
        </is>
      </c>
      <c r="Q107">
        <f>IFERROR(HYPERLINK("#Main!A"&amp;MATCH(A107,Main!A:A,0),"Open"),HYPERLINK("#Main!A1","Open"))</f>
        <v/>
      </c>
      <c r="R107">
        <f>IFERROR(HYPERLINK("#Technical!A"&amp;MATCH(A107,Technical!A:A,0),"Open"),HYPERLINK("#Technical!A1","Open"))</f>
        <v/>
      </c>
    </row>
    <row r="108" ht="45" customHeight="1">
      <c r="A108" s="46" t="inlineStr">
        <is>
          <t>https://asconafrica.org/about-us/</t>
        </is>
      </c>
      <c r="B108" s="37" t="inlineStr">
        <is>
          <t>Schema</t>
        </is>
      </c>
      <c r="C108" s="42" t="inlineStr">
        <is>
          <t>Info</t>
        </is>
      </c>
      <c r="D108" s="37" t="inlineStr">
        <is>
          <t>No FAQ/QA schema</t>
        </is>
      </c>
      <c r="E108" s="56" t="n">
        <v>37</v>
      </c>
      <c r="F108" s="37" t="b">
        <v>0</v>
      </c>
      <c r="G108" s="37" t="inlineStr">
        <is>
          <t>True when page has Q&amp;A intent</t>
        </is>
      </c>
      <c r="H108" s="37" t="inlineStr">
        <is>
          <t>If content is Q&amp;A style, add FAQPage/QAPage schema in AIOSEO and keep markup aligned with on-page content.</t>
        </is>
      </c>
      <c r="I108" s="41" t="inlineStr">
        <is>
          <t>AEO</t>
        </is>
      </c>
      <c r="J108" s="37" t="inlineStr">
        <is>
          <t>QAPage/FAQ Schema Present</t>
        </is>
      </c>
      <c r="K108" s="37" t="inlineStr">
        <is>
          <t>No</t>
        </is>
      </c>
      <c r="L108" s="37" t="inlineStr">
        <is>
          <t>Copy Writer</t>
        </is>
      </c>
      <c r="M108" s="45" t="inlineStr">
        <is>
          <t>Open</t>
        </is>
      </c>
      <c r="N108" s="37" t="n">
        <v>4</v>
      </c>
      <c r="O108" s="37" t="inlineStr">
        <is>
          <t>https://asconafrica.org/about-us/::aioseo_no_faq_qa_schema</t>
        </is>
      </c>
      <c r="P108" s="37" t="inlineStr">
        <is>
          <t>Q&amp;A schema can improve eligibility for answer-rich results.</t>
        </is>
      </c>
      <c r="Q108">
        <f>IFERROR(HYPERLINK("#Main!A"&amp;MATCH(A108,Main!A:A,0),"Open"),HYPERLINK("#Main!A1","Open"))</f>
        <v/>
      </c>
      <c r="R108">
        <f>IFERROR(HYPERLINK("#Technical!A"&amp;MATCH(A108,Technical!A:A,0),"Open"),HYPERLINK("#Technical!A1","Open"))</f>
        <v/>
      </c>
    </row>
    <row r="109" ht="45" customHeight="1">
      <c r="A109" s="46" t="inlineStr">
        <is>
          <t>https://asconafrica.org/contact-us/</t>
        </is>
      </c>
      <c r="B109" s="6" t="inlineStr">
        <is>
          <t>Schema</t>
        </is>
      </c>
      <c r="C109" s="42" t="inlineStr">
        <is>
          <t>Info</t>
        </is>
      </c>
      <c r="D109" s="6" t="inlineStr">
        <is>
          <t>No FAQ/QA schema</t>
        </is>
      </c>
      <c r="E109" s="7" t="n">
        <v>37</v>
      </c>
      <c r="F109" s="6" t="b">
        <v>0</v>
      </c>
      <c r="G109" s="6" t="inlineStr">
        <is>
          <t>True when page has Q&amp;A intent</t>
        </is>
      </c>
      <c r="H109" s="6" t="inlineStr">
        <is>
          <t>If content is Q&amp;A style, add FAQPage/QAPage schema in AIOSEO and keep markup aligned with on-page content.</t>
        </is>
      </c>
      <c r="I109" s="44" t="inlineStr">
        <is>
          <t>AEO</t>
        </is>
      </c>
      <c r="J109" s="6" t="inlineStr">
        <is>
          <t>QAPage/FAQ Schema Present</t>
        </is>
      </c>
      <c r="K109" s="6" t="inlineStr">
        <is>
          <t>No</t>
        </is>
      </c>
      <c r="L109" s="6" t="inlineStr">
        <is>
          <t>Copy Writer</t>
        </is>
      </c>
      <c r="M109" s="45" t="inlineStr">
        <is>
          <t>Open</t>
        </is>
      </c>
      <c r="N109" s="6" t="n">
        <v>4</v>
      </c>
      <c r="O109" s="6" t="inlineStr">
        <is>
          <t>https://asconafrica.org/contact-us/::aioseo_no_faq_qa_schema</t>
        </is>
      </c>
      <c r="P109" s="6" t="inlineStr">
        <is>
          <t>Q&amp;A schema can improve eligibility for answer-rich results.</t>
        </is>
      </c>
      <c r="Q109">
        <f>IFERROR(HYPERLINK("#Main!A"&amp;MATCH(A109,Main!A:A,0),"Open"),HYPERLINK("#Main!A1","Open"))</f>
        <v/>
      </c>
      <c r="R109">
        <f>IFERROR(HYPERLINK("#Technical!A"&amp;MATCH(A109,Technical!A:A,0),"Open"),HYPERLINK("#Technical!A1","Open"))</f>
        <v/>
      </c>
    </row>
    <row r="110" ht="45" customHeight="1">
      <c r="A110" s="46" t="inlineStr">
        <is>
          <t>https://asconafrica.org/launch-event-2026-ascon-conference/</t>
        </is>
      </c>
      <c r="B110" s="37" t="inlineStr">
        <is>
          <t>Schema</t>
        </is>
      </c>
      <c r="C110" s="42" t="inlineStr">
        <is>
          <t>Info</t>
        </is>
      </c>
      <c r="D110" s="37" t="inlineStr">
        <is>
          <t>No FAQ/QA schema</t>
        </is>
      </c>
      <c r="E110" s="56" t="n">
        <v>37</v>
      </c>
      <c r="F110" s="37" t="b">
        <v>0</v>
      </c>
      <c r="G110" s="37" t="inlineStr">
        <is>
          <t>True when page has Q&amp;A intent</t>
        </is>
      </c>
      <c r="H110" s="37" t="inlineStr">
        <is>
          <t>If content is Q&amp;A style, add FAQPage/QAPage schema in AIOSEO and keep markup aligned with on-page content.</t>
        </is>
      </c>
      <c r="I110" s="41" t="inlineStr">
        <is>
          <t>AEO</t>
        </is>
      </c>
      <c r="J110" s="37" t="inlineStr">
        <is>
          <t>QAPage/FAQ Schema Present</t>
        </is>
      </c>
      <c r="K110" s="37" t="inlineStr">
        <is>
          <t>No</t>
        </is>
      </c>
      <c r="L110" s="37" t="inlineStr">
        <is>
          <t>Copy Writer</t>
        </is>
      </c>
      <c r="M110" s="45" t="inlineStr">
        <is>
          <t>Open</t>
        </is>
      </c>
      <c r="N110" s="37" t="n">
        <v>4</v>
      </c>
      <c r="O110" s="37" t="inlineStr">
        <is>
          <t>https://asconafrica.org/launch-event-2026-ascon-conference/::aioseo_no_faq_qa_schema</t>
        </is>
      </c>
      <c r="P110" s="37" t="inlineStr">
        <is>
          <t>Q&amp;A schema can improve eligibility for answer-rich results.</t>
        </is>
      </c>
      <c r="Q110">
        <f>IFERROR(HYPERLINK("#Main!A"&amp;MATCH(A110,Main!A:A,0),"Open"),HYPERLINK("#Main!A1","Open"))</f>
        <v/>
      </c>
      <c r="R110">
        <f>IFERROR(HYPERLINK("#Technical!A"&amp;MATCH(A110,Technical!A:A,0),"Open"),HYPERLINK("#Technical!A1","Open"))</f>
        <v/>
      </c>
    </row>
    <row r="111" ht="45" customHeight="1">
      <c r="A111" s="46" t="inlineStr">
        <is>
          <t>https://asconafrica.org/launch-event-2026-ascon-conference/thank-you-for-registering-conference-launch/</t>
        </is>
      </c>
      <c r="B111" s="6" t="inlineStr">
        <is>
          <t>Schema</t>
        </is>
      </c>
      <c r="C111" s="42" t="inlineStr">
        <is>
          <t>Info</t>
        </is>
      </c>
      <c r="D111" s="6" t="inlineStr">
        <is>
          <t>No FAQ/QA schema</t>
        </is>
      </c>
      <c r="E111" s="7" t="n">
        <v>37</v>
      </c>
      <c r="F111" s="6" t="b">
        <v>0</v>
      </c>
      <c r="G111" s="6" t="inlineStr">
        <is>
          <t>True when page has Q&amp;A intent</t>
        </is>
      </c>
      <c r="H111" s="6" t="inlineStr">
        <is>
          <t>If content is Q&amp;A style, add FAQPage/QAPage schema in AIOSEO and keep markup aligned with on-page content.</t>
        </is>
      </c>
      <c r="I111" s="44" t="inlineStr">
        <is>
          <t>AEO</t>
        </is>
      </c>
      <c r="J111" s="6" t="inlineStr">
        <is>
          <t>QAPage/FAQ Schema Present</t>
        </is>
      </c>
      <c r="K111" s="6" t="inlineStr">
        <is>
          <t>No</t>
        </is>
      </c>
      <c r="L111" s="6" t="inlineStr">
        <is>
          <t>Copy Writer</t>
        </is>
      </c>
      <c r="M111" s="45" t="inlineStr">
        <is>
          <t>Open</t>
        </is>
      </c>
      <c r="N111" s="6" t="n">
        <v>4</v>
      </c>
      <c r="O111" s="6" t="inlineStr">
        <is>
          <t>https://asconafrica.org/launch-event-2026-ascon-conference/thank-you-for-registering-conference-launch/::aioseo_no_faq_qa_schema</t>
        </is>
      </c>
      <c r="P111" s="6" t="inlineStr">
        <is>
          <t>Q&amp;A schema can improve eligibility for answer-rich results.</t>
        </is>
      </c>
      <c r="Q111">
        <f>IFERROR(HYPERLINK("#Main!A"&amp;MATCH(A111,Main!A:A,0),"Open"),HYPERLINK("#Main!A1","Open"))</f>
        <v/>
      </c>
      <c r="R111">
        <f>IFERROR(HYPERLINK("#Technical!A"&amp;MATCH(A111,Technical!A:A,0),"Open"),HYPERLINK("#Technical!A1","Open"))</f>
        <v/>
      </c>
    </row>
    <row r="112" ht="45" customHeight="1">
      <c r="A112" s="46" t="inlineStr">
        <is>
          <t>https://asconafrica.org/news/</t>
        </is>
      </c>
      <c r="B112" s="37" t="inlineStr">
        <is>
          <t>Schema</t>
        </is>
      </c>
      <c r="C112" s="42" t="inlineStr">
        <is>
          <t>Info</t>
        </is>
      </c>
      <c r="D112" s="37" t="inlineStr">
        <is>
          <t>No FAQ/QA schema</t>
        </is>
      </c>
      <c r="E112" s="56" t="n">
        <v>37</v>
      </c>
      <c r="F112" s="37" t="b">
        <v>0</v>
      </c>
      <c r="G112" s="37" t="inlineStr">
        <is>
          <t>True when page has Q&amp;A intent</t>
        </is>
      </c>
      <c r="H112" s="37" t="inlineStr">
        <is>
          <t>If content is Q&amp;A style, add FAQPage/QAPage schema in AIOSEO and keep markup aligned with on-page content.</t>
        </is>
      </c>
      <c r="I112" s="41" t="inlineStr">
        <is>
          <t>AEO</t>
        </is>
      </c>
      <c r="J112" s="37" t="inlineStr">
        <is>
          <t>QAPage/FAQ Schema Present</t>
        </is>
      </c>
      <c r="K112" s="37" t="inlineStr">
        <is>
          <t>No</t>
        </is>
      </c>
      <c r="L112" s="37" t="inlineStr">
        <is>
          <t>Copy Writer</t>
        </is>
      </c>
      <c r="M112" s="45" t="inlineStr">
        <is>
          <t>Open</t>
        </is>
      </c>
      <c r="N112" s="37" t="n">
        <v>4</v>
      </c>
      <c r="O112" s="37" t="inlineStr">
        <is>
          <t>https://asconafrica.org/news/::aioseo_no_faq_qa_schema</t>
        </is>
      </c>
      <c r="P112" s="37" t="inlineStr">
        <is>
          <t>Q&amp;A schema can improve eligibility for answer-rich results.</t>
        </is>
      </c>
      <c r="Q112">
        <f>IFERROR(HYPERLINK("#Main!A"&amp;MATCH(A112,Main!A:A,0),"Open"),HYPERLINK("#Main!A1","Open"))</f>
        <v/>
      </c>
      <c r="R112">
        <f>IFERROR(HYPERLINK("#Technical!A"&amp;MATCH(A112,Technical!A:A,0),"Open"),HYPERLINK("#Technical!A1","Open"))</f>
        <v/>
      </c>
    </row>
    <row r="113" ht="45" customHeight="1">
      <c r="A113" s="46" t="inlineStr">
        <is>
          <t>https://asconafrica.org/our-members/</t>
        </is>
      </c>
      <c r="B113" s="6" t="inlineStr">
        <is>
          <t>Schema</t>
        </is>
      </c>
      <c r="C113" s="42" t="inlineStr">
        <is>
          <t>Info</t>
        </is>
      </c>
      <c r="D113" s="6" t="inlineStr">
        <is>
          <t>No FAQ/QA schema</t>
        </is>
      </c>
      <c r="E113" s="7" t="n">
        <v>37</v>
      </c>
      <c r="F113" s="6" t="b">
        <v>0</v>
      </c>
      <c r="G113" s="6" t="inlineStr">
        <is>
          <t>True when page has Q&amp;A intent</t>
        </is>
      </c>
      <c r="H113" s="6" t="inlineStr">
        <is>
          <t>If content is Q&amp;A style, add FAQPage/QAPage schema in AIOSEO and keep markup aligned with on-page content.</t>
        </is>
      </c>
      <c r="I113" s="44" t="inlineStr">
        <is>
          <t>AEO</t>
        </is>
      </c>
      <c r="J113" s="6" t="inlineStr">
        <is>
          <t>QAPage/FAQ Schema Present</t>
        </is>
      </c>
      <c r="K113" s="6" t="inlineStr">
        <is>
          <t>No</t>
        </is>
      </c>
      <c r="L113" s="6" t="inlineStr">
        <is>
          <t>Copy Writer</t>
        </is>
      </c>
      <c r="M113" s="45" t="inlineStr">
        <is>
          <t>Open</t>
        </is>
      </c>
      <c r="N113" s="6" t="n">
        <v>4</v>
      </c>
      <c r="O113" s="6" t="inlineStr">
        <is>
          <t>https://asconafrica.org/our-members/::aioseo_no_faq_qa_schema</t>
        </is>
      </c>
      <c r="P113" s="6" t="inlineStr">
        <is>
          <t>Q&amp;A schema can improve eligibility for answer-rich results.</t>
        </is>
      </c>
      <c r="Q113">
        <f>IFERROR(HYPERLINK("#Main!A"&amp;MATCH(A113,Main!A:A,0),"Open"),HYPERLINK("#Main!A1","Open"))</f>
        <v/>
      </c>
      <c r="R113">
        <f>IFERROR(HYPERLINK("#Technical!A"&amp;MATCH(A113,Technical!A:A,0),"Open"),HYPERLINK("#Technical!A1","Open"))</f>
        <v/>
      </c>
    </row>
    <row r="114" ht="45" customHeight="1">
      <c r="A114" s="46" t="inlineStr">
        <is>
          <t>https://asconafrica.org/privacy-policy/</t>
        </is>
      </c>
      <c r="B114" s="37" t="inlineStr">
        <is>
          <t>Schema</t>
        </is>
      </c>
      <c r="C114" s="42" t="inlineStr">
        <is>
          <t>Info</t>
        </is>
      </c>
      <c r="D114" s="37" t="inlineStr">
        <is>
          <t>No FAQ/QA schema</t>
        </is>
      </c>
      <c r="E114" s="56" t="n">
        <v>37</v>
      </c>
      <c r="F114" s="37" t="b">
        <v>0</v>
      </c>
      <c r="G114" s="37" t="inlineStr">
        <is>
          <t>True when page has Q&amp;A intent</t>
        </is>
      </c>
      <c r="H114" s="37" t="inlineStr">
        <is>
          <t>If content is Q&amp;A style, add FAQPage/QAPage schema in AIOSEO and keep markup aligned with on-page content.</t>
        </is>
      </c>
      <c r="I114" s="41" t="inlineStr">
        <is>
          <t>AEO</t>
        </is>
      </c>
      <c r="J114" s="37" t="inlineStr">
        <is>
          <t>QAPage/FAQ Schema Present</t>
        </is>
      </c>
      <c r="K114" s="37" t="inlineStr">
        <is>
          <t>No</t>
        </is>
      </c>
      <c r="L114" s="37" t="inlineStr">
        <is>
          <t>Copy Writer</t>
        </is>
      </c>
      <c r="M114" s="45" t="inlineStr">
        <is>
          <t>Open</t>
        </is>
      </c>
      <c r="N114" s="37" t="n">
        <v>4</v>
      </c>
      <c r="O114" s="37" t="inlineStr">
        <is>
          <t>https://asconafrica.org/privacy-policy/::aioseo_no_faq_qa_schema</t>
        </is>
      </c>
      <c r="P114" s="37" t="inlineStr">
        <is>
          <t>Q&amp;A schema can improve eligibility for answer-rich results.</t>
        </is>
      </c>
      <c r="Q114">
        <f>IFERROR(HYPERLINK("#Main!A"&amp;MATCH(A114,Main!A:A,0),"Open"),HYPERLINK("#Main!A1","Open"))</f>
        <v/>
      </c>
      <c r="R114">
        <f>IFERROR(HYPERLINK("#Technical!A"&amp;MATCH(A114,Technical!A:A,0),"Open"),HYPERLINK("#Technical!A1","Open"))</f>
        <v/>
      </c>
    </row>
    <row r="115" ht="45" customHeight="1">
      <c r="A115" s="46" t="inlineStr">
        <is>
          <t>https://asconafrica.org/thank-you-for-signing-up-for-updates/</t>
        </is>
      </c>
      <c r="B115" s="6" t="inlineStr">
        <is>
          <t>Schema</t>
        </is>
      </c>
      <c r="C115" s="42" t="inlineStr">
        <is>
          <t>Info</t>
        </is>
      </c>
      <c r="D115" s="6" t="inlineStr">
        <is>
          <t>No FAQ/QA schema</t>
        </is>
      </c>
      <c r="E115" s="7" t="n">
        <v>37</v>
      </c>
      <c r="F115" s="6" t="b">
        <v>0</v>
      </c>
      <c r="G115" s="6" t="inlineStr">
        <is>
          <t>True when page has Q&amp;A intent</t>
        </is>
      </c>
      <c r="H115" s="6" t="inlineStr">
        <is>
          <t>If content is Q&amp;A style, add FAQPage/QAPage schema in AIOSEO and keep markup aligned with on-page content.</t>
        </is>
      </c>
      <c r="I115" s="44" t="inlineStr">
        <is>
          <t>AEO</t>
        </is>
      </c>
      <c r="J115" s="6" t="inlineStr">
        <is>
          <t>QAPage/FAQ Schema Present</t>
        </is>
      </c>
      <c r="K115" s="6" t="inlineStr">
        <is>
          <t>No</t>
        </is>
      </c>
      <c r="L115" s="6" t="inlineStr">
        <is>
          <t>Copy Writer</t>
        </is>
      </c>
      <c r="M115" s="45" t="inlineStr">
        <is>
          <t>Open</t>
        </is>
      </c>
      <c r="N115" s="6" t="n">
        <v>4</v>
      </c>
      <c r="O115" s="6" t="inlineStr">
        <is>
          <t>https://asconafrica.org/thank-you-for-signing-up-for-updates/::aioseo_no_faq_qa_schema</t>
        </is>
      </c>
      <c r="P115" s="6" t="inlineStr">
        <is>
          <t>Q&amp;A schema can improve eligibility for answer-rich results.</t>
        </is>
      </c>
      <c r="Q115">
        <f>IFERROR(HYPERLINK("#Main!A"&amp;MATCH(A115,Main!A:A,0),"Open"),HYPERLINK("#Main!A1","Open"))</f>
        <v/>
      </c>
      <c r="R115">
        <f>IFERROR(HYPERLINK("#Technical!A"&amp;MATCH(A115,Technical!A:A,0),"Open"),HYPERLINK("#Technical!A1","Open"))</f>
        <v/>
      </c>
    </row>
    <row r="116" ht="45" customHeight="1">
      <c r="A116" s="46" t="inlineStr">
        <is>
          <t>https://asconafrica.org/unsubscribe-form/</t>
        </is>
      </c>
      <c r="B116" s="37" t="inlineStr">
        <is>
          <t>Schema</t>
        </is>
      </c>
      <c r="C116" s="42" t="inlineStr">
        <is>
          <t>Info</t>
        </is>
      </c>
      <c r="D116" s="37" t="inlineStr">
        <is>
          <t>No FAQ/QA schema</t>
        </is>
      </c>
      <c r="E116" s="56" t="n">
        <v>37</v>
      </c>
      <c r="F116" s="37" t="b">
        <v>0</v>
      </c>
      <c r="G116" s="37" t="inlineStr">
        <is>
          <t>True when page has Q&amp;A intent</t>
        </is>
      </c>
      <c r="H116" s="37" t="inlineStr">
        <is>
          <t>If content is Q&amp;A style, add FAQPage/QAPage schema in AIOSEO and keep markup aligned with on-page content.</t>
        </is>
      </c>
      <c r="I116" s="41" t="inlineStr">
        <is>
          <t>AEO</t>
        </is>
      </c>
      <c r="J116" s="37" t="inlineStr">
        <is>
          <t>QAPage/FAQ Schema Present</t>
        </is>
      </c>
      <c r="K116" s="37" t="inlineStr">
        <is>
          <t>No</t>
        </is>
      </c>
      <c r="L116" s="37" t="inlineStr">
        <is>
          <t>Copy Writer</t>
        </is>
      </c>
      <c r="M116" s="45" t="inlineStr">
        <is>
          <t>Open</t>
        </is>
      </c>
      <c r="N116" s="37" t="n">
        <v>4</v>
      </c>
      <c r="O116" s="37" t="inlineStr">
        <is>
          <t>https://asconafrica.org/unsubscribe-form/::aioseo_no_faq_qa_schema</t>
        </is>
      </c>
      <c r="P116" s="37" t="inlineStr">
        <is>
          <t>Q&amp;A schema can improve eligibility for answer-rich results.</t>
        </is>
      </c>
      <c r="Q116">
        <f>IFERROR(HYPERLINK("#Main!A"&amp;MATCH(A116,Main!A:A,0),"Open"),HYPERLINK("#Main!A1","Open"))</f>
        <v/>
      </c>
      <c r="R116">
        <f>IFERROR(HYPERLINK("#Technical!A"&amp;MATCH(A116,Technical!A:A,0),"Open"),HYPERLINK("#Technical!A1","Open"))</f>
        <v/>
      </c>
    </row>
    <row r="117" ht="45" customHeight="1">
      <c r="A117" s="46" t="inlineStr">
        <is>
          <t>https://asconafrica.org/unsubscribe-form/successfully-unsubscribed/</t>
        </is>
      </c>
      <c r="B117" s="6" t="inlineStr">
        <is>
          <t>Schema</t>
        </is>
      </c>
      <c r="C117" s="42" t="inlineStr">
        <is>
          <t>Info</t>
        </is>
      </c>
      <c r="D117" s="6" t="inlineStr">
        <is>
          <t>No FAQ/QA schema</t>
        </is>
      </c>
      <c r="E117" s="7" t="n">
        <v>37</v>
      </c>
      <c r="F117" s="6" t="b">
        <v>0</v>
      </c>
      <c r="G117" s="6" t="inlineStr">
        <is>
          <t>True when page has Q&amp;A intent</t>
        </is>
      </c>
      <c r="H117" s="6" t="inlineStr">
        <is>
          <t>If content is Q&amp;A style, add FAQPage/QAPage schema in AIOSEO and keep markup aligned with on-page content.</t>
        </is>
      </c>
      <c r="I117" s="44" t="inlineStr">
        <is>
          <t>AEO</t>
        </is>
      </c>
      <c r="J117" s="6" t="inlineStr">
        <is>
          <t>QAPage/FAQ Schema Present</t>
        </is>
      </c>
      <c r="K117" s="6" t="inlineStr">
        <is>
          <t>No</t>
        </is>
      </c>
      <c r="L117" s="6" t="inlineStr">
        <is>
          <t>Copy Writer</t>
        </is>
      </c>
      <c r="M117" s="45" t="inlineStr">
        <is>
          <t>Open</t>
        </is>
      </c>
      <c r="N117" s="6" t="n">
        <v>4</v>
      </c>
      <c r="O117" s="6" t="inlineStr">
        <is>
          <t>https://asconafrica.org/unsubscribe-form/successfully-unsubscribed/::aioseo_no_faq_qa_schema</t>
        </is>
      </c>
      <c r="P117" s="6" t="inlineStr">
        <is>
          <t>Q&amp;A schema can improve eligibility for answer-rich results.</t>
        </is>
      </c>
      <c r="Q117">
        <f>IFERROR(HYPERLINK("#Main!A"&amp;MATCH(A117,Main!A:A,0),"Open"),HYPERLINK("#Main!A1","Open"))</f>
        <v/>
      </c>
      <c r="R117">
        <f>IFERROR(HYPERLINK("#Technical!A"&amp;MATCH(A117,Technical!A:A,0),"Open"),HYPERLINK("#Technical!A1","Open"))</f>
        <v/>
      </c>
    </row>
    <row r="118" ht="30" customHeight="1">
      <c r="A118" s="46" t="inlineStr">
        <is>
          <t>https://asconafrica.org/</t>
        </is>
      </c>
      <c r="B118" s="37" t="inlineStr">
        <is>
          <t>Title</t>
        </is>
      </c>
      <c r="C118" s="42" t="inlineStr">
        <is>
          <t>Info</t>
        </is>
      </c>
      <c r="D118" s="37" t="inlineStr">
        <is>
          <t>SEO title too short</t>
        </is>
      </c>
      <c r="E118" s="56" t="n">
        <v>37</v>
      </c>
      <c r="F118" s="37" t="n">
        <v>17</v>
      </c>
      <c r="G118" s="37" t="inlineStr">
        <is>
          <t>40-60 characters</t>
        </is>
      </c>
      <c r="H118" s="37" t="inlineStr">
        <is>
          <t>Expand title in AIOSEO snippet editor with clearer intent and value proposition.</t>
        </is>
      </c>
      <c r="I118" s="41" t="inlineStr">
        <is>
          <t>Main</t>
        </is>
      </c>
      <c r="J118" s="37" t="inlineStr">
        <is>
          <t>Title</t>
        </is>
      </c>
      <c r="K118" s="37" t="inlineStr">
        <is>
          <t>No</t>
        </is>
      </c>
      <c r="L118" s="37" t="inlineStr">
        <is>
          <t>Copy Writer</t>
        </is>
      </c>
      <c r="M118" s="45" t="inlineStr">
        <is>
          <t>Open</t>
        </is>
      </c>
      <c r="N118" s="37" t="n">
        <v>4</v>
      </c>
      <c r="O118" s="37" t="inlineStr">
        <is>
          <t>https://asconafrica.org/::aioseo_seo_title_too_short</t>
        </is>
      </c>
      <c r="P118" s="37" t="inlineStr">
        <is>
          <t>Very short titles often under-describe page intent.</t>
        </is>
      </c>
      <c r="Q118">
        <f>IFERROR(HYPERLINK("#Main!A"&amp;MATCH(A118,Main!A:A,0),"Open"),HYPERLINK("#Main!A1","Open"))</f>
        <v/>
      </c>
      <c r="R118">
        <f>IFERROR(HYPERLINK("#Technical!A"&amp;MATCH(A118,Technical!A:A,0),"Open"),HYPERLINK("#Technical!A1","Open"))</f>
        <v/>
      </c>
    </row>
    <row r="119" ht="30" customHeight="1">
      <c r="A119" s="46" t="inlineStr">
        <is>
          <t>https://asconafrica.org/2026-ascon-awards/</t>
        </is>
      </c>
      <c r="B119" s="6" t="inlineStr">
        <is>
          <t>Title</t>
        </is>
      </c>
      <c r="C119" s="42" t="inlineStr">
        <is>
          <t>Info</t>
        </is>
      </c>
      <c r="D119" s="6" t="inlineStr">
        <is>
          <t>SEO title too short</t>
        </is>
      </c>
      <c r="E119" s="7" t="n">
        <v>37</v>
      </c>
      <c r="F119" s="6" t="n">
        <v>25</v>
      </c>
      <c r="G119" s="6" t="inlineStr">
        <is>
          <t>40-60 characters</t>
        </is>
      </c>
      <c r="H119" s="6" t="inlineStr">
        <is>
          <t>Expand title in AIOSEO snippet editor with clearer intent and value proposition.</t>
        </is>
      </c>
      <c r="I119" s="44" t="inlineStr">
        <is>
          <t>Main</t>
        </is>
      </c>
      <c r="J119" s="6" t="inlineStr">
        <is>
          <t>Title</t>
        </is>
      </c>
      <c r="K119" s="6" t="inlineStr">
        <is>
          <t>No</t>
        </is>
      </c>
      <c r="L119" s="6" t="inlineStr">
        <is>
          <t>Copy Writer</t>
        </is>
      </c>
      <c r="M119" s="45" t="inlineStr">
        <is>
          <t>Open</t>
        </is>
      </c>
      <c r="N119" s="6" t="n">
        <v>4</v>
      </c>
      <c r="O119" s="6" t="inlineStr">
        <is>
          <t>https://asconafrica.org/2026-ascon-awards/::aioseo_seo_title_too_short</t>
        </is>
      </c>
      <c r="P119" s="6" t="inlineStr">
        <is>
          <t>Very short titles often under-describe page intent.</t>
        </is>
      </c>
      <c r="Q119">
        <f>IFERROR(HYPERLINK("#Main!A"&amp;MATCH(A119,Main!A:A,0),"Open"),HYPERLINK("#Main!A1","Open"))</f>
        <v/>
      </c>
      <c r="R119">
        <f>IFERROR(HYPERLINK("#Technical!A"&amp;MATCH(A119,Technical!A:A,0),"Open"),HYPERLINK("#Technical!A1","Open"))</f>
        <v/>
      </c>
    </row>
    <row r="120" ht="30" customHeight="1">
      <c r="A120" s="46" t="inlineStr">
        <is>
          <t>https://asconafrica.org/2026-ascon-conference/</t>
        </is>
      </c>
      <c r="B120" s="37" t="inlineStr">
        <is>
          <t>Title</t>
        </is>
      </c>
      <c r="C120" s="42" t="inlineStr">
        <is>
          <t>Info</t>
        </is>
      </c>
      <c r="D120" s="37" t="inlineStr">
        <is>
          <t>SEO title too short</t>
        </is>
      </c>
      <c r="E120" s="56" t="n">
        <v>37</v>
      </c>
      <c r="F120" s="37" t="n">
        <v>29</v>
      </c>
      <c r="G120" s="37" t="inlineStr">
        <is>
          <t>40-60 characters</t>
        </is>
      </c>
      <c r="H120" s="37" t="inlineStr">
        <is>
          <t>Expand title in AIOSEO snippet editor with clearer intent and value proposition.</t>
        </is>
      </c>
      <c r="I120" s="41" t="inlineStr">
        <is>
          <t>Main</t>
        </is>
      </c>
      <c r="J120" s="37" t="inlineStr">
        <is>
          <t>Title</t>
        </is>
      </c>
      <c r="K120" s="37" t="inlineStr">
        <is>
          <t>No</t>
        </is>
      </c>
      <c r="L120" s="37" t="inlineStr">
        <is>
          <t>Copy Writer</t>
        </is>
      </c>
      <c r="M120" s="45" t="inlineStr">
        <is>
          <t>Open</t>
        </is>
      </c>
      <c r="N120" s="37" t="n">
        <v>4</v>
      </c>
      <c r="O120" s="37" t="inlineStr">
        <is>
          <t>https://asconafrica.org/2026-ascon-conference/::aioseo_seo_title_too_short</t>
        </is>
      </c>
      <c r="P120" s="37" t="inlineStr">
        <is>
          <t>Very short titles often under-describe page intent.</t>
        </is>
      </c>
      <c r="Q120">
        <f>IFERROR(HYPERLINK("#Main!A"&amp;MATCH(A120,Main!A:A,0),"Open"),HYPERLINK("#Main!A1","Open"))</f>
        <v/>
      </c>
      <c r="R120">
        <f>IFERROR(HYPERLINK("#Technical!A"&amp;MATCH(A120,Technical!A:A,0),"Open"),HYPERLINK("#Technical!A1","Open"))</f>
        <v/>
      </c>
    </row>
    <row r="121" ht="30" customHeight="1">
      <c r="A121" s="46" t="inlineStr">
        <is>
          <t>https://asconafrica.org/about-us/</t>
        </is>
      </c>
      <c r="B121" s="6" t="inlineStr">
        <is>
          <t>Title</t>
        </is>
      </c>
      <c r="C121" s="42" t="inlineStr">
        <is>
          <t>Info</t>
        </is>
      </c>
      <c r="D121" s="6" t="inlineStr">
        <is>
          <t>SEO title too short</t>
        </is>
      </c>
      <c r="E121" s="7" t="n">
        <v>37</v>
      </c>
      <c r="F121" s="6" t="n">
        <v>16</v>
      </c>
      <c r="G121" s="6" t="inlineStr">
        <is>
          <t>40-60 characters</t>
        </is>
      </c>
      <c r="H121" s="6" t="inlineStr">
        <is>
          <t>Expand title in AIOSEO snippet editor with clearer intent and value proposition.</t>
        </is>
      </c>
      <c r="I121" s="44" t="inlineStr">
        <is>
          <t>Main</t>
        </is>
      </c>
      <c r="J121" s="6" t="inlineStr">
        <is>
          <t>Title</t>
        </is>
      </c>
      <c r="K121" s="6" t="inlineStr">
        <is>
          <t>No</t>
        </is>
      </c>
      <c r="L121" s="6" t="inlineStr">
        <is>
          <t>Copy Writer</t>
        </is>
      </c>
      <c r="M121" s="45" t="inlineStr">
        <is>
          <t>Open</t>
        </is>
      </c>
      <c r="N121" s="6" t="n">
        <v>4</v>
      </c>
      <c r="O121" s="6" t="inlineStr">
        <is>
          <t>https://asconafrica.org/about-us/::aioseo_seo_title_too_short</t>
        </is>
      </c>
      <c r="P121" s="6" t="inlineStr">
        <is>
          <t>Very short titles often under-describe page intent.</t>
        </is>
      </c>
      <c r="Q121">
        <f>IFERROR(HYPERLINK("#Main!A"&amp;MATCH(A121,Main!A:A,0),"Open"),HYPERLINK("#Main!A1","Open"))</f>
        <v/>
      </c>
      <c r="R121">
        <f>IFERROR(HYPERLINK("#Technical!A"&amp;MATCH(A121,Technical!A:A,0),"Open"),HYPERLINK("#Technical!A1","Open"))</f>
        <v/>
      </c>
    </row>
    <row r="122" ht="30" customHeight="1">
      <c r="A122" s="46" t="inlineStr">
        <is>
          <t>https://asconafrica.org/contact-us/</t>
        </is>
      </c>
      <c r="B122" s="37" t="inlineStr">
        <is>
          <t>Title</t>
        </is>
      </c>
      <c r="C122" s="42" t="inlineStr">
        <is>
          <t>Info</t>
        </is>
      </c>
      <c r="D122" s="37" t="inlineStr">
        <is>
          <t>SEO title too short</t>
        </is>
      </c>
      <c r="E122" s="56" t="n">
        <v>37</v>
      </c>
      <c r="F122" s="37" t="n">
        <v>18</v>
      </c>
      <c r="G122" s="37" t="inlineStr">
        <is>
          <t>40-60 characters</t>
        </is>
      </c>
      <c r="H122" s="37" t="inlineStr">
        <is>
          <t>Expand title in AIOSEO snippet editor with clearer intent and value proposition.</t>
        </is>
      </c>
      <c r="I122" s="41" t="inlineStr">
        <is>
          <t>Main</t>
        </is>
      </c>
      <c r="J122" s="37" t="inlineStr">
        <is>
          <t>Title</t>
        </is>
      </c>
      <c r="K122" s="37" t="inlineStr">
        <is>
          <t>No</t>
        </is>
      </c>
      <c r="L122" s="37" t="inlineStr">
        <is>
          <t>Copy Writer</t>
        </is>
      </c>
      <c r="M122" s="45" t="inlineStr">
        <is>
          <t>Open</t>
        </is>
      </c>
      <c r="N122" s="37" t="n">
        <v>4</v>
      </c>
      <c r="O122" s="37" t="inlineStr">
        <is>
          <t>https://asconafrica.org/contact-us/::aioseo_seo_title_too_short</t>
        </is>
      </c>
      <c r="P122" s="37" t="inlineStr">
        <is>
          <t>Very short titles often under-describe page intent.</t>
        </is>
      </c>
      <c r="Q122">
        <f>IFERROR(HYPERLINK("#Main!A"&amp;MATCH(A122,Main!A:A,0),"Open"),HYPERLINK("#Main!A1","Open"))</f>
        <v/>
      </c>
      <c r="R122">
        <f>IFERROR(HYPERLINK("#Technical!A"&amp;MATCH(A122,Technical!A:A,0),"Open"),HYPERLINK("#Technical!A1","Open"))</f>
        <v/>
      </c>
    </row>
    <row r="123" ht="30" customHeight="1">
      <c r="A123" s="46" t="inlineStr">
        <is>
          <t>https://asconafrica.org/news/</t>
        </is>
      </c>
      <c r="B123" s="6" t="inlineStr">
        <is>
          <t>Title</t>
        </is>
      </c>
      <c r="C123" s="42" t="inlineStr">
        <is>
          <t>Info</t>
        </is>
      </c>
      <c r="D123" s="6" t="inlineStr">
        <is>
          <t>SEO title too short</t>
        </is>
      </c>
      <c r="E123" s="7" t="n">
        <v>37</v>
      </c>
      <c r="F123" s="6" t="n">
        <v>12</v>
      </c>
      <c r="G123" s="6" t="inlineStr">
        <is>
          <t>40-60 characters</t>
        </is>
      </c>
      <c r="H123" s="6" t="inlineStr">
        <is>
          <t>Expand title in AIOSEO snippet editor with clearer intent and value proposition.</t>
        </is>
      </c>
      <c r="I123" s="44" t="inlineStr">
        <is>
          <t>Main</t>
        </is>
      </c>
      <c r="J123" s="6" t="inlineStr">
        <is>
          <t>Title</t>
        </is>
      </c>
      <c r="K123" s="6" t="inlineStr">
        <is>
          <t>No</t>
        </is>
      </c>
      <c r="L123" s="6" t="inlineStr">
        <is>
          <t>Copy Writer</t>
        </is>
      </c>
      <c r="M123" s="45" t="inlineStr">
        <is>
          <t>Open</t>
        </is>
      </c>
      <c r="N123" s="6" t="n">
        <v>4</v>
      </c>
      <c r="O123" s="6" t="inlineStr">
        <is>
          <t>https://asconafrica.org/news/::aioseo_seo_title_too_short</t>
        </is>
      </c>
      <c r="P123" s="6" t="inlineStr">
        <is>
          <t>Very short titles often under-describe page intent.</t>
        </is>
      </c>
      <c r="Q123">
        <f>IFERROR(HYPERLINK("#Main!A"&amp;MATCH(A123,Main!A:A,0),"Open"),HYPERLINK("#Main!A1","Open"))</f>
        <v/>
      </c>
      <c r="R123">
        <f>IFERROR(HYPERLINK("#Technical!A"&amp;MATCH(A123,Technical!A:A,0),"Open"),HYPERLINK("#Technical!A1","Open"))</f>
        <v/>
      </c>
    </row>
    <row r="124" ht="30" customHeight="1">
      <c r="A124" s="46" t="inlineStr">
        <is>
          <t>https://asconafrica.org/our-members/</t>
        </is>
      </c>
      <c r="B124" s="37" t="inlineStr">
        <is>
          <t>Title</t>
        </is>
      </c>
      <c r="C124" s="42" t="inlineStr">
        <is>
          <t>Info</t>
        </is>
      </c>
      <c r="D124" s="37" t="inlineStr">
        <is>
          <t>SEO title too short</t>
        </is>
      </c>
      <c r="E124" s="56" t="n">
        <v>37</v>
      </c>
      <c r="F124" s="37" t="n">
        <v>19</v>
      </c>
      <c r="G124" s="37" t="inlineStr">
        <is>
          <t>40-60 characters</t>
        </is>
      </c>
      <c r="H124" s="37" t="inlineStr">
        <is>
          <t>Expand title in AIOSEO snippet editor with clearer intent and value proposition.</t>
        </is>
      </c>
      <c r="I124" s="41" t="inlineStr">
        <is>
          <t>Main</t>
        </is>
      </c>
      <c r="J124" s="37" t="inlineStr">
        <is>
          <t>Title</t>
        </is>
      </c>
      <c r="K124" s="37" t="inlineStr">
        <is>
          <t>No</t>
        </is>
      </c>
      <c r="L124" s="37" t="inlineStr">
        <is>
          <t>Copy Writer</t>
        </is>
      </c>
      <c r="M124" s="45" t="inlineStr">
        <is>
          <t>Open</t>
        </is>
      </c>
      <c r="N124" s="37" t="n">
        <v>4</v>
      </c>
      <c r="O124" s="37" t="inlineStr">
        <is>
          <t>https://asconafrica.org/our-members/::aioseo_seo_title_too_short</t>
        </is>
      </c>
      <c r="P124" s="37" t="inlineStr">
        <is>
          <t>Very short titles often under-describe page intent.</t>
        </is>
      </c>
      <c r="Q124">
        <f>IFERROR(HYPERLINK("#Main!A"&amp;MATCH(A124,Main!A:A,0),"Open"),HYPERLINK("#Main!A1","Open"))</f>
        <v/>
      </c>
      <c r="R124">
        <f>IFERROR(HYPERLINK("#Technical!A"&amp;MATCH(A124,Technical!A:A,0),"Open"),HYPERLINK("#Technical!A1","Open"))</f>
        <v/>
      </c>
    </row>
    <row r="125" ht="30" customHeight="1">
      <c r="A125" s="46" t="inlineStr">
        <is>
          <t>https://asconafrica.org/privacy-policy/</t>
        </is>
      </c>
      <c r="B125" s="6" t="inlineStr">
        <is>
          <t>Title</t>
        </is>
      </c>
      <c r="C125" s="42" t="inlineStr">
        <is>
          <t>Info</t>
        </is>
      </c>
      <c r="D125" s="6" t="inlineStr">
        <is>
          <t>SEO title too short</t>
        </is>
      </c>
      <c r="E125" s="7" t="n">
        <v>37</v>
      </c>
      <c r="F125" s="6" t="n">
        <v>22</v>
      </c>
      <c r="G125" s="6" t="inlineStr">
        <is>
          <t>40-60 characters</t>
        </is>
      </c>
      <c r="H125" s="6" t="inlineStr">
        <is>
          <t>Expand title in AIOSEO snippet editor with clearer intent and value proposition.</t>
        </is>
      </c>
      <c r="I125" s="44" t="inlineStr">
        <is>
          <t>Main</t>
        </is>
      </c>
      <c r="J125" s="6" t="inlineStr">
        <is>
          <t>Title</t>
        </is>
      </c>
      <c r="K125" s="6" t="inlineStr">
        <is>
          <t>No</t>
        </is>
      </c>
      <c r="L125" s="6" t="inlineStr">
        <is>
          <t>Copy Writer</t>
        </is>
      </c>
      <c r="M125" s="45" t="inlineStr">
        <is>
          <t>Open</t>
        </is>
      </c>
      <c r="N125" s="6" t="n">
        <v>4</v>
      </c>
      <c r="O125" s="6" t="inlineStr">
        <is>
          <t>https://asconafrica.org/privacy-policy/::aioseo_seo_title_too_short</t>
        </is>
      </c>
      <c r="P125" s="6" t="inlineStr">
        <is>
          <t>Very short titles often under-describe page intent.</t>
        </is>
      </c>
      <c r="Q125">
        <f>IFERROR(HYPERLINK("#Main!A"&amp;MATCH(A125,Main!A:A,0),"Open"),HYPERLINK("#Main!A1","Open"))</f>
        <v/>
      </c>
      <c r="R125">
        <f>IFERROR(HYPERLINK("#Technical!A"&amp;MATCH(A125,Technical!A:A,0),"Open"),HYPERLINK("#Technical!A1","Open"))</f>
        <v/>
      </c>
    </row>
    <row r="126" ht="30" customHeight="1">
      <c r="A126" s="46" t="inlineStr">
        <is>
          <t>https://asconafrica.org/unsubscribe-form/</t>
        </is>
      </c>
      <c r="B126" s="37" t="inlineStr">
        <is>
          <t>Title</t>
        </is>
      </c>
      <c r="C126" s="42" t="inlineStr">
        <is>
          <t>Info</t>
        </is>
      </c>
      <c r="D126" s="37" t="inlineStr">
        <is>
          <t>SEO title too short</t>
        </is>
      </c>
      <c r="E126" s="56" t="n">
        <v>37</v>
      </c>
      <c r="F126" s="37" t="n">
        <v>24</v>
      </c>
      <c r="G126" s="37" t="inlineStr">
        <is>
          <t>40-60 characters</t>
        </is>
      </c>
      <c r="H126" s="37" t="inlineStr">
        <is>
          <t>Expand title in AIOSEO snippet editor with clearer intent and value proposition.</t>
        </is>
      </c>
      <c r="I126" s="41" t="inlineStr">
        <is>
          <t>Main</t>
        </is>
      </c>
      <c r="J126" s="37" t="inlineStr">
        <is>
          <t>Title</t>
        </is>
      </c>
      <c r="K126" s="37" t="inlineStr">
        <is>
          <t>No</t>
        </is>
      </c>
      <c r="L126" s="37" t="inlineStr">
        <is>
          <t>Copy Writer</t>
        </is>
      </c>
      <c r="M126" s="45" t="inlineStr">
        <is>
          <t>Open</t>
        </is>
      </c>
      <c r="N126" s="37" t="n">
        <v>4</v>
      </c>
      <c r="O126" s="37" t="inlineStr">
        <is>
          <t>https://asconafrica.org/unsubscribe-form/::aioseo_seo_title_too_short</t>
        </is>
      </c>
      <c r="P126" s="37" t="inlineStr">
        <is>
          <t>Very short titles often under-describe page intent.</t>
        </is>
      </c>
      <c r="Q126">
        <f>IFERROR(HYPERLINK("#Main!A"&amp;MATCH(A126,Main!A:A,0),"Open"),HYPERLINK("#Main!A1","Open"))</f>
        <v/>
      </c>
      <c r="R126">
        <f>IFERROR(HYPERLINK("#Technical!A"&amp;MATCH(A126,Technical!A:A,0),"Open"),HYPERLINK("#Technical!A1","Open"))</f>
        <v/>
      </c>
    </row>
    <row r="127" ht="30" customHeight="1">
      <c r="A127" s="46" t="inlineStr">
        <is>
          <t>https://asconafrica.org/unsubscribe-form/successfully-unsubscribed/</t>
        </is>
      </c>
      <c r="B127" s="6" t="inlineStr">
        <is>
          <t>Title</t>
        </is>
      </c>
      <c r="C127" s="42" t="inlineStr">
        <is>
          <t>Info</t>
        </is>
      </c>
      <c r="D127" s="6" t="inlineStr">
        <is>
          <t>SEO title too short</t>
        </is>
      </c>
      <c r="E127" s="7" t="n">
        <v>37</v>
      </c>
      <c r="F127" s="6" t="n">
        <v>33</v>
      </c>
      <c r="G127" s="6" t="inlineStr">
        <is>
          <t>40-60 characters</t>
        </is>
      </c>
      <c r="H127" s="6" t="inlineStr">
        <is>
          <t>Expand title in AIOSEO snippet editor with clearer intent and value proposition.</t>
        </is>
      </c>
      <c r="I127" s="44" t="inlineStr">
        <is>
          <t>Main</t>
        </is>
      </c>
      <c r="J127" s="6" t="inlineStr">
        <is>
          <t>Title</t>
        </is>
      </c>
      <c r="K127" s="6" t="inlineStr">
        <is>
          <t>No</t>
        </is>
      </c>
      <c r="L127" s="6" t="inlineStr">
        <is>
          <t>Copy Writer</t>
        </is>
      </c>
      <c r="M127" s="45" t="inlineStr">
        <is>
          <t>Open</t>
        </is>
      </c>
      <c r="N127" s="6" t="n">
        <v>4</v>
      </c>
      <c r="O127" s="6" t="inlineStr">
        <is>
          <t>https://asconafrica.org/unsubscribe-form/successfully-unsubscribed/::aioseo_seo_title_too_short</t>
        </is>
      </c>
      <c r="P127" s="6" t="inlineStr">
        <is>
          <t>Very short titles often under-describe page intent.</t>
        </is>
      </c>
      <c r="Q127">
        <f>IFERROR(HYPERLINK("#Main!A"&amp;MATCH(A127,Main!A:A,0),"Open"),HYPERLINK("#Main!A1","Open"))</f>
        <v/>
      </c>
      <c r="R127">
        <f>IFERROR(HYPERLINK("#Technical!A"&amp;MATCH(A127,Technical!A:A,0),"Open"),HYPERLINK("#Technical!A1","Open"))</f>
        <v/>
      </c>
    </row>
  </sheetData>
  <autoFilter ref="A1:P127"/>
  <conditionalFormatting sqref="E2:E127">
    <cfRule type="cellIs" priority="1" operator="greaterThanOrEqual" dxfId="6">
      <formula>85</formula>
    </cfRule>
    <cfRule type="cellIs" priority="2" operator="between" dxfId="7">
      <formula>65</formula>
      <formula>84</formula>
    </cfRule>
  </conditionalFormatting>
  <conditionalFormatting sqref="K2:K127">
    <cfRule type="expression" priority="3" dxfId="2" stopIfTrue="1">
      <formula>LOWER(K2)="yes"</formula>
    </cfRule>
    <cfRule type="expression" priority="4" dxfId="0" stopIfTrue="1">
      <formula>LOWER(K2)="no"</formula>
    </cfRule>
  </conditionalFormatting>
  <conditionalFormatting sqref="M2:M127">
    <cfRule type="expression" priority="5" dxfId="4" stopIfTrue="1">
      <formula>LOWER(M2)="done"</formula>
    </cfRule>
    <cfRule type="expression" priority="6" dxfId="5" stopIfTrue="1">
      <formula>OR(LOWER(M2)="to do",LOWER(M2)="in progress",LOWER(M2)="in review")</formula>
    </cfRule>
  </conditionalFormatting>
  <dataValidations count="22">
    <dataValidation sqref="M2:M127" showDropDown="0" showInputMessage="0" showErrorMessage="0" allowBlank="1" type="list">
      <formula1>"To Do,In Progress,Fixed"</formula1>
    </dataValidation>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AIOSEO Panel" prompt="AIOSEO Panel.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Issue" prompt="Issue. Review this metric to identify risk, then use linked tabs for details and remediation." type="custom">
      <formula1>TRUE</formula1>
    </dataValidation>
    <dataValidation sqref="E1" showDropDown="0" showInputMessage="1" showErrorMessage="0" allowBlank="1" promptTitle="Priority Score" prompt="Execution priority score combining impact and effort. Fix: Start from highest scores." type="custom">
      <formula1>TRUE</formula1>
    </dataValidation>
    <dataValidation sqref="F1" showDropDown="0" showInputMessage="1" showErrorMessage="0" allowBlank="1" promptTitle="Current Value" prompt="Current Value. Review this metric to identify risk, then use linked tabs for details and remediation." type="custom">
      <formula1>TRUE</formula1>
    </dataValidation>
    <dataValidation sqref="G1" showDropDown="0" showInputMessage="1" showErrorMessage="0" allowBlank="1" promptTitle="Recommended Target" prompt="Recommended Target. Review this metric to identify risk, then use linked tabs for details and remediation." type="custom">
      <formula1>TRUE</formula1>
    </dataValidation>
    <dataValidation sqref="H1" showDropDown="0" showInputMessage="1" showErrorMessage="0" allowBlank="1" promptTitle="How to Fix in AIOSEO" prompt="How to Fix in AIOSEO. Review this metric to identify risk, then use linked tabs for details and remediation." type="custom">
      <formula1>TRUE</formula1>
    </dataValidation>
    <dataValidation sqref="I1" showDropDown="0" showInputMessage="1" showErrorMessage="0" allowBlank="1" promptTitle="Reference Tab" prompt="Summary grouping/navigation field. Use with hyperlinks to jump into detailed tabs." type="custom">
      <formula1>TRUE</formula1>
    </dataValidation>
    <dataValidation sqref="J1" showDropDown="0" showInputMessage="1" showErrorMessage="0" allowBlank="1" promptTitle="Reference Field" prompt="Reference Field. Review this metric to identify risk, then use linked tabs for details and remediation." type="custom">
      <formula1>TRUE</formula1>
    </dataValidation>
    <dataValidation sqref="K1" showDropDown="0" showInputMessage="1" showErrorMessage="0" allowBlank="1" promptTitle="Action Needed" prompt="Action Needed. Review this metric to identify risk, then use linked tabs for details and remediation." type="custom">
      <formula1>TRUE</formula1>
    </dataValidation>
    <dataValidation sqref="L1" showDropDown="0" showInputMessage="1" showErrorMessage="0" allowBlank="1" promptTitle="Owner" prompt="Workflow management field for planning and tracking remediation progress." type="custom">
      <formula1>TRUE</formula1>
    </dataValidation>
    <dataValidation sqref="M1" showDropDown="0" showInputMessage="1" showErrorMessage="0" allowBlank="1" promptTitle="Status" prompt="Workflow management field for planning and tracking remediation progress." type="custom">
      <formula1>TRUE</formula1>
    </dataValidation>
    <dataValidation sqref="N1" showDropDown="0" showInputMessage="1" showErrorMessage="0" allowBlank="1" promptTitle="Est. Hours" prompt="Est. Hours. Review this metric to identify risk, then use linked tabs for details and remediation." type="custom">
      <formula1>TRUE</formula1>
    </dataValidation>
    <dataValidation sqref="O1" showDropDown="0" showInputMessage="1" showErrorMessage="0" allowBlank="1" promptTitle="Stable Issue ID" prompt="Stable Issue ID. Review this metric to identify risk, then use linked tabs for details and remediation." type="custom">
      <formula1>TRUE</formula1>
    </dataValidation>
    <dataValidation sqref="P1" showDropDown="0" showInputMessage="1" showErrorMessage="0" allowBlank="1" promptTitle="Why It Matters" prompt="Why It Matters. Review this metric to identify risk, then use linked tabs for details and remediation." type="custom">
      <formula1>TRUE</formula1>
    </dataValidation>
    <dataValidation sqref="Q1" showDropDown="0" showInputMessage="1" showErrorMessage="0" allowBlank="1" promptTitle="Open in Main" prompt="Navigation helper. Click to jump directly to the related record in another tab." type="custom">
      <formula1>TRUE</formula1>
    </dataValidation>
    <dataValidation sqref="R1" showDropDown="0" showInputMessage="1" showErrorMessage="0" allowBlank="1" promptTitle="Open in Technical" prompt="Open in Technical. Review this metric to identify risk, then use linked tabs for details and remediation." type="custom">
      <formula1>TRUE</formula1>
    </dataValidation>
    <dataValidation sqref="S1" showDropDown="0" showInputMessage="1" showErrorMessage="0" allowBlank="1" promptTitle="BACK TO DASHBOARD" prompt="BACK TO DASHBOARD. Review this metric to identify risk, then use linked tabs for details and remediation." type="custom">
      <formula1>TRUE</formula1>
    </dataValidation>
    <dataValidation sqref="E1" showDropDown="0" showInputMessage="1" showErrorMessage="0" allowBlank="1" promptTitle="Priority Score" prompt="Issue priority score for execution order. Fix: Start with the highest values to reduce risk fastest." type="custom">
      <formula1>TRUE</formula1>
    </dataValidation>
    <dataValidation sqref="C1" showDropDown="0" showInputMessage="1" showErrorMessage="0" allowBlank="1" promptTitle="Severity" prompt="Impact level of the issue. Fix: Resolve Critical first, then Warning, then Info opportunities." type="custom">
      <formula1>TRUE</formula1>
    </dataValidation>
  </dataValidations>
  <hyperlinks>
    <hyperlink xmlns:r="http://schemas.openxmlformats.org/officeDocument/2006/relationships" ref="S1" r:id="rId1"/>
    <hyperlink xmlns:r="http://schemas.openxmlformats.org/officeDocument/2006/relationships" ref="A2" r:id="rId2"/>
    <hyperlink xmlns:r="http://schemas.openxmlformats.org/officeDocument/2006/relationships" ref="I2" r:id="rId3"/>
    <hyperlink xmlns:r="http://schemas.openxmlformats.org/officeDocument/2006/relationships" ref="A3" r:id="rId4"/>
    <hyperlink xmlns:r="http://schemas.openxmlformats.org/officeDocument/2006/relationships" ref="I3" r:id="rId5"/>
    <hyperlink xmlns:r="http://schemas.openxmlformats.org/officeDocument/2006/relationships" ref="A4" r:id="rId6"/>
    <hyperlink xmlns:r="http://schemas.openxmlformats.org/officeDocument/2006/relationships" ref="I4" r:id="rId7"/>
    <hyperlink xmlns:r="http://schemas.openxmlformats.org/officeDocument/2006/relationships" ref="A5" r:id="rId8"/>
    <hyperlink xmlns:r="http://schemas.openxmlformats.org/officeDocument/2006/relationships" ref="I5" r:id="rId9"/>
    <hyperlink xmlns:r="http://schemas.openxmlformats.org/officeDocument/2006/relationships" ref="A6" r:id="rId10"/>
    <hyperlink xmlns:r="http://schemas.openxmlformats.org/officeDocument/2006/relationships" ref="I6" r:id="rId11"/>
    <hyperlink xmlns:r="http://schemas.openxmlformats.org/officeDocument/2006/relationships" ref="A7" r:id="rId12"/>
    <hyperlink xmlns:r="http://schemas.openxmlformats.org/officeDocument/2006/relationships" ref="I7" r:id="rId13"/>
    <hyperlink xmlns:r="http://schemas.openxmlformats.org/officeDocument/2006/relationships" ref="A8" r:id="rId14"/>
    <hyperlink xmlns:r="http://schemas.openxmlformats.org/officeDocument/2006/relationships" ref="I8" r:id="rId15"/>
    <hyperlink xmlns:r="http://schemas.openxmlformats.org/officeDocument/2006/relationships" ref="A9" r:id="rId16"/>
    <hyperlink xmlns:r="http://schemas.openxmlformats.org/officeDocument/2006/relationships" ref="I9" r:id="rId17"/>
    <hyperlink xmlns:r="http://schemas.openxmlformats.org/officeDocument/2006/relationships" ref="A10" r:id="rId18"/>
    <hyperlink xmlns:r="http://schemas.openxmlformats.org/officeDocument/2006/relationships" ref="I10" r:id="rId19"/>
    <hyperlink xmlns:r="http://schemas.openxmlformats.org/officeDocument/2006/relationships" ref="A11" r:id="rId20"/>
    <hyperlink xmlns:r="http://schemas.openxmlformats.org/officeDocument/2006/relationships" ref="I11" r:id="rId21"/>
    <hyperlink xmlns:r="http://schemas.openxmlformats.org/officeDocument/2006/relationships" ref="A12" r:id="rId22"/>
    <hyperlink xmlns:r="http://schemas.openxmlformats.org/officeDocument/2006/relationships" ref="I12" r:id="rId23"/>
    <hyperlink xmlns:r="http://schemas.openxmlformats.org/officeDocument/2006/relationships" ref="A13" r:id="rId24"/>
    <hyperlink xmlns:r="http://schemas.openxmlformats.org/officeDocument/2006/relationships" ref="I13" r:id="rId25"/>
    <hyperlink xmlns:r="http://schemas.openxmlformats.org/officeDocument/2006/relationships" ref="A14" r:id="rId26"/>
    <hyperlink xmlns:r="http://schemas.openxmlformats.org/officeDocument/2006/relationships" ref="I14" r:id="rId27"/>
    <hyperlink xmlns:r="http://schemas.openxmlformats.org/officeDocument/2006/relationships" ref="A15" r:id="rId28"/>
    <hyperlink xmlns:r="http://schemas.openxmlformats.org/officeDocument/2006/relationships" ref="I15" r:id="rId29"/>
    <hyperlink xmlns:r="http://schemas.openxmlformats.org/officeDocument/2006/relationships" ref="A16" r:id="rId30"/>
    <hyperlink xmlns:r="http://schemas.openxmlformats.org/officeDocument/2006/relationships" ref="I16" r:id="rId31"/>
    <hyperlink xmlns:r="http://schemas.openxmlformats.org/officeDocument/2006/relationships" ref="A17" r:id="rId32"/>
    <hyperlink xmlns:r="http://schemas.openxmlformats.org/officeDocument/2006/relationships" ref="I17" r:id="rId33"/>
    <hyperlink xmlns:r="http://schemas.openxmlformats.org/officeDocument/2006/relationships" ref="A18" r:id="rId34"/>
    <hyperlink xmlns:r="http://schemas.openxmlformats.org/officeDocument/2006/relationships" ref="I18" r:id="rId35"/>
    <hyperlink xmlns:r="http://schemas.openxmlformats.org/officeDocument/2006/relationships" ref="A19" r:id="rId36"/>
    <hyperlink xmlns:r="http://schemas.openxmlformats.org/officeDocument/2006/relationships" ref="I19" r:id="rId37"/>
    <hyperlink xmlns:r="http://schemas.openxmlformats.org/officeDocument/2006/relationships" ref="A20" r:id="rId38"/>
    <hyperlink xmlns:r="http://schemas.openxmlformats.org/officeDocument/2006/relationships" ref="I20" r:id="rId39"/>
    <hyperlink xmlns:r="http://schemas.openxmlformats.org/officeDocument/2006/relationships" ref="A21" r:id="rId40"/>
    <hyperlink xmlns:r="http://schemas.openxmlformats.org/officeDocument/2006/relationships" ref="I21" r:id="rId41"/>
    <hyperlink xmlns:r="http://schemas.openxmlformats.org/officeDocument/2006/relationships" ref="A22" r:id="rId42"/>
    <hyperlink xmlns:r="http://schemas.openxmlformats.org/officeDocument/2006/relationships" ref="I22" r:id="rId43"/>
    <hyperlink xmlns:r="http://schemas.openxmlformats.org/officeDocument/2006/relationships" ref="A23" r:id="rId44"/>
    <hyperlink xmlns:r="http://schemas.openxmlformats.org/officeDocument/2006/relationships" ref="I23" r:id="rId45"/>
    <hyperlink xmlns:r="http://schemas.openxmlformats.org/officeDocument/2006/relationships" ref="A24" r:id="rId46"/>
    <hyperlink xmlns:r="http://schemas.openxmlformats.org/officeDocument/2006/relationships" ref="I24" r:id="rId47"/>
    <hyperlink xmlns:r="http://schemas.openxmlformats.org/officeDocument/2006/relationships" ref="A25" r:id="rId48"/>
    <hyperlink xmlns:r="http://schemas.openxmlformats.org/officeDocument/2006/relationships" ref="I25" r:id="rId49"/>
    <hyperlink xmlns:r="http://schemas.openxmlformats.org/officeDocument/2006/relationships" ref="A26" r:id="rId50"/>
    <hyperlink xmlns:r="http://schemas.openxmlformats.org/officeDocument/2006/relationships" ref="I26" r:id="rId51"/>
    <hyperlink xmlns:r="http://schemas.openxmlformats.org/officeDocument/2006/relationships" ref="A27" r:id="rId52"/>
    <hyperlink xmlns:r="http://schemas.openxmlformats.org/officeDocument/2006/relationships" ref="I27" r:id="rId53"/>
    <hyperlink xmlns:r="http://schemas.openxmlformats.org/officeDocument/2006/relationships" ref="A28" r:id="rId54"/>
    <hyperlink xmlns:r="http://schemas.openxmlformats.org/officeDocument/2006/relationships" ref="I28" r:id="rId55"/>
    <hyperlink xmlns:r="http://schemas.openxmlformats.org/officeDocument/2006/relationships" ref="A29" r:id="rId56"/>
    <hyperlink xmlns:r="http://schemas.openxmlformats.org/officeDocument/2006/relationships" ref="I29" r:id="rId57"/>
    <hyperlink xmlns:r="http://schemas.openxmlformats.org/officeDocument/2006/relationships" ref="A30" r:id="rId58"/>
    <hyperlink xmlns:r="http://schemas.openxmlformats.org/officeDocument/2006/relationships" ref="I30" r:id="rId59"/>
    <hyperlink xmlns:r="http://schemas.openxmlformats.org/officeDocument/2006/relationships" ref="A31" r:id="rId60"/>
    <hyperlink xmlns:r="http://schemas.openxmlformats.org/officeDocument/2006/relationships" ref="I31" r:id="rId61"/>
    <hyperlink xmlns:r="http://schemas.openxmlformats.org/officeDocument/2006/relationships" ref="A32" r:id="rId62"/>
    <hyperlink xmlns:r="http://schemas.openxmlformats.org/officeDocument/2006/relationships" ref="I32" r:id="rId63"/>
    <hyperlink xmlns:r="http://schemas.openxmlformats.org/officeDocument/2006/relationships" ref="A33" r:id="rId64"/>
    <hyperlink xmlns:r="http://schemas.openxmlformats.org/officeDocument/2006/relationships" ref="I33" r:id="rId65"/>
    <hyperlink xmlns:r="http://schemas.openxmlformats.org/officeDocument/2006/relationships" ref="A34" r:id="rId66"/>
    <hyperlink xmlns:r="http://schemas.openxmlformats.org/officeDocument/2006/relationships" ref="I34" r:id="rId67"/>
    <hyperlink xmlns:r="http://schemas.openxmlformats.org/officeDocument/2006/relationships" ref="A35" r:id="rId68"/>
    <hyperlink xmlns:r="http://schemas.openxmlformats.org/officeDocument/2006/relationships" ref="I35" r:id="rId69"/>
    <hyperlink xmlns:r="http://schemas.openxmlformats.org/officeDocument/2006/relationships" ref="A36" r:id="rId70"/>
    <hyperlink xmlns:r="http://schemas.openxmlformats.org/officeDocument/2006/relationships" ref="I36" r:id="rId71"/>
    <hyperlink xmlns:r="http://schemas.openxmlformats.org/officeDocument/2006/relationships" ref="A37" r:id="rId72"/>
    <hyperlink xmlns:r="http://schemas.openxmlformats.org/officeDocument/2006/relationships" ref="I37" r:id="rId73"/>
    <hyperlink xmlns:r="http://schemas.openxmlformats.org/officeDocument/2006/relationships" ref="A38" r:id="rId74"/>
    <hyperlink xmlns:r="http://schemas.openxmlformats.org/officeDocument/2006/relationships" ref="I38" r:id="rId75"/>
    <hyperlink xmlns:r="http://schemas.openxmlformats.org/officeDocument/2006/relationships" ref="A39" r:id="rId76"/>
    <hyperlink xmlns:r="http://schemas.openxmlformats.org/officeDocument/2006/relationships" ref="I39" r:id="rId77"/>
    <hyperlink xmlns:r="http://schemas.openxmlformats.org/officeDocument/2006/relationships" ref="A40" r:id="rId78"/>
    <hyperlink xmlns:r="http://schemas.openxmlformats.org/officeDocument/2006/relationships" ref="I40" r:id="rId79"/>
    <hyperlink xmlns:r="http://schemas.openxmlformats.org/officeDocument/2006/relationships" ref="A41" r:id="rId80"/>
    <hyperlink xmlns:r="http://schemas.openxmlformats.org/officeDocument/2006/relationships" ref="I41" r:id="rId81"/>
    <hyperlink xmlns:r="http://schemas.openxmlformats.org/officeDocument/2006/relationships" ref="A42" r:id="rId82"/>
    <hyperlink xmlns:r="http://schemas.openxmlformats.org/officeDocument/2006/relationships" ref="I42" r:id="rId83"/>
    <hyperlink xmlns:r="http://schemas.openxmlformats.org/officeDocument/2006/relationships" ref="A43" r:id="rId84"/>
    <hyperlink xmlns:r="http://schemas.openxmlformats.org/officeDocument/2006/relationships" ref="I43" r:id="rId85"/>
    <hyperlink xmlns:r="http://schemas.openxmlformats.org/officeDocument/2006/relationships" ref="A44" r:id="rId86"/>
    <hyperlink xmlns:r="http://schemas.openxmlformats.org/officeDocument/2006/relationships" ref="I44" r:id="rId87"/>
    <hyperlink xmlns:r="http://schemas.openxmlformats.org/officeDocument/2006/relationships" ref="A45" r:id="rId88"/>
    <hyperlink xmlns:r="http://schemas.openxmlformats.org/officeDocument/2006/relationships" ref="I45" r:id="rId89"/>
    <hyperlink xmlns:r="http://schemas.openxmlformats.org/officeDocument/2006/relationships" ref="A46" r:id="rId90"/>
    <hyperlink xmlns:r="http://schemas.openxmlformats.org/officeDocument/2006/relationships" ref="I46" r:id="rId91"/>
    <hyperlink xmlns:r="http://schemas.openxmlformats.org/officeDocument/2006/relationships" ref="A47" r:id="rId92"/>
    <hyperlink xmlns:r="http://schemas.openxmlformats.org/officeDocument/2006/relationships" ref="I47" r:id="rId93"/>
    <hyperlink xmlns:r="http://schemas.openxmlformats.org/officeDocument/2006/relationships" ref="A48" r:id="rId94"/>
    <hyperlink xmlns:r="http://schemas.openxmlformats.org/officeDocument/2006/relationships" ref="I48" r:id="rId95"/>
    <hyperlink xmlns:r="http://schemas.openxmlformats.org/officeDocument/2006/relationships" ref="A49" r:id="rId96"/>
    <hyperlink xmlns:r="http://schemas.openxmlformats.org/officeDocument/2006/relationships" ref="I49" r:id="rId97"/>
    <hyperlink xmlns:r="http://schemas.openxmlformats.org/officeDocument/2006/relationships" ref="A50" r:id="rId98"/>
    <hyperlink xmlns:r="http://schemas.openxmlformats.org/officeDocument/2006/relationships" ref="I50" r:id="rId99"/>
    <hyperlink xmlns:r="http://schemas.openxmlformats.org/officeDocument/2006/relationships" ref="A51" r:id="rId100"/>
    <hyperlink xmlns:r="http://schemas.openxmlformats.org/officeDocument/2006/relationships" ref="I51" r:id="rId101"/>
    <hyperlink xmlns:r="http://schemas.openxmlformats.org/officeDocument/2006/relationships" ref="A52" r:id="rId102"/>
    <hyperlink xmlns:r="http://schemas.openxmlformats.org/officeDocument/2006/relationships" ref="I52" r:id="rId103"/>
    <hyperlink xmlns:r="http://schemas.openxmlformats.org/officeDocument/2006/relationships" ref="A53" r:id="rId104"/>
    <hyperlink xmlns:r="http://schemas.openxmlformats.org/officeDocument/2006/relationships" ref="I53" r:id="rId105"/>
    <hyperlink xmlns:r="http://schemas.openxmlformats.org/officeDocument/2006/relationships" ref="A54" r:id="rId106"/>
    <hyperlink xmlns:r="http://schemas.openxmlformats.org/officeDocument/2006/relationships" ref="I54" r:id="rId107"/>
    <hyperlink xmlns:r="http://schemas.openxmlformats.org/officeDocument/2006/relationships" ref="A55" r:id="rId108"/>
    <hyperlink xmlns:r="http://schemas.openxmlformats.org/officeDocument/2006/relationships" ref="I55" r:id="rId109"/>
    <hyperlink xmlns:r="http://schemas.openxmlformats.org/officeDocument/2006/relationships" ref="A56" r:id="rId110"/>
    <hyperlink xmlns:r="http://schemas.openxmlformats.org/officeDocument/2006/relationships" ref="I56" r:id="rId111"/>
    <hyperlink xmlns:r="http://schemas.openxmlformats.org/officeDocument/2006/relationships" ref="A57" r:id="rId112"/>
    <hyperlink xmlns:r="http://schemas.openxmlformats.org/officeDocument/2006/relationships" ref="I57" r:id="rId113"/>
    <hyperlink xmlns:r="http://schemas.openxmlformats.org/officeDocument/2006/relationships" ref="A58" r:id="rId114"/>
    <hyperlink xmlns:r="http://schemas.openxmlformats.org/officeDocument/2006/relationships" ref="I58" r:id="rId115"/>
    <hyperlink xmlns:r="http://schemas.openxmlformats.org/officeDocument/2006/relationships" ref="A59" r:id="rId116"/>
    <hyperlink xmlns:r="http://schemas.openxmlformats.org/officeDocument/2006/relationships" ref="I59" r:id="rId117"/>
    <hyperlink xmlns:r="http://schemas.openxmlformats.org/officeDocument/2006/relationships" ref="A60" r:id="rId118"/>
    <hyperlink xmlns:r="http://schemas.openxmlformats.org/officeDocument/2006/relationships" ref="I60" r:id="rId119"/>
    <hyperlink xmlns:r="http://schemas.openxmlformats.org/officeDocument/2006/relationships" ref="A61" r:id="rId120"/>
    <hyperlink xmlns:r="http://schemas.openxmlformats.org/officeDocument/2006/relationships" ref="I61" r:id="rId121"/>
    <hyperlink xmlns:r="http://schemas.openxmlformats.org/officeDocument/2006/relationships" ref="A62" r:id="rId122"/>
    <hyperlink xmlns:r="http://schemas.openxmlformats.org/officeDocument/2006/relationships" ref="I62" r:id="rId123"/>
    <hyperlink xmlns:r="http://schemas.openxmlformats.org/officeDocument/2006/relationships" ref="A63" r:id="rId124"/>
    <hyperlink xmlns:r="http://schemas.openxmlformats.org/officeDocument/2006/relationships" ref="I63" r:id="rId125"/>
    <hyperlink xmlns:r="http://schemas.openxmlformats.org/officeDocument/2006/relationships" ref="A64" r:id="rId126"/>
    <hyperlink xmlns:r="http://schemas.openxmlformats.org/officeDocument/2006/relationships" ref="I64" r:id="rId127"/>
    <hyperlink xmlns:r="http://schemas.openxmlformats.org/officeDocument/2006/relationships" ref="A65" r:id="rId128"/>
    <hyperlink xmlns:r="http://schemas.openxmlformats.org/officeDocument/2006/relationships" ref="I65" r:id="rId129"/>
    <hyperlink xmlns:r="http://schemas.openxmlformats.org/officeDocument/2006/relationships" ref="A66" r:id="rId130"/>
    <hyperlink xmlns:r="http://schemas.openxmlformats.org/officeDocument/2006/relationships" ref="I66" r:id="rId131"/>
    <hyperlink xmlns:r="http://schemas.openxmlformats.org/officeDocument/2006/relationships" ref="A67" r:id="rId132"/>
    <hyperlink xmlns:r="http://schemas.openxmlformats.org/officeDocument/2006/relationships" ref="I67" r:id="rId133"/>
    <hyperlink xmlns:r="http://schemas.openxmlformats.org/officeDocument/2006/relationships" ref="A68" r:id="rId134"/>
    <hyperlink xmlns:r="http://schemas.openxmlformats.org/officeDocument/2006/relationships" ref="I68" r:id="rId135"/>
    <hyperlink xmlns:r="http://schemas.openxmlformats.org/officeDocument/2006/relationships" ref="A69" r:id="rId136"/>
    <hyperlink xmlns:r="http://schemas.openxmlformats.org/officeDocument/2006/relationships" ref="I69" r:id="rId137"/>
    <hyperlink xmlns:r="http://schemas.openxmlformats.org/officeDocument/2006/relationships" ref="A70" r:id="rId138"/>
    <hyperlink xmlns:r="http://schemas.openxmlformats.org/officeDocument/2006/relationships" ref="I70" r:id="rId139"/>
    <hyperlink xmlns:r="http://schemas.openxmlformats.org/officeDocument/2006/relationships" ref="A71" r:id="rId140"/>
    <hyperlink xmlns:r="http://schemas.openxmlformats.org/officeDocument/2006/relationships" ref="I71" r:id="rId141"/>
    <hyperlink xmlns:r="http://schemas.openxmlformats.org/officeDocument/2006/relationships" ref="A72" r:id="rId142"/>
    <hyperlink xmlns:r="http://schemas.openxmlformats.org/officeDocument/2006/relationships" ref="I72" r:id="rId143"/>
    <hyperlink xmlns:r="http://schemas.openxmlformats.org/officeDocument/2006/relationships" ref="A73" r:id="rId144"/>
    <hyperlink xmlns:r="http://schemas.openxmlformats.org/officeDocument/2006/relationships" ref="I73" r:id="rId145"/>
    <hyperlink xmlns:r="http://schemas.openxmlformats.org/officeDocument/2006/relationships" ref="A74" r:id="rId146"/>
    <hyperlink xmlns:r="http://schemas.openxmlformats.org/officeDocument/2006/relationships" ref="I74" r:id="rId147"/>
    <hyperlink xmlns:r="http://schemas.openxmlformats.org/officeDocument/2006/relationships" ref="A75" r:id="rId148"/>
    <hyperlink xmlns:r="http://schemas.openxmlformats.org/officeDocument/2006/relationships" ref="I75" r:id="rId149"/>
    <hyperlink xmlns:r="http://schemas.openxmlformats.org/officeDocument/2006/relationships" ref="A76" r:id="rId150"/>
    <hyperlink xmlns:r="http://schemas.openxmlformats.org/officeDocument/2006/relationships" ref="I76" r:id="rId151"/>
    <hyperlink xmlns:r="http://schemas.openxmlformats.org/officeDocument/2006/relationships" ref="A77" r:id="rId152"/>
    <hyperlink xmlns:r="http://schemas.openxmlformats.org/officeDocument/2006/relationships" ref="I77" r:id="rId153"/>
    <hyperlink xmlns:r="http://schemas.openxmlformats.org/officeDocument/2006/relationships" ref="A78" r:id="rId154"/>
    <hyperlink xmlns:r="http://schemas.openxmlformats.org/officeDocument/2006/relationships" ref="I78" r:id="rId155"/>
    <hyperlink xmlns:r="http://schemas.openxmlformats.org/officeDocument/2006/relationships" ref="A79" r:id="rId156"/>
    <hyperlink xmlns:r="http://schemas.openxmlformats.org/officeDocument/2006/relationships" ref="I79" r:id="rId157"/>
    <hyperlink xmlns:r="http://schemas.openxmlformats.org/officeDocument/2006/relationships" ref="A80" r:id="rId158"/>
    <hyperlink xmlns:r="http://schemas.openxmlformats.org/officeDocument/2006/relationships" ref="I80" r:id="rId159"/>
    <hyperlink xmlns:r="http://schemas.openxmlformats.org/officeDocument/2006/relationships" ref="A81" r:id="rId160"/>
    <hyperlink xmlns:r="http://schemas.openxmlformats.org/officeDocument/2006/relationships" ref="I81" r:id="rId161"/>
    <hyperlink xmlns:r="http://schemas.openxmlformats.org/officeDocument/2006/relationships" ref="A82" r:id="rId162"/>
    <hyperlink xmlns:r="http://schemas.openxmlformats.org/officeDocument/2006/relationships" ref="I82" r:id="rId163"/>
    <hyperlink xmlns:r="http://schemas.openxmlformats.org/officeDocument/2006/relationships" ref="A83" r:id="rId164"/>
    <hyperlink xmlns:r="http://schemas.openxmlformats.org/officeDocument/2006/relationships" ref="I83" r:id="rId165"/>
    <hyperlink xmlns:r="http://schemas.openxmlformats.org/officeDocument/2006/relationships" ref="A84" r:id="rId166"/>
    <hyperlink xmlns:r="http://schemas.openxmlformats.org/officeDocument/2006/relationships" ref="I84" r:id="rId167"/>
    <hyperlink xmlns:r="http://schemas.openxmlformats.org/officeDocument/2006/relationships" ref="A85" r:id="rId168"/>
    <hyperlink xmlns:r="http://schemas.openxmlformats.org/officeDocument/2006/relationships" ref="I85" r:id="rId169"/>
    <hyperlink xmlns:r="http://schemas.openxmlformats.org/officeDocument/2006/relationships" ref="A86" r:id="rId170"/>
    <hyperlink xmlns:r="http://schemas.openxmlformats.org/officeDocument/2006/relationships" ref="I86" r:id="rId171"/>
    <hyperlink xmlns:r="http://schemas.openxmlformats.org/officeDocument/2006/relationships" ref="A87" r:id="rId172"/>
    <hyperlink xmlns:r="http://schemas.openxmlformats.org/officeDocument/2006/relationships" ref="I87" r:id="rId173"/>
    <hyperlink xmlns:r="http://schemas.openxmlformats.org/officeDocument/2006/relationships" ref="A88" r:id="rId174"/>
    <hyperlink xmlns:r="http://schemas.openxmlformats.org/officeDocument/2006/relationships" ref="I88" r:id="rId175"/>
    <hyperlink xmlns:r="http://schemas.openxmlformats.org/officeDocument/2006/relationships" ref="A89" r:id="rId176"/>
    <hyperlink xmlns:r="http://schemas.openxmlformats.org/officeDocument/2006/relationships" ref="I89" r:id="rId177"/>
    <hyperlink xmlns:r="http://schemas.openxmlformats.org/officeDocument/2006/relationships" ref="A90" r:id="rId178"/>
    <hyperlink xmlns:r="http://schemas.openxmlformats.org/officeDocument/2006/relationships" ref="I90" r:id="rId179"/>
    <hyperlink xmlns:r="http://schemas.openxmlformats.org/officeDocument/2006/relationships" ref="A91" r:id="rId180"/>
    <hyperlink xmlns:r="http://schemas.openxmlformats.org/officeDocument/2006/relationships" ref="I91" r:id="rId181"/>
    <hyperlink xmlns:r="http://schemas.openxmlformats.org/officeDocument/2006/relationships" ref="A92" r:id="rId182"/>
    <hyperlink xmlns:r="http://schemas.openxmlformats.org/officeDocument/2006/relationships" ref="I92" r:id="rId183"/>
    <hyperlink xmlns:r="http://schemas.openxmlformats.org/officeDocument/2006/relationships" ref="A93" r:id="rId184"/>
    <hyperlink xmlns:r="http://schemas.openxmlformats.org/officeDocument/2006/relationships" ref="I93" r:id="rId185"/>
    <hyperlink xmlns:r="http://schemas.openxmlformats.org/officeDocument/2006/relationships" ref="A94" r:id="rId186"/>
    <hyperlink xmlns:r="http://schemas.openxmlformats.org/officeDocument/2006/relationships" ref="I94" r:id="rId187"/>
    <hyperlink xmlns:r="http://schemas.openxmlformats.org/officeDocument/2006/relationships" ref="A95" r:id="rId188"/>
    <hyperlink xmlns:r="http://schemas.openxmlformats.org/officeDocument/2006/relationships" ref="I95" r:id="rId189"/>
    <hyperlink xmlns:r="http://schemas.openxmlformats.org/officeDocument/2006/relationships" ref="A96" r:id="rId190"/>
    <hyperlink xmlns:r="http://schemas.openxmlformats.org/officeDocument/2006/relationships" ref="I96" r:id="rId191"/>
    <hyperlink xmlns:r="http://schemas.openxmlformats.org/officeDocument/2006/relationships" ref="A97" r:id="rId192"/>
    <hyperlink xmlns:r="http://schemas.openxmlformats.org/officeDocument/2006/relationships" ref="I97" r:id="rId193"/>
    <hyperlink xmlns:r="http://schemas.openxmlformats.org/officeDocument/2006/relationships" ref="A98" r:id="rId194"/>
    <hyperlink xmlns:r="http://schemas.openxmlformats.org/officeDocument/2006/relationships" ref="I98" r:id="rId195"/>
    <hyperlink xmlns:r="http://schemas.openxmlformats.org/officeDocument/2006/relationships" ref="A99" r:id="rId196"/>
    <hyperlink xmlns:r="http://schemas.openxmlformats.org/officeDocument/2006/relationships" ref="I99" r:id="rId197"/>
    <hyperlink xmlns:r="http://schemas.openxmlformats.org/officeDocument/2006/relationships" ref="A100" r:id="rId198"/>
    <hyperlink xmlns:r="http://schemas.openxmlformats.org/officeDocument/2006/relationships" ref="I100" r:id="rId199"/>
    <hyperlink xmlns:r="http://schemas.openxmlformats.org/officeDocument/2006/relationships" ref="A101" r:id="rId200"/>
    <hyperlink xmlns:r="http://schemas.openxmlformats.org/officeDocument/2006/relationships" ref="I101" r:id="rId201"/>
    <hyperlink xmlns:r="http://schemas.openxmlformats.org/officeDocument/2006/relationships" ref="A102" r:id="rId202"/>
    <hyperlink xmlns:r="http://schemas.openxmlformats.org/officeDocument/2006/relationships" ref="I102" r:id="rId203"/>
    <hyperlink xmlns:r="http://schemas.openxmlformats.org/officeDocument/2006/relationships" ref="A103" r:id="rId204"/>
    <hyperlink xmlns:r="http://schemas.openxmlformats.org/officeDocument/2006/relationships" ref="I103" r:id="rId205"/>
    <hyperlink xmlns:r="http://schemas.openxmlformats.org/officeDocument/2006/relationships" ref="A104" r:id="rId206"/>
    <hyperlink xmlns:r="http://schemas.openxmlformats.org/officeDocument/2006/relationships" ref="I104" r:id="rId207"/>
    <hyperlink xmlns:r="http://schemas.openxmlformats.org/officeDocument/2006/relationships" ref="A105" r:id="rId208"/>
    <hyperlink xmlns:r="http://schemas.openxmlformats.org/officeDocument/2006/relationships" ref="I105" r:id="rId209"/>
    <hyperlink xmlns:r="http://schemas.openxmlformats.org/officeDocument/2006/relationships" ref="A106" r:id="rId210"/>
    <hyperlink xmlns:r="http://schemas.openxmlformats.org/officeDocument/2006/relationships" ref="I106" r:id="rId211"/>
    <hyperlink xmlns:r="http://schemas.openxmlformats.org/officeDocument/2006/relationships" ref="A107" r:id="rId212"/>
    <hyperlink xmlns:r="http://schemas.openxmlformats.org/officeDocument/2006/relationships" ref="I107" r:id="rId213"/>
    <hyperlink xmlns:r="http://schemas.openxmlformats.org/officeDocument/2006/relationships" ref="A108" r:id="rId214"/>
    <hyperlink xmlns:r="http://schemas.openxmlformats.org/officeDocument/2006/relationships" ref="I108" r:id="rId215"/>
    <hyperlink xmlns:r="http://schemas.openxmlformats.org/officeDocument/2006/relationships" ref="A109" r:id="rId216"/>
    <hyperlink xmlns:r="http://schemas.openxmlformats.org/officeDocument/2006/relationships" ref="I109" r:id="rId217"/>
    <hyperlink xmlns:r="http://schemas.openxmlformats.org/officeDocument/2006/relationships" ref="A110" r:id="rId218"/>
    <hyperlink xmlns:r="http://schemas.openxmlformats.org/officeDocument/2006/relationships" ref="I110" r:id="rId219"/>
    <hyperlink xmlns:r="http://schemas.openxmlformats.org/officeDocument/2006/relationships" ref="A111" r:id="rId220"/>
    <hyperlink xmlns:r="http://schemas.openxmlformats.org/officeDocument/2006/relationships" ref="I111" r:id="rId221"/>
    <hyperlink xmlns:r="http://schemas.openxmlformats.org/officeDocument/2006/relationships" ref="A112" r:id="rId222"/>
    <hyperlink xmlns:r="http://schemas.openxmlformats.org/officeDocument/2006/relationships" ref="I112" r:id="rId223"/>
    <hyperlink xmlns:r="http://schemas.openxmlformats.org/officeDocument/2006/relationships" ref="A113" r:id="rId224"/>
    <hyperlink xmlns:r="http://schemas.openxmlformats.org/officeDocument/2006/relationships" ref="I113" r:id="rId225"/>
    <hyperlink xmlns:r="http://schemas.openxmlformats.org/officeDocument/2006/relationships" ref="A114" r:id="rId226"/>
    <hyperlink xmlns:r="http://schemas.openxmlformats.org/officeDocument/2006/relationships" ref="I114" r:id="rId227"/>
    <hyperlink xmlns:r="http://schemas.openxmlformats.org/officeDocument/2006/relationships" ref="A115" r:id="rId228"/>
    <hyperlink xmlns:r="http://schemas.openxmlformats.org/officeDocument/2006/relationships" ref="I115" r:id="rId229"/>
    <hyperlink xmlns:r="http://schemas.openxmlformats.org/officeDocument/2006/relationships" ref="A116" r:id="rId230"/>
    <hyperlink xmlns:r="http://schemas.openxmlformats.org/officeDocument/2006/relationships" ref="I116" r:id="rId231"/>
    <hyperlink xmlns:r="http://schemas.openxmlformats.org/officeDocument/2006/relationships" ref="A117" r:id="rId232"/>
    <hyperlink xmlns:r="http://schemas.openxmlformats.org/officeDocument/2006/relationships" ref="I117" r:id="rId233"/>
    <hyperlink xmlns:r="http://schemas.openxmlformats.org/officeDocument/2006/relationships" ref="A118" r:id="rId234"/>
    <hyperlink xmlns:r="http://schemas.openxmlformats.org/officeDocument/2006/relationships" ref="I118" r:id="rId235"/>
    <hyperlink xmlns:r="http://schemas.openxmlformats.org/officeDocument/2006/relationships" ref="A119" r:id="rId236"/>
    <hyperlink xmlns:r="http://schemas.openxmlformats.org/officeDocument/2006/relationships" ref="I119" r:id="rId237"/>
    <hyperlink xmlns:r="http://schemas.openxmlformats.org/officeDocument/2006/relationships" ref="A120" r:id="rId238"/>
    <hyperlink xmlns:r="http://schemas.openxmlformats.org/officeDocument/2006/relationships" ref="I120" r:id="rId239"/>
    <hyperlink xmlns:r="http://schemas.openxmlformats.org/officeDocument/2006/relationships" ref="A121" r:id="rId240"/>
    <hyperlink xmlns:r="http://schemas.openxmlformats.org/officeDocument/2006/relationships" ref="I121" r:id="rId241"/>
    <hyperlink xmlns:r="http://schemas.openxmlformats.org/officeDocument/2006/relationships" ref="A122" r:id="rId242"/>
    <hyperlink xmlns:r="http://schemas.openxmlformats.org/officeDocument/2006/relationships" ref="I122" r:id="rId243"/>
    <hyperlink xmlns:r="http://schemas.openxmlformats.org/officeDocument/2006/relationships" ref="A123" r:id="rId244"/>
    <hyperlink xmlns:r="http://schemas.openxmlformats.org/officeDocument/2006/relationships" ref="I123" r:id="rId245"/>
    <hyperlink xmlns:r="http://schemas.openxmlformats.org/officeDocument/2006/relationships" ref="A124" r:id="rId246"/>
    <hyperlink xmlns:r="http://schemas.openxmlformats.org/officeDocument/2006/relationships" ref="I124" r:id="rId247"/>
    <hyperlink xmlns:r="http://schemas.openxmlformats.org/officeDocument/2006/relationships" ref="A125" r:id="rId248"/>
    <hyperlink xmlns:r="http://schemas.openxmlformats.org/officeDocument/2006/relationships" ref="I125" r:id="rId249"/>
    <hyperlink xmlns:r="http://schemas.openxmlformats.org/officeDocument/2006/relationships" ref="A126" r:id="rId250"/>
    <hyperlink xmlns:r="http://schemas.openxmlformats.org/officeDocument/2006/relationships" ref="I126" r:id="rId251"/>
    <hyperlink xmlns:r="http://schemas.openxmlformats.org/officeDocument/2006/relationships" ref="A127" r:id="rId252"/>
    <hyperlink xmlns:r="http://schemas.openxmlformats.org/officeDocument/2006/relationships" ref="I127" r:id="rId253"/>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1" customWidth="1" min="1" max="1"/>
    <col width="60" customWidth="1" min="2" max="2"/>
    <col width="60" customWidth="1" min="3" max="3"/>
    <col width="12" customWidth="1" min="4" max="4"/>
  </cols>
  <sheetData>
    <row r="1">
      <c r="A1" s="3" t="inlineStr">
        <is>
          <t>URL</t>
        </is>
      </c>
      <c r="B1" s="3" t="inlineStr">
        <is>
          <t>Heading (Question)</t>
        </is>
      </c>
      <c r="C1" s="3" t="inlineStr">
        <is>
          <t>Snippet (Answer)</t>
        </is>
      </c>
      <c r="D1" s="3" t="inlineStr">
        <is>
          <t>Word Count</t>
        </is>
      </c>
      <c r="E1" t="inlineStr">
        <is>
          <t>Open in Main</t>
        </is>
      </c>
      <c r="F1" s="36" t="inlineStr">
        <is>
          <t>BACK TO DASHBOARD</t>
        </is>
      </c>
    </row>
    <row r="2">
      <c r="A2" s="46" t="inlineStr">
        <is>
          <t>https://asconafrica.org/privacy-policy/</t>
        </is>
      </c>
      <c r="B2" s="37" t="inlineStr">
        <is>
          <t>1. WHAT INFORMATION DO WE COLLECT?</t>
        </is>
      </c>
      <c r="C2" s="37" t="inlineStr">
        <is>
          <t>We collect personal information that you voluntarily provide to us when you register on the Services, express an interest in obtaining information about us or our products and Services, when you participate in activities on the Services, or otherwise when you contact us.</t>
        </is>
      </c>
      <c r="D2" s="37" t="n">
        <v>43</v>
      </c>
      <c r="E2">
        <f>IFERROR(HYPERLINK("#Main!A"&amp;MATCH(A2,Main!A:A,0),"Open"),HYPERLINK("#Main!A1","Open"))</f>
        <v/>
      </c>
    </row>
    <row r="3">
      <c r="A3" s="46" t="inlineStr">
        <is>
          <t>https://asconafrica.org/privacy-policy/</t>
        </is>
      </c>
      <c r="B3" s="6" t="inlineStr">
        <is>
          <t>4. DO WE USE COOKIES AND OTHER TRACKING TECHNOLOGIES?</t>
        </is>
      </c>
      <c r="C3" s="6" t="inlineStr">
        <is>
          <t>We may use cookies and similar tracking technologies (like web beacons and pixels) to access or store information. Specific information about how we use such technologies and how you can refuse certain cookies is set out in our Cookie Notice.</t>
        </is>
      </c>
      <c r="D3" s="6" t="n">
        <v>40</v>
      </c>
      <c r="E3">
        <f>IFERROR(HYPERLINK("#Main!A"&amp;MATCH(A3,Main!A:A,0),"Open"),HYPERLINK("#Main!A1","Open"))</f>
        <v/>
      </c>
    </row>
    <row r="4">
      <c r="A4" s="46" t="inlineStr">
        <is>
          <t>https://asconafrica.org/privacy-policy/</t>
        </is>
      </c>
      <c r="B4" s="37" t="inlineStr">
        <is>
          <t>5. HOW LONG DO WE KEEP YOUR INFORMATION?</t>
        </is>
      </c>
      <c r="C4" s="37" t="inlineStr">
        <is>
          <t>When we have no ongoing legitimate business need to process your personal information, we will either delete or anonymise such information, or, if this is not possible (for example, because your personal information has been stored in backup archives), then we will securely store your personal information and isolate it from any further processing until deletion is possible.</t>
        </is>
      </c>
      <c r="D4" s="37" t="n">
        <v>58</v>
      </c>
      <c r="E4">
        <f>IFERROR(HYPERLINK("#Main!A"&amp;MATCH(A4,Main!A:A,0),"Open"),HYPERLINK("#Main!A1","Open"))</f>
        <v/>
      </c>
    </row>
    <row r="5">
      <c r="A5" s="46" t="inlineStr">
        <is>
          <t>https://asconafrica.org/privacy-policy/</t>
        </is>
      </c>
      <c r="B5" s="6" t="inlineStr">
        <is>
          <t>8. WHAT ARE YOUR PRIVACY RIGHTS?</t>
        </is>
      </c>
      <c r="C5" s="6" t="inlineStr">
        <is>
          <t>However, please note that this will not affect the lawfulness of the processing before its withdrawal, nor, when applicable law allows, will it affect the processing of your personal information conducted in reliance on lawful processing grounds other than consent.</t>
        </is>
      </c>
      <c r="D5" s="6" t="n">
        <v>40</v>
      </c>
      <c r="E5">
        <f>IFERROR(HYPERLINK("#Main!A"&amp;MATCH(A5,Main!A:A,0),"Open"),HYPERLINK("#Main!A1","Open"))</f>
        <v/>
      </c>
    </row>
    <row r="6">
      <c r="A6" s="46" t="inlineStr">
        <is>
          <t>https://asconafrica.org/privacy-policy/</t>
        </is>
      </c>
      <c r="B6" s="37" t="inlineStr">
        <is>
          <t>12. HOW CAN YOU REVIEW, UPDATE, OR DELETE THE DATA WE COLLECT FROM YOU?</t>
        </is>
      </c>
      <c r="C6" s="37" t="inlineStr">
        <is>
          <t>Based on the applicable laws of your country, you may have the right to request access to the personal information we collect from you, change that information, or delete it. To request to review, update, or delete your personal information, please fill out and submit a data subject access request .</t>
        </is>
      </c>
      <c r="D6" s="37" t="n">
        <v>51</v>
      </c>
      <c r="E6">
        <f>IFERROR(HYPERLINK("#Main!A"&amp;MATCH(A6,Main!A:A,0),"Open"),HYPERLINK("#Main!A1","Open"))</f>
        <v/>
      </c>
    </row>
  </sheetData>
  <autoFilter ref="A1:D6"/>
  <conditionalFormatting sqref="D2:D6">
    <cfRule type="colorScale" priority="1">
      <colorScale>
        <cfvo type="min"/>
        <cfvo type="percentile" val="50"/>
        <cfvo type="max"/>
        <color rgb="00F8696B"/>
        <color rgb="00FFEB84"/>
        <color rgb="0063BE7B"/>
      </colorScale>
    </cfRule>
    <cfRule type="dataBar" priority="2">
      <dataBar showValue="1">
        <cfvo type="min"/>
        <cfvo type="max"/>
        <color rgb="0063BE7B"/>
      </dataBar>
    </cfRule>
  </conditionalFormatting>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Heading (Question)" prompt="Heading (Question). Review this metric to identify risk, then use linked tabs for details and remediation." type="custom">
      <formula1>TRUE</formula1>
    </dataValidation>
    <dataValidation sqref="C1" showDropDown="0" showInputMessage="1" showErrorMessage="0" allowBlank="1" promptTitle="Snippet (Answer)" prompt="Snippet (Answer). Review this metric to identify risk, then use linked tabs for details and remediation." type="custom">
      <formula1>TRUE</formula1>
    </dataValidation>
    <dataValidation sqref="D1" showDropDown="0" showInputMessage="1" showErrorMessage="0" allowBlank="1" promptTitle="Word Count" prompt="Content quality depth metric. Fix: expand thin content and improve clarity for search intent."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 sqref="D1" showDropDown="0" showInputMessage="1" showErrorMessage="0" allowBlank="1" promptTitle="Word Count" prompt="Approximate body word count depth. Fix: Expand thin pages with original, search-intent-aligned content."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3" customWidth="1" min="2" max="2"/>
    <col width="60" customWidth="1" min="3" max="3"/>
    <col width="20" customWidth="1" min="4" max="4"/>
    <col width="24" customWidth="1" min="5" max="5"/>
    <col width="30" customWidth="1" min="6" max="6"/>
    <col width="26" customWidth="1" min="7" max="7"/>
    <col width="31" customWidth="1" min="8" max="8"/>
    <col width="31" customWidth="1" min="9" max="9"/>
    <col width="24" customWidth="1" min="10" max="10"/>
  </cols>
  <sheetData>
    <row r="1">
      <c r="A1" s="3" t="inlineStr">
        <is>
          <t>URL</t>
        </is>
      </c>
      <c r="B1" s="3" t="inlineStr">
        <is>
          <t>Image Count</t>
        </is>
      </c>
      <c r="C1" s="3" t="inlineStr">
        <is>
          <t>Images</t>
        </is>
      </c>
      <c r="D1" s="3" t="inlineStr">
        <is>
          <t>Images Missing Alt</t>
        </is>
      </c>
      <c r="E1" s="3" t="inlineStr">
        <is>
          <t>Image Alt Coverage (%)</t>
        </is>
      </c>
      <c r="F1" s="3" t="inlineStr">
        <is>
          <t>Image Extension Distribution</t>
        </is>
      </c>
      <c r="G1" s="3" t="inlineStr">
        <is>
          <t>Likely Large Image Count</t>
        </is>
      </c>
      <c r="H1" s="3" t="inlineStr">
        <is>
          <t>Image Filename Quality Issues</t>
        </is>
      </c>
      <c r="I1" s="3" t="inlineStr">
        <is>
          <t>Image On Canonical Domain (%)</t>
        </is>
      </c>
      <c r="J1" s="3" t="inlineStr">
        <is>
          <t>Mixed Content Detected</t>
        </is>
      </c>
      <c r="K1" t="inlineStr">
        <is>
          <t>Open in Main</t>
        </is>
      </c>
      <c r="L1" s="36" t="inlineStr">
        <is>
          <t>BACK TO DASHBOARD</t>
        </is>
      </c>
    </row>
    <row r="2">
      <c r="A2" s="46" t="inlineStr">
        <is>
          <t>https://asconafrica.org/2026-ascon-awards/</t>
        </is>
      </c>
      <c r="B2" s="37" t="n">
        <v>9</v>
      </c>
      <c r="C2" s="40" t="inlineStr">
        <is>
          <t>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 | data:image/svg+xml;base64,PHN2ZyB4bWxucz0iaHR0cDovL3d3dy53My5vcmcvMjAwMC9zdmciIHdpZHRoPSIxMDgxIiBoZWlnaHQ9IjEwMTciIHZpZXdCb3g9IjAgMCAxMDgxIDEwMTciPjxyZWN0IHdpZHRoPSIxMDAlIiBoZWlnaHQ9IjEwMCUiIHN0eWxlPSJmaWxsOiNjZmQ0ZGI7ZmlsbC1vcGFjaXR5OiAwLjE7Ii8+PC9zdmc+</t>
        </is>
      </c>
      <c r="D2" s="37" t="n">
        <v>1</v>
      </c>
      <c r="E2" s="60" t="n"/>
      <c r="F2" s="37" t="inlineStr">
        <is>
          <t>other:3</t>
        </is>
      </c>
      <c r="G2" s="37" t="n">
        <v>0</v>
      </c>
      <c r="H2" s="4" t="n">
        <v>0</v>
      </c>
      <c r="I2" s="60" t="n"/>
      <c r="J2" s="4" t="b">
        <v>0</v>
      </c>
      <c r="K2">
        <f>IFERROR(HYPERLINK("#Main!A"&amp;MATCH(A2,Main!A:A,0),"Open"),HYPERLINK("#Main!A1","Open"))</f>
        <v/>
      </c>
    </row>
    <row r="3">
      <c r="A3" s="46" t="inlineStr">
        <is>
          <t>https://asconafrica.org/</t>
        </is>
      </c>
      <c r="B3" s="6" t="n">
        <v>17</v>
      </c>
      <c r="C3" s="43" t="inlineStr">
        <is>
          <t>data:image/svg+xml;base64,PHN2ZyB4bWxucz0iaHR0cDovL3d3dy53My5vcmcvMjAwMC9zdmciIHdpZHRoPSI3NjciIGhlaWdodD0iMzI2IiB2aWV3Qm94PSIwIDAgNzY3IDMyNiI+PHJlY3Qgd2lkdGg9IjEwMCUiIGhlaWdodD0iMTAwJSIgc3R5bGU9ImZpbGw6I2NmZDRkYjtmaWxsLW9wYWNpdHk6IDAuMTsiLz48L3N2Zz4= | data:image/svg+xml;base64,PHN2ZyB4bWxucz0iaHR0cDovL3d3dy53My5vcmcvMjAwMC9zdmciIHdpZHRoPSI4NDQiIGhlaWdodD0iOTA0IiB2aWV3Qm94PSIwIDAgODQ0IDkwNCI+PHJlY3Qgd2lkdGg9IjEwMCUiIGhlaWdodD0iMTAwJSIgc3R5bGU9ImZpbGw6I2NmZDRkYjtmaWxsLW9wYWNpdHk6IDAuMTsiLz48L3N2Zz4= | 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 | data:image/svg+xml;base64,PHN2ZyB4bWxucz0iaHR0cDovL3d3dy53My5vcmcvMjAwMC9zdmciIHdpZHRoPSIxMTA5IiBoZWlnaHQ9IjEyOTYiIHZpZXdCb3g9IjAgMCAxMTA5IDEyOTYiPjxyZWN0IHdpZHRoPSIxMDAlIiBoZWlnaHQ9IjEwMCUiIHN0eWxlPSJmaWxsOiNjZmQ0ZGI7ZmlsbC1vcGFjaXR5OiAwLjE7Ii8+PC9zdmc+ | data:image/svg+xml;base64,PHN2ZyB4bWxucz0iaHR0cDovL3d3dy53My5vcmcvMjAwMC9zdmciIHdpZHRoPSIxNzA1IiBoZWlnaHQ9IjEwOTkiIHZpZXdCb3g9IjAgMCAxNzA1IDEwOTkiPjxyZWN0IHdpZHRoPSIxMDAlIiBoZWlnaHQ9IjEwMCUiIHN0eWxlPSJmaWxsOiNjZmQ0ZGI7ZmlsbC1vcGFjaXR5OiAwLjE7Ii8+PC9zdmc+ | data:image/svg+xml;base64,PHN2ZyB4bWxucz0iaHR0cDovL3d3dy53My5vcmcvMjAwMC9zdmciIHdpZHRoPSIyMDMiIGhlaWdodD0iMTg3IiB2aWV3Qm94PSIwIDAgMjAzIDE4NyI+PHJlY3Qgd2lkdGg9IjEwMCUiIGhlaWdodD0iMTAwJSIgc3R5bGU9ImZpbGw6I2NmZDRkYjtmaWxsLW9wYWNpdHk6IDAuMTsiLz48L3N2Zz4= | data:image/svg+xml;base64,PHN2ZyB4bWxucz0iaHR0cDovL3d3dy53My5vcmcvMjAwMC9zdmciIHdpZHRoPSIyMDMiIGhlaWdodD0iMTk0IiB2aWV3Qm94PSIwIDAgMjAzIDE5NCI+PHJlY3Qgd2lkdGg9IjEwMCUiIGhlaWdodD0iMTAwJSIgc3R5bGU9ImZpbGw6I2NmZDRkYjtmaWxsLW9wYWNpdHk6IDAuMTsiLz48L3N2Zz4= | data:image/svg+xml;base64,PHN2ZyB4bWxucz0iaHR0cDovL3d3dy53My5vcmcvMjAwMC9zdmciIHdpZHRoPSIyMDMiIGhlaWdodD0iMjAzIiB2aWV3Qm94PSIwIDAgMjAzIDIwMyI+PHJlY3Qgd2lkdGg9IjEwMCUiIGhlaWdodD0iMTAwJSIgc3R5bGU9ImZpbGw6I2NmZDRkYjtmaWxsLW9wYWNpdHk6IDAuMTsiLz48L3N2Zz4= | data:image/svg+xml;base64,PHN2ZyB4bWxucz0iaHR0cDovL3d3dy53My5vcmcvMjAwMC9zdmciIHdpZHRoPSIyMDMiIGhlaWdodD0iMjE3IiB2aWV3Qm94PSIwIDAgMjAzIDIxNyI+PHJlY3Qgd2lkdGg9IjEwMCUiIGhlaWdodD0iMTAwJSIgc3R5bGU9ImZpbGw6I2NmZDRkYjtmaWxsLW9wYWNpdHk6IDAuMTsiLz48L3N2Zz4= | data:image/svg+xml;base64,PHN2ZyB4bWxucz0iaHR0cDovL3d3dy53My5vcmcvMjAwMC9zdmciIHdpZHRoPSIyMDMiIGhlaWdodD0iMjI0IiB2aWV3Qm94PSIwIDAgMjAzIDIyNCI+PHJlY3Qgd2lkdGg9IjEwMCUiIGhlaWdodD0iMTAwJSIgc3R5bGU9ImZpbGw6I2NmZDRkYjtmaWxsLW9wYWNpdHk6IDAuMTsiLz48L3N2Zz4=</t>
        </is>
      </c>
      <c r="D3" s="6" t="n">
        <v>10</v>
      </c>
      <c r="E3" s="61" t="n"/>
      <c r="F3" s="6" t="inlineStr">
        <is>
          <t>other:11</t>
        </is>
      </c>
      <c r="G3" s="6" t="n">
        <v>0</v>
      </c>
      <c r="H3" s="4" t="n">
        <v>0</v>
      </c>
      <c r="I3" s="61" t="n"/>
      <c r="J3" s="4" t="b">
        <v>0</v>
      </c>
      <c r="K3">
        <f>IFERROR(HYPERLINK("#Main!A"&amp;MATCH(A3,Main!A:A,0),"Open"),HYPERLINK("#Main!A1","Open"))</f>
        <v/>
      </c>
    </row>
    <row r="4">
      <c r="A4" s="46" t="inlineStr">
        <is>
          <t>https://asconafrica.org/news/</t>
        </is>
      </c>
      <c r="B4" s="37" t="n">
        <v>13</v>
      </c>
      <c r="C4" s="40" t="inlineStr">
        <is>
          <t>data:image/svg+xml;base64,PHN2ZyB4bWxucz0iaHR0cDovL3d3dy53My5vcmcvMjAwMC9zdmciIHdpZHRoPSI2NjgiIGhlaWdodD0iNzc2IiB2aWV3Qm94PSIwIDAgNjY4IDc3NiI+PHJlY3Qgd2lkdGg9IjEwMCUiIGhlaWdodD0iMTAwJSIgc3R5bGU9ImZpbGw6I2NmZDRkYjtmaWxsLW9wYWNpdHk6IDAuMTsiLz48L3N2Zz4= | data:image/svg+xml;base64,PHN2ZyB4bWxucz0iaHR0cDovL3d3dy53My5vcmcvMjAwMC9zdmciIHdpZHRoPSI3NTAiIGhlaWdodD0iNTAwIiB2aWV3Qm94PSIwIDAgNzUwIDUwMCI+PHJlY3Qgd2lkdGg9IjEwMCUiIGhlaWdodD0iMTAwJSIgc3R5bGU9ImZpbGw6I2NmZDRkYjtmaWxsLW9wYWNpdHk6IDAuMTsiLz48L3N2Zz4= | data:image/svg+xml;base64,PHN2ZyB4bWxucz0iaHR0cDovL3d3dy53My5vcmcvMjAwMC9zdmciIHdpZHRoPSI3NzQiIGhlaWdodD0iNjU2IiB2aWV3Qm94PSIwIDAgNzc0IDY1NiI+PHJlY3Qgd2lkdGg9IjEwMCUiIGhlaWdodD0iMTAwJSIgc3R5bGU9ImZpbGw6I2NmZDRkYjtmaWxsLW9wYWNpdHk6IDAuMTsiLz48L3N2Zz4= | data:image/svg+xml;base64,PHN2ZyB4bWxucz0iaHR0cDovL3d3dy53My5vcmcvMjAwMC9zdmciIHdpZHRoPSI4MDAiIGhlaWdodD0iNTMzIiB2aWV3Qm94PSIwIDAgODAwIDUzMyI+PHJlY3Qgd2lkdGg9IjEwMCUiIGhlaWdodD0iMTAwJSIgc3R5bGU9ImZpbGw6I2NmZDRkYjtmaWxsLW9wYWNpdHk6IDAuMTsiLz48L3N2Zz4= | data:image/svg+xml;base64,PHN2ZyB4bWxucz0iaHR0cDovL3d3dy53My5vcmcvMjAwMC9zdmciIHdpZHRoPSI4MTIiIGhlaWdodD0iNDQzIiB2aWV3Qm94PSIwIDAgODEyIDQ0MyI+PHJlY3Qgd2lkdGg9IjEwMCUiIGhlaWdodD0iMTAwJSIgc3R5bGU9ImZpbGw6I2NmZDRkYjtmaWxsLW9wYWNpdHk6IDAuMTsiLz48L3N2Zz4= | data:image/svg+xml;base64,PHN2ZyB4bWxucz0iaHR0cDovL3d3dy53My5vcmcvMjAwMC9zdmciIHdpZHRoPSI4MzIiIGhlaWdodD0iMTIzMiIgdmlld0JveD0iMCAwIDgzMiAxMjMyIj48cmVjdCB3aWR0aD0iMTAwJSIgaGVpZ2h0PSIxMDAlIiBzdHlsZT0iZmlsbDojY2ZkNGRiO2ZpbGwtb3BhY2l0eTogMC4xOyIvPjwvc3ZnPg== | 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 | data:image/svg+xml;base64,PHN2ZyB4bWxucz0iaHR0cDovL3d3dy53My5vcmcvMjAwMC9zdmciIHdpZHRoPSIxMjgwIiBoZWlnaHQ9IjE0NzYiIHZpZXdCb3g9IjAgMCAxMjgwIDE0NzYiPjxyZWN0IHdpZHRoPSIxMDAlIiBoZWlnaHQ9IjEwMCUiIHN0eWxlPSJmaWxsOiNjZmQ0ZGI7ZmlsbC1vcGFjaXR5OiAwLjE7Ii8+PC9zdmc+ | data:image/svg+xml;base64,PHN2ZyB4bWxucz0iaHR0cDovL3d3dy53My5vcmcvMjAwMC9zdmciIHdpZHRoPSIyNTYwIiBoZWlnaHQ9IjE3NTIiIHZpZXdCb3g9IjAgMCAyNTYwIDE3NTIiPjxyZWN0IHdpZHRoPSIxMDAlIiBoZWlnaHQ9IjEwMCUiIHN0eWxlPSJmaWxsOiNjZmQ0ZGI7ZmlsbC1vcGFjaXR5OiAwLjE7Ii8+PC9zdmc+ | data:image/svg+xml;base64,PHN2ZyB4bWxucz0iaHR0cDovL3d3dy53My5vcmcvMjAwMC9zdmciIHdpZHRoPSIyNTYwIiBoZWlnaHQ9IjExMzMiIHZpZXdCb3g9IjAgMCAyNTYwIDExMzMiPjxyZWN0IHdpZHRoPSIxMDAlIiBoZWlnaHQ9IjEwMCUiIHN0eWxlPSJmaWxsOiNjZmQ0ZGI7ZmlsbC1vcGFjaXR5OiAwLjE7Ii8+PC9zdmc+ | data:image/svg+xml;base64,PHN2ZyB4bWxucz0iaHR0cDovL3d3dy53My5vcmcvMjAwMC9zdmciIHdpZHRoPSIyNTYwIiBoZWlnaHQ9IjEzOTYiIHZpZXdCb3g9IjAgMCAyNTYwIDEzOTYiPjxyZWN0IHdpZHRoPSIxMDAlIiBoZWlnaHQ9IjEwMCUiIHN0eWxlPSJmaWxsOiNjZmQ0ZGI7ZmlsbC1vcGFjaXR5OiAwLjE7Ii8+PC9zdmc+</t>
        </is>
      </c>
      <c r="D4" s="37" t="n">
        <v>1</v>
      </c>
      <c r="E4" s="60" t="n"/>
      <c r="F4" s="37" t="inlineStr">
        <is>
          <t>other:12</t>
        </is>
      </c>
      <c r="G4" s="37" t="n">
        <v>0</v>
      </c>
      <c r="H4" s="4" t="n">
        <v>0</v>
      </c>
      <c r="I4" s="60" t="n"/>
      <c r="J4" s="4" t="b">
        <v>0</v>
      </c>
      <c r="K4">
        <f>IFERROR(HYPERLINK("#Main!A"&amp;MATCH(A4,Main!A:A,0),"Open"),HYPERLINK("#Main!A1","Open"))</f>
        <v/>
      </c>
    </row>
    <row r="5">
      <c r="A5" s="46" t="inlineStr">
        <is>
          <t>https://asconafrica.org/our-members/</t>
        </is>
      </c>
      <c r="B5" s="6" t="n">
        <v>2</v>
      </c>
      <c r="C5" s="43" t="inlineStr">
        <is>
          <t>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t>
        </is>
      </c>
      <c r="D5" s="6" t="n">
        <v>1</v>
      </c>
      <c r="E5" s="61" t="n"/>
      <c r="F5" s="6" t="inlineStr">
        <is>
          <t>other:2</t>
        </is>
      </c>
      <c r="G5" s="6" t="n">
        <v>0</v>
      </c>
      <c r="H5" s="4" t="n">
        <v>0</v>
      </c>
      <c r="I5" s="61" t="n"/>
      <c r="J5" s="4" t="b">
        <v>0</v>
      </c>
      <c r="K5">
        <f>IFERROR(HYPERLINK("#Main!A"&amp;MATCH(A5,Main!A:A,0),"Open"),HYPERLINK("#Main!A1","Open"))</f>
        <v/>
      </c>
    </row>
    <row r="6">
      <c r="A6" s="46" t="inlineStr">
        <is>
          <t>https://asconafrica.org/2026-ascon-conference/</t>
        </is>
      </c>
      <c r="B6" s="37" t="n">
        <v>19</v>
      </c>
      <c r="C6" s="40" t="inlineStr">
        <is>
          <t>data:image/svg+xml;base64,PHN2ZyB4bWxucz0iaHR0cDovL3d3dy53My5vcmcvMjAwMC9zdmciIHdpZHRoPSI3NjciIGhlaWdodD0iMzI2IiB2aWV3Qm94PSIwIDAgNzY3IDMyNiI+PHJlY3Qgd2lkdGg9IjEwMCUiIGhlaWdodD0iMTAwJSIgc3R5bGU9ImZpbGw6I2NmZDRkYjtmaWxsLW9wYWNpdHk6IDAuMTsiLz48L3N2Zz4= | data:image/svg+xml;base64,PHN2ZyB4bWxucz0iaHR0cDovL3d3dy53My5vcmcvMjAwMC9zdmciIHdpZHRoPSI4NDQiIGhlaWdodD0iOTA0IiB2aWV3Qm94PSIwIDAgODQ0IDkwNCI+PHJlY3Qgd2lkdGg9IjEwMCUiIGhlaWdodD0iMTAwJSIgc3R5bGU9ImZpbGw6I2NmZDRkYjtmaWxsLW9wYWNpdHk6IDAuMTsiLz48L3N2Zz4= | 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 | data:image/svg+xml;base64,PHN2ZyB4bWxucz0iaHR0cDovL3d3dy53My5vcmcvMjAwMC9zdmciIHdpZHRoPSIxMDgwIiBoZWlnaHQ9Ijg1MCIgdmlld0JveD0iMCAwIDEwODAgODUwIj48cmVjdCB3aWR0aD0iMTAwJSIgaGVpZ2h0PSIxMDAlIiBzdHlsZT0iZmlsbDojY2ZkNGRiO2ZpbGwtb3BhY2l0eTogMC4xOyIvPjwvc3ZnPg== | data:image/svg+xml;base64,PHN2ZyB4bWxucz0iaHR0cDovL3d3dy53My5vcmcvMjAwMC9zdmciIHdpZHRoPSIxMDgwIiBoZWlnaHQ9IjgzOCIgdmlld0JveD0iMCAwIDEwODAgODM4Ij48cmVjdCB3aWR0aD0iMTAwJSIgaGVpZ2h0PSIxMDAlIiBzdHlsZT0iZmlsbDojY2ZkNGRiO2ZpbGwtb3BhY2l0eTogMC4xOyIvPjwvc3ZnPg== | data:image/svg+xml;base64,PHN2ZyB4bWxucz0iaHR0cDovL3d3dy53My5vcmcvMjAwMC9zdmciIHdpZHRoPSIxMDgwIiBoZWlnaHQ9Ijk2MCIgdmlld0JveD0iMCAwIDEwODAgOTYwIj48cmVjdCB3aWR0aD0iMTAwJSIgaGVpZ2h0PSIxMDAlIiBzdHlsZT0iZmlsbDojY2ZkNGRiO2ZpbGwtb3BhY2l0eTogMC4xOyIvPjwvc3ZnPg== | data:image/svg+xml;base64,PHN2ZyB4bWxucz0iaHR0cDovL3d3dy53My5vcmcvMjAwMC9zdmciIHdpZHRoPSIxMjAwIiBoZWlnaHQ9IjgwMCIgdmlld0JveD0iMCAwIDEyMDAgODAwIj48cmVjdCB3aWR0aD0iMTAwJSIgaGVpZ2h0PSIxMDAlIiBzdHlsZT0iZmlsbDojY2ZkNGRiO2ZpbGwtb3BhY2l0eTogMC4xOyIvPjwvc3ZnPg== | data:image/svg+xml;base64,PHN2ZyB4bWxucz0iaHR0cDovL3d3dy53My5vcmcvMjAwMC9zdmciIHdpZHRoPSIxNzA1IiBoZWlnaHQ9IjEwOTkiIHZpZXdCb3g9IjAgMCAxNzA1IDEwOTkiPjxyZWN0IHdpZHRoPSIxMDAlIiBoZWlnaHQ9IjEwMCUiIHN0eWxlPSJmaWxsOiNjZmQ0ZGI7ZmlsbC1vcGFjaXR5OiAwLjE7Ii8+PC9zdmc+</t>
        </is>
      </c>
      <c r="D6" s="37" t="n">
        <v>12</v>
      </c>
      <c r="E6" s="60" t="n"/>
      <c r="F6" s="37" t="inlineStr">
        <is>
          <t>other:9</t>
        </is>
      </c>
      <c r="G6" s="37" t="n">
        <v>0</v>
      </c>
      <c r="H6" s="4" t="n">
        <v>0</v>
      </c>
      <c r="I6" s="60" t="n"/>
      <c r="J6" s="4" t="b">
        <v>0</v>
      </c>
      <c r="K6">
        <f>IFERROR(HYPERLINK("#Main!A"&amp;MATCH(A6,Main!A:A,0),"Open"),HYPERLINK("#Main!A1","Open"))</f>
        <v/>
      </c>
    </row>
    <row r="7">
      <c r="A7" s="46" t="inlineStr">
        <is>
          <t>https://asconafrica.org/about-us/</t>
        </is>
      </c>
      <c r="B7" s="6" t="n">
        <v>9</v>
      </c>
      <c r="C7" s="43" t="inlineStr">
        <is>
          <t>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 | data:image/svg+xml;base64,PHN2ZyB4bWxucz0iaHR0cDovL3d3dy53My5vcmcvMjAwMC9zdmciIHdpZHRoPSIxMDgxIiBoZWlnaHQ9IjEwMTYiIHZpZXdCb3g9IjAgMCAxMDgxIDEwMTYiPjxyZWN0IHdpZHRoPSIxMDAlIiBoZWlnaHQ9IjEwMCUiIHN0eWxlPSJmaWxsOiNjZmQ0ZGI7ZmlsbC1vcGFjaXR5OiAwLjE7Ii8+PC9zdmc+ | data:image/svg+xml;base64,PHN2ZyB4bWxucz0iaHR0cDovL3d3dy53My5vcmcvMjAwMC9zdmciIHdpZHRoPSIxMDgxIiBoZWlnaHQ9IjEwMTciIHZpZXdCb3g9IjAgMCAxMDgxIDEwMTciPjxyZWN0IHdpZHRoPSIxMDAlIiBoZWlnaHQ9IjEwMCUiIHN0eWxlPSJmaWxsOiNjZmQ0ZGI7ZmlsbC1vcGFjaXR5OiAwLjE7Ii8+PC9zdmc+</t>
        </is>
      </c>
      <c r="D7" s="6" t="n">
        <v>8</v>
      </c>
      <c r="E7" s="61" t="n"/>
      <c r="F7" s="6" t="inlineStr">
        <is>
          <t>other:4</t>
        </is>
      </c>
      <c r="G7" s="6" t="n">
        <v>0</v>
      </c>
      <c r="H7" s="4" t="n">
        <v>0</v>
      </c>
      <c r="I7" s="61" t="n"/>
      <c r="J7" s="4" t="b">
        <v>0</v>
      </c>
      <c r="K7">
        <f>IFERROR(HYPERLINK("#Main!A"&amp;MATCH(A7,Main!A:A,0),"Open"),HYPERLINK("#Main!A1","Open"))</f>
        <v/>
      </c>
    </row>
    <row r="8">
      <c r="A8" s="46" t="inlineStr">
        <is>
          <t>https://asconafrica.org/privacy-policy/</t>
        </is>
      </c>
      <c r="B8" s="37" t="n">
        <v>2</v>
      </c>
      <c r="C8" s="40" t="inlineStr">
        <is>
          <t>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t>
        </is>
      </c>
      <c r="D8" s="37" t="n">
        <v>1</v>
      </c>
      <c r="E8" s="60" t="n"/>
      <c r="F8" s="37" t="inlineStr">
        <is>
          <t>other:2</t>
        </is>
      </c>
      <c r="G8" s="37" t="n">
        <v>0</v>
      </c>
      <c r="H8" s="4" t="n">
        <v>0</v>
      </c>
      <c r="I8" s="60" t="n"/>
      <c r="J8" s="4" t="b">
        <v>0</v>
      </c>
      <c r="K8">
        <f>IFERROR(HYPERLINK("#Main!A"&amp;MATCH(A8,Main!A:A,0),"Open"),HYPERLINK("#Main!A1","Open"))</f>
        <v/>
      </c>
    </row>
    <row r="9" ht="30" customHeight="1">
      <c r="A9" s="46" t="inlineStr">
        <is>
          <t>https://asconafrica.org/2026-ascon-conference/thank-you-for-signing-up/</t>
        </is>
      </c>
      <c r="B9" s="6" t="n">
        <v>2</v>
      </c>
      <c r="C9" s="43" t="inlineStr">
        <is>
          <t>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t>
        </is>
      </c>
      <c r="D9" s="6" t="n">
        <v>1</v>
      </c>
      <c r="E9" s="61" t="n"/>
      <c r="F9" s="6" t="inlineStr">
        <is>
          <t>other:2</t>
        </is>
      </c>
      <c r="G9" s="6" t="n">
        <v>0</v>
      </c>
      <c r="H9" s="4" t="n">
        <v>0</v>
      </c>
      <c r="I9" s="61" t="n"/>
      <c r="J9" s="4" t="b">
        <v>0</v>
      </c>
      <c r="K9">
        <f>IFERROR(HYPERLINK("#Main!A"&amp;MATCH(A9,Main!A:A,0),"Open"),HYPERLINK("#Main!A1","Open"))</f>
        <v/>
      </c>
    </row>
    <row r="10" ht="30" customHeight="1">
      <c r="A10" s="46" t="inlineStr">
        <is>
          <t>https://asconafrica.org/thank-you-for-signing-up-for-updates/</t>
        </is>
      </c>
      <c r="B10" s="37" t="n">
        <v>2</v>
      </c>
      <c r="C10" s="40" t="inlineStr">
        <is>
          <t>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t>
        </is>
      </c>
      <c r="D10" s="37" t="n">
        <v>1</v>
      </c>
      <c r="E10" s="60" t="n"/>
      <c r="F10" s="37" t="inlineStr">
        <is>
          <t>other:2</t>
        </is>
      </c>
      <c r="G10" s="37" t="n">
        <v>0</v>
      </c>
      <c r="H10" s="4" t="n">
        <v>0</v>
      </c>
      <c r="I10" s="60" t="n"/>
      <c r="J10" s="4" t="b">
        <v>0</v>
      </c>
      <c r="K10">
        <f>IFERROR(HYPERLINK("#Main!A"&amp;MATCH(A10,Main!A:A,0),"Open"),HYPERLINK("#Main!A1","Open"))</f>
        <v/>
      </c>
    </row>
    <row r="11" ht="45" customHeight="1">
      <c r="A11" s="46" t="inlineStr">
        <is>
          <t>https://asconafrica.org/launch-event-2026-ascon-conference/thank-you-for-registering-conference-launch/</t>
        </is>
      </c>
      <c r="B11" s="6" t="n">
        <v>2</v>
      </c>
      <c r="C11" s="43" t="inlineStr">
        <is>
          <t>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t>
        </is>
      </c>
      <c r="D11" s="6" t="n">
        <v>1</v>
      </c>
      <c r="E11" s="61" t="n"/>
      <c r="F11" s="6" t="inlineStr">
        <is>
          <t>other:2</t>
        </is>
      </c>
      <c r="G11" s="6" t="n">
        <v>0</v>
      </c>
      <c r="H11" s="4" t="n">
        <v>0</v>
      </c>
      <c r="I11" s="61" t="n"/>
      <c r="J11" s="4" t="b">
        <v>0</v>
      </c>
      <c r="K11">
        <f>IFERROR(HYPERLINK("#Main!A"&amp;MATCH(A11,Main!A:A,0),"Open"),HYPERLINK("#Main!A1","Open"))</f>
        <v/>
      </c>
    </row>
    <row r="12" ht="30" customHeight="1">
      <c r="A12" s="46" t="inlineStr">
        <is>
          <t>https://asconafrica.org/launch-event-2026-ascon-conference/</t>
        </is>
      </c>
      <c r="B12" s="37" t="n">
        <v>5</v>
      </c>
      <c r="C12" s="40" t="inlineStr">
        <is>
          <t>data:image/svg+xml;base64,PHN2ZyB4bWxucz0iaHR0cDovL3d3dy53My5vcmcvMjAwMC9zdmciIHdpZHRoPSI3NjciIGhlaWdodD0iMzI2IiB2aWV3Qm94PSIwIDAgNzY3IDMyNiI+PHJlY3Qgd2lkdGg9IjEwMCUiIGhlaWdodD0iMTAwJSIgc3R5bGU9ImZpbGw6I2NmZDRkYjtmaWxsLW9wYWNpdHk6IDAuMTsiLz48L3N2Zz4= | data:image/svg+xml;base64,PHN2ZyB4bWxucz0iaHR0cDovL3d3dy53My5vcmcvMjAwMC9zdmciIHdpZHRoPSI4NDQiIGhlaWdodD0iOTA0IiB2aWV3Qm94PSIwIDAgODQ0IDkwNCI+PHJlY3Qgd2lkdGg9IjEwMCUiIGhlaWdodD0iMTAwJSIgc3R5bGU9ImZpbGw6I2NmZDRkYjtmaWxsLW9wYWNpdHk6IDAuMTsiLz48L3N2Zz4= | 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 | data:image/svg+xml;base64,PHN2ZyB4bWxucz0iaHR0cDovL3d3dy53My5vcmcvMjAwMC9zdmciIHdpZHRoPSIxNzA1IiBoZWlnaHQ9IjEwOTkiIHZpZXdCb3g9IjAgMCAxNzA1IDEwOTkiPjxyZWN0IHdpZHRoPSIxMDAlIiBoZWlnaHQ9IjEwMCUiIHN0eWxlPSJmaWxsOiNjZmQ0ZGI7ZmlsbC1vcGFjaXR5OiAwLjE7Ii8+PC9zdmc+</t>
        </is>
      </c>
      <c r="D12" s="37" t="n">
        <v>4</v>
      </c>
      <c r="E12" s="60" t="n"/>
      <c r="F12" s="37" t="inlineStr">
        <is>
          <t>other:5</t>
        </is>
      </c>
      <c r="G12" s="37" t="n">
        <v>0</v>
      </c>
      <c r="H12" s="4" t="n">
        <v>0</v>
      </c>
      <c r="I12" s="60" t="n"/>
      <c r="J12" s="4" t="b">
        <v>0</v>
      </c>
      <c r="K12">
        <f>IFERROR(HYPERLINK("#Main!A"&amp;MATCH(A12,Main!A:A,0),"Open"),HYPERLINK("#Main!A1","Open"))</f>
        <v/>
      </c>
    </row>
    <row r="13" ht="30" customHeight="1">
      <c r="A13" s="46" t="inlineStr">
        <is>
          <t>https://asconafrica.org/2026-ascon-awards/thank-you-for-your-nomination/</t>
        </is>
      </c>
      <c r="B13" s="6" t="n">
        <v>2</v>
      </c>
      <c r="C13" s="43" t="inlineStr">
        <is>
          <t>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t>
        </is>
      </c>
      <c r="D13" s="6" t="n">
        <v>1</v>
      </c>
      <c r="E13" s="61" t="n"/>
      <c r="F13" s="6" t="inlineStr">
        <is>
          <t>other:2</t>
        </is>
      </c>
      <c r="G13" s="6" t="n">
        <v>0</v>
      </c>
      <c r="H13" s="4" t="n">
        <v>0</v>
      </c>
      <c r="I13" s="61" t="n"/>
      <c r="J13" s="4" t="b">
        <v>0</v>
      </c>
      <c r="K13">
        <f>IFERROR(HYPERLINK("#Main!A"&amp;MATCH(A13,Main!A:A,0),"Open"),HYPERLINK("#Main!A1","Open"))</f>
        <v/>
      </c>
    </row>
    <row r="14">
      <c r="A14" s="46" t="inlineStr">
        <is>
          <t>https://asconafrica.org/unsubscribe-form/</t>
        </is>
      </c>
      <c r="B14" s="37" t="n">
        <v>2</v>
      </c>
      <c r="C14" s="40" t="inlineStr">
        <is>
          <t>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t>
        </is>
      </c>
      <c r="D14" s="37" t="n">
        <v>1</v>
      </c>
      <c r="E14" s="60" t="n"/>
      <c r="F14" s="37" t="inlineStr">
        <is>
          <t>other:2</t>
        </is>
      </c>
      <c r="G14" s="37" t="n">
        <v>0</v>
      </c>
      <c r="H14" s="4" t="n">
        <v>0</v>
      </c>
      <c r="I14" s="60" t="n"/>
      <c r="J14" s="4" t="b">
        <v>0</v>
      </c>
      <c r="K14">
        <f>IFERROR(HYPERLINK("#Main!A"&amp;MATCH(A14,Main!A:A,0),"Open"),HYPERLINK("#Main!A1","Open"))</f>
        <v/>
      </c>
    </row>
    <row r="15" ht="30" customHeight="1">
      <c r="A15" s="46" t="inlineStr">
        <is>
          <t>https://asconafrica.org/unsubscribe-form/successfully-unsubscribed/</t>
        </is>
      </c>
      <c r="B15" s="6" t="n">
        <v>2</v>
      </c>
      <c r="C15" s="43" t="inlineStr">
        <is>
          <t>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t>
        </is>
      </c>
      <c r="D15" s="6" t="n">
        <v>1</v>
      </c>
      <c r="E15" s="61" t="n"/>
      <c r="F15" s="6" t="inlineStr">
        <is>
          <t>other:2</t>
        </is>
      </c>
      <c r="G15" s="6" t="n">
        <v>0</v>
      </c>
      <c r="H15" s="4" t="n">
        <v>0</v>
      </c>
      <c r="I15" s="61" t="n"/>
      <c r="J15" s="4" t="b">
        <v>0</v>
      </c>
      <c r="K15">
        <f>IFERROR(HYPERLINK("#Main!A"&amp;MATCH(A15,Main!A:A,0),"Open"),HYPERLINK("#Main!A1","Open"))</f>
        <v/>
      </c>
    </row>
    <row r="16">
      <c r="A16" s="46" t="inlineStr">
        <is>
          <t>https://asconafrica.org/contact-us/</t>
        </is>
      </c>
      <c r="B16" s="37" t="n">
        <v>2</v>
      </c>
      <c r="C16" s="40" t="inlineStr">
        <is>
          <t>data:image/svg+xml;base64,PHN2ZyB4bWxucz0iaHR0cDovL3d3dy53My5vcmcvMjAwMC9zdmciIHdpZHRoPSI5NTUiIGhlaWdodD0iMjI5IiB2aWV3Qm94PSIwIDAgOTU1IDIyOSI+PHJlY3Qgd2lkdGg9IjEwMCUiIGhlaWdodD0iMTAwJSIgc3R5bGU9ImZpbGw6I2NmZDRkYjtmaWxsLW9wYWNpdHk6IDAuMTsiLz48L3N2Zz4= | data:image/svg+xml;base64,PHN2ZyB4bWxucz0iaHR0cDovL3d3dy53My5vcmcvMjAwMC9zdmciIHdpZHRoPSIxMDM5IiBoZWlnaHQ9IjI0NyIgdmlld0JveD0iMCAwIDEwMzkgMjQ3Ij48cmVjdCB3aWR0aD0iMTAwJSIgaGVpZ2h0PSIxMDAlIiBzdHlsZT0iZmlsbDojY2ZkNGRiO2ZpbGwtb3BhY2l0eTogMC4xOyIvPjwvc3ZnPg==</t>
        </is>
      </c>
      <c r="D16" s="37" t="n">
        <v>1</v>
      </c>
      <c r="E16" s="60" t="n"/>
      <c r="F16" s="37" t="inlineStr">
        <is>
          <t>other:2</t>
        </is>
      </c>
      <c r="G16" s="37" t="n">
        <v>0</v>
      </c>
      <c r="H16" s="4" t="n">
        <v>0</v>
      </c>
      <c r="I16" s="60" t="n"/>
      <c r="J16" s="4" t="b">
        <v>0</v>
      </c>
      <c r="K16">
        <f>IFERROR(HYPERLINK("#Main!A"&amp;MATCH(A16,Main!A:A,0),"Open"),HYPERLINK("#Main!A1","Open"))</f>
        <v/>
      </c>
    </row>
  </sheetData>
  <autoFilter ref="A1:J16"/>
  <dataValidations count="12">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mage Count" prompt="Image Count. Review this metric to identify risk, then use linked tabs for details and remediation." type="custom">
      <formula1>TRUE</formula1>
    </dataValidation>
    <dataValidation sqref="C1" showDropDown="0" showInputMessage="1" showErrorMessage="0" allowBlank="1" promptTitle="Images" prompt="Images. Review this metric to identify risk, then use linked tabs for details and remediation." type="custom">
      <formula1>TRUE</formula1>
    </dataValidation>
    <dataValidation sqref="D1" showDropDown="0" showInputMessage="1" showErrorMessage="0" allowBlank="1" promptTitle="Images Missing Alt" prompt="Images Missing Alt. Review this metric to identify risk, then use linked tabs for details and remediation." type="custom">
      <formula1>TRUE</formula1>
    </dataValidation>
    <dataValidation sqref="E1" showDropDown="0" showInputMessage="1" showErrorMessage="0" allowBlank="1" promptTitle="Image Alt Coverage (%)" prompt="Image Alt Coverage (%). Review this metric to identify risk, then use linked tabs for details and remediation." type="custom">
      <formula1>TRUE</formula1>
    </dataValidation>
    <dataValidation sqref="F1" showDropDown="0" showInputMessage="1" showErrorMessage="0" allowBlank="1" promptTitle="Image Extension Distribution" prompt="Image Extension Distribution. Review this metric to identify risk, then use linked tabs for details and remediation." type="custom">
      <formula1>TRUE</formula1>
    </dataValidation>
    <dataValidation sqref="G1" showDropDown="0" showInputMessage="1" showErrorMessage="0" allowBlank="1" promptTitle="Likely Large Image Count" prompt="Likely Large Image Count. Review this metric to identify risk, then use linked tabs for details and remediation." type="custom">
      <formula1>TRUE</formula1>
    </dataValidation>
    <dataValidation sqref="H1" showDropDown="0" showInputMessage="1" showErrorMessage="0" allowBlank="1" promptTitle="Image Filename Quality Issues" prompt="Image Filename Quality Issues. Review this metric to identify risk, then use linked tabs for details and remediation." type="custom">
      <formula1>TRUE</formula1>
    </dataValidation>
    <dataValidation sqref="I1" showDropDown="0" showInputMessage="1" showErrorMessage="0" allowBlank="1" promptTitle="Image On Canonical Domain (%)" prompt="Indexing/canonicalization signal. Fix: ensure indexable pages use correct canonicals and non-conflicting directives." type="custom">
      <formula1>TRUE</formula1>
    </dataValidation>
    <dataValidation sqref="J1" showDropDown="0" showInputMessage="1" showErrorMessage="0" allowBlank="1" promptTitle="Mixed Content Detected" prompt="Mixed Content Detected. Review this metric to identify risk, then use linked tabs for details and remediation." type="custom">
      <formula1>TRUE</formula1>
    </dataValidation>
    <dataValidation sqref="K1" showDropDown="0" showInputMessage="1" showErrorMessage="0" allowBlank="1" promptTitle="Open in Main" prompt="Navigation helper. Click to jump directly to the related record in another tab." type="custom">
      <formula1>TRUE</formula1>
    </dataValidation>
    <dataValidation sqref="L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L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0" customWidth="1" min="2" max="2"/>
    <col width="20" customWidth="1" min="3" max="3"/>
    <col width="21" customWidth="1" min="4" max="4"/>
  </cols>
  <sheetData>
    <row r="1">
      <c r="A1" s="3" t="inlineStr">
        <is>
          <t>URL</t>
        </is>
      </c>
      <c r="B1" s="3" t="inlineStr">
        <is>
          <t>Schema Types Found</t>
        </is>
      </c>
      <c r="C1" s="3" t="inlineStr">
        <is>
          <t>Schema Types Count</t>
        </is>
      </c>
      <c r="D1" s="3" t="inlineStr">
        <is>
          <t>Schema Parse Errors</t>
        </is>
      </c>
      <c r="E1" t="inlineStr">
        <is>
          <t>Open in Main</t>
        </is>
      </c>
      <c r="F1" s="36" t="inlineStr">
        <is>
          <t>BACK TO DASHBOARD</t>
        </is>
      </c>
    </row>
    <row r="2">
      <c r="A2" s="46" t="inlineStr">
        <is>
          <t>https://asconafrica.org/2026-ascon-awards/</t>
        </is>
      </c>
      <c r="B2" s="37" t="n"/>
      <c r="C2" s="37" t="n">
        <v>0</v>
      </c>
      <c r="D2" s="37" t="n">
        <v>0</v>
      </c>
      <c r="E2">
        <f>IFERROR(HYPERLINK("#Main!A"&amp;MATCH(A2,Main!A:A,0),"Open"),HYPERLINK("#Main!A1","Open"))</f>
        <v/>
      </c>
    </row>
    <row r="3">
      <c r="A3" s="46" t="inlineStr">
        <is>
          <t>https://asconafrica.org/</t>
        </is>
      </c>
      <c r="B3" s="6" t="n"/>
      <c r="C3" s="6" t="n">
        <v>0</v>
      </c>
      <c r="D3" s="6" t="n">
        <v>0</v>
      </c>
      <c r="E3">
        <f>IFERROR(HYPERLINK("#Main!A"&amp;MATCH(A3,Main!A:A,0),"Open"),HYPERLINK("#Main!A1","Open"))</f>
        <v/>
      </c>
    </row>
    <row r="4">
      <c r="A4" s="46" t="inlineStr">
        <is>
          <t>https://asconafrica.org/news/</t>
        </is>
      </c>
      <c r="B4" s="37" t="n"/>
      <c r="C4" s="37" t="n">
        <v>0</v>
      </c>
      <c r="D4" s="37" t="n">
        <v>0</v>
      </c>
      <c r="E4">
        <f>IFERROR(HYPERLINK("#Main!A"&amp;MATCH(A4,Main!A:A,0),"Open"),HYPERLINK("#Main!A1","Open"))</f>
        <v/>
      </c>
    </row>
    <row r="5">
      <c r="A5" s="46" t="inlineStr">
        <is>
          <t>https://asconafrica.org/our-members/</t>
        </is>
      </c>
      <c r="B5" s="6" t="n"/>
      <c r="C5" s="6" t="n">
        <v>0</v>
      </c>
      <c r="D5" s="6" t="n">
        <v>0</v>
      </c>
      <c r="E5">
        <f>IFERROR(HYPERLINK("#Main!A"&amp;MATCH(A5,Main!A:A,0),"Open"),HYPERLINK("#Main!A1","Open"))</f>
        <v/>
      </c>
    </row>
    <row r="6">
      <c r="A6" s="46" t="inlineStr">
        <is>
          <t>https://asconafrica.org/2026-ascon-conference/</t>
        </is>
      </c>
      <c r="B6" s="37" t="n"/>
      <c r="C6" s="37" t="n">
        <v>0</v>
      </c>
      <c r="D6" s="37" t="n">
        <v>0</v>
      </c>
      <c r="E6">
        <f>IFERROR(HYPERLINK("#Main!A"&amp;MATCH(A6,Main!A:A,0),"Open"),HYPERLINK("#Main!A1","Open"))</f>
        <v/>
      </c>
    </row>
    <row r="7">
      <c r="A7" s="46" t="inlineStr">
        <is>
          <t>https://asconafrica.org/about-us/</t>
        </is>
      </c>
      <c r="B7" s="6" t="n"/>
      <c r="C7" s="6" t="n">
        <v>0</v>
      </c>
      <c r="D7" s="6" t="n">
        <v>0</v>
      </c>
      <c r="E7">
        <f>IFERROR(HYPERLINK("#Main!A"&amp;MATCH(A7,Main!A:A,0),"Open"),HYPERLINK("#Main!A1","Open"))</f>
        <v/>
      </c>
    </row>
    <row r="8">
      <c r="A8" s="46" t="inlineStr">
        <is>
          <t>https://asconafrica.org/privacy-policy/</t>
        </is>
      </c>
      <c r="B8" s="37" t="n"/>
      <c r="C8" s="37" t="n">
        <v>0</v>
      </c>
      <c r="D8" s="37" t="n">
        <v>0</v>
      </c>
      <c r="E8">
        <f>IFERROR(HYPERLINK("#Main!A"&amp;MATCH(A8,Main!A:A,0),"Open"),HYPERLINK("#Main!A1","Open"))</f>
        <v/>
      </c>
    </row>
    <row r="9" ht="30" customHeight="1">
      <c r="A9" s="46" t="inlineStr">
        <is>
          <t>https://asconafrica.org/2026-ascon-conference/thank-you-for-signing-up/</t>
        </is>
      </c>
      <c r="B9" s="6" t="n"/>
      <c r="C9" s="6" t="n">
        <v>0</v>
      </c>
      <c r="D9" s="6" t="n">
        <v>0</v>
      </c>
      <c r="E9">
        <f>IFERROR(HYPERLINK("#Main!A"&amp;MATCH(A9,Main!A:A,0),"Open"),HYPERLINK("#Main!A1","Open"))</f>
        <v/>
      </c>
    </row>
    <row r="10" ht="30" customHeight="1">
      <c r="A10" s="46" t="inlineStr">
        <is>
          <t>https://asconafrica.org/thank-you-for-signing-up-for-updates/</t>
        </is>
      </c>
      <c r="B10" s="37" t="n"/>
      <c r="C10" s="37" t="n">
        <v>0</v>
      </c>
      <c r="D10" s="37" t="n">
        <v>0</v>
      </c>
      <c r="E10">
        <f>IFERROR(HYPERLINK("#Main!A"&amp;MATCH(A10,Main!A:A,0),"Open"),HYPERLINK("#Main!A1","Open"))</f>
        <v/>
      </c>
    </row>
    <row r="11" ht="45" customHeight="1">
      <c r="A11" s="46" t="inlineStr">
        <is>
          <t>https://asconafrica.org/launch-event-2026-ascon-conference/thank-you-for-registering-conference-launch/</t>
        </is>
      </c>
      <c r="B11" s="6" t="n"/>
      <c r="C11" s="6" t="n">
        <v>0</v>
      </c>
      <c r="D11" s="6" t="n">
        <v>0</v>
      </c>
      <c r="E11">
        <f>IFERROR(HYPERLINK("#Main!A"&amp;MATCH(A11,Main!A:A,0),"Open"),HYPERLINK("#Main!A1","Open"))</f>
        <v/>
      </c>
    </row>
    <row r="12" ht="30" customHeight="1">
      <c r="A12" s="46" t="inlineStr">
        <is>
          <t>https://asconafrica.org/launch-event-2026-ascon-conference/</t>
        </is>
      </c>
      <c r="B12" s="37" t="n"/>
      <c r="C12" s="37" t="n">
        <v>0</v>
      </c>
      <c r="D12" s="37" t="n">
        <v>0</v>
      </c>
      <c r="E12">
        <f>IFERROR(HYPERLINK("#Main!A"&amp;MATCH(A12,Main!A:A,0),"Open"),HYPERLINK("#Main!A1","Open"))</f>
        <v/>
      </c>
    </row>
    <row r="13" ht="30" customHeight="1">
      <c r="A13" s="46" t="inlineStr">
        <is>
          <t>https://asconafrica.org/2026-ascon-awards/thank-you-for-your-nomination/</t>
        </is>
      </c>
      <c r="B13" s="6" t="n"/>
      <c r="C13" s="6" t="n">
        <v>0</v>
      </c>
      <c r="D13" s="6" t="n">
        <v>0</v>
      </c>
      <c r="E13">
        <f>IFERROR(HYPERLINK("#Main!A"&amp;MATCH(A13,Main!A:A,0),"Open"),HYPERLINK("#Main!A1","Open"))</f>
        <v/>
      </c>
    </row>
    <row r="14">
      <c r="A14" s="46" t="inlineStr">
        <is>
          <t>https://asconafrica.org/unsubscribe-form/</t>
        </is>
      </c>
      <c r="B14" s="37" t="n"/>
      <c r="C14" s="37" t="n">
        <v>0</v>
      </c>
      <c r="D14" s="37" t="n">
        <v>0</v>
      </c>
      <c r="E14">
        <f>IFERROR(HYPERLINK("#Main!A"&amp;MATCH(A14,Main!A:A,0),"Open"),HYPERLINK("#Main!A1","Open"))</f>
        <v/>
      </c>
    </row>
    <row r="15" ht="30" customHeight="1">
      <c r="A15" s="46" t="inlineStr">
        <is>
          <t>https://asconafrica.org/unsubscribe-form/successfully-unsubscribed/</t>
        </is>
      </c>
      <c r="B15" s="6" t="n"/>
      <c r="C15" s="6" t="n">
        <v>0</v>
      </c>
      <c r="D15" s="6" t="n">
        <v>0</v>
      </c>
      <c r="E15">
        <f>IFERROR(HYPERLINK("#Main!A"&amp;MATCH(A15,Main!A:A,0),"Open"),HYPERLINK("#Main!A1","Open"))</f>
        <v/>
      </c>
    </row>
    <row r="16">
      <c r="A16" s="46" t="inlineStr">
        <is>
          <t>https://asconafrica.org/contact-us/</t>
        </is>
      </c>
      <c r="B16" s="37" t="n"/>
      <c r="C16" s="37" t="n">
        <v>0</v>
      </c>
      <c r="D16" s="37" t="n">
        <v>0</v>
      </c>
      <c r="E16">
        <f>IFERROR(HYPERLINK("#Main!A"&amp;MATCH(A16,Main!A:A,0),"Open"),HYPERLINK("#Main!A1","Open"))</f>
        <v/>
      </c>
    </row>
  </sheetData>
  <autoFilter ref="A1:D16"/>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chema Types Found" prompt="Structured data signal. Fix: add valid schema types and correct parsing/validation errors." type="custom">
      <formula1>TRUE</formula1>
    </dataValidation>
    <dataValidation sqref="C1" showDropDown="0" showInputMessage="1" showErrorMessage="0" allowBlank="1" promptTitle="Schema Types Count" prompt="Structured data signal. Fix: add valid schema types and correct parsing/validation errors." type="custom">
      <formula1>TRUE</formula1>
    </dataValidation>
    <dataValidation sqref="D1" showDropDown="0" showInputMessage="1" showErrorMessage="0" allowBlank="1" promptTitle="Schema Parse Errors" prompt="Structured data signal. Fix: add valid schema types and correct parsing/validation errors."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0" customWidth="1" min="2" max="2"/>
    <col width="16" customWidth="1" min="3" max="3"/>
    <col width="10" customWidth="1" min="4" max="4"/>
    <col width="21" customWidth="1" min="5" max="5"/>
    <col width="19" customWidth="1" min="6" max="6"/>
  </cols>
  <sheetData>
    <row r="1">
      <c r="A1" s="3" t="inlineStr">
        <is>
          <t>URL</t>
        </is>
      </c>
      <c r="B1" s="3" t="inlineStr">
        <is>
          <t>OG Title</t>
        </is>
      </c>
      <c r="C1" s="3" t="inlineStr">
        <is>
          <t>OG Description</t>
        </is>
      </c>
      <c r="D1" s="3" t="inlineStr">
        <is>
          <t>OG Image</t>
        </is>
      </c>
      <c r="E1" s="3" t="inlineStr">
        <is>
          <t>Open Graph Complete</t>
        </is>
      </c>
      <c r="F1" s="3" t="inlineStr">
        <is>
          <t>Twitter Card Type</t>
        </is>
      </c>
      <c r="G1" t="inlineStr">
        <is>
          <t>Open in Main</t>
        </is>
      </c>
      <c r="H1" s="36" t="inlineStr">
        <is>
          <t>BACK TO DASHBOARD</t>
        </is>
      </c>
    </row>
    <row r="2">
      <c r="A2" s="46" t="inlineStr">
        <is>
          <t>https://asconafrica.org/2026-ascon-awards/</t>
        </is>
      </c>
      <c r="B2" s="37" t="n"/>
      <c r="C2" s="37" t="n"/>
      <c r="D2" s="37" t="n"/>
      <c r="E2" s="50" t="b">
        <v>0</v>
      </c>
      <c r="F2" s="37" t="n"/>
      <c r="G2">
        <f>IFERROR(HYPERLINK("#Main!A"&amp;MATCH(A2,Main!A:A,0),"Open"),HYPERLINK("#Main!A1","Open"))</f>
        <v/>
      </c>
    </row>
    <row r="3">
      <c r="A3" s="46" t="inlineStr">
        <is>
          <t>https://asconafrica.org/</t>
        </is>
      </c>
      <c r="B3" s="6" t="n"/>
      <c r="C3" s="6" t="n"/>
      <c r="D3" s="6" t="n"/>
      <c r="E3" s="50" t="b">
        <v>0</v>
      </c>
      <c r="F3" s="6" t="n"/>
      <c r="G3">
        <f>IFERROR(HYPERLINK("#Main!A"&amp;MATCH(A3,Main!A:A,0),"Open"),HYPERLINK("#Main!A1","Open"))</f>
        <v/>
      </c>
    </row>
    <row r="4">
      <c r="A4" s="46" t="inlineStr">
        <is>
          <t>https://asconafrica.org/news/</t>
        </is>
      </c>
      <c r="B4" s="37" t="n"/>
      <c r="C4" s="37" t="n"/>
      <c r="D4" s="37" t="n"/>
      <c r="E4" s="50" t="b">
        <v>0</v>
      </c>
      <c r="F4" s="37" t="n"/>
      <c r="G4">
        <f>IFERROR(HYPERLINK("#Main!A"&amp;MATCH(A4,Main!A:A,0),"Open"),HYPERLINK("#Main!A1","Open"))</f>
        <v/>
      </c>
    </row>
    <row r="5">
      <c r="A5" s="46" t="inlineStr">
        <is>
          <t>https://asconafrica.org/our-members/</t>
        </is>
      </c>
      <c r="B5" s="6" t="n"/>
      <c r="C5" s="6" t="n"/>
      <c r="D5" s="6" t="n"/>
      <c r="E5" s="50" t="b">
        <v>0</v>
      </c>
      <c r="F5" s="6" t="n"/>
      <c r="G5">
        <f>IFERROR(HYPERLINK("#Main!A"&amp;MATCH(A5,Main!A:A,0),"Open"),HYPERLINK("#Main!A1","Open"))</f>
        <v/>
      </c>
    </row>
    <row r="6">
      <c r="A6" s="46" t="inlineStr">
        <is>
          <t>https://asconafrica.org/2026-ascon-conference/</t>
        </is>
      </c>
      <c r="B6" s="37" t="n"/>
      <c r="C6" s="37" t="n"/>
      <c r="D6" s="37" t="n"/>
      <c r="E6" s="50" t="b">
        <v>0</v>
      </c>
      <c r="F6" s="37" t="n"/>
      <c r="G6">
        <f>IFERROR(HYPERLINK("#Main!A"&amp;MATCH(A6,Main!A:A,0),"Open"),HYPERLINK("#Main!A1","Open"))</f>
        <v/>
      </c>
    </row>
    <row r="7">
      <c r="A7" s="46" t="inlineStr">
        <is>
          <t>https://asconafrica.org/about-us/</t>
        </is>
      </c>
      <c r="B7" s="6" t="n"/>
      <c r="C7" s="6" t="n"/>
      <c r="D7" s="6" t="n"/>
      <c r="E7" s="50" t="b">
        <v>0</v>
      </c>
      <c r="F7" s="6" t="n"/>
      <c r="G7">
        <f>IFERROR(HYPERLINK("#Main!A"&amp;MATCH(A7,Main!A:A,0),"Open"),HYPERLINK("#Main!A1","Open"))</f>
        <v/>
      </c>
    </row>
    <row r="8">
      <c r="A8" s="46" t="inlineStr">
        <is>
          <t>https://asconafrica.org/privacy-policy/</t>
        </is>
      </c>
      <c r="B8" s="37" t="n"/>
      <c r="C8" s="37" t="n"/>
      <c r="D8" s="37" t="n"/>
      <c r="E8" s="50" t="b">
        <v>0</v>
      </c>
      <c r="F8" s="37" t="n"/>
      <c r="G8">
        <f>IFERROR(HYPERLINK("#Main!A"&amp;MATCH(A8,Main!A:A,0),"Open"),HYPERLINK("#Main!A1","Open"))</f>
        <v/>
      </c>
    </row>
    <row r="9" ht="30" customHeight="1">
      <c r="A9" s="46" t="inlineStr">
        <is>
          <t>https://asconafrica.org/2026-ascon-conference/thank-you-for-signing-up/</t>
        </is>
      </c>
      <c r="B9" s="6" t="n"/>
      <c r="C9" s="6" t="n"/>
      <c r="D9" s="6" t="n"/>
      <c r="E9" s="50" t="b">
        <v>0</v>
      </c>
      <c r="F9" s="6" t="n"/>
      <c r="G9">
        <f>IFERROR(HYPERLINK("#Main!A"&amp;MATCH(A9,Main!A:A,0),"Open"),HYPERLINK("#Main!A1","Open"))</f>
        <v/>
      </c>
    </row>
    <row r="10" ht="30" customHeight="1">
      <c r="A10" s="46" t="inlineStr">
        <is>
          <t>https://asconafrica.org/thank-you-for-signing-up-for-updates/</t>
        </is>
      </c>
      <c r="B10" s="37" t="n"/>
      <c r="C10" s="37" t="n"/>
      <c r="D10" s="37" t="n"/>
      <c r="E10" s="50" t="b">
        <v>0</v>
      </c>
      <c r="F10" s="37" t="n"/>
      <c r="G10">
        <f>IFERROR(HYPERLINK("#Main!A"&amp;MATCH(A10,Main!A:A,0),"Open"),HYPERLINK("#Main!A1","Open"))</f>
        <v/>
      </c>
    </row>
    <row r="11" ht="45" customHeight="1">
      <c r="A11" s="46" t="inlineStr">
        <is>
          <t>https://asconafrica.org/launch-event-2026-ascon-conference/thank-you-for-registering-conference-launch/</t>
        </is>
      </c>
      <c r="B11" s="6" t="n"/>
      <c r="C11" s="6" t="n"/>
      <c r="D11" s="6" t="n"/>
      <c r="E11" s="50" t="b">
        <v>0</v>
      </c>
      <c r="F11" s="6" t="n"/>
      <c r="G11">
        <f>IFERROR(HYPERLINK("#Main!A"&amp;MATCH(A11,Main!A:A,0),"Open"),HYPERLINK("#Main!A1","Open"))</f>
        <v/>
      </c>
    </row>
    <row r="12" ht="30" customHeight="1">
      <c r="A12" s="46" t="inlineStr">
        <is>
          <t>https://asconafrica.org/launch-event-2026-ascon-conference/</t>
        </is>
      </c>
      <c r="B12" s="37" t="n"/>
      <c r="C12" s="37" t="n"/>
      <c r="D12" s="37" t="n"/>
      <c r="E12" s="50" t="b">
        <v>0</v>
      </c>
      <c r="F12" s="37" t="n"/>
      <c r="G12">
        <f>IFERROR(HYPERLINK("#Main!A"&amp;MATCH(A12,Main!A:A,0),"Open"),HYPERLINK("#Main!A1","Open"))</f>
        <v/>
      </c>
    </row>
    <row r="13" ht="30" customHeight="1">
      <c r="A13" s="46" t="inlineStr">
        <is>
          <t>https://asconafrica.org/2026-ascon-awards/thank-you-for-your-nomination/</t>
        </is>
      </c>
      <c r="B13" s="6" t="n"/>
      <c r="C13" s="6" t="n"/>
      <c r="D13" s="6" t="n"/>
      <c r="E13" s="50" t="b">
        <v>0</v>
      </c>
      <c r="F13" s="6" t="n"/>
      <c r="G13">
        <f>IFERROR(HYPERLINK("#Main!A"&amp;MATCH(A13,Main!A:A,0),"Open"),HYPERLINK("#Main!A1","Open"))</f>
        <v/>
      </c>
    </row>
    <row r="14">
      <c r="A14" s="46" t="inlineStr">
        <is>
          <t>https://asconafrica.org/unsubscribe-form/</t>
        </is>
      </c>
      <c r="B14" s="37" t="n"/>
      <c r="C14" s="37" t="n"/>
      <c r="D14" s="37" t="n"/>
      <c r="E14" s="50" t="b">
        <v>0</v>
      </c>
      <c r="F14" s="37" t="n"/>
      <c r="G14">
        <f>IFERROR(HYPERLINK("#Main!A"&amp;MATCH(A14,Main!A:A,0),"Open"),HYPERLINK("#Main!A1","Open"))</f>
        <v/>
      </c>
    </row>
    <row r="15" ht="30" customHeight="1">
      <c r="A15" s="46" t="inlineStr">
        <is>
          <t>https://asconafrica.org/unsubscribe-form/successfully-unsubscribed/</t>
        </is>
      </c>
      <c r="B15" s="6" t="n"/>
      <c r="C15" s="6" t="n"/>
      <c r="D15" s="6" t="n"/>
      <c r="E15" s="50" t="b">
        <v>0</v>
      </c>
      <c r="F15" s="6" t="n"/>
      <c r="G15">
        <f>IFERROR(HYPERLINK("#Main!A"&amp;MATCH(A15,Main!A:A,0),"Open"),HYPERLINK("#Main!A1","Open"))</f>
        <v/>
      </c>
    </row>
    <row r="16">
      <c r="A16" s="46" t="inlineStr">
        <is>
          <t>https://asconafrica.org/contact-us/</t>
        </is>
      </c>
      <c r="B16" s="37" t="n"/>
      <c r="C16" s="37" t="n"/>
      <c r="D16" s="37" t="n"/>
      <c r="E16" s="50" t="b">
        <v>0</v>
      </c>
      <c r="F16" s="37" t="n"/>
      <c r="G16">
        <f>IFERROR(HYPERLINK("#Main!A"&amp;MATCH(A16,Main!A:A,0),"Open"),HYPERLINK("#Main!A1","Open"))</f>
        <v/>
      </c>
    </row>
  </sheetData>
  <autoFilter ref="A1:F16"/>
  <dataValidations count="8">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OG Title" prompt="OG Title. Review this metric to identify risk, then use linked tabs for details and remediation." type="custom">
      <formula1>TRUE</formula1>
    </dataValidation>
    <dataValidation sqref="C1" showDropDown="0" showInputMessage="1" showErrorMessage="0" allowBlank="1" promptTitle="OG Description" prompt="OG Description. Review this metric to identify risk, then use linked tabs for details and remediation." type="custom">
      <formula1>TRUE</formula1>
    </dataValidation>
    <dataValidation sqref="D1" showDropDown="0" showInputMessage="1" showErrorMessage="0" allowBlank="1" promptTitle="OG Image" prompt="OG Image. Review this metric to identify risk, then use linked tabs for details and remediation." type="custom">
      <formula1>TRUE</formula1>
    </dataValidation>
    <dataValidation sqref="E1" showDropDown="0" showInputMessage="1" showErrorMessage="0" allowBlank="1" promptTitle="Open Graph Complete" prompt="Open Graph Complete. Review this metric to identify risk, then use linked tabs for details and remediation." type="custom">
      <formula1>TRUE</formula1>
    </dataValidation>
    <dataValidation sqref="F1" showDropDown="0" showInputMessage="1" showErrorMessage="0" allowBlank="1" promptTitle="Twitter Card Type" prompt="Twitter Card Type. Review this metric to identify risk, then use linked tabs for details and remediation." type="custom">
      <formula1>TRUE</formula1>
    </dataValidation>
    <dataValidation sqref="G1" showDropDown="0" showInputMessage="1" showErrorMessage="0" allowBlank="1" promptTitle="Open in Main" prompt="Navigation helper. Click to jump directly to the related record in another tab." type="custom">
      <formula1>TRUE</formula1>
    </dataValidation>
    <dataValidation sqref="H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H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7" customWidth="1" min="2" max="2"/>
    <col width="25" customWidth="1" min="3" max="3"/>
    <col width="24" customWidth="1" min="4" max="4"/>
    <col width="17" customWidth="1" min="5" max="5"/>
    <col width="17" customWidth="1" min="6" max="6"/>
    <col width="20" customWidth="1" min="7" max="7"/>
    <col width="23" customWidth="1" min="8" max="8"/>
    <col width="23" customWidth="1" min="9" max="9"/>
    <col width="24" customWidth="1" min="10" max="10"/>
    <col width="23" customWidth="1" min="11" max="11"/>
  </cols>
  <sheetData>
    <row r="1">
      <c r="A1" s="3" t="inlineStr">
        <is>
          <t>URL</t>
        </is>
      </c>
      <c r="B1" s="3" t="inlineStr">
        <is>
          <t>Strict-Transport-Security</t>
        </is>
      </c>
      <c r="C1" s="3" t="inlineStr">
        <is>
          <t>Content-Security-Policy</t>
        </is>
      </c>
      <c r="D1" s="3" t="inlineStr">
        <is>
          <t>X-Content-Type-Options</t>
        </is>
      </c>
      <c r="E1" s="3" t="inlineStr">
        <is>
          <t>X-Frame-Options</t>
        </is>
      </c>
      <c r="F1" s="3" t="inlineStr">
        <is>
          <t>Referrer-Policy</t>
        </is>
      </c>
      <c r="G1" s="3" t="inlineStr">
        <is>
          <t>Permissions-Policy</t>
        </is>
      </c>
      <c r="H1" s="3" t="inlineStr">
        <is>
          <t>Robots.txt Accessible</t>
        </is>
      </c>
      <c r="I1" s="3" t="inlineStr">
        <is>
          <t>Sitemap in Robots.txt</t>
        </is>
      </c>
      <c r="J1" s="3" t="inlineStr">
        <is>
          <t>Robots.txt Crawl-Delay</t>
        </is>
      </c>
      <c r="K1" s="3" t="inlineStr">
        <is>
          <t>Robots.txt Disallow /</t>
        </is>
      </c>
      <c r="L1" t="inlineStr">
        <is>
          <t>Open in Main</t>
        </is>
      </c>
      <c r="M1" s="36" t="inlineStr">
        <is>
          <t>BACK TO DASHBOARD</t>
        </is>
      </c>
    </row>
    <row r="2">
      <c r="A2" s="46" t="inlineStr">
        <is>
          <t>https://asconafrica.org/2026-ascon-awards/</t>
        </is>
      </c>
      <c r="B2" s="37" t="n"/>
      <c r="C2" s="37" t="n"/>
      <c r="D2" s="37" t="n"/>
      <c r="E2" s="37" t="n"/>
      <c r="F2" s="37" t="n"/>
      <c r="G2" s="37" t="n"/>
      <c r="H2" s="37" t="n"/>
      <c r="I2" s="37" t="n"/>
      <c r="J2" s="37" t="n"/>
      <c r="K2" s="37" t="n"/>
      <c r="L2">
        <f>IFERROR(HYPERLINK("#Main!A"&amp;MATCH(A2,Main!A:A,0),"Open"),HYPERLINK("#Main!A1","Open"))</f>
        <v/>
      </c>
    </row>
    <row r="3">
      <c r="A3" s="46" t="inlineStr">
        <is>
          <t>https://asconafrica.org/</t>
        </is>
      </c>
      <c r="B3" s="6" t="n"/>
      <c r="C3" s="6" t="n"/>
      <c r="D3" s="6" t="n"/>
      <c r="E3" s="6" t="n"/>
      <c r="F3" s="6" t="n"/>
      <c r="G3" s="6" t="n"/>
      <c r="H3" s="6" t="n"/>
      <c r="I3" s="6" t="n"/>
      <c r="J3" s="6" t="n"/>
      <c r="K3" s="6" t="n"/>
      <c r="L3">
        <f>IFERROR(HYPERLINK("#Main!A"&amp;MATCH(A3,Main!A:A,0),"Open"),HYPERLINK("#Main!A1","Open"))</f>
        <v/>
      </c>
    </row>
    <row r="4">
      <c r="A4" s="46" t="inlineStr">
        <is>
          <t>https://asconafrica.org/news/</t>
        </is>
      </c>
      <c r="B4" s="37" t="n"/>
      <c r="C4" s="37" t="n"/>
      <c r="D4" s="37" t="n"/>
      <c r="E4" s="37" t="n"/>
      <c r="F4" s="37" t="n"/>
      <c r="G4" s="37" t="n"/>
      <c r="H4" s="37" t="n"/>
      <c r="I4" s="37" t="n"/>
      <c r="J4" s="37" t="n"/>
      <c r="K4" s="37" t="n"/>
      <c r="L4">
        <f>IFERROR(HYPERLINK("#Main!A"&amp;MATCH(A4,Main!A:A,0),"Open"),HYPERLINK("#Main!A1","Open"))</f>
        <v/>
      </c>
    </row>
    <row r="5">
      <c r="A5" s="46" t="inlineStr">
        <is>
          <t>https://asconafrica.org/our-members/</t>
        </is>
      </c>
      <c r="B5" s="6" t="n"/>
      <c r="C5" s="6" t="n"/>
      <c r="D5" s="6" t="n"/>
      <c r="E5" s="6" t="n"/>
      <c r="F5" s="6" t="n"/>
      <c r="G5" s="6" t="n"/>
      <c r="H5" s="6" t="n"/>
      <c r="I5" s="6" t="n"/>
      <c r="J5" s="6" t="n"/>
      <c r="K5" s="6" t="n"/>
      <c r="L5">
        <f>IFERROR(HYPERLINK("#Main!A"&amp;MATCH(A5,Main!A:A,0),"Open"),HYPERLINK("#Main!A1","Open"))</f>
        <v/>
      </c>
    </row>
    <row r="6">
      <c r="A6" s="46" t="inlineStr">
        <is>
          <t>https://asconafrica.org/2026-ascon-conference/</t>
        </is>
      </c>
      <c r="B6" s="37" t="n"/>
      <c r="C6" s="37" t="n"/>
      <c r="D6" s="37" t="n"/>
      <c r="E6" s="37" t="n"/>
      <c r="F6" s="37" t="n"/>
      <c r="G6" s="37" t="n"/>
      <c r="H6" s="37" t="n"/>
      <c r="I6" s="37" t="n"/>
      <c r="J6" s="37" t="n"/>
      <c r="K6" s="37" t="n"/>
      <c r="L6">
        <f>IFERROR(HYPERLINK("#Main!A"&amp;MATCH(A6,Main!A:A,0),"Open"),HYPERLINK("#Main!A1","Open"))</f>
        <v/>
      </c>
    </row>
    <row r="7">
      <c r="A7" s="46" t="inlineStr">
        <is>
          <t>https://asconafrica.org/about-us/</t>
        </is>
      </c>
      <c r="B7" s="6" t="n"/>
      <c r="C7" s="6" t="n"/>
      <c r="D7" s="6" t="n"/>
      <c r="E7" s="6" t="n"/>
      <c r="F7" s="6" t="n"/>
      <c r="G7" s="6" t="n"/>
      <c r="H7" s="6" t="n"/>
      <c r="I7" s="6" t="n"/>
      <c r="J7" s="6" t="n"/>
      <c r="K7" s="6" t="n"/>
      <c r="L7">
        <f>IFERROR(HYPERLINK("#Main!A"&amp;MATCH(A7,Main!A:A,0),"Open"),HYPERLINK("#Main!A1","Open"))</f>
        <v/>
      </c>
    </row>
    <row r="8">
      <c r="A8" s="46" t="inlineStr">
        <is>
          <t>https://asconafrica.org/privacy-policy/</t>
        </is>
      </c>
      <c r="B8" s="37" t="n"/>
      <c r="C8" s="37" t="n"/>
      <c r="D8" s="37" t="n"/>
      <c r="E8" s="37" t="n"/>
      <c r="F8" s="37" t="n"/>
      <c r="G8" s="37" t="n"/>
      <c r="H8" s="37" t="n"/>
      <c r="I8" s="37" t="n"/>
      <c r="J8" s="37" t="n"/>
      <c r="K8" s="37" t="n"/>
      <c r="L8">
        <f>IFERROR(HYPERLINK("#Main!A"&amp;MATCH(A8,Main!A:A,0),"Open"),HYPERLINK("#Main!A1","Open"))</f>
        <v/>
      </c>
    </row>
    <row r="9" ht="30" customHeight="1">
      <c r="A9" s="46" t="inlineStr">
        <is>
          <t>https://asconafrica.org/2026-ascon-conference/thank-you-for-signing-up/</t>
        </is>
      </c>
      <c r="B9" s="6" t="n"/>
      <c r="C9" s="6" t="n"/>
      <c r="D9" s="6" t="n"/>
      <c r="E9" s="6" t="n"/>
      <c r="F9" s="6" t="n"/>
      <c r="G9" s="6" t="n"/>
      <c r="H9" s="6" t="n"/>
      <c r="I9" s="6" t="n"/>
      <c r="J9" s="6" t="n"/>
      <c r="K9" s="6" t="n"/>
      <c r="L9">
        <f>IFERROR(HYPERLINK("#Main!A"&amp;MATCH(A9,Main!A:A,0),"Open"),HYPERLINK("#Main!A1","Open"))</f>
        <v/>
      </c>
    </row>
    <row r="10" ht="30" customHeight="1">
      <c r="A10" s="46" t="inlineStr">
        <is>
          <t>https://asconafrica.org/thank-you-for-signing-up-for-updates/</t>
        </is>
      </c>
      <c r="B10" s="37" t="n"/>
      <c r="C10" s="37" t="n"/>
      <c r="D10" s="37" t="n"/>
      <c r="E10" s="37" t="n"/>
      <c r="F10" s="37" t="n"/>
      <c r="G10" s="37" t="n"/>
      <c r="H10" s="37" t="n"/>
      <c r="I10" s="37" t="n"/>
      <c r="J10" s="37" t="n"/>
      <c r="K10" s="37" t="n"/>
      <c r="L10">
        <f>IFERROR(HYPERLINK("#Main!A"&amp;MATCH(A10,Main!A:A,0),"Open"),HYPERLINK("#Main!A1","Open"))</f>
        <v/>
      </c>
    </row>
    <row r="11" ht="45" customHeight="1">
      <c r="A11" s="46" t="inlineStr">
        <is>
          <t>https://asconafrica.org/launch-event-2026-ascon-conference/thank-you-for-registering-conference-launch/</t>
        </is>
      </c>
      <c r="B11" s="6" t="n"/>
      <c r="C11" s="6" t="n"/>
      <c r="D11" s="6" t="n"/>
      <c r="E11" s="6" t="n"/>
      <c r="F11" s="6" t="n"/>
      <c r="G11" s="6" t="n"/>
      <c r="H11" s="6" t="n"/>
      <c r="I11" s="6" t="n"/>
      <c r="J11" s="6" t="n"/>
      <c r="K11" s="6" t="n"/>
      <c r="L11">
        <f>IFERROR(HYPERLINK("#Main!A"&amp;MATCH(A11,Main!A:A,0),"Open"),HYPERLINK("#Main!A1","Open"))</f>
        <v/>
      </c>
    </row>
    <row r="12" ht="30" customHeight="1">
      <c r="A12" s="46" t="inlineStr">
        <is>
          <t>https://asconafrica.org/launch-event-2026-ascon-conference/</t>
        </is>
      </c>
      <c r="B12" s="37" t="n"/>
      <c r="C12" s="37" t="n"/>
      <c r="D12" s="37" t="n"/>
      <c r="E12" s="37" t="n"/>
      <c r="F12" s="37" t="n"/>
      <c r="G12" s="37" t="n"/>
      <c r="H12" s="37" t="n"/>
      <c r="I12" s="37" t="n"/>
      <c r="J12" s="37" t="n"/>
      <c r="K12" s="37" t="n"/>
      <c r="L12">
        <f>IFERROR(HYPERLINK("#Main!A"&amp;MATCH(A12,Main!A:A,0),"Open"),HYPERLINK("#Main!A1","Open"))</f>
        <v/>
      </c>
    </row>
    <row r="13" ht="30" customHeight="1">
      <c r="A13" s="46" t="inlineStr">
        <is>
          <t>https://asconafrica.org/2026-ascon-awards/thank-you-for-your-nomination/</t>
        </is>
      </c>
      <c r="B13" s="6" t="n"/>
      <c r="C13" s="6" t="n"/>
      <c r="D13" s="6" t="n"/>
      <c r="E13" s="6" t="n"/>
      <c r="F13" s="6" t="n"/>
      <c r="G13" s="6" t="n"/>
      <c r="H13" s="6" t="n"/>
      <c r="I13" s="6" t="n"/>
      <c r="J13" s="6" t="n"/>
      <c r="K13" s="6" t="n"/>
      <c r="L13">
        <f>IFERROR(HYPERLINK("#Main!A"&amp;MATCH(A13,Main!A:A,0),"Open"),HYPERLINK("#Main!A1","Open"))</f>
        <v/>
      </c>
    </row>
    <row r="14">
      <c r="A14" s="46" t="inlineStr">
        <is>
          <t>https://asconafrica.org/unsubscribe-form/</t>
        </is>
      </c>
      <c r="B14" s="37" t="n"/>
      <c r="C14" s="37" t="n"/>
      <c r="D14" s="37" t="n"/>
      <c r="E14" s="37" t="n"/>
      <c r="F14" s="37" t="n"/>
      <c r="G14" s="37" t="n"/>
      <c r="H14" s="37" t="n"/>
      <c r="I14" s="37" t="n"/>
      <c r="J14" s="37" t="n"/>
      <c r="K14" s="37" t="n"/>
      <c r="L14">
        <f>IFERROR(HYPERLINK("#Main!A"&amp;MATCH(A14,Main!A:A,0),"Open"),HYPERLINK("#Main!A1","Open"))</f>
        <v/>
      </c>
    </row>
    <row r="15" ht="30" customHeight="1">
      <c r="A15" s="46" t="inlineStr">
        <is>
          <t>https://asconafrica.org/unsubscribe-form/successfully-unsubscribed/</t>
        </is>
      </c>
      <c r="B15" s="6" t="n"/>
      <c r="C15" s="6" t="n"/>
      <c r="D15" s="6" t="n"/>
      <c r="E15" s="6" t="n"/>
      <c r="F15" s="6" t="n"/>
      <c r="G15" s="6" t="n"/>
      <c r="H15" s="6" t="n"/>
      <c r="I15" s="6" t="n"/>
      <c r="J15" s="6" t="n"/>
      <c r="K15" s="6" t="n"/>
      <c r="L15">
        <f>IFERROR(HYPERLINK("#Main!A"&amp;MATCH(A15,Main!A:A,0),"Open"),HYPERLINK("#Main!A1","Open"))</f>
        <v/>
      </c>
    </row>
    <row r="16">
      <c r="A16" s="46" t="inlineStr">
        <is>
          <t>https://asconafrica.org/contact-us/</t>
        </is>
      </c>
      <c r="B16" s="37" t="n"/>
      <c r="C16" s="37" t="n"/>
      <c r="D16" s="37" t="n"/>
      <c r="E16" s="37" t="n"/>
      <c r="F16" s="37" t="n"/>
      <c r="G16" s="37" t="n"/>
      <c r="H16" s="37" t="n"/>
      <c r="I16" s="37" t="n"/>
      <c r="J16" s="37" t="n"/>
      <c r="K16" s="37" t="n"/>
      <c r="L16">
        <f>IFERROR(HYPERLINK("#Main!A"&amp;MATCH(A16,Main!A:A,0),"Open"),HYPERLINK("#Main!A1","Open"))</f>
        <v/>
      </c>
    </row>
  </sheetData>
  <autoFilter ref="A1:K16"/>
  <dataValidations count="13">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Strict-Transport-Security" prompt="Strict-Transport-Security. Review this metric to identify risk, then use linked tabs for details and remediation." type="custom">
      <formula1>TRUE</formula1>
    </dataValidation>
    <dataValidation sqref="C1" showDropDown="0" showInputMessage="1" showErrorMessage="0" allowBlank="1" promptTitle="Content-Security-Policy" prompt="Content-Security-Policy. Review this metric to identify risk, then use linked tabs for details and remediation." type="custom">
      <formula1>TRUE</formula1>
    </dataValidation>
    <dataValidation sqref="D1" showDropDown="0" showInputMessage="1" showErrorMessage="0" allowBlank="1" promptTitle="X-Content-Type-Options" prompt="X-Content-Type-Options. Review this metric to identify risk, then use linked tabs for details and remediation." type="custom">
      <formula1>TRUE</formula1>
    </dataValidation>
    <dataValidation sqref="E1" showDropDown="0" showInputMessage="1" showErrorMessage="0" allowBlank="1" promptTitle="X-Frame-Options" prompt="X-Frame-Options. Review this metric to identify risk, then use linked tabs for details and remediation." type="custom">
      <formula1>TRUE</formula1>
    </dataValidation>
    <dataValidation sqref="F1" showDropDown="0" showInputMessage="1" showErrorMessage="0" allowBlank="1" promptTitle="Referrer-Policy" prompt="Referrer-Policy. Review this metric to identify risk, then use linked tabs for details and remediation." type="custom">
      <formula1>TRUE</formula1>
    </dataValidation>
    <dataValidation sqref="G1" showDropDown="0" showInputMessage="1" showErrorMessage="0" allowBlank="1" promptTitle="Permissions-Policy" prompt="Permissions-Policy. Review this metric to identify risk, then use linked tabs for details and remediation." type="custom">
      <formula1>TRUE</formula1>
    </dataValidation>
    <dataValidation sqref="H1" showDropDown="0" showInputMessage="1" showErrorMessage="0" allowBlank="1" promptTitle="Robots.txt Accessible" prompt="Robots.txt Accessible. Review this metric to identify risk, then use linked tabs for details and remediation." type="custom">
      <formula1>TRUE</formula1>
    </dataValidation>
    <dataValidation sqref="I1" showDropDown="0" showInputMessage="1" showErrorMessage="0" allowBlank="1" promptTitle="Sitemap in Robots.txt" prompt="Sitemap in Robots.txt. Review this metric to identify risk, then use linked tabs for details and remediation." type="custom">
      <formula1>TRUE</formula1>
    </dataValidation>
    <dataValidation sqref="J1" showDropDown="0" showInputMessage="1" showErrorMessage="0" allowBlank="1" promptTitle="Robots.txt Crawl-Delay" prompt="Robots.txt Crawl-Delay. Review this metric to identify risk, then use linked tabs for details and remediation." type="custom">
      <formula1>TRUE</formula1>
    </dataValidation>
    <dataValidation sqref="K1" showDropDown="0" showInputMessage="1" showErrorMessage="0" allowBlank="1" promptTitle="Robots.txt Disallow /" prompt="Robots.txt Disallow /. Review this metric to identify risk, then use linked tabs for details and remediation." type="custom">
      <formula1>TRUE</formula1>
    </dataValidation>
    <dataValidation sqref="L1" showDropDown="0" showInputMessage="1" showErrorMessage="0" allowBlank="1" promptTitle="Open in Main" prompt="Navigation helper. Click to jump directly to the related record in another tab."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3" customWidth="1" min="2" max="2"/>
    <col width="34" customWidth="1" min="3" max="3"/>
    <col width="22" customWidth="1" min="4" max="4"/>
    <col width="21" customWidth="1" min="5" max="5"/>
  </cols>
  <sheetData>
    <row r="1">
      <c r="A1" s="1" t="inlineStr">
        <is>
          <t>URL</t>
        </is>
      </c>
      <c r="B1" s="1" t="inlineStr">
        <is>
          <t>Title Duplicate Count</t>
        </is>
      </c>
      <c r="C1" s="1" t="inlineStr">
        <is>
          <t>Meta Description Duplicate Count</t>
        </is>
      </c>
      <c r="D1" s="1" t="inlineStr">
        <is>
          <t>Title Duplicate URLs</t>
        </is>
      </c>
      <c r="E1" s="1" t="inlineStr">
        <is>
          <t>Meta Duplicate URLs</t>
        </is>
      </c>
      <c r="F1" t="inlineStr">
        <is>
          <t>Open in Main</t>
        </is>
      </c>
      <c r="G1" s="36" t="inlineStr">
        <is>
          <t>BACK TO DASHBOARD</t>
        </is>
      </c>
    </row>
    <row r="2">
      <c r="A2" s="46" t="inlineStr">
        <is>
          <t>https://asconafrica.org/2026-ascon-awards/</t>
        </is>
      </c>
      <c r="B2" s="37" t="n">
        <v>1</v>
      </c>
      <c r="C2" s="37" t="n">
        <v>1</v>
      </c>
      <c r="D2" s="40" t="inlineStr"/>
      <c r="E2" s="40" t="inlineStr"/>
      <c r="F2">
        <f>IFERROR(HYPERLINK("#Main!A"&amp;MATCH(A2,Main!A:A,0),"Open"),HYPERLINK("#Main!A1","Open"))</f>
        <v/>
      </c>
    </row>
    <row r="3">
      <c r="A3" s="46" t="inlineStr">
        <is>
          <t>https://asconafrica.org/</t>
        </is>
      </c>
      <c r="B3" s="6" t="n">
        <v>1</v>
      </c>
      <c r="C3" s="6" t="n">
        <v>1</v>
      </c>
      <c r="D3" s="43" t="inlineStr"/>
      <c r="E3" s="43" t="inlineStr"/>
      <c r="F3">
        <f>IFERROR(HYPERLINK("#Main!A"&amp;MATCH(A3,Main!A:A,0),"Open"),HYPERLINK("#Main!A1","Open"))</f>
        <v/>
      </c>
    </row>
    <row r="4">
      <c r="A4" s="46" t="inlineStr">
        <is>
          <t>https://asconafrica.org/news/</t>
        </is>
      </c>
      <c r="B4" s="37" t="n">
        <v>1</v>
      </c>
      <c r="C4" s="37" t="n">
        <v>1</v>
      </c>
      <c r="D4" s="40" t="inlineStr"/>
      <c r="E4" s="40" t="inlineStr"/>
      <c r="F4">
        <f>IFERROR(HYPERLINK("#Main!A"&amp;MATCH(A4,Main!A:A,0),"Open"),HYPERLINK("#Main!A1","Open"))</f>
        <v/>
      </c>
    </row>
    <row r="5">
      <c r="A5" s="46" t="inlineStr">
        <is>
          <t>https://asconafrica.org/our-members/</t>
        </is>
      </c>
      <c r="B5" s="6" t="n">
        <v>1</v>
      </c>
      <c r="C5" s="6" t="n">
        <v>1</v>
      </c>
      <c r="D5" s="43" t="inlineStr"/>
      <c r="E5" s="43" t="inlineStr"/>
      <c r="F5">
        <f>IFERROR(HYPERLINK("#Main!A"&amp;MATCH(A5,Main!A:A,0),"Open"),HYPERLINK("#Main!A1","Open"))</f>
        <v/>
      </c>
    </row>
    <row r="6">
      <c r="A6" s="46" t="inlineStr">
        <is>
          <t>https://asconafrica.org/2026-ascon-conference/</t>
        </is>
      </c>
      <c r="B6" s="37" t="n">
        <v>1</v>
      </c>
      <c r="C6" s="37" t="n">
        <v>1</v>
      </c>
      <c r="D6" s="40" t="inlineStr"/>
      <c r="E6" s="40" t="inlineStr"/>
      <c r="F6">
        <f>IFERROR(HYPERLINK("#Main!A"&amp;MATCH(A6,Main!A:A,0),"Open"),HYPERLINK("#Main!A1","Open"))</f>
        <v/>
      </c>
    </row>
    <row r="7">
      <c r="A7" s="46" t="inlineStr">
        <is>
          <t>https://asconafrica.org/about-us/</t>
        </is>
      </c>
      <c r="B7" s="6" t="n">
        <v>1</v>
      </c>
      <c r="C7" s="6" t="n">
        <v>1</v>
      </c>
      <c r="D7" s="43" t="inlineStr"/>
      <c r="E7" s="43" t="inlineStr"/>
      <c r="F7">
        <f>IFERROR(HYPERLINK("#Main!A"&amp;MATCH(A7,Main!A:A,0),"Open"),HYPERLINK("#Main!A1","Open"))</f>
        <v/>
      </c>
    </row>
    <row r="8">
      <c r="A8" s="46" t="inlineStr">
        <is>
          <t>https://asconafrica.org/privacy-policy/</t>
        </is>
      </c>
      <c r="B8" s="37" t="n">
        <v>1</v>
      </c>
      <c r="C8" s="37" t="n">
        <v>1</v>
      </c>
      <c r="D8" s="40" t="inlineStr"/>
      <c r="E8" s="40" t="inlineStr"/>
      <c r="F8">
        <f>IFERROR(HYPERLINK("#Main!A"&amp;MATCH(A8,Main!A:A,0),"Open"),HYPERLINK("#Main!A1","Open"))</f>
        <v/>
      </c>
    </row>
    <row r="9" ht="30" customHeight="1">
      <c r="A9" s="46" t="inlineStr">
        <is>
          <t>https://asconafrica.org/2026-ascon-conference/thank-you-for-signing-up/</t>
        </is>
      </c>
      <c r="B9" s="6" t="n">
        <v>1</v>
      </c>
      <c r="C9" s="6" t="n">
        <v>1</v>
      </c>
      <c r="D9" s="43" t="inlineStr"/>
      <c r="E9" s="43" t="inlineStr"/>
      <c r="F9">
        <f>IFERROR(HYPERLINK("#Main!A"&amp;MATCH(A9,Main!A:A,0),"Open"),HYPERLINK("#Main!A1","Open"))</f>
        <v/>
      </c>
    </row>
    <row r="10" ht="30" customHeight="1">
      <c r="A10" s="46" t="inlineStr">
        <is>
          <t>https://asconafrica.org/thank-you-for-signing-up-for-updates/</t>
        </is>
      </c>
      <c r="B10" s="37" t="n">
        <v>1</v>
      </c>
      <c r="C10" s="37" t="n">
        <v>1</v>
      </c>
      <c r="D10" s="40" t="inlineStr"/>
      <c r="E10" s="40" t="inlineStr"/>
      <c r="F10">
        <f>IFERROR(HYPERLINK("#Main!A"&amp;MATCH(A10,Main!A:A,0),"Open"),HYPERLINK("#Main!A1","Open"))</f>
        <v/>
      </c>
    </row>
    <row r="11" ht="45" customHeight="1">
      <c r="A11" s="46" t="inlineStr">
        <is>
          <t>https://asconafrica.org/launch-event-2026-ascon-conference/thank-you-for-registering-conference-launch/</t>
        </is>
      </c>
      <c r="B11" s="6" t="n">
        <v>1</v>
      </c>
      <c r="C11" s="6" t="n">
        <v>1</v>
      </c>
      <c r="D11" s="43" t="inlineStr"/>
      <c r="E11" s="43" t="inlineStr"/>
      <c r="F11">
        <f>IFERROR(HYPERLINK("#Main!A"&amp;MATCH(A11,Main!A:A,0),"Open"),HYPERLINK("#Main!A1","Open"))</f>
        <v/>
      </c>
    </row>
    <row r="12" ht="30" customHeight="1">
      <c r="A12" s="46" t="inlineStr">
        <is>
          <t>https://asconafrica.org/launch-event-2026-ascon-conference/</t>
        </is>
      </c>
      <c r="B12" s="37" t="n">
        <v>1</v>
      </c>
      <c r="C12" s="37" t="n">
        <v>1</v>
      </c>
      <c r="D12" s="40" t="inlineStr"/>
      <c r="E12" s="40" t="inlineStr"/>
      <c r="F12">
        <f>IFERROR(HYPERLINK("#Main!A"&amp;MATCH(A12,Main!A:A,0),"Open"),HYPERLINK("#Main!A1","Open"))</f>
        <v/>
      </c>
    </row>
    <row r="13" ht="30" customHeight="1">
      <c r="A13" s="46" t="inlineStr">
        <is>
          <t>https://asconafrica.org/2026-ascon-awards/thank-you-for-your-nomination/</t>
        </is>
      </c>
      <c r="B13" s="6" t="n">
        <v>1</v>
      </c>
      <c r="C13" s="6" t="n">
        <v>1</v>
      </c>
      <c r="D13" s="43" t="inlineStr"/>
      <c r="E13" s="43" t="inlineStr"/>
      <c r="F13">
        <f>IFERROR(HYPERLINK("#Main!A"&amp;MATCH(A13,Main!A:A,0),"Open"),HYPERLINK("#Main!A1","Open"))</f>
        <v/>
      </c>
    </row>
    <row r="14">
      <c r="A14" s="46" t="inlineStr">
        <is>
          <t>https://asconafrica.org/unsubscribe-form/</t>
        </is>
      </c>
      <c r="B14" s="37" t="n">
        <v>1</v>
      </c>
      <c r="C14" s="37" t="n">
        <v>1</v>
      </c>
      <c r="D14" s="40" t="inlineStr"/>
      <c r="E14" s="40" t="inlineStr"/>
      <c r="F14">
        <f>IFERROR(HYPERLINK("#Main!A"&amp;MATCH(A14,Main!A:A,0),"Open"),HYPERLINK("#Main!A1","Open"))</f>
        <v/>
      </c>
    </row>
    <row r="15" ht="30" customHeight="1">
      <c r="A15" s="46" t="inlineStr">
        <is>
          <t>https://asconafrica.org/unsubscribe-form/successfully-unsubscribed/</t>
        </is>
      </c>
      <c r="B15" s="6" t="n">
        <v>1</v>
      </c>
      <c r="C15" s="6" t="n">
        <v>1</v>
      </c>
      <c r="D15" s="43" t="inlineStr"/>
      <c r="E15" s="43" t="inlineStr"/>
      <c r="F15">
        <f>IFERROR(HYPERLINK("#Main!A"&amp;MATCH(A15,Main!A:A,0),"Open"),HYPERLINK("#Main!A1","Open"))</f>
        <v/>
      </c>
    </row>
    <row r="16">
      <c r="A16" s="46" t="inlineStr">
        <is>
          <t>https://asconafrica.org/contact-us/</t>
        </is>
      </c>
      <c r="B16" s="37" t="n">
        <v>1</v>
      </c>
      <c r="C16" s="37" t="n">
        <v>1</v>
      </c>
      <c r="D16" s="40" t="inlineStr"/>
      <c r="E16" s="40" t="inlineStr"/>
      <c r="F16">
        <f>IFERROR(HYPERLINK("#Main!A"&amp;MATCH(A16,Main!A:A,0),"Open"),HYPERLINK("#Main!A1","Open"))</f>
        <v/>
      </c>
    </row>
  </sheetData>
  <autoFilter ref="A1:E16"/>
  <dataValidations count="7">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Title Duplicate Count" prompt="Title Duplicate Count. Review this metric to identify risk, then use linked tabs for details and remediation." type="custom">
      <formula1>TRUE</formula1>
    </dataValidation>
    <dataValidation sqref="C1" showDropDown="0" showInputMessage="1" showErrorMessage="0" allowBlank="1" promptTitle="Meta Description Duplicate Count" prompt="Meta Description Duplicate Count. Review this metric to identify risk, then use linked tabs for details and remediation." type="custom">
      <formula1>TRUE</formula1>
    </dataValidation>
    <dataValidation sqref="D1" showDropDown="0" showInputMessage="1" showErrorMessage="0" allowBlank="1" promptTitle="Title Duplicate URLs" prompt="Title Duplicate URLs. Use this URL to inspect the page directly or jump to related tabs." type="custom">
      <formula1>TRUE</formula1>
    </dataValidation>
    <dataValidation sqref="E1" showDropDown="0" showInputMessage="1" showErrorMessage="0" allowBlank="1" promptTitle="Meta Duplicate URLs" prompt="Meta Duplicate URLs. Use this URL to inspect the page directly or jump to related tabs." type="custom">
      <formula1>TRUE</formula1>
    </dataValidation>
    <dataValidation sqref="F1" showDropDown="0" showInputMessage="1" showErrorMessage="0" allowBlank="1" promptTitle="Open in Main" prompt="Navigation helper. Click to jump directly to the related record in another tab." type="custom">
      <formula1>TRUE</formula1>
    </dataValidation>
    <dataValidation sqref="G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G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8" customWidth="1" min="1" max="1"/>
    <col width="55" customWidth="1" min="2" max="2"/>
    <col width="11" customWidth="1" min="3" max="3"/>
    <col width="26" customWidth="1" min="4" max="4"/>
    <col width="17" customWidth="1" min="5" max="5"/>
    <col width="17" customWidth="1" min="6" max="6"/>
    <col width="25" customWidth="1" min="7" max="7"/>
    <col width="60" customWidth="1" min="8" max="8"/>
    <col width="60" customWidth="1" min="9" max="9"/>
  </cols>
  <sheetData>
    <row r="1">
      <c r="A1" s="1" t="inlineStr">
        <is>
          <t>Path Segment</t>
        </is>
      </c>
      <c r="B1" s="1" t="inlineStr">
        <is>
          <t>Title Pattern</t>
        </is>
      </c>
      <c r="C1" s="1" t="inlineStr">
        <is>
          <t>URL Count</t>
        </is>
      </c>
      <c r="D1" s="1" t="inlineStr">
        <is>
          <t>Cluster Health Score Avg</t>
        </is>
      </c>
      <c r="E1" s="1" t="inlineStr">
        <is>
          <t>% with Critical</t>
        </is>
      </c>
      <c r="F1" s="1" t="inlineStr">
        <is>
          <t>% with Warnings</t>
        </is>
      </c>
      <c r="G1" s="1" t="inlineStr">
        <is>
          <t>Dominant Issue Type</t>
        </is>
      </c>
      <c r="H1" s="1" t="inlineStr">
        <is>
          <t>Suggested Template Fix</t>
        </is>
      </c>
      <c r="I1" s="1" t="inlineStr">
        <is>
          <t>URLs</t>
        </is>
      </c>
      <c r="J1" s="36" t="inlineStr">
        <is>
          <t>BACK TO DASHBOARD</t>
        </is>
      </c>
    </row>
    <row r="2">
      <c r="A2" s="37" t="inlineStr">
        <is>
          <t>2026-ascon-awards</t>
        </is>
      </c>
      <c r="B2" s="37" t="inlineStr">
        <is>
          <t>{n} ascon awards - ascon</t>
        </is>
      </c>
      <c r="C2" s="40" t="n">
        <v>1</v>
      </c>
      <c r="D2" s="37" t="n">
        <v>69</v>
      </c>
      <c r="E2" s="62" t="n">
        <v>0</v>
      </c>
      <c r="F2" s="63" t="n">
        <v>100</v>
      </c>
      <c r="G2" s="37" t="inlineStr">
        <is>
          <t>Low AEO Readiness Score</t>
        </is>
      </c>
      <c r="H2" s="37" t="inlineStr">
        <is>
          <t>Add short direct answer blocks, question-led headings, and answer-ready formatting.</t>
        </is>
      </c>
      <c r="I2" s="40" t="inlineStr">
        <is>
          <t>https://asconafrica.org/2026-ascon-awards/</t>
        </is>
      </c>
    </row>
    <row r="3">
      <c r="A3" s="6" t="inlineStr">
        <is>
          <t>(home)</t>
        </is>
      </c>
      <c r="B3" s="6" t="inlineStr">
        <is>
          <t>home page - ascon</t>
        </is>
      </c>
      <c r="C3" s="43" t="n">
        <v>1</v>
      </c>
      <c r="D3" s="6" t="n">
        <v>59</v>
      </c>
      <c r="E3" s="62" t="n">
        <v>0</v>
      </c>
      <c r="F3" s="63" t="n">
        <v>100</v>
      </c>
      <c r="G3" s="6" t="inlineStr">
        <is>
          <t>Missing H1</t>
        </is>
      </c>
      <c r="H3" s="6" t="inlineStr">
        <is>
          <t>Apply fix based on issue type and re-run audit.</t>
        </is>
      </c>
      <c r="I3" s="43" t="inlineStr">
        <is>
          <t>https://asconafrica.org/</t>
        </is>
      </c>
    </row>
    <row r="4">
      <c r="A4" s="37" t="inlineStr">
        <is>
          <t>news</t>
        </is>
      </c>
      <c r="B4" s="37" t="inlineStr">
        <is>
          <t>news - ascon</t>
        </is>
      </c>
      <c r="C4" s="40" t="n">
        <v>1</v>
      </c>
      <c r="D4" s="37" t="n">
        <v>59</v>
      </c>
      <c r="E4" s="62" t="n">
        <v>0</v>
      </c>
      <c r="F4" s="63" t="n">
        <v>100</v>
      </c>
      <c r="G4" s="37" t="inlineStr">
        <is>
          <t>Missing H1</t>
        </is>
      </c>
      <c r="H4" s="37" t="inlineStr">
        <is>
          <t>Apply fix based on issue type and re-run audit.</t>
        </is>
      </c>
      <c r="I4" s="40" t="inlineStr">
        <is>
          <t>https://asconafrica.org/news/</t>
        </is>
      </c>
    </row>
    <row r="5">
      <c r="A5" s="6" t="inlineStr">
        <is>
          <t>our-members</t>
        </is>
      </c>
      <c r="B5" s="6" t="inlineStr">
        <is>
          <t>our members - ascon</t>
        </is>
      </c>
      <c r="C5" s="43" t="n">
        <v>1</v>
      </c>
      <c r="D5" s="6" t="n">
        <v>59</v>
      </c>
      <c r="E5" s="62" t="n">
        <v>0</v>
      </c>
      <c r="F5" s="63" t="n">
        <v>100</v>
      </c>
      <c r="G5" s="6" t="inlineStr">
        <is>
          <t>Thin Content</t>
        </is>
      </c>
      <c r="H5" s="6" t="inlineStr">
        <is>
          <t>Expand page with helpful, unique, intent-matching content.</t>
        </is>
      </c>
      <c r="I5" s="43" t="inlineStr">
        <is>
          <t>https://asconafrica.org/our-members/</t>
        </is>
      </c>
    </row>
    <row r="6">
      <c r="A6" s="37" t="inlineStr">
        <is>
          <t>2026-ascon-conference</t>
        </is>
      </c>
      <c r="B6" s="37" t="inlineStr">
        <is>
          <t>{n} ascon conference - ascon</t>
        </is>
      </c>
      <c r="C6" s="40" t="n">
        <v>1</v>
      </c>
      <c r="D6" s="37" t="n">
        <v>69</v>
      </c>
      <c r="E6" s="62" t="n">
        <v>0</v>
      </c>
      <c r="F6" s="63" t="n">
        <v>100</v>
      </c>
      <c r="G6" s="37" t="inlineStr">
        <is>
          <t>Low AEO Readiness Score</t>
        </is>
      </c>
      <c r="H6" s="37" t="inlineStr">
        <is>
          <t>Add short direct answer blocks, question-led headings, and answer-ready formatting.</t>
        </is>
      </c>
      <c r="I6" s="40" t="inlineStr">
        <is>
          <t>https://asconafrica.org/2026-ascon-conference/</t>
        </is>
      </c>
    </row>
    <row r="7">
      <c r="A7" s="6" t="inlineStr">
        <is>
          <t>about-us</t>
        </is>
      </c>
      <c r="B7" s="6" t="inlineStr">
        <is>
          <t>about us - ascon</t>
        </is>
      </c>
      <c r="C7" s="43" t="n">
        <v>1</v>
      </c>
      <c r="D7" s="6" t="n">
        <v>69</v>
      </c>
      <c r="E7" s="62" t="n">
        <v>0</v>
      </c>
      <c r="F7" s="63" t="n">
        <v>100</v>
      </c>
      <c r="G7" s="6" t="inlineStr">
        <is>
          <t>Low AEO Readiness Score</t>
        </is>
      </c>
      <c r="H7" s="6" t="inlineStr">
        <is>
          <t>Add short direct answer blocks, question-led headings, and answer-ready formatting.</t>
        </is>
      </c>
      <c r="I7" s="43" t="inlineStr">
        <is>
          <t>https://asconafrica.org/about-us/</t>
        </is>
      </c>
    </row>
    <row r="8">
      <c r="A8" s="37" t="inlineStr">
        <is>
          <t>privacy-policy</t>
        </is>
      </c>
      <c r="B8" s="37" t="inlineStr">
        <is>
          <t>privacy policy - ascon</t>
        </is>
      </c>
      <c r="C8" s="40" t="n">
        <v>1</v>
      </c>
      <c r="D8" s="37" t="n">
        <v>65</v>
      </c>
      <c r="E8" s="62" t="n">
        <v>0</v>
      </c>
      <c r="F8" s="63" t="n">
        <v>100</v>
      </c>
      <c r="G8" s="37" t="inlineStr">
        <is>
          <t>Missing H1</t>
        </is>
      </c>
      <c r="H8" s="37" t="inlineStr">
        <is>
          <t>Apply fix based on issue type and re-run audit.</t>
        </is>
      </c>
      <c r="I8" s="40" t="inlineStr">
        <is>
          <t>https://asconafrica.org/privacy-policy/</t>
        </is>
      </c>
    </row>
    <row r="9">
      <c r="A9" s="6" t="inlineStr">
        <is>
          <t>2026-ascon-conference</t>
        </is>
      </c>
      <c r="B9" s="6" t="inlineStr">
        <is>
          <t>thank you for signing up – ascon conference - ascon</t>
        </is>
      </c>
      <c r="C9" s="43" t="n">
        <v>1</v>
      </c>
      <c r="D9" s="6" t="n">
        <v>59</v>
      </c>
      <c r="E9" s="62" t="n">
        <v>0</v>
      </c>
      <c r="F9" s="63" t="n">
        <v>100</v>
      </c>
      <c r="G9" s="6" t="inlineStr">
        <is>
          <t>Low AEO Readiness Score</t>
        </is>
      </c>
      <c r="H9" s="6" t="inlineStr">
        <is>
          <t>Add short direct answer blocks, question-led headings, and answer-ready formatting.</t>
        </is>
      </c>
      <c r="I9" s="43" t="inlineStr">
        <is>
          <t>https://asconafrica.org/2026-ascon-conference/thank-you-for-signing-up/</t>
        </is>
      </c>
    </row>
    <row r="10">
      <c r="A10" s="37" t="inlineStr">
        <is>
          <t>thank-you-for-signing-up-for-updates</t>
        </is>
      </c>
      <c r="B10" s="37" t="inlineStr">
        <is>
          <t>thank you for signing up for updates - ascon</t>
        </is>
      </c>
      <c r="C10" s="40" t="n">
        <v>1</v>
      </c>
      <c r="D10" s="37" t="n">
        <v>59</v>
      </c>
      <c r="E10" s="62" t="n">
        <v>0</v>
      </c>
      <c r="F10" s="63" t="n">
        <v>100</v>
      </c>
      <c r="G10" s="37" t="inlineStr">
        <is>
          <t>Thin Content</t>
        </is>
      </c>
      <c r="H10" s="37" t="inlineStr">
        <is>
          <t>Expand page with helpful, unique, intent-matching content.</t>
        </is>
      </c>
      <c r="I10" s="40" t="inlineStr">
        <is>
          <t>https://asconafrica.org/thank-you-for-signing-up-for-updates/</t>
        </is>
      </c>
    </row>
    <row r="11">
      <c r="A11" s="6" t="inlineStr">
        <is>
          <t>launch-event-2026-ascon-conference</t>
        </is>
      </c>
      <c r="B11" s="6" t="inlineStr">
        <is>
          <t>thank you for registering – conference launch - ascon</t>
        </is>
      </c>
      <c r="C11" s="43" t="n">
        <v>1</v>
      </c>
      <c r="D11" s="6" t="n">
        <v>59</v>
      </c>
      <c r="E11" s="62" t="n">
        <v>0</v>
      </c>
      <c r="F11" s="63" t="n">
        <v>100</v>
      </c>
      <c r="G11" s="6" t="inlineStr">
        <is>
          <t>Thin Content</t>
        </is>
      </c>
      <c r="H11" s="6" t="inlineStr">
        <is>
          <t>Expand page with helpful, unique, intent-matching content.</t>
        </is>
      </c>
      <c r="I11" s="43" t="inlineStr">
        <is>
          <t>https://asconafrica.org/launch-event-2026-ascon-conference/thank-you-for-registering-conference-launch/</t>
        </is>
      </c>
    </row>
    <row r="12">
      <c r="A12" s="37" t="inlineStr">
        <is>
          <t>launch-event-2026-ascon-conference</t>
        </is>
      </c>
      <c r="B12" s="37" t="inlineStr">
        <is>
          <t>launch event – {n} ascon conference - ascon</t>
        </is>
      </c>
      <c r="C12" s="40" t="n">
        <v>1</v>
      </c>
      <c r="D12" s="37" t="n">
        <v>69</v>
      </c>
      <c r="E12" s="62" t="n">
        <v>0</v>
      </c>
      <c r="F12" s="63" t="n">
        <v>100</v>
      </c>
      <c r="G12" s="37" t="inlineStr">
        <is>
          <t>Low AEO Readiness Score</t>
        </is>
      </c>
      <c r="H12" s="37" t="inlineStr">
        <is>
          <t>Add short direct answer blocks, question-led headings, and answer-ready formatting.</t>
        </is>
      </c>
      <c r="I12" s="40" t="inlineStr">
        <is>
          <t>https://asconafrica.org/launch-event-2026-ascon-conference/</t>
        </is>
      </c>
    </row>
    <row r="13">
      <c r="A13" s="6" t="inlineStr">
        <is>
          <t>2026-ascon-awards</t>
        </is>
      </c>
      <c r="B13" s="6" t="inlineStr">
        <is>
          <t>thank you for your nomination – ascon awards - ascon</t>
        </is>
      </c>
      <c r="C13" s="43" t="n">
        <v>1</v>
      </c>
      <c r="D13" s="6" t="n">
        <v>59</v>
      </c>
      <c r="E13" s="62" t="n">
        <v>0</v>
      </c>
      <c r="F13" s="63" t="n">
        <v>100</v>
      </c>
      <c r="G13" s="6" t="inlineStr">
        <is>
          <t>Low AEO Readiness Score</t>
        </is>
      </c>
      <c r="H13" s="6" t="inlineStr">
        <is>
          <t>Add short direct answer blocks, question-led headings, and answer-ready formatting.</t>
        </is>
      </c>
      <c r="I13" s="43" t="inlineStr">
        <is>
          <t>https://asconafrica.org/2026-ascon-awards/thank-you-for-your-nomination/</t>
        </is>
      </c>
    </row>
    <row r="14">
      <c r="A14" s="37" t="inlineStr">
        <is>
          <t>unsubscribe-form</t>
        </is>
      </c>
      <c r="B14" s="37" t="inlineStr">
        <is>
          <t>unsubscribe form - ascon</t>
        </is>
      </c>
      <c r="C14" s="40" t="n">
        <v>1</v>
      </c>
      <c r="D14" s="37" t="n">
        <v>49</v>
      </c>
      <c r="E14" s="62" t="n">
        <v>0</v>
      </c>
      <c r="F14" s="63" t="n">
        <v>100</v>
      </c>
      <c r="G14" s="37" t="inlineStr">
        <is>
          <t>Missing H1</t>
        </is>
      </c>
      <c r="H14" s="37" t="inlineStr">
        <is>
          <t>Apply fix based on issue type and re-run audit.</t>
        </is>
      </c>
      <c r="I14" s="40" t="inlineStr">
        <is>
          <t>https://asconafrica.org/unsubscribe-form/</t>
        </is>
      </c>
    </row>
    <row r="15">
      <c r="A15" s="6" t="inlineStr">
        <is>
          <t>unsubscribe-form</t>
        </is>
      </c>
      <c r="B15" s="6" t="inlineStr">
        <is>
          <t>successfully unsubscribed - ascon</t>
        </is>
      </c>
      <c r="C15" s="43" t="n">
        <v>1</v>
      </c>
      <c r="D15" s="6" t="n">
        <v>49</v>
      </c>
      <c r="E15" s="62" t="n">
        <v>0</v>
      </c>
      <c r="F15" s="63" t="n">
        <v>100</v>
      </c>
      <c r="G15" s="6" t="inlineStr">
        <is>
          <t>Missing H1</t>
        </is>
      </c>
      <c r="H15" s="6" t="inlineStr">
        <is>
          <t>Apply fix based on issue type and re-run audit.</t>
        </is>
      </c>
      <c r="I15" s="43" t="inlineStr">
        <is>
          <t>https://asconafrica.org/unsubscribe-form/successfully-unsubscribed/</t>
        </is>
      </c>
    </row>
    <row r="16">
      <c r="A16" s="37" t="inlineStr">
        <is>
          <t>contact-us</t>
        </is>
      </c>
      <c r="B16" s="37" t="inlineStr">
        <is>
          <t>contact us - ascon</t>
        </is>
      </c>
      <c r="C16" s="40" t="n">
        <v>1</v>
      </c>
      <c r="D16" s="37" t="n">
        <v>49</v>
      </c>
      <c r="E16" s="62" t="n">
        <v>0</v>
      </c>
      <c r="F16" s="63" t="n">
        <v>100</v>
      </c>
      <c r="G16" s="37" t="inlineStr">
        <is>
          <t>Missing H1</t>
        </is>
      </c>
      <c r="H16" s="37" t="inlineStr">
        <is>
          <t>Apply fix based on issue type and re-run audit.</t>
        </is>
      </c>
      <c r="I16" s="40" t="inlineStr">
        <is>
          <t>https://asconafrica.org/contact-us/</t>
        </is>
      </c>
    </row>
  </sheetData>
  <autoFilter ref="A1:I16"/>
  <dataValidations count="10">
    <dataValidation sqref="A1" showDropDown="0" showInputMessage="1" showErrorMessage="0" allowBlank="1" promptTitle="Path Segment" prompt="Path Segment. Review this metric to identify risk, then use linked tabs for details and remediation." type="custom">
      <formula1>TRUE</formula1>
    </dataValidation>
    <dataValidation sqref="B1" showDropDown="0" showInputMessage="1" showErrorMessage="0" allowBlank="1" promptTitle="Title Pattern" prompt="Title Pattern. Review this metric to identify risk, then use linked tabs for details and remediation." type="custom">
      <formula1>TRUE</formula1>
    </dataValidation>
    <dataValidation sqref="C1" showDropDown="0" showInputMessage="1" showErrorMessage="0" allowBlank="1" promptTitle="URL Count" prompt="URL Count. Use this URL to inspect the page directly or jump to related tabs." type="custom">
      <formula1>TRUE</formula1>
    </dataValidation>
    <dataValidation sqref="D1" showDropDown="0" showInputMessage="1" showErrorMessage="0" allowBlank="1" promptTitle="Cluster Health Score Avg" prompt="Composite SEO quality score for this URL. Higher is better. Guide: 90+ strong, 70-89 needs tuning, below 70 high priority." type="custom">
      <formula1>TRUE</formula1>
    </dataValidation>
    <dataValidation sqref="E1" showDropDown="0" showInputMessage="1" showErrorMessage="0" allowBlank="1" promptTitle="% with Critical" prompt="% with Critical. Review this metric to identify risk, then use linked tabs for details and remediation." type="custom">
      <formula1>TRUE</formula1>
    </dataValidation>
    <dataValidation sqref="F1" showDropDown="0" showInputMessage="1" showErrorMessage="0" allowBlank="1" promptTitle="% with Warnings" prompt="% with Warnings. Review this metric to identify risk, then use linked tabs for details and remediation." type="custom">
      <formula1>TRUE</formula1>
    </dataValidation>
    <dataValidation sqref="G1" showDropDown="0" showInputMessage="1" showErrorMessage="0" allowBlank="1" promptTitle="Dominant Issue Type" prompt="Dominant Issue Type. Review this metric to identify risk, then use linked tabs for details and remediation." type="custom">
      <formula1>TRUE</formula1>
    </dataValidation>
    <dataValidation sqref="H1" showDropDown="0" showInputMessage="1" showErrorMessage="0" allowBlank="1" promptTitle="Suggested Template Fix" prompt="Suggested Template Fix. Review this metric to identify risk, then use linked tabs for details and remediation." type="custom">
      <formula1>TRUE</formula1>
    </dataValidation>
    <dataValidation sqref="I1" showDropDown="0" showInputMessage="1" showErrorMessage="0" allowBlank="1" promptTitle="URLs" prompt="URLs. Use this URL to inspect the page directly or jump to related tabs." type="custom">
      <formula1>TRUE</formula1>
    </dataValidation>
    <dataValidation sqref="J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J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1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33" customWidth="1" min="2" max="2"/>
    <col width="10" customWidth="1" min="3" max="3"/>
    <col width="15" customWidth="1" min="4" max="4"/>
    <col width="60" customWidth="1" min="5" max="5"/>
    <col width="13" customWidth="1" min="6" max="6"/>
    <col width="8" customWidth="1" min="7" max="7"/>
    <col width="8" customWidth="1" min="8" max="8"/>
  </cols>
  <sheetData>
    <row r="1">
      <c r="A1" s="1" t="inlineStr">
        <is>
          <t>URL</t>
        </is>
      </c>
      <c r="B1" s="1" t="inlineStr">
        <is>
          <t>Issue</t>
        </is>
      </c>
      <c r="C1" s="1" t="inlineStr">
        <is>
          <t>Severity</t>
        </is>
      </c>
      <c r="D1" s="1" t="inlineStr">
        <is>
          <t>Reference Tab</t>
        </is>
      </c>
      <c r="E1" s="1" t="inlineStr">
        <is>
          <t>Stable Issue ID</t>
        </is>
      </c>
      <c r="F1" s="1" t="inlineStr">
        <is>
          <t>Owner</t>
        </is>
      </c>
      <c r="G1" s="1" t="inlineStr">
        <is>
          <t>Status</t>
        </is>
      </c>
      <c r="H1" s="1" t="inlineStr">
        <is>
          <t>Sprint</t>
        </is>
      </c>
      <c r="I1" t="inlineStr">
        <is>
          <t>Open in Main</t>
        </is>
      </c>
      <c r="J1" t="inlineStr">
        <is>
          <t>Open in Reference</t>
        </is>
      </c>
      <c r="K1" s="36" t="inlineStr">
        <is>
          <t>BACK TO DASHBOARD</t>
        </is>
      </c>
    </row>
    <row r="2">
      <c r="A2" s="46" t="inlineStr">
        <is>
          <t>https://asconafrica.org/2026-ascon-awards/</t>
        </is>
      </c>
      <c r="B2" s="39" t="inlineStr">
        <is>
          <t>Low AEO Readiness Score</t>
        </is>
      </c>
      <c r="C2" s="38" t="inlineStr">
        <is>
          <t>Warning</t>
        </is>
      </c>
      <c r="D2" s="37" t="inlineStr">
        <is>
          <t>AEO</t>
        </is>
      </c>
      <c r="E2" s="41" t="inlineStr">
        <is>
          <t>https://asconafrica.org/2026-ascon-awards/::low_aeo_readiness_score</t>
        </is>
      </c>
      <c r="F2" s="37" t="inlineStr">
        <is>
          <t>Copy Writer</t>
        </is>
      </c>
      <c r="G2" s="45" t="inlineStr">
        <is>
          <t>Open</t>
        </is>
      </c>
      <c r="H2" s="37" t="inlineStr"/>
      <c r="I2">
        <f>IFERROR(HYPERLINK("#Main!A"&amp;MATCH(A2,Main!A:A,0),"Open"),HYPERLINK("#Main!A1","Open"))</f>
        <v/>
      </c>
      <c r="J2">
        <f>IFERROR(HYPERLINK("#"&amp;D2&amp;"!A"&amp;MATCH(A2,INDIRECT("'"&amp;D2&amp;"'!A:A"),0),"Open"),HYPERLINK("#"&amp;D2&amp;"!A1","Open"))</f>
        <v/>
      </c>
    </row>
    <row r="3">
      <c r="A3" s="46" t="inlineStr">
        <is>
          <t>https://asconafrica.org/2026-ascon-awards/</t>
        </is>
      </c>
      <c r="B3" s="39" t="inlineStr">
        <is>
          <t>No Compression Header</t>
        </is>
      </c>
      <c r="C3" s="42" t="inlineStr">
        <is>
          <t>Info</t>
        </is>
      </c>
      <c r="D3" s="6" t="inlineStr">
        <is>
          <t>Technical</t>
        </is>
      </c>
      <c r="E3" s="44" t="inlineStr">
        <is>
          <t>https://asconafrica.org/2026-ascon-awards/::no_compression_header</t>
        </is>
      </c>
      <c r="F3" s="6" t="inlineStr">
        <is>
          <t>Server/Host</t>
        </is>
      </c>
      <c r="G3" s="45" t="inlineStr">
        <is>
          <t>Open</t>
        </is>
      </c>
      <c r="H3" s="6" t="inlineStr"/>
      <c r="I3">
        <f>IFERROR(HYPERLINK("#Main!A"&amp;MATCH(A3,Main!A:A,0),"Open"),HYPERLINK("#Main!A1","Open"))</f>
        <v/>
      </c>
      <c r="J3">
        <f>IFERROR(HYPERLINK("#"&amp;D3&amp;"!A"&amp;MATCH(A3,INDIRECT("'"&amp;D3&amp;"'!A:A"),0),"Open"),HYPERLINK("#"&amp;D3&amp;"!A1","Open"))</f>
        <v/>
      </c>
    </row>
    <row r="4">
      <c r="A4" s="46" t="inlineStr">
        <is>
          <t>https://asconafrica.org/2026-ascon-awards/</t>
        </is>
      </c>
      <c r="B4" s="39" t="inlineStr">
        <is>
          <t>No Cache-Control Header</t>
        </is>
      </c>
      <c r="C4" s="42" t="inlineStr">
        <is>
          <t>Info</t>
        </is>
      </c>
      <c r="D4" s="37" t="inlineStr">
        <is>
          <t>Technical</t>
        </is>
      </c>
      <c r="E4" s="41" t="inlineStr">
        <is>
          <t>https://asconafrica.org/2026-ascon-awards/::no_cache-control_header</t>
        </is>
      </c>
      <c r="F4" s="37" t="inlineStr">
        <is>
          <t>Server/Host</t>
        </is>
      </c>
      <c r="G4" s="45" t="inlineStr">
        <is>
          <t>Open</t>
        </is>
      </c>
      <c r="H4" s="37" t="inlineStr"/>
      <c r="I4">
        <f>IFERROR(HYPERLINK("#Main!A"&amp;MATCH(A4,Main!A:A,0),"Open"),HYPERLINK("#Main!A1","Open"))</f>
        <v/>
      </c>
      <c r="J4">
        <f>IFERROR(HYPERLINK("#"&amp;D4&amp;"!A"&amp;MATCH(A4,INDIRECT("'"&amp;D4&amp;"'!A:A"),0),"Open"),HYPERLINK("#"&amp;D4&amp;"!A1","Open"))</f>
        <v/>
      </c>
    </row>
    <row r="5">
      <c r="A5" s="46" t="inlineStr">
        <is>
          <t>https://asconafrica.org/2026-ascon-awards/</t>
        </is>
      </c>
      <c r="B5" s="39" t="inlineStr">
        <is>
          <t>No ETag Header</t>
        </is>
      </c>
      <c r="C5" s="42" t="inlineStr">
        <is>
          <t>Info</t>
        </is>
      </c>
      <c r="D5" s="6" t="inlineStr">
        <is>
          <t>Technical</t>
        </is>
      </c>
      <c r="E5" s="44" t="inlineStr">
        <is>
          <t>https://asconafrica.org/2026-ascon-awards/::no_etag_header</t>
        </is>
      </c>
      <c r="F5" s="6" t="inlineStr">
        <is>
          <t>Server/Host</t>
        </is>
      </c>
      <c r="G5" s="45" t="inlineStr">
        <is>
          <t>Open</t>
        </is>
      </c>
      <c r="H5" s="6" t="inlineStr"/>
      <c r="I5">
        <f>IFERROR(HYPERLINK("#Main!A"&amp;MATCH(A5,Main!A:A,0),"Open"),HYPERLINK("#Main!A1","Open"))</f>
        <v/>
      </c>
      <c r="J5">
        <f>IFERROR(HYPERLINK("#"&amp;D5&amp;"!A"&amp;MATCH(A5,INDIRECT("'"&amp;D5&amp;"'!A:A"),0),"Open"),HYPERLINK("#"&amp;D5&amp;"!A1","Open"))</f>
        <v/>
      </c>
    </row>
    <row r="6">
      <c r="A6" s="46" t="inlineStr">
        <is>
          <t>https://asconafrica.org/2026-ascon-awards/</t>
        </is>
      </c>
      <c r="B6" s="39" t="inlineStr">
        <is>
          <t>No FAQ/QA Schema</t>
        </is>
      </c>
      <c r="C6" s="42" t="inlineStr">
        <is>
          <t>Info</t>
        </is>
      </c>
      <c r="D6" s="37" t="inlineStr">
        <is>
          <t>AEO</t>
        </is>
      </c>
      <c r="E6" s="41" t="inlineStr">
        <is>
          <t>https://asconafrica.org/2026-ascon-awards/::no_faq_qa_schema</t>
        </is>
      </c>
      <c r="F6" s="37" t="inlineStr">
        <is>
          <t>Dev</t>
        </is>
      </c>
      <c r="G6" s="45" t="inlineStr">
        <is>
          <t>Open</t>
        </is>
      </c>
      <c r="H6" s="37" t="inlineStr"/>
      <c r="I6">
        <f>IFERROR(HYPERLINK("#Main!A"&amp;MATCH(A6,Main!A:A,0),"Open"),HYPERLINK("#Main!A1","Open"))</f>
        <v/>
      </c>
      <c r="J6">
        <f>IFERROR(HYPERLINK("#"&amp;D6&amp;"!A"&amp;MATCH(A6,INDIRECT("'"&amp;D6&amp;"'!A:A"),0),"Open"),HYPERLINK("#"&amp;D6&amp;"!A1","Open"))</f>
        <v/>
      </c>
    </row>
    <row r="7">
      <c r="A7" s="46" t="inlineStr">
        <is>
          <t>https://asconafrica.org/2026-ascon-awards/</t>
        </is>
      </c>
      <c r="B7" s="39" t="inlineStr">
        <is>
          <t>No Question Headings</t>
        </is>
      </c>
      <c r="C7" s="42" t="inlineStr">
        <is>
          <t>Info</t>
        </is>
      </c>
      <c r="D7" s="6" t="inlineStr">
        <is>
          <t>AEO</t>
        </is>
      </c>
      <c r="E7" s="44" t="inlineStr">
        <is>
          <t>https://asconafrica.org/2026-ascon-awards/::no_question_headings</t>
        </is>
      </c>
      <c r="F7" s="6" t="inlineStr">
        <is>
          <t>Copy Writer</t>
        </is>
      </c>
      <c r="G7" s="45" t="inlineStr">
        <is>
          <t>Open</t>
        </is>
      </c>
      <c r="H7" s="6" t="inlineStr"/>
      <c r="I7">
        <f>IFERROR(HYPERLINK("#Main!A"&amp;MATCH(A7,Main!A:A,0),"Open"),HYPERLINK("#Main!A1","Open"))</f>
        <v/>
      </c>
      <c r="J7">
        <f>IFERROR(HYPERLINK("#"&amp;D7&amp;"!A"&amp;MATCH(A7,INDIRECT("'"&amp;D7&amp;"'!A:A"),0),"Open"),HYPERLINK("#"&amp;D7&amp;"!A1","Open"))</f>
        <v/>
      </c>
    </row>
    <row r="8">
      <c r="A8" s="46" t="inlineStr">
        <is>
          <t>https://asconafrica.org/2026-ascon-awards/</t>
        </is>
      </c>
      <c r="B8" s="39" t="inlineStr">
        <is>
          <t>No Answer-Friendly Structure</t>
        </is>
      </c>
      <c r="C8" s="42" t="inlineStr">
        <is>
          <t>Info</t>
        </is>
      </c>
      <c r="D8" s="37" t="inlineStr">
        <is>
          <t>Technical</t>
        </is>
      </c>
      <c r="E8" s="41" t="inlineStr">
        <is>
          <t>https://asconafrica.org/2026-ascon-awards/::no_answer-friendly_structure</t>
        </is>
      </c>
      <c r="F8" s="37" t="inlineStr">
        <is>
          <t>Copy Writer</t>
        </is>
      </c>
      <c r="G8" s="45" t="inlineStr">
        <is>
          <t>Open</t>
        </is>
      </c>
      <c r="H8" s="37" t="inlineStr"/>
      <c r="I8">
        <f>IFERROR(HYPERLINK("#Main!A"&amp;MATCH(A8,Main!A:A,0),"Open"),HYPERLINK("#Main!A1","Open"))</f>
        <v/>
      </c>
      <c r="J8">
        <f>IFERROR(HYPERLINK("#"&amp;D8&amp;"!A"&amp;MATCH(A8,INDIRECT("'"&amp;D8&amp;"'!A:A"),0),"Open"),HYPERLINK("#"&amp;D8&amp;"!A1","Open"))</f>
        <v/>
      </c>
    </row>
    <row r="9">
      <c r="A9" s="46" t="inlineStr">
        <is>
          <t>https://asconafrica.org/2026-ascon-awards/</t>
        </is>
      </c>
      <c r="B9" s="39" t="inlineStr">
        <is>
          <t>No 40-60 Word Answer Paragraphs</t>
        </is>
      </c>
      <c r="C9" s="42" t="inlineStr">
        <is>
          <t>Info</t>
        </is>
      </c>
      <c r="D9" s="6" t="inlineStr">
        <is>
          <t>Technical</t>
        </is>
      </c>
      <c r="E9" s="44" t="inlineStr">
        <is>
          <t>https://asconafrica.org/2026-ascon-awards/::no_40-60_word_answer_paragraphs</t>
        </is>
      </c>
      <c r="F9" s="6" t="inlineStr">
        <is>
          <t>Copy Writer</t>
        </is>
      </c>
      <c r="G9" s="45" t="inlineStr">
        <is>
          <t>Open</t>
        </is>
      </c>
      <c r="H9" s="6" t="inlineStr"/>
      <c r="I9">
        <f>IFERROR(HYPERLINK("#Main!A"&amp;MATCH(A9,Main!A:A,0),"Open"),HYPERLINK("#Main!A1","Open"))</f>
        <v/>
      </c>
      <c r="J9">
        <f>IFERROR(HYPERLINK("#"&amp;D9&amp;"!A"&amp;MATCH(A9,INDIRECT("'"&amp;D9&amp;"'!A:A"),0),"Open"),HYPERLINK("#"&amp;D9&amp;"!A1","Open"))</f>
        <v/>
      </c>
    </row>
    <row r="10">
      <c r="A10" s="46" t="inlineStr">
        <is>
          <t>https://asconafrica.org/</t>
        </is>
      </c>
      <c r="B10" s="39" t="inlineStr">
        <is>
          <t>Missing H1</t>
        </is>
      </c>
      <c r="C10" s="38" t="inlineStr">
        <is>
          <t>Warning</t>
        </is>
      </c>
      <c r="D10" s="37" t="inlineStr">
        <is>
          <t>Technical</t>
        </is>
      </c>
      <c r="E10" s="41" t="inlineStr">
        <is>
          <t>https://asconafrica.org/::missing_h1</t>
        </is>
      </c>
      <c r="F10" s="37" t="inlineStr">
        <is>
          <t>Copy Writer</t>
        </is>
      </c>
      <c r="G10" s="45" t="inlineStr">
        <is>
          <t>Open</t>
        </is>
      </c>
      <c r="H10" s="37" t="inlineStr"/>
      <c r="I10">
        <f>IFERROR(HYPERLINK("#Main!A"&amp;MATCH(A10,Main!A:A,0),"Open"),HYPERLINK("#Main!A1","Open"))</f>
        <v/>
      </c>
      <c r="J10">
        <f>IFERROR(HYPERLINK("#"&amp;D10&amp;"!A"&amp;MATCH(A10,INDIRECT("'"&amp;D10&amp;"'!A:A"),0),"Open"),HYPERLINK("#"&amp;D10&amp;"!A1","Open"))</f>
        <v/>
      </c>
    </row>
    <row r="11">
      <c r="A11" s="46" t="inlineStr">
        <is>
          <t>https://asconafrica.org/</t>
        </is>
      </c>
      <c r="B11" s="39" t="inlineStr">
        <is>
          <t>Low AEO Readiness Score</t>
        </is>
      </c>
      <c r="C11" s="38" t="inlineStr">
        <is>
          <t>Warning</t>
        </is>
      </c>
      <c r="D11" s="6" t="inlineStr">
        <is>
          <t>AEO</t>
        </is>
      </c>
      <c r="E11" s="44" t="inlineStr">
        <is>
          <t>https://asconafrica.org/::low_aeo_readiness_score</t>
        </is>
      </c>
      <c r="F11" s="6" t="inlineStr">
        <is>
          <t>Copy Writer</t>
        </is>
      </c>
      <c r="G11" s="45" t="inlineStr">
        <is>
          <t>Open</t>
        </is>
      </c>
      <c r="H11" s="6" t="inlineStr"/>
      <c r="I11">
        <f>IFERROR(HYPERLINK("#Main!A"&amp;MATCH(A11,Main!A:A,0),"Open"),HYPERLINK("#Main!A1","Open"))</f>
        <v/>
      </c>
      <c r="J11">
        <f>IFERROR(HYPERLINK("#"&amp;D11&amp;"!A"&amp;MATCH(A11,INDIRECT("'"&amp;D11&amp;"'!A:A"),0),"Open"),HYPERLINK("#"&amp;D11&amp;"!A1","Open"))</f>
        <v/>
      </c>
    </row>
    <row r="12">
      <c r="A12" s="46" t="inlineStr">
        <is>
          <t>https://asconafrica.org/</t>
        </is>
      </c>
      <c r="B12" s="39" t="inlineStr">
        <is>
          <t>No Compression Header</t>
        </is>
      </c>
      <c r="C12" s="42" t="inlineStr">
        <is>
          <t>Info</t>
        </is>
      </c>
      <c r="D12" s="37" t="inlineStr">
        <is>
          <t>Technical</t>
        </is>
      </c>
      <c r="E12" s="41" t="inlineStr">
        <is>
          <t>https://asconafrica.org/::no_compression_header</t>
        </is>
      </c>
      <c r="F12" s="37" t="inlineStr">
        <is>
          <t>Server/Host</t>
        </is>
      </c>
      <c r="G12" s="45" t="inlineStr">
        <is>
          <t>Open</t>
        </is>
      </c>
      <c r="H12" s="37" t="inlineStr"/>
      <c r="I12">
        <f>IFERROR(HYPERLINK("#Main!A"&amp;MATCH(A12,Main!A:A,0),"Open"),HYPERLINK("#Main!A1","Open"))</f>
        <v/>
      </c>
      <c r="J12">
        <f>IFERROR(HYPERLINK("#"&amp;D12&amp;"!A"&amp;MATCH(A12,INDIRECT("'"&amp;D12&amp;"'!A:A"),0),"Open"),HYPERLINK("#"&amp;D12&amp;"!A1","Open"))</f>
        <v/>
      </c>
    </row>
    <row r="13">
      <c r="A13" s="46" t="inlineStr">
        <is>
          <t>https://asconafrica.org/</t>
        </is>
      </c>
      <c r="B13" s="39" t="inlineStr">
        <is>
          <t>No Cache-Control Header</t>
        </is>
      </c>
      <c r="C13" s="42" t="inlineStr">
        <is>
          <t>Info</t>
        </is>
      </c>
      <c r="D13" s="6" t="inlineStr">
        <is>
          <t>Technical</t>
        </is>
      </c>
      <c r="E13" s="44" t="inlineStr">
        <is>
          <t>https://asconafrica.org/::no_cache-control_header</t>
        </is>
      </c>
      <c r="F13" s="6" t="inlineStr">
        <is>
          <t>Server/Host</t>
        </is>
      </c>
      <c r="G13" s="45" t="inlineStr">
        <is>
          <t>Open</t>
        </is>
      </c>
      <c r="H13" s="6" t="inlineStr"/>
      <c r="I13">
        <f>IFERROR(HYPERLINK("#Main!A"&amp;MATCH(A13,Main!A:A,0),"Open"),HYPERLINK("#Main!A1","Open"))</f>
        <v/>
      </c>
      <c r="J13">
        <f>IFERROR(HYPERLINK("#"&amp;D13&amp;"!A"&amp;MATCH(A13,INDIRECT("'"&amp;D13&amp;"'!A:A"),0),"Open"),HYPERLINK("#"&amp;D13&amp;"!A1","Open"))</f>
        <v/>
      </c>
    </row>
    <row r="14">
      <c r="A14" s="46" t="inlineStr">
        <is>
          <t>https://asconafrica.org/</t>
        </is>
      </c>
      <c r="B14" s="39" t="inlineStr">
        <is>
          <t>No ETag Header</t>
        </is>
      </c>
      <c r="C14" s="42" t="inlineStr">
        <is>
          <t>Info</t>
        </is>
      </c>
      <c r="D14" s="37" t="inlineStr">
        <is>
          <t>Technical</t>
        </is>
      </c>
      <c r="E14" s="41" t="inlineStr">
        <is>
          <t>https://asconafrica.org/::no_etag_header</t>
        </is>
      </c>
      <c r="F14" s="37" t="inlineStr">
        <is>
          <t>Server/Host</t>
        </is>
      </c>
      <c r="G14" s="45" t="inlineStr">
        <is>
          <t>Open</t>
        </is>
      </c>
      <c r="H14" s="37" t="inlineStr"/>
      <c r="I14">
        <f>IFERROR(HYPERLINK("#Main!A"&amp;MATCH(A14,Main!A:A,0),"Open"),HYPERLINK("#Main!A1","Open"))</f>
        <v/>
      </c>
      <c r="J14">
        <f>IFERROR(HYPERLINK("#"&amp;D14&amp;"!A"&amp;MATCH(A14,INDIRECT("'"&amp;D14&amp;"'!A:A"),0),"Open"),HYPERLINK("#"&amp;D14&amp;"!A1","Open"))</f>
        <v/>
      </c>
    </row>
    <row r="15">
      <c r="A15" s="46" t="inlineStr">
        <is>
          <t>https://asconafrica.org/</t>
        </is>
      </c>
      <c r="B15" s="39" t="inlineStr">
        <is>
          <t>No FAQ/QA Schema</t>
        </is>
      </c>
      <c r="C15" s="42" t="inlineStr">
        <is>
          <t>Info</t>
        </is>
      </c>
      <c r="D15" s="6" t="inlineStr">
        <is>
          <t>AEO</t>
        </is>
      </c>
      <c r="E15" s="44" t="inlineStr">
        <is>
          <t>https://asconafrica.org/::no_faq_qa_schema</t>
        </is>
      </c>
      <c r="F15" s="6" t="inlineStr">
        <is>
          <t>Dev</t>
        </is>
      </c>
      <c r="G15" s="45" t="inlineStr">
        <is>
          <t>Open</t>
        </is>
      </c>
      <c r="H15" s="6" t="inlineStr"/>
      <c r="I15">
        <f>IFERROR(HYPERLINK("#Main!A"&amp;MATCH(A15,Main!A:A,0),"Open"),HYPERLINK("#Main!A1","Open"))</f>
        <v/>
      </c>
      <c r="J15">
        <f>IFERROR(HYPERLINK("#"&amp;D15&amp;"!A"&amp;MATCH(A15,INDIRECT("'"&amp;D15&amp;"'!A:A"),0),"Open"),HYPERLINK("#"&amp;D15&amp;"!A1","Open"))</f>
        <v/>
      </c>
    </row>
    <row r="16">
      <c r="A16" s="46" t="inlineStr">
        <is>
          <t>https://asconafrica.org/</t>
        </is>
      </c>
      <c r="B16" s="39" t="inlineStr">
        <is>
          <t>No Question Headings</t>
        </is>
      </c>
      <c r="C16" s="42" t="inlineStr">
        <is>
          <t>Info</t>
        </is>
      </c>
      <c r="D16" s="37" t="inlineStr">
        <is>
          <t>AEO</t>
        </is>
      </c>
      <c r="E16" s="41" t="inlineStr">
        <is>
          <t>https://asconafrica.org/::no_question_headings</t>
        </is>
      </c>
      <c r="F16" s="37" t="inlineStr">
        <is>
          <t>Copy Writer</t>
        </is>
      </c>
      <c r="G16" s="45" t="inlineStr">
        <is>
          <t>Open</t>
        </is>
      </c>
      <c r="H16" s="37" t="inlineStr"/>
      <c r="I16">
        <f>IFERROR(HYPERLINK("#Main!A"&amp;MATCH(A16,Main!A:A,0),"Open"),HYPERLINK("#Main!A1","Open"))</f>
        <v/>
      </c>
      <c r="J16">
        <f>IFERROR(HYPERLINK("#"&amp;D16&amp;"!A"&amp;MATCH(A16,INDIRECT("'"&amp;D16&amp;"'!A:A"),0),"Open"),HYPERLINK("#"&amp;D16&amp;"!A1","Open"))</f>
        <v/>
      </c>
    </row>
    <row r="17">
      <c r="A17" s="46" t="inlineStr">
        <is>
          <t>https://asconafrica.org/</t>
        </is>
      </c>
      <c r="B17" s="39" t="inlineStr">
        <is>
          <t>No Answer-Friendly Structure</t>
        </is>
      </c>
      <c r="C17" s="42" t="inlineStr">
        <is>
          <t>Info</t>
        </is>
      </c>
      <c r="D17" s="6" t="inlineStr">
        <is>
          <t>Technical</t>
        </is>
      </c>
      <c r="E17" s="44" t="inlineStr">
        <is>
          <t>https://asconafrica.org/::no_answer-friendly_structure</t>
        </is>
      </c>
      <c r="F17" s="6" t="inlineStr">
        <is>
          <t>Copy Writer</t>
        </is>
      </c>
      <c r="G17" s="45" t="inlineStr">
        <is>
          <t>Open</t>
        </is>
      </c>
      <c r="H17" s="6" t="inlineStr"/>
      <c r="I17">
        <f>IFERROR(HYPERLINK("#Main!A"&amp;MATCH(A17,Main!A:A,0),"Open"),HYPERLINK("#Main!A1","Open"))</f>
        <v/>
      </c>
      <c r="J17">
        <f>IFERROR(HYPERLINK("#"&amp;D17&amp;"!A"&amp;MATCH(A17,INDIRECT("'"&amp;D17&amp;"'!A:A"),0),"Open"),HYPERLINK("#"&amp;D17&amp;"!A1","Open"))</f>
        <v/>
      </c>
    </row>
    <row r="18">
      <c r="A18" s="46" t="inlineStr">
        <is>
          <t>https://asconafrica.org/</t>
        </is>
      </c>
      <c r="B18" s="39" t="inlineStr">
        <is>
          <t>No 40-60 Word Answer Paragraphs</t>
        </is>
      </c>
      <c r="C18" s="42" t="inlineStr">
        <is>
          <t>Info</t>
        </is>
      </c>
      <c r="D18" s="37" t="inlineStr">
        <is>
          <t>Technical</t>
        </is>
      </c>
      <c r="E18" s="41" t="inlineStr">
        <is>
          <t>https://asconafrica.org/::no_40-60_word_answer_paragraphs</t>
        </is>
      </c>
      <c r="F18" s="37" t="inlineStr">
        <is>
          <t>Copy Writer</t>
        </is>
      </c>
      <c r="G18" s="45" t="inlineStr">
        <is>
          <t>Open</t>
        </is>
      </c>
      <c r="H18" s="37" t="inlineStr"/>
      <c r="I18">
        <f>IFERROR(HYPERLINK("#Main!A"&amp;MATCH(A18,Main!A:A,0),"Open"),HYPERLINK("#Main!A1","Open"))</f>
        <v/>
      </c>
      <c r="J18">
        <f>IFERROR(HYPERLINK("#"&amp;D18&amp;"!A"&amp;MATCH(A18,INDIRECT("'"&amp;D18&amp;"'!A:A"),0),"Open"),HYPERLINK("#"&amp;D18&amp;"!A1","Open"))</f>
        <v/>
      </c>
    </row>
    <row r="19">
      <c r="A19" s="46" t="inlineStr">
        <is>
          <t>https://asconafrica.org/news/</t>
        </is>
      </c>
      <c r="B19" s="39" t="inlineStr">
        <is>
          <t>Missing H1</t>
        </is>
      </c>
      <c r="C19" s="38" t="inlineStr">
        <is>
          <t>Warning</t>
        </is>
      </c>
      <c r="D19" s="6" t="inlineStr">
        <is>
          <t>Technical</t>
        </is>
      </c>
      <c r="E19" s="44" t="inlineStr">
        <is>
          <t>https://asconafrica.org/news/::missing_h1</t>
        </is>
      </c>
      <c r="F19" s="6" t="inlineStr">
        <is>
          <t>Copy Writer</t>
        </is>
      </c>
      <c r="G19" s="45" t="inlineStr">
        <is>
          <t>Open</t>
        </is>
      </c>
      <c r="H19" s="6" t="inlineStr"/>
      <c r="I19">
        <f>IFERROR(HYPERLINK("#Main!A"&amp;MATCH(A19,Main!A:A,0),"Open"),HYPERLINK("#Main!A1","Open"))</f>
        <v/>
      </c>
      <c r="J19">
        <f>IFERROR(HYPERLINK("#"&amp;D19&amp;"!A"&amp;MATCH(A19,INDIRECT("'"&amp;D19&amp;"'!A:A"),0),"Open"),HYPERLINK("#"&amp;D19&amp;"!A1","Open"))</f>
        <v/>
      </c>
    </row>
    <row r="20">
      <c r="A20" s="46" t="inlineStr">
        <is>
          <t>https://asconafrica.org/news/</t>
        </is>
      </c>
      <c r="B20" s="39" t="inlineStr">
        <is>
          <t>Low AEO Readiness Score</t>
        </is>
      </c>
      <c r="C20" s="38" t="inlineStr">
        <is>
          <t>Warning</t>
        </is>
      </c>
      <c r="D20" s="37" t="inlineStr">
        <is>
          <t>AEO</t>
        </is>
      </c>
      <c r="E20" s="41" t="inlineStr">
        <is>
          <t>https://asconafrica.org/news/::low_aeo_readiness_score</t>
        </is>
      </c>
      <c r="F20" s="37" t="inlineStr">
        <is>
          <t>Copy Writer</t>
        </is>
      </c>
      <c r="G20" s="45" t="inlineStr">
        <is>
          <t>Open</t>
        </is>
      </c>
      <c r="H20" s="37" t="inlineStr"/>
      <c r="I20">
        <f>IFERROR(HYPERLINK("#Main!A"&amp;MATCH(A20,Main!A:A,0),"Open"),HYPERLINK("#Main!A1","Open"))</f>
        <v/>
      </c>
      <c r="J20">
        <f>IFERROR(HYPERLINK("#"&amp;D20&amp;"!A"&amp;MATCH(A20,INDIRECT("'"&amp;D20&amp;"'!A:A"),0),"Open"),HYPERLINK("#"&amp;D20&amp;"!A1","Open"))</f>
        <v/>
      </c>
    </row>
    <row r="21">
      <c r="A21" s="46" t="inlineStr">
        <is>
          <t>https://asconafrica.org/news/</t>
        </is>
      </c>
      <c r="B21" s="39" t="inlineStr">
        <is>
          <t>No Compression Header</t>
        </is>
      </c>
      <c r="C21" s="42" t="inlineStr">
        <is>
          <t>Info</t>
        </is>
      </c>
      <c r="D21" s="6" t="inlineStr">
        <is>
          <t>Technical</t>
        </is>
      </c>
      <c r="E21" s="44" t="inlineStr">
        <is>
          <t>https://asconafrica.org/news/::no_compression_header</t>
        </is>
      </c>
      <c r="F21" s="6" t="inlineStr">
        <is>
          <t>Server/Host</t>
        </is>
      </c>
      <c r="G21" s="45" t="inlineStr">
        <is>
          <t>Open</t>
        </is>
      </c>
      <c r="H21" s="6" t="inlineStr"/>
      <c r="I21">
        <f>IFERROR(HYPERLINK("#Main!A"&amp;MATCH(A21,Main!A:A,0),"Open"),HYPERLINK("#Main!A1","Open"))</f>
        <v/>
      </c>
      <c r="J21">
        <f>IFERROR(HYPERLINK("#"&amp;D21&amp;"!A"&amp;MATCH(A21,INDIRECT("'"&amp;D21&amp;"'!A:A"),0),"Open"),HYPERLINK("#"&amp;D21&amp;"!A1","Open"))</f>
        <v/>
      </c>
    </row>
    <row r="22">
      <c r="A22" s="46" t="inlineStr">
        <is>
          <t>https://asconafrica.org/news/</t>
        </is>
      </c>
      <c r="B22" s="39" t="inlineStr">
        <is>
          <t>No Cache-Control Header</t>
        </is>
      </c>
      <c r="C22" s="42" t="inlineStr">
        <is>
          <t>Info</t>
        </is>
      </c>
      <c r="D22" s="37" t="inlineStr">
        <is>
          <t>Technical</t>
        </is>
      </c>
      <c r="E22" s="41" t="inlineStr">
        <is>
          <t>https://asconafrica.org/news/::no_cache-control_header</t>
        </is>
      </c>
      <c r="F22" s="37" t="inlineStr">
        <is>
          <t>Server/Host</t>
        </is>
      </c>
      <c r="G22" s="45" t="inlineStr">
        <is>
          <t>Open</t>
        </is>
      </c>
      <c r="H22" s="37" t="inlineStr"/>
      <c r="I22">
        <f>IFERROR(HYPERLINK("#Main!A"&amp;MATCH(A22,Main!A:A,0),"Open"),HYPERLINK("#Main!A1","Open"))</f>
        <v/>
      </c>
      <c r="J22">
        <f>IFERROR(HYPERLINK("#"&amp;D22&amp;"!A"&amp;MATCH(A22,INDIRECT("'"&amp;D22&amp;"'!A:A"),0),"Open"),HYPERLINK("#"&amp;D22&amp;"!A1","Open"))</f>
        <v/>
      </c>
    </row>
    <row r="23">
      <c r="A23" s="46" t="inlineStr">
        <is>
          <t>https://asconafrica.org/news/</t>
        </is>
      </c>
      <c r="B23" s="39" t="inlineStr">
        <is>
          <t>No ETag Header</t>
        </is>
      </c>
      <c r="C23" s="42" t="inlineStr">
        <is>
          <t>Info</t>
        </is>
      </c>
      <c r="D23" s="6" t="inlineStr">
        <is>
          <t>Technical</t>
        </is>
      </c>
      <c r="E23" s="44" t="inlineStr">
        <is>
          <t>https://asconafrica.org/news/::no_etag_header</t>
        </is>
      </c>
      <c r="F23" s="6" t="inlineStr">
        <is>
          <t>Server/Host</t>
        </is>
      </c>
      <c r="G23" s="45" t="inlineStr">
        <is>
          <t>Open</t>
        </is>
      </c>
      <c r="H23" s="6" t="inlineStr"/>
      <c r="I23">
        <f>IFERROR(HYPERLINK("#Main!A"&amp;MATCH(A23,Main!A:A,0),"Open"),HYPERLINK("#Main!A1","Open"))</f>
        <v/>
      </c>
      <c r="J23">
        <f>IFERROR(HYPERLINK("#"&amp;D23&amp;"!A"&amp;MATCH(A23,INDIRECT("'"&amp;D23&amp;"'!A:A"),0),"Open"),HYPERLINK("#"&amp;D23&amp;"!A1","Open"))</f>
        <v/>
      </c>
    </row>
    <row r="24">
      <c r="A24" s="46" t="inlineStr">
        <is>
          <t>https://asconafrica.org/news/</t>
        </is>
      </c>
      <c r="B24" s="39" t="inlineStr">
        <is>
          <t>No FAQ/QA Schema</t>
        </is>
      </c>
      <c r="C24" s="42" t="inlineStr">
        <is>
          <t>Info</t>
        </is>
      </c>
      <c r="D24" s="37" t="inlineStr">
        <is>
          <t>AEO</t>
        </is>
      </c>
      <c r="E24" s="41" t="inlineStr">
        <is>
          <t>https://asconafrica.org/news/::no_faq_qa_schema</t>
        </is>
      </c>
      <c r="F24" s="37" t="inlineStr">
        <is>
          <t>Dev</t>
        </is>
      </c>
      <c r="G24" s="45" t="inlineStr">
        <is>
          <t>Open</t>
        </is>
      </c>
      <c r="H24" s="37" t="inlineStr"/>
      <c r="I24">
        <f>IFERROR(HYPERLINK("#Main!A"&amp;MATCH(A24,Main!A:A,0),"Open"),HYPERLINK("#Main!A1","Open"))</f>
        <v/>
      </c>
      <c r="J24">
        <f>IFERROR(HYPERLINK("#"&amp;D24&amp;"!A"&amp;MATCH(A24,INDIRECT("'"&amp;D24&amp;"'!A:A"),0),"Open"),HYPERLINK("#"&amp;D24&amp;"!A1","Open"))</f>
        <v/>
      </c>
    </row>
    <row r="25">
      <c r="A25" s="46" t="inlineStr">
        <is>
          <t>https://asconafrica.org/news/</t>
        </is>
      </c>
      <c r="B25" s="39" t="inlineStr">
        <is>
          <t>No Question Headings</t>
        </is>
      </c>
      <c r="C25" s="42" t="inlineStr">
        <is>
          <t>Info</t>
        </is>
      </c>
      <c r="D25" s="6" t="inlineStr">
        <is>
          <t>AEO</t>
        </is>
      </c>
      <c r="E25" s="44" t="inlineStr">
        <is>
          <t>https://asconafrica.org/news/::no_question_headings</t>
        </is>
      </c>
      <c r="F25" s="6" t="inlineStr">
        <is>
          <t>Copy Writer</t>
        </is>
      </c>
      <c r="G25" s="45" t="inlineStr">
        <is>
          <t>Open</t>
        </is>
      </c>
      <c r="H25" s="6" t="inlineStr"/>
      <c r="I25">
        <f>IFERROR(HYPERLINK("#Main!A"&amp;MATCH(A25,Main!A:A,0),"Open"),HYPERLINK("#Main!A1","Open"))</f>
        <v/>
      </c>
      <c r="J25">
        <f>IFERROR(HYPERLINK("#"&amp;D25&amp;"!A"&amp;MATCH(A25,INDIRECT("'"&amp;D25&amp;"'!A:A"),0),"Open"),HYPERLINK("#"&amp;D25&amp;"!A1","Open"))</f>
        <v/>
      </c>
    </row>
    <row r="26">
      <c r="A26" s="46" t="inlineStr">
        <is>
          <t>https://asconafrica.org/news/</t>
        </is>
      </c>
      <c r="B26" s="39" t="inlineStr">
        <is>
          <t>No Answer-Friendly Structure</t>
        </is>
      </c>
      <c r="C26" s="42" t="inlineStr">
        <is>
          <t>Info</t>
        </is>
      </c>
      <c r="D26" s="37" t="inlineStr">
        <is>
          <t>Technical</t>
        </is>
      </c>
      <c r="E26" s="41" t="inlineStr">
        <is>
          <t>https://asconafrica.org/news/::no_answer-friendly_structure</t>
        </is>
      </c>
      <c r="F26" s="37" t="inlineStr">
        <is>
          <t>Copy Writer</t>
        </is>
      </c>
      <c r="G26" s="45" t="inlineStr">
        <is>
          <t>Open</t>
        </is>
      </c>
      <c r="H26" s="37" t="inlineStr"/>
      <c r="I26">
        <f>IFERROR(HYPERLINK("#Main!A"&amp;MATCH(A26,Main!A:A,0),"Open"),HYPERLINK("#Main!A1","Open"))</f>
        <v/>
      </c>
      <c r="J26">
        <f>IFERROR(HYPERLINK("#"&amp;D26&amp;"!A"&amp;MATCH(A26,INDIRECT("'"&amp;D26&amp;"'!A:A"),0),"Open"),HYPERLINK("#"&amp;D26&amp;"!A1","Open"))</f>
        <v/>
      </c>
    </row>
    <row r="27">
      <c r="A27" s="46" t="inlineStr">
        <is>
          <t>https://asconafrica.org/news/</t>
        </is>
      </c>
      <c r="B27" s="39" t="inlineStr">
        <is>
          <t>No 40-60 Word Answer Paragraphs</t>
        </is>
      </c>
      <c r="C27" s="42" t="inlineStr">
        <is>
          <t>Info</t>
        </is>
      </c>
      <c r="D27" s="6" t="inlineStr">
        <is>
          <t>Technical</t>
        </is>
      </c>
      <c r="E27" s="44" t="inlineStr">
        <is>
          <t>https://asconafrica.org/news/::no_40-60_word_answer_paragraphs</t>
        </is>
      </c>
      <c r="F27" s="6" t="inlineStr">
        <is>
          <t>Copy Writer</t>
        </is>
      </c>
      <c r="G27" s="45" t="inlineStr">
        <is>
          <t>Open</t>
        </is>
      </c>
      <c r="H27" s="6" t="inlineStr"/>
      <c r="I27">
        <f>IFERROR(HYPERLINK("#Main!A"&amp;MATCH(A27,Main!A:A,0),"Open"),HYPERLINK("#Main!A1","Open"))</f>
        <v/>
      </c>
      <c r="J27">
        <f>IFERROR(HYPERLINK("#"&amp;D27&amp;"!A"&amp;MATCH(A27,INDIRECT("'"&amp;D27&amp;"'!A:A"),0),"Open"),HYPERLINK("#"&amp;D27&amp;"!A1","Open"))</f>
        <v/>
      </c>
    </row>
    <row r="28">
      <c r="A28" s="46" t="inlineStr">
        <is>
          <t>https://asconafrica.org/our-members/</t>
        </is>
      </c>
      <c r="B28" s="39" t="inlineStr">
        <is>
          <t>Thin Content</t>
        </is>
      </c>
      <c r="C28" s="38" t="inlineStr">
        <is>
          <t>Warning</t>
        </is>
      </c>
      <c r="D28" s="37" t="inlineStr">
        <is>
          <t>Technical</t>
        </is>
      </c>
      <c r="E28" s="41" t="inlineStr">
        <is>
          <t>https://asconafrica.org/our-members/::thin_content</t>
        </is>
      </c>
      <c r="F28" s="37" t="inlineStr">
        <is>
          <t>Copy Writer</t>
        </is>
      </c>
      <c r="G28" s="45" t="inlineStr">
        <is>
          <t>Open</t>
        </is>
      </c>
      <c r="H28" s="37" t="inlineStr"/>
      <c r="I28">
        <f>IFERROR(HYPERLINK("#Main!A"&amp;MATCH(A28,Main!A:A,0),"Open"),HYPERLINK("#Main!A1","Open"))</f>
        <v/>
      </c>
      <c r="J28">
        <f>IFERROR(HYPERLINK("#"&amp;D28&amp;"!A"&amp;MATCH(A28,INDIRECT("'"&amp;D28&amp;"'!A:A"),0),"Open"),HYPERLINK("#"&amp;D28&amp;"!A1","Open"))</f>
        <v/>
      </c>
    </row>
    <row r="29">
      <c r="A29" s="46" t="inlineStr">
        <is>
          <t>https://asconafrica.org/our-members/</t>
        </is>
      </c>
      <c r="B29" s="39" t="inlineStr">
        <is>
          <t>Low AEO Readiness Score</t>
        </is>
      </c>
      <c r="C29" s="38" t="inlineStr">
        <is>
          <t>Warning</t>
        </is>
      </c>
      <c r="D29" s="6" t="inlineStr">
        <is>
          <t>AEO</t>
        </is>
      </c>
      <c r="E29" s="44" t="inlineStr">
        <is>
          <t>https://asconafrica.org/our-members/::low_aeo_readiness_score</t>
        </is>
      </c>
      <c r="F29" s="6" t="inlineStr">
        <is>
          <t>Copy Writer</t>
        </is>
      </c>
      <c r="G29" s="45" t="inlineStr">
        <is>
          <t>Open</t>
        </is>
      </c>
      <c r="H29" s="6" t="inlineStr"/>
      <c r="I29">
        <f>IFERROR(HYPERLINK("#Main!A"&amp;MATCH(A29,Main!A:A,0),"Open"),HYPERLINK("#Main!A1","Open"))</f>
        <v/>
      </c>
      <c r="J29">
        <f>IFERROR(HYPERLINK("#"&amp;D29&amp;"!A"&amp;MATCH(A29,INDIRECT("'"&amp;D29&amp;"'!A:A"),0),"Open"),HYPERLINK("#"&amp;D29&amp;"!A1","Open"))</f>
        <v/>
      </c>
    </row>
    <row r="30">
      <c r="A30" s="46" t="inlineStr">
        <is>
          <t>https://asconafrica.org/our-members/</t>
        </is>
      </c>
      <c r="B30" s="39" t="inlineStr">
        <is>
          <t>No Compression Header</t>
        </is>
      </c>
      <c r="C30" s="42" t="inlineStr">
        <is>
          <t>Info</t>
        </is>
      </c>
      <c r="D30" s="37" t="inlineStr">
        <is>
          <t>Technical</t>
        </is>
      </c>
      <c r="E30" s="41" t="inlineStr">
        <is>
          <t>https://asconafrica.org/our-members/::no_compression_header</t>
        </is>
      </c>
      <c r="F30" s="37" t="inlineStr">
        <is>
          <t>Server/Host</t>
        </is>
      </c>
      <c r="G30" s="45" t="inlineStr">
        <is>
          <t>Open</t>
        </is>
      </c>
      <c r="H30" s="37" t="inlineStr"/>
      <c r="I30">
        <f>IFERROR(HYPERLINK("#Main!A"&amp;MATCH(A30,Main!A:A,0),"Open"),HYPERLINK("#Main!A1","Open"))</f>
        <v/>
      </c>
      <c r="J30">
        <f>IFERROR(HYPERLINK("#"&amp;D30&amp;"!A"&amp;MATCH(A30,INDIRECT("'"&amp;D30&amp;"'!A:A"),0),"Open"),HYPERLINK("#"&amp;D30&amp;"!A1","Open"))</f>
        <v/>
      </c>
    </row>
    <row r="31">
      <c r="A31" s="46" t="inlineStr">
        <is>
          <t>https://asconafrica.org/our-members/</t>
        </is>
      </c>
      <c r="B31" s="39" t="inlineStr">
        <is>
          <t>No Cache-Control Header</t>
        </is>
      </c>
      <c r="C31" s="42" t="inlineStr">
        <is>
          <t>Info</t>
        </is>
      </c>
      <c r="D31" s="6" t="inlineStr">
        <is>
          <t>Technical</t>
        </is>
      </c>
      <c r="E31" s="44" t="inlineStr">
        <is>
          <t>https://asconafrica.org/our-members/::no_cache-control_header</t>
        </is>
      </c>
      <c r="F31" s="6" t="inlineStr">
        <is>
          <t>Server/Host</t>
        </is>
      </c>
      <c r="G31" s="45" t="inlineStr">
        <is>
          <t>Open</t>
        </is>
      </c>
      <c r="H31" s="6" t="inlineStr"/>
      <c r="I31">
        <f>IFERROR(HYPERLINK("#Main!A"&amp;MATCH(A31,Main!A:A,0),"Open"),HYPERLINK("#Main!A1","Open"))</f>
        <v/>
      </c>
      <c r="J31">
        <f>IFERROR(HYPERLINK("#"&amp;D31&amp;"!A"&amp;MATCH(A31,INDIRECT("'"&amp;D31&amp;"'!A:A"),0),"Open"),HYPERLINK("#"&amp;D31&amp;"!A1","Open"))</f>
        <v/>
      </c>
    </row>
    <row r="32">
      <c r="A32" s="46" t="inlineStr">
        <is>
          <t>https://asconafrica.org/our-members/</t>
        </is>
      </c>
      <c r="B32" s="39" t="inlineStr">
        <is>
          <t>No ETag Header</t>
        </is>
      </c>
      <c r="C32" s="42" t="inlineStr">
        <is>
          <t>Info</t>
        </is>
      </c>
      <c r="D32" s="37" t="inlineStr">
        <is>
          <t>Technical</t>
        </is>
      </c>
      <c r="E32" s="41" t="inlineStr">
        <is>
          <t>https://asconafrica.org/our-members/::no_etag_header</t>
        </is>
      </c>
      <c r="F32" s="37" t="inlineStr">
        <is>
          <t>Server/Host</t>
        </is>
      </c>
      <c r="G32" s="45" t="inlineStr">
        <is>
          <t>Open</t>
        </is>
      </c>
      <c r="H32" s="37" t="inlineStr"/>
      <c r="I32">
        <f>IFERROR(HYPERLINK("#Main!A"&amp;MATCH(A32,Main!A:A,0),"Open"),HYPERLINK("#Main!A1","Open"))</f>
        <v/>
      </c>
      <c r="J32">
        <f>IFERROR(HYPERLINK("#"&amp;D32&amp;"!A"&amp;MATCH(A32,INDIRECT("'"&amp;D32&amp;"'!A:A"),0),"Open"),HYPERLINK("#"&amp;D32&amp;"!A1","Open"))</f>
        <v/>
      </c>
    </row>
    <row r="33">
      <c r="A33" s="46" t="inlineStr">
        <is>
          <t>https://asconafrica.org/our-members/</t>
        </is>
      </c>
      <c r="B33" s="39" t="inlineStr">
        <is>
          <t>No FAQ/QA Schema</t>
        </is>
      </c>
      <c r="C33" s="42" t="inlineStr">
        <is>
          <t>Info</t>
        </is>
      </c>
      <c r="D33" s="6" t="inlineStr">
        <is>
          <t>AEO</t>
        </is>
      </c>
      <c r="E33" s="44" t="inlineStr">
        <is>
          <t>https://asconafrica.org/our-members/::no_faq_qa_schema</t>
        </is>
      </c>
      <c r="F33" s="6" t="inlineStr">
        <is>
          <t>Dev</t>
        </is>
      </c>
      <c r="G33" s="45" t="inlineStr">
        <is>
          <t>Open</t>
        </is>
      </c>
      <c r="H33" s="6" t="inlineStr"/>
      <c r="I33">
        <f>IFERROR(HYPERLINK("#Main!A"&amp;MATCH(A33,Main!A:A,0),"Open"),HYPERLINK("#Main!A1","Open"))</f>
        <v/>
      </c>
      <c r="J33">
        <f>IFERROR(HYPERLINK("#"&amp;D33&amp;"!A"&amp;MATCH(A33,INDIRECT("'"&amp;D33&amp;"'!A:A"),0),"Open"),HYPERLINK("#"&amp;D33&amp;"!A1","Open"))</f>
        <v/>
      </c>
    </row>
    <row r="34">
      <c r="A34" s="46" t="inlineStr">
        <is>
          <t>https://asconafrica.org/our-members/</t>
        </is>
      </c>
      <c r="B34" s="39" t="inlineStr">
        <is>
          <t>No Question Headings</t>
        </is>
      </c>
      <c r="C34" s="42" t="inlineStr">
        <is>
          <t>Info</t>
        </is>
      </c>
      <c r="D34" s="37" t="inlineStr">
        <is>
          <t>AEO</t>
        </is>
      </c>
      <c r="E34" s="41" t="inlineStr">
        <is>
          <t>https://asconafrica.org/our-members/::no_question_headings</t>
        </is>
      </c>
      <c r="F34" s="37" t="inlineStr">
        <is>
          <t>Copy Writer</t>
        </is>
      </c>
      <c r="G34" s="45" t="inlineStr">
        <is>
          <t>Open</t>
        </is>
      </c>
      <c r="H34" s="37" t="inlineStr"/>
      <c r="I34">
        <f>IFERROR(HYPERLINK("#Main!A"&amp;MATCH(A34,Main!A:A,0),"Open"),HYPERLINK("#Main!A1","Open"))</f>
        <v/>
      </c>
      <c r="J34">
        <f>IFERROR(HYPERLINK("#"&amp;D34&amp;"!A"&amp;MATCH(A34,INDIRECT("'"&amp;D34&amp;"'!A:A"),0),"Open"),HYPERLINK("#"&amp;D34&amp;"!A1","Open"))</f>
        <v/>
      </c>
    </row>
    <row r="35">
      <c r="A35" s="46" t="inlineStr">
        <is>
          <t>https://asconafrica.org/our-members/</t>
        </is>
      </c>
      <c r="B35" s="39" t="inlineStr">
        <is>
          <t>No Answer-Friendly Structure</t>
        </is>
      </c>
      <c r="C35" s="42" t="inlineStr">
        <is>
          <t>Info</t>
        </is>
      </c>
      <c r="D35" s="6" t="inlineStr">
        <is>
          <t>Technical</t>
        </is>
      </c>
      <c r="E35" s="44" t="inlineStr">
        <is>
          <t>https://asconafrica.org/our-members/::no_answer-friendly_structure</t>
        </is>
      </c>
      <c r="F35" s="6" t="inlineStr">
        <is>
          <t>Copy Writer</t>
        </is>
      </c>
      <c r="G35" s="45" t="inlineStr">
        <is>
          <t>Open</t>
        </is>
      </c>
      <c r="H35" s="6" t="inlineStr"/>
      <c r="I35">
        <f>IFERROR(HYPERLINK("#Main!A"&amp;MATCH(A35,Main!A:A,0),"Open"),HYPERLINK("#Main!A1","Open"))</f>
        <v/>
      </c>
      <c r="J35">
        <f>IFERROR(HYPERLINK("#"&amp;D35&amp;"!A"&amp;MATCH(A35,INDIRECT("'"&amp;D35&amp;"'!A:A"),0),"Open"),HYPERLINK("#"&amp;D35&amp;"!A1","Open"))</f>
        <v/>
      </c>
    </row>
    <row r="36">
      <c r="A36" s="46" t="inlineStr">
        <is>
          <t>https://asconafrica.org/our-members/</t>
        </is>
      </c>
      <c r="B36" s="39" t="inlineStr">
        <is>
          <t>No 40-60 Word Answer Paragraphs</t>
        </is>
      </c>
      <c r="C36" s="42" t="inlineStr">
        <is>
          <t>Info</t>
        </is>
      </c>
      <c r="D36" s="37" t="inlineStr">
        <is>
          <t>Technical</t>
        </is>
      </c>
      <c r="E36" s="41" t="inlineStr">
        <is>
          <t>https://asconafrica.org/our-members/::no_40-60_word_answer_paragraphs</t>
        </is>
      </c>
      <c r="F36" s="37" t="inlineStr">
        <is>
          <t>Copy Writer</t>
        </is>
      </c>
      <c r="G36" s="45" t="inlineStr">
        <is>
          <t>Open</t>
        </is>
      </c>
      <c r="H36" s="37" t="inlineStr"/>
      <c r="I36">
        <f>IFERROR(HYPERLINK("#Main!A"&amp;MATCH(A36,Main!A:A,0),"Open"),HYPERLINK("#Main!A1","Open"))</f>
        <v/>
      </c>
      <c r="J36">
        <f>IFERROR(HYPERLINK("#"&amp;D36&amp;"!A"&amp;MATCH(A36,INDIRECT("'"&amp;D36&amp;"'!A:A"),0),"Open"),HYPERLINK("#"&amp;D36&amp;"!A1","Open"))</f>
        <v/>
      </c>
    </row>
    <row r="37">
      <c r="A37" s="46" t="inlineStr">
        <is>
          <t>https://asconafrica.org/2026-ascon-conference/</t>
        </is>
      </c>
      <c r="B37" s="39" t="inlineStr">
        <is>
          <t>Low AEO Readiness Score</t>
        </is>
      </c>
      <c r="C37" s="38" t="inlineStr">
        <is>
          <t>Warning</t>
        </is>
      </c>
      <c r="D37" s="6" t="inlineStr">
        <is>
          <t>AEO</t>
        </is>
      </c>
      <c r="E37" s="44" t="inlineStr">
        <is>
          <t>https://asconafrica.org/2026-ascon-conference/::low_aeo_readiness_score</t>
        </is>
      </c>
      <c r="F37" s="6" t="inlineStr">
        <is>
          <t>Copy Writer</t>
        </is>
      </c>
      <c r="G37" s="45" t="inlineStr">
        <is>
          <t>Open</t>
        </is>
      </c>
      <c r="H37" s="6" t="inlineStr"/>
      <c r="I37">
        <f>IFERROR(HYPERLINK("#Main!A"&amp;MATCH(A37,Main!A:A,0),"Open"),HYPERLINK("#Main!A1","Open"))</f>
        <v/>
      </c>
      <c r="J37">
        <f>IFERROR(HYPERLINK("#"&amp;D37&amp;"!A"&amp;MATCH(A37,INDIRECT("'"&amp;D37&amp;"'!A:A"),0),"Open"),HYPERLINK("#"&amp;D37&amp;"!A1","Open"))</f>
        <v/>
      </c>
    </row>
    <row r="38">
      <c r="A38" s="46" t="inlineStr">
        <is>
          <t>https://asconafrica.org/2026-ascon-conference/</t>
        </is>
      </c>
      <c r="B38" s="39" t="inlineStr">
        <is>
          <t>No Compression Header</t>
        </is>
      </c>
      <c r="C38" s="42" t="inlineStr">
        <is>
          <t>Info</t>
        </is>
      </c>
      <c r="D38" s="37" t="inlineStr">
        <is>
          <t>Technical</t>
        </is>
      </c>
      <c r="E38" s="41" t="inlineStr">
        <is>
          <t>https://asconafrica.org/2026-ascon-conference/::no_compression_header</t>
        </is>
      </c>
      <c r="F38" s="37" t="inlineStr">
        <is>
          <t>Server/Host</t>
        </is>
      </c>
      <c r="G38" s="45" t="inlineStr">
        <is>
          <t>Open</t>
        </is>
      </c>
      <c r="H38" s="37" t="inlineStr"/>
      <c r="I38">
        <f>IFERROR(HYPERLINK("#Main!A"&amp;MATCH(A38,Main!A:A,0),"Open"),HYPERLINK("#Main!A1","Open"))</f>
        <v/>
      </c>
      <c r="J38">
        <f>IFERROR(HYPERLINK("#"&amp;D38&amp;"!A"&amp;MATCH(A38,INDIRECT("'"&amp;D38&amp;"'!A:A"),0),"Open"),HYPERLINK("#"&amp;D38&amp;"!A1","Open"))</f>
        <v/>
      </c>
    </row>
    <row r="39">
      <c r="A39" s="46" t="inlineStr">
        <is>
          <t>https://asconafrica.org/2026-ascon-conference/</t>
        </is>
      </c>
      <c r="B39" s="39" t="inlineStr">
        <is>
          <t>No Cache-Control Header</t>
        </is>
      </c>
      <c r="C39" s="42" t="inlineStr">
        <is>
          <t>Info</t>
        </is>
      </c>
      <c r="D39" s="6" t="inlineStr">
        <is>
          <t>Technical</t>
        </is>
      </c>
      <c r="E39" s="44" t="inlineStr">
        <is>
          <t>https://asconafrica.org/2026-ascon-conference/::no_cache-control_header</t>
        </is>
      </c>
      <c r="F39" s="6" t="inlineStr">
        <is>
          <t>Server/Host</t>
        </is>
      </c>
      <c r="G39" s="45" t="inlineStr">
        <is>
          <t>Open</t>
        </is>
      </c>
      <c r="H39" s="6" t="inlineStr"/>
      <c r="I39">
        <f>IFERROR(HYPERLINK("#Main!A"&amp;MATCH(A39,Main!A:A,0),"Open"),HYPERLINK("#Main!A1","Open"))</f>
        <v/>
      </c>
      <c r="J39">
        <f>IFERROR(HYPERLINK("#"&amp;D39&amp;"!A"&amp;MATCH(A39,INDIRECT("'"&amp;D39&amp;"'!A:A"),0),"Open"),HYPERLINK("#"&amp;D39&amp;"!A1","Open"))</f>
        <v/>
      </c>
    </row>
    <row r="40">
      <c r="A40" s="46" t="inlineStr">
        <is>
          <t>https://asconafrica.org/2026-ascon-conference/</t>
        </is>
      </c>
      <c r="B40" s="39" t="inlineStr">
        <is>
          <t>No ETag Header</t>
        </is>
      </c>
      <c r="C40" s="42" t="inlineStr">
        <is>
          <t>Info</t>
        </is>
      </c>
      <c r="D40" s="37" t="inlineStr">
        <is>
          <t>Technical</t>
        </is>
      </c>
      <c r="E40" s="41" t="inlineStr">
        <is>
          <t>https://asconafrica.org/2026-ascon-conference/::no_etag_header</t>
        </is>
      </c>
      <c r="F40" s="37" t="inlineStr">
        <is>
          <t>Server/Host</t>
        </is>
      </c>
      <c r="G40" s="45" t="inlineStr">
        <is>
          <t>Open</t>
        </is>
      </c>
      <c r="H40" s="37" t="inlineStr"/>
      <c r="I40">
        <f>IFERROR(HYPERLINK("#Main!A"&amp;MATCH(A40,Main!A:A,0),"Open"),HYPERLINK("#Main!A1","Open"))</f>
        <v/>
      </c>
      <c r="J40">
        <f>IFERROR(HYPERLINK("#"&amp;D40&amp;"!A"&amp;MATCH(A40,INDIRECT("'"&amp;D40&amp;"'!A:A"),0),"Open"),HYPERLINK("#"&amp;D40&amp;"!A1","Open"))</f>
        <v/>
      </c>
    </row>
    <row r="41">
      <c r="A41" s="46" t="inlineStr">
        <is>
          <t>https://asconafrica.org/2026-ascon-conference/</t>
        </is>
      </c>
      <c r="B41" s="39" t="inlineStr">
        <is>
          <t>No FAQ/QA Schema</t>
        </is>
      </c>
      <c r="C41" s="42" t="inlineStr">
        <is>
          <t>Info</t>
        </is>
      </c>
      <c r="D41" s="6" t="inlineStr">
        <is>
          <t>AEO</t>
        </is>
      </c>
      <c r="E41" s="44" t="inlineStr">
        <is>
          <t>https://asconafrica.org/2026-ascon-conference/::no_faq_qa_schema</t>
        </is>
      </c>
      <c r="F41" s="6" t="inlineStr">
        <is>
          <t>Dev</t>
        </is>
      </c>
      <c r="G41" s="45" t="inlineStr">
        <is>
          <t>Open</t>
        </is>
      </c>
      <c r="H41" s="6" t="inlineStr"/>
      <c r="I41">
        <f>IFERROR(HYPERLINK("#Main!A"&amp;MATCH(A41,Main!A:A,0),"Open"),HYPERLINK("#Main!A1","Open"))</f>
        <v/>
      </c>
      <c r="J41">
        <f>IFERROR(HYPERLINK("#"&amp;D41&amp;"!A"&amp;MATCH(A41,INDIRECT("'"&amp;D41&amp;"'!A:A"),0),"Open"),HYPERLINK("#"&amp;D41&amp;"!A1","Open"))</f>
        <v/>
      </c>
    </row>
    <row r="42">
      <c r="A42" s="46" t="inlineStr">
        <is>
          <t>https://asconafrica.org/2026-ascon-conference/</t>
        </is>
      </c>
      <c r="B42" s="39" t="inlineStr">
        <is>
          <t>No Question Headings</t>
        </is>
      </c>
      <c r="C42" s="42" t="inlineStr">
        <is>
          <t>Info</t>
        </is>
      </c>
      <c r="D42" s="37" t="inlineStr">
        <is>
          <t>AEO</t>
        </is>
      </c>
      <c r="E42" s="41" t="inlineStr">
        <is>
          <t>https://asconafrica.org/2026-ascon-conference/::no_question_headings</t>
        </is>
      </c>
      <c r="F42" s="37" t="inlineStr">
        <is>
          <t>Copy Writer</t>
        </is>
      </c>
      <c r="G42" s="45" t="inlineStr">
        <is>
          <t>Open</t>
        </is>
      </c>
      <c r="H42" s="37" t="inlineStr"/>
      <c r="I42">
        <f>IFERROR(HYPERLINK("#Main!A"&amp;MATCH(A42,Main!A:A,0),"Open"),HYPERLINK("#Main!A1","Open"))</f>
        <v/>
      </c>
      <c r="J42">
        <f>IFERROR(HYPERLINK("#"&amp;D42&amp;"!A"&amp;MATCH(A42,INDIRECT("'"&amp;D42&amp;"'!A:A"),0),"Open"),HYPERLINK("#"&amp;D42&amp;"!A1","Open"))</f>
        <v/>
      </c>
    </row>
    <row r="43">
      <c r="A43" s="46" t="inlineStr">
        <is>
          <t>https://asconafrica.org/2026-ascon-conference/</t>
        </is>
      </c>
      <c r="B43" s="39" t="inlineStr">
        <is>
          <t>No Answer-Friendly Structure</t>
        </is>
      </c>
      <c r="C43" s="42" t="inlineStr">
        <is>
          <t>Info</t>
        </is>
      </c>
      <c r="D43" s="6" t="inlineStr">
        <is>
          <t>Technical</t>
        </is>
      </c>
      <c r="E43" s="44" t="inlineStr">
        <is>
          <t>https://asconafrica.org/2026-ascon-conference/::no_answer-friendly_structure</t>
        </is>
      </c>
      <c r="F43" s="6" t="inlineStr">
        <is>
          <t>Copy Writer</t>
        </is>
      </c>
      <c r="G43" s="45" t="inlineStr">
        <is>
          <t>Open</t>
        </is>
      </c>
      <c r="H43" s="6" t="inlineStr"/>
      <c r="I43">
        <f>IFERROR(HYPERLINK("#Main!A"&amp;MATCH(A43,Main!A:A,0),"Open"),HYPERLINK("#Main!A1","Open"))</f>
        <v/>
      </c>
      <c r="J43">
        <f>IFERROR(HYPERLINK("#"&amp;D43&amp;"!A"&amp;MATCH(A43,INDIRECT("'"&amp;D43&amp;"'!A:A"),0),"Open"),HYPERLINK("#"&amp;D43&amp;"!A1","Open"))</f>
        <v/>
      </c>
    </row>
    <row r="44">
      <c r="A44" s="46" t="inlineStr">
        <is>
          <t>https://asconafrica.org/2026-ascon-conference/</t>
        </is>
      </c>
      <c r="B44" s="39" t="inlineStr">
        <is>
          <t>No 40-60 Word Answer Paragraphs</t>
        </is>
      </c>
      <c r="C44" s="42" t="inlineStr">
        <is>
          <t>Info</t>
        </is>
      </c>
      <c r="D44" s="37" t="inlineStr">
        <is>
          <t>Technical</t>
        </is>
      </c>
      <c r="E44" s="41" t="inlineStr">
        <is>
          <t>https://asconafrica.org/2026-ascon-conference/::no_40-60_word_answer_paragraphs</t>
        </is>
      </c>
      <c r="F44" s="37" t="inlineStr">
        <is>
          <t>Copy Writer</t>
        </is>
      </c>
      <c r="G44" s="45" t="inlineStr">
        <is>
          <t>Open</t>
        </is>
      </c>
      <c r="H44" s="37" t="inlineStr"/>
      <c r="I44">
        <f>IFERROR(HYPERLINK("#Main!A"&amp;MATCH(A44,Main!A:A,0),"Open"),HYPERLINK("#Main!A1","Open"))</f>
        <v/>
      </c>
      <c r="J44">
        <f>IFERROR(HYPERLINK("#"&amp;D44&amp;"!A"&amp;MATCH(A44,INDIRECT("'"&amp;D44&amp;"'!A:A"),0),"Open"),HYPERLINK("#"&amp;D44&amp;"!A1","Open"))</f>
        <v/>
      </c>
    </row>
    <row r="45">
      <c r="A45" s="46" t="inlineStr">
        <is>
          <t>https://asconafrica.org/about-us/</t>
        </is>
      </c>
      <c r="B45" s="39" t="inlineStr">
        <is>
          <t>Low AEO Readiness Score</t>
        </is>
      </c>
      <c r="C45" s="38" t="inlineStr">
        <is>
          <t>Warning</t>
        </is>
      </c>
      <c r="D45" s="6" t="inlineStr">
        <is>
          <t>AEO</t>
        </is>
      </c>
      <c r="E45" s="44" t="inlineStr">
        <is>
          <t>https://asconafrica.org/about-us/::low_aeo_readiness_score</t>
        </is>
      </c>
      <c r="F45" s="6" t="inlineStr">
        <is>
          <t>Copy Writer</t>
        </is>
      </c>
      <c r="G45" s="45" t="inlineStr">
        <is>
          <t>Open</t>
        </is>
      </c>
      <c r="H45" s="6" t="inlineStr"/>
      <c r="I45">
        <f>IFERROR(HYPERLINK("#Main!A"&amp;MATCH(A45,Main!A:A,0),"Open"),HYPERLINK("#Main!A1","Open"))</f>
        <v/>
      </c>
      <c r="J45">
        <f>IFERROR(HYPERLINK("#"&amp;D45&amp;"!A"&amp;MATCH(A45,INDIRECT("'"&amp;D45&amp;"'!A:A"),0),"Open"),HYPERLINK("#"&amp;D45&amp;"!A1","Open"))</f>
        <v/>
      </c>
    </row>
    <row r="46">
      <c r="A46" s="46" t="inlineStr">
        <is>
          <t>https://asconafrica.org/about-us/</t>
        </is>
      </c>
      <c r="B46" s="39" t="inlineStr">
        <is>
          <t>No Compression Header</t>
        </is>
      </c>
      <c r="C46" s="42" t="inlineStr">
        <is>
          <t>Info</t>
        </is>
      </c>
      <c r="D46" s="37" t="inlineStr">
        <is>
          <t>Technical</t>
        </is>
      </c>
      <c r="E46" s="41" t="inlineStr">
        <is>
          <t>https://asconafrica.org/about-us/::no_compression_header</t>
        </is>
      </c>
      <c r="F46" s="37" t="inlineStr">
        <is>
          <t>Server/Host</t>
        </is>
      </c>
      <c r="G46" s="45" t="inlineStr">
        <is>
          <t>Open</t>
        </is>
      </c>
      <c r="H46" s="37" t="inlineStr"/>
      <c r="I46">
        <f>IFERROR(HYPERLINK("#Main!A"&amp;MATCH(A46,Main!A:A,0),"Open"),HYPERLINK("#Main!A1","Open"))</f>
        <v/>
      </c>
      <c r="J46">
        <f>IFERROR(HYPERLINK("#"&amp;D46&amp;"!A"&amp;MATCH(A46,INDIRECT("'"&amp;D46&amp;"'!A:A"),0),"Open"),HYPERLINK("#"&amp;D46&amp;"!A1","Open"))</f>
        <v/>
      </c>
    </row>
    <row r="47">
      <c r="A47" s="46" t="inlineStr">
        <is>
          <t>https://asconafrica.org/about-us/</t>
        </is>
      </c>
      <c r="B47" s="39" t="inlineStr">
        <is>
          <t>No Cache-Control Header</t>
        </is>
      </c>
      <c r="C47" s="42" t="inlineStr">
        <is>
          <t>Info</t>
        </is>
      </c>
      <c r="D47" s="6" t="inlineStr">
        <is>
          <t>Technical</t>
        </is>
      </c>
      <c r="E47" s="44" t="inlineStr">
        <is>
          <t>https://asconafrica.org/about-us/::no_cache-control_header</t>
        </is>
      </c>
      <c r="F47" s="6" t="inlineStr">
        <is>
          <t>Server/Host</t>
        </is>
      </c>
      <c r="G47" s="45" t="inlineStr">
        <is>
          <t>Open</t>
        </is>
      </c>
      <c r="H47" s="6" t="inlineStr"/>
      <c r="I47">
        <f>IFERROR(HYPERLINK("#Main!A"&amp;MATCH(A47,Main!A:A,0),"Open"),HYPERLINK("#Main!A1","Open"))</f>
        <v/>
      </c>
      <c r="J47">
        <f>IFERROR(HYPERLINK("#"&amp;D47&amp;"!A"&amp;MATCH(A47,INDIRECT("'"&amp;D47&amp;"'!A:A"),0),"Open"),HYPERLINK("#"&amp;D47&amp;"!A1","Open"))</f>
        <v/>
      </c>
    </row>
    <row r="48">
      <c r="A48" s="46" t="inlineStr">
        <is>
          <t>https://asconafrica.org/about-us/</t>
        </is>
      </c>
      <c r="B48" s="39" t="inlineStr">
        <is>
          <t>No ETag Header</t>
        </is>
      </c>
      <c r="C48" s="42" t="inlineStr">
        <is>
          <t>Info</t>
        </is>
      </c>
      <c r="D48" s="37" t="inlineStr">
        <is>
          <t>Technical</t>
        </is>
      </c>
      <c r="E48" s="41" t="inlineStr">
        <is>
          <t>https://asconafrica.org/about-us/::no_etag_header</t>
        </is>
      </c>
      <c r="F48" s="37" t="inlineStr">
        <is>
          <t>Server/Host</t>
        </is>
      </c>
      <c r="G48" s="45" t="inlineStr">
        <is>
          <t>Open</t>
        </is>
      </c>
      <c r="H48" s="37" t="inlineStr"/>
      <c r="I48">
        <f>IFERROR(HYPERLINK("#Main!A"&amp;MATCH(A48,Main!A:A,0),"Open"),HYPERLINK("#Main!A1","Open"))</f>
        <v/>
      </c>
      <c r="J48">
        <f>IFERROR(HYPERLINK("#"&amp;D48&amp;"!A"&amp;MATCH(A48,INDIRECT("'"&amp;D48&amp;"'!A:A"),0),"Open"),HYPERLINK("#"&amp;D48&amp;"!A1","Open"))</f>
        <v/>
      </c>
    </row>
    <row r="49">
      <c r="A49" s="46" t="inlineStr">
        <is>
          <t>https://asconafrica.org/about-us/</t>
        </is>
      </c>
      <c r="B49" s="39" t="inlineStr">
        <is>
          <t>No FAQ/QA Schema</t>
        </is>
      </c>
      <c r="C49" s="42" t="inlineStr">
        <is>
          <t>Info</t>
        </is>
      </c>
      <c r="D49" s="6" t="inlineStr">
        <is>
          <t>AEO</t>
        </is>
      </c>
      <c r="E49" s="44" t="inlineStr">
        <is>
          <t>https://asconafrica.org/about-us/::no_faq_qa_schema</t>
        </is>
      </c>
      <c r="F49" s="6" t="inlineStr">
        <is>
          <t>Dev</t>
        </is>
      </c>
      <c r="G49" s="45" t="inlineStr">
        <is>
          <t>Open</t>
        </is>
      </c>
      <c r="H49" s="6" t="inlineStr"/>
      <c r="I49">
        <f>IFERROR(HYPERLINK("#Main!A"&amp;MATCH(A49,Main!A:A,0),"Open"),HYPERLINK("#Main!A1","Open"))</f>
        <v/>
      </c>
      <c r="J49">
        <f>IFERROR(HYPERLINK("#"&amp;D49&amp;"!A"&amp;MATCH(A49,INDIRECT("'"&amp;D49&amp;"'!A:A"),0),"Open"),HYPERLINK("#"&amp;D49&amp;"!A1","Open"))</f>
        <v/>
      </c>
    </row>
    <row r="50">
      <c r="A50" s="46" t="inlineStr">
        <is>
          <t>https://asconafrica.org/about-us/</t>
        </is>
      </c>
      <c r="B50" s="39" t="inlineStr">
        <is>
          <t>No Question Headings</t>
        </is>
      </c>
      <c r="C50" s="42" t="inlineStr">
        <is>
          <t>Info</t>
        </is>
      </c>
      <c r="D50" s="37" t="inlineStr">
        <is>
          <t>AEO</t>
        </is>
      </c>
      <c r="E50" s="41" t="inlineStr">
        <is>
          <t>https://asconafrica.org/about-us/::no_question_headings</t>
        </is>
      </c>
      <c r="F50" s="37" t="inlineStr">
        <is>
          <t>Copy Writer</t>
        </is>
      </c>
      <c r="G50" s="45" t="inlineStr">
        <is>
          <t>Open</t>
        </is>
      </c>
      <c r="H50" s="37" t="inlineStr"/>
      <c r="I50">
        <f>IFERROR(HYPERLINK("#Main!A"&amp;MATCH(A50,Main!A:A,0),"Open"),HYPERLINK("#Main!A1","Open"))</f>
        <v/>
      </c>
      <c r="J50">
        <f>IFERROR(HYPERLINK("#"&amp;D50&amp;"!A"&amp;MATCH(A50,INDIRECT("'"&amp;D50&amp;"'!A:A"),0),"Open"),HYPERLINK("#"&amp;D50&amp;"!A1","Open"))</f>
        <v/>
      </c>
    </row>
    <row r="51">
      <c r="A51" s="46" t="inlineStr">
        <is>
          <t>https://asconafrica.org/about-us/</t>
        </is>
      </c>
      <c r="B51" s="39" t="inlineStr">
        <is>
          <t>No Answer-Friendly Structure</t>
        </is>
      </c>
      <c r="C51" s="42" t="inlineStr">
        <is>
          <t>Info</t>
        </is>
      </c>
      <c r="D51" s="6" t="inlineStr">
        <is>
          <t>Technical</t>
        </is>
      </c>
      <c r="E51" s="44" t="inlineStr">
        <is>
          <t>https://asconafrica.org/about-us/::no_answer-friendly_structure</t>
        </is>
      </c>
      <c r="F51" s="6" t="inlineStr">
        <is>
          <t>Copy Writer</t>
        </is>
      </c>
      <c r="G51" s="45" t="inlineStr">
        <is>
          <t>Open</t>
        </is>
      </c>
      <c r="H51" s="6" t="inlineStr"/>
      <c r="I51">
        <f>IFERROR(HYPERLINK("#Main!A"&amp;MATCH(A51,Main!A:A,0),"Open"),HYPERLINK("#Main!A1","Open"))</f>
        <v/>
      </c>
      <c r="J51">
        <f>IFERROR(HYPERLINK("#"&amp;D51&amp;"!A"&amp;MATCH(A51,INDIRECT("'"&amp;D51&amp;"'!A:A"),0),"Open"),HYPERLINK("#"&amp;D51&amp;"!A1","Open"))</f>
        <v/>
      </c>
    </row>
    <row r="52">
      <c r="A52" s="46" t="inlineStr">
        <is>
          <t>https://asconafrica.org/about-us/</t>
        </is>
      </c>
      <c r="B52" s="39" t="inlineStr">
        <is>
          <t>No 40-60 Word Answer Paragraphs</t>
        </is>
      </c>
      <c r="C52" s="42" t="inlineStr">
        <is>
          <t>Info</t>
        </is>
      </c>
      <c r="D52" s="37" t="inlineStr">
        <is>
          <t>Technical</t>
        </is>
      </c>
      <c r="E52" s="41" t="inlineStr">
        <is>
          <t>https://asconafrica.org/about-us/::no_40-60_word_answer_paragraphs</t>
        </is>
      </c>
      <c r="F52" s="37" t="inlineStr">
        <is>
          <t>Copy Writer</t>
        </is>
      </c>
      <c r="G52" s="45" t="inlineStr">
        <is>
          <t>Open</t>
        </is>
      </c>
      <c r="H52" s="37" t="inlineStr"/>
      <c r="I52">
        <f>IFERROR(HYPERLINK("#Main!A"&amp;MATCH(A52,Main!A:A,0),"Open"),HYPERLINK("#Main!A1","Open"))</f>
        <v/>
      </c>
      <c r="J52">
        <f>IFERROR(HYPERLINK("#"&amp;D52&amp;"!A"&amp;MATCH(A52,INDIRECT("'"&amp;D52&amp;"'!A:A"),0),"Open"),HYPERLINK("#"&amp;D52&amp;"!A1","Open"))</f>
        <v/>
      </c>
    </row>
    <row r="53">
      <c r="A53" s="46" t="inlineStr">
        <is>
          <t>https://asconafrica.org/privacy-policy/</t>
        </is>
      </c>
      <c r="B53" s="39" t="inlineStr">
        <is>
          <t>Missing H1</t>
        </is>
      </c>
      <c r="C53" s="38" t="inlineStr">
        <is>
          <t>Warning</t>
        </is>
      </c>
      <c r="D53" s="6" t="inlineStr">
        <is>
          <t>Technical</t>
        </is>
      </c>
      <c r="E53" s="44" t="inlineStr">
        <is>
          <t>https://asconafrica.org/privacy-policy/::missing_h1</t>
        </is>
      </c>
      <c r="F53" s="6" t="inlineStr">
        <is>
          <t>Copy Writer</t>
        </is>
      </c>
      <c r="G53" s="45" t="inlineStr">
        <is>
          <t>Open</t>
        </is>
      </c>
      <c r="H53" s="6" t="inlineStr"/>
      <c r="I53">
        <f>IFERROR(HYPERLINK("#Main!A"&amp;MATCH(A53,Main!A:A,0),"Open"),HYPERLINK("#Main!A1","Open"))</f>
        <v/>
      </c>
      <c r="J53">
        <f>IFERROR(HYPERLINK("#"&amp;D53&amp;"!A"&amp;MATCH(A53,INDIRECT("'"&amp;D53&amp;"'!A:A"),0),"Open"),HYPERLINK("#"&amp;D53&amp;"!A1","Open"))</f>
        <v/>
      </c>
    </row>
    <row r="54">
      <c r="A54" s="46" t="inlineStr">
        <is>
          <t>https://asconafrica.org/privacy-policy/</t>
        </is>
      </c>
      <c r="B54" s="39" t="inlineStr">
        <is>
          <t>Low AEO Readiness Score</t>
        </is>
      </c>
      <c r="C54" s="38" t="inlineStr">
        <is>
          <t>Warning</t>
        </is>
      </c>
      <c r="D54" s="37" t="inlineStr">
        <is>
          <t>AEO</t>
        </is>
      </c>
      <c r="E54" s="41" t="inlineStr">
        <is>
          <t>https://asconafrica.org/privacy-policy/::low_aeo_readiness_score</t>
        </is>
      </c>
      <c r="F54" s="37" t="inlineStr">
        <is>
          <t>Copy Writer</t>
        </is>
      </c>
      <c r="G54" s="45" t="inlineStr">
        <is>
          <t>Open</t>
        </is>
      </c>
      <c r="H54" s="37" t="inlineStr"/>
      <c r="I54">
        <f>IFERROR(HYPERLINK("#Main!A"&amp;MATCH(A54,Main!A:A,0),"Open"),HYPERLINK("#Main!A1","Open"))</f>
        <v/>
      </c>
      <c r="J54">
        <f>IFERROR(HYPERLINK("#"&amp;D54&amp;"!A"&amp;MATCH(A54,INDIRECT("'"&amp;D54&amp;"'!A:A"),0),"Open"),HYPERLINK("#"&amp;D54&amp;"!A1","Open"))</f>
        <v/>
      </c>
    </row>
    <row r="55">
      <c r="A55" s="46" t="inlineStr">
        <is>
          <t>https://asconafrica.org/privacy-policy/</t>
        </is>
      </c>
      <c r="B55" s="39" t="inlineStr">
        <is>
          <t>No Compression Header</t>
        </is>
      </c>
      <c r="C55" s="42" t="inlineStr">
        <is>
          <t>Info</t>
        </is>
      </c>
      <c r="D55" s="6" t="inlineStr">
        <is>
          <t>Technical</t>
        </is>
      </c>
      <c r="E55" s="44" t="inlineStr">
        <is>
          <t>https://asconafrica.org/privacy-policy/::no_compression_header</t>
        </is>
      </c>
      <c r="F55" s="6" t="inlineStr">
        <is>
          <t>Server/Host</t>
        </is>
      </c>
      <c r="G55" s="45" t="inlineStr">
        <is>
          <t>Open</t>
        </is>
      </c>
      <c r="H55" s="6" t="inlineStr"/>
      <c r="I55">
        <f>IFERROR(HYPERLINK("#Main!A"&amp;MATCH(A55,Main!A:A,0),"Open"),HYPERLINK("#Main!A1","Open"))</f>
        <v/>
      </c>
      <c r="J55">
        <f>IFERROR(HYPERLINK("#"&amp;D55&amp;"!A"&amp;MATCH(A55,INDIRECT("'"&amp;D55&amp;"'!A:A"),0),"Open"),HYPERLINK("#"&amp;D55&amp;"!A1","Open"))</f>
        <v/>
      </c>
    </row>
    <row r="56">
      <c r="A56" s="46" t="inlineStr">
        <is>
          <t>https://asconafrica.org/privacy-policy/</t>
        </is>
      </c>
      <c r="B56" s="39" t="inlineStr">
        <is>
          <t>No Cache-Control Header</t>
        </is>
      </c>
      <c r="C56" s="42" t="inlineStr">
        <is>
          <t>Info</t>
        </is>
      </c>
      <c r="D56" s="37" t="inlineStr">
        <is>
          <t>Technical</t>
        </is>
      </c>
      <c r="E56" s="41" t="inlineStr">
        <is>
          <t>https://asconafrica.org/privacy-policy/::no_cache-control_header</t>
        </is>
      </c>
      <c r="F56" s="37" t="inlineStr">
        <is>
          <t>Server/Host</t>
        </is>
      </c>
      <c r="G56" s="45" t="inlineStr">
        <is>
          <t>Open</t>
        </is>
      </c>
      <c r="H56" s="37" t="inlineStr"/>
      <c r="I56">
        <f>IFERROR(HYPERLINK("#Main!A"&amp;MATCH(A56,Main!A:A,0),"Open"),HYPERLINK("#Main!A1","Open"))</f>
        <v/>
      </c>
      <c r="J56">
        <f>IFERROR(HYPERLINK("#"&amp;D56&amp;"!A"&amp;MATCH(A56,INDIRECT("'"&amp;D56&amp;"'!A:A"),0),"Open"),HYPERLINK("#"&amp;D56&amp;"!A1","Open"))</f>
        <v/>
      </c>
    </row>
    <row r="57">
      <c r="A57" s="46" t="inlineStr">
        <is>
          <t>https://asconafrica.org/privacy-policy/</t>
        </is>
      </c>
      <c r="B57" s="39" t="inlineStr">
        <is>
          <t>No ETag Header</t>
        </is>
      </c>
      <c r="C57" s="42" t="inlineStr">
        <is>
          <t>Info</t>
        </is>
      </c>
      <c r="D57" s="6" t="inlineStr">
        <is>
          <t>Technical</t>
        </is>
      </c>
      <c r="E57" s="44" t="inlineStr">
        <is>
          <t>https://asconafrica.org/privacy-policy/::no_etag_header</t>
        </is>
      </c>
      <c r="F57" s="6" t="inlineStr">
        <is>
          <t>Server/Host</t>
        </is>
      </c>
      <c r="G57" s="45" t="inlineStr">
        <is>
          <t>Open</t>
        </is>
      </c>
      <c r="H57" s="6" t="inlineStr"/>
      <c r="I57">
        <f>IFERROR(HYPERLINK("#Main!A"&amp;MATCH(A57,Main!A:A,0),"Open"),HYPERLINK("#Main!A1","Open"))</f>
        <v/>
      </c>
      <c r="J57">
        <f>IFERROR(HYPERLINK("#"&amp;D57&amp;"!A"&amp;MATCH(A57,INDIRECT("'"&amp;D57&amp;"'!A:A"),0),"Open"),HYPERLINK("#"&amp;D57&amp;"!A1","Open"))</f>
        <v/>
      </c>
    </row>
    <row r="58">
      <c r="A58" s="46" t="inlineStr">
        <is>
          <t>https://asconafrica.org/privacy-policy/</t>
        </is>
      </c>
      <c r="B58" s="39" t="inlineStr">
        <is>
          <t>No FAQ/QA Schema</t>
        </is>
      </c>
      <c r="C58" s="42" t="inlineStr">
        <is>
          <t>Info</t>
        </is>
      </c>
      <c r="D58" s="37" t="inlineStr">
        <is>
          <t>AEO</t>
        </is>
      </c>
      <c r="E58" s="41" t="inlineStr">
        <is>
          <t>https://asconafrica.org/privacy-policy/::no_faq_qa_schema</t>
        </is>
      </c>
      <c r="F58" s="37" t="inlineStr">
        <is>
          <t>Dev</t>
        </is>
      </c>
      <c r="G58" s="45" t="inlineStr">
        <is>
          <t>Open</t>
        </is>
      </c>
      <c r="H58" s="37" t="inlineStr"/>
      <c r="I58">
        <f>IFERROR(HYPERLINK("#Main!A"&amp;MATCH(A58,Main!A:A,0),"Open"),HYPERLINK("#Main!A1","Open"))</f>
        <v/>
      </c>
      <c r="J58">
        <f>IFERROR(HYPERLINK("#"&amp;D58&amp;"!A"&amp;MATCH(A58,INDIRECT("'"&amp;D58&amp;"'!A:A"),0),"Open"),HYPERLINK("#"&amp;D58&amp;"!A1","Open"))</f>
        <v/>
      </c>
    </row>
    <row r="59">
      <c r="A59" s="46" t="inlineStr">
        <is>
          <t>https://asconafrica.org/privacy-policy/</t>
        </is>
      </c>
      <c r="B59" s="39" t="inlineStr">
        <is>
          <t>No Answer-Friendly Structure</t>
        </is>
      </c>
      <c r="C59" s="42" t="inlineStr">
        <is>
          <t>Info</t>
        </is>
      </c>
      <c r="D59" s="6" t="inlineStr">
        <is>
          <t>Technical</t>
        </is>
      </c>
      <c r="E59" s="44" t="inlineStr">
        <is>
          <t>https://asconafrica.org/privacy-policy/::no_answer-friendly_structure</t>
        </is>
      </c>
      <c r="F59" s="6" t="inlineStr">
        <is>
          <t>Copy Writer</t>
        </is>
      </c>
      <c r="G59" s="45" t="inlineStr">
        <is>
          <t>Open</t>
        </is>
      </c>
      <c r="H59" s="6" t="inlineStr"/>
      <c r="I59">
        <f>IFERROR(HYPERLINK("#Main!A"&amp;MATCH(A59,Main!A:A,0),"Open"),HYPERLINK("#Main!A1","Open"))</f>
        <v/>
      </c>
      <c r="J59">
        <f>IFERROR(HYPERLINK("#"&amp;D59&amp;"!A"&amp;MATCH(A59,INDIRECT("'"&amp;D59&amp;"'!A:A"),0),"Open"),HYPERLINK("#"&amp;D59&amp;"!A1","Open"))</f>
        <v/>
      </c>
    </row>
    <row r="60" ht="30" customHeight="1">
      <c r="A60" s="46" t="inlineStr">
        <is>
          <t>https://asconafrica.org/2026-ascon-conference/thank-you-for-signing-up/</t>
        </is>
      </c>
      <c r="B60" s="39" t="inlineStr">
        <is>
          <t>Thin Content</t>
        </is>
      </c>
      <c r="C60" s="38" t="inlineStr">
        <is>
          <t>Warning</t>
        </is>
      </c>
      <c r="D60" s="37" t="inlineStr">
        <is>
          <t>Technical</t>
        </is>
      </c>
      <c r="E60" s="41" t="inlineStr">
        <is>
          <t>https://asconafrica.org/2026-ascon-conference/thank-you-for-signing-up/::thin_content</t>
        </is>
      </c>
      <c r="F60" s="37" t="inlineStr">
        <is>
          <t>Copy Writer</t>
        </is>
      </c>
      <c r="G60" s="45" t="inlineStr">
        <is>
          <t>Open</t>
        </is>
      </c>
      <c r="H60" s="37" t="inlineStr"/>
      <c r="I60">
        <f>IFERROR(HYPERLINK("#Main!A"&amp;MATCH(A60,Main!A:A,0),"Open"),HYPERLINK("#Main!A1","Open"))</f>
        <v/>
      </c>
      <c r="J60">
        <f>IFERROR(HYPERLINK("#"&amp;D60&amp;"!A"&amp;MATCH(A60,INDIRECT("'"&amp;D60&amp;"'!A:A"),0),"Open"),HYPERLINK("#"&amp;D60&amp;"!A1","Open"))</f>
        <v/>
      </c>
    </row>
    <row r="61" ht="30" customHeight="1">
      <c r="A61" s="46" t="inlineStr">
        <is>
          <t>https://asconafrica.org/2026-ascon-conference/thank-you-for-signing-up/</t>
        </is>
      </c>
      <c r="B61" s="39" t="inlineStr">
        <is>
          <t>Low AEO Readiness Score</t>
        </is>
      </c>
      <c r="C61" s="38" t="inlineStr">
        <is>
          <t>Warning</t>
        </is>
      </c>
      <c r="D61" s="6" t="inlineStr">
        <is>
          <t>AEO</t>
        </is>
      </c>
      <c r="E61" s="44" t="inlineStr">
        <is>
          <t>https://asconafrica.org/2026-ascon-conference/thank-you-for-signing-up/::low_aeo_readiness_score</t>
        </is>
      </c>
      <c r="F61" s="6" t="inlineStr">
        <is>
          <t>Copy Writer</t>
        </is>
      </c>
      <c r="G61" s="45" t="inlineStr">
        <is>
          <t>Open</t>
        </is>
      </c>
      <c r="H61" s="6" t="inlineStr"/>
      <c r="I61">
        <f>IFERROR(HYPERLINK("#Main!A"&amp;MATCH(A61,Main!A:A,0),"Open"),HYPERLINK("#Main!A1","Open"))</f>
        <v/>
      </c>
      <c r="J61">
        <f>IFERROR(HYPERLINK("#"&amp;D61&amp;"!A"&amp;MATCH(A61,INDIRECT("'"&amp;D61&amp;"'!A:A"),0),"Open"),HYPERLINK("#"&amp;D61&amp;"!A1","Open"))</f>
        <v/>
      </c>
    </row>
    <row r="62" ht="30" customHeight="1">
      <c r="A62" s="46" t="inlineStr">
        <is>
          <t>https://asconafrica.org/2026-ascon-conference/thank-you-for-signing-up/</t>
        </is>
      </c>
      <c r="B62" s="39" t="inlineStr">
        <is>
          <t>No Compression Header</t>
        </is>
      </c>
      <c r="C62" s="42" t="inlineStr">
        <is>
          <t>Info</t>
        </is>
      </c>
      <c r="D62" s="37" t="inlineStr">
        <is>
          <t>Technical</t>
        </is>
      </c>
      <c r="E62" s="41" t="inlineStr">
        <is>
          <t>https://asconafrica.org/2026-ascon-conference/thank-you-for-signing-up/::no_compression_header</t>
        </is>
      </c>
      <c r="F62" s="37" t="inlineStr">
        <is>
          <t>Server/Host</t>
        </is>
      </c>
      <c r="G62" s="45" t="inlineStr">
        <is>
          <t>Open</t>
        </is>
      </c>
      <c r="H62" s="37" t="inlineStr"/>
      <c r="I62">
        <f>IFERROR(HYPERLINK("#Main!A"&amp;MATCH(A62,Main!A:A,0),"Open"),HYPERLINK("#Main!A1","Open"))</f>
        <v/>
      </c>
      <c r="J62">
        <f>IFERROR(HYPERLINK("#"&amp;D62&amp;"!A"&amp;MATCH(A62,INDIRECT("'"&amp;D62&amp;"'!A:A"),0),"Open"),HYPERLINK("#"&amp;D62&amp;"!A1","Open"))</f>
        <v/>
      </c>
    </row>
    <row r="63" ht="30" customHeight="1">
      <c r="A63" s="46" t="inlineStr">
        <is>
          <t>https://asconafrica.org/2026-ascon-conference/thank-you-for-signing-up/</t>
        </is>
      </c>
      <c r="B63" s="39" t="inlineStr">
        <is>
          <t>No Cache-Control Header</t>
        </is>
      </c>
      <c r="C63" s="42" t="inlineStr">
        <is>
          <t>Info</t>
        </is>
      </c>
      <c r="D63" s="6" t="inlineStr">
        <is>
          <t>Technical</t>
        </is>
      </c>
      <c r="E63" s="44" t="inlineStr">
        <is>
          <t>https://asconafrica.org/2026-ascon-conference/thank-you-for-signing-up/::no_cache-control_header</t>
        </is>
      </c>
      <c r="F63" s="6" t="inlineStr">
        <is>
          <t>Server/Host</t>
        </is>
      </c>
      <c r="G63" s="45" t="inlineStr">
        <is>
          <t>Open</t>
        </is>
      </c>
      <c r="H63" s="6" t="inlineStr"/>
      <c r="I63">
        <f>IFERROR(HYPERLINK("#Main!A"&amp;MATCH(A63,Main!A:A,0),"Open"),HYPERLINK("#Main!A1","Open"))</f>
        <v/>
      </c>
      <c r="J63">
        <f>IFERROR(HYPERLINK("#"&amp;D63&amp;"!A"&amp;MATCH(A63,INDIRECT("'"&amp;D63&amp;"'!A:A"),0),"Open"),HYPERLINK("#"&amp;D63&amp;"!A1","Open"))</f>
        <v/>
      </c>
    </row>
    <row r="64" ht="30" customHeight="1">
      <c r="A64" s="46" t="inlineStr">
        <is>
          <t>https://asconafrica.org/2026-ascon-conference/thank-you-for-signing-up/</t>
        </is>
      </c>
      <c r="B64" s="39" t="inlineStr">
        <is>
          <t>No ETag Header</t>
        </is>
      </c>
      <c r="C64" s="42" t="inlineStr">
        <is>
          <t>Info</t>
        </is>
      </c>
      <c r="D64" s="37" t="inlineStr">
        <is>
          <t>Technical</t>
        </is>
      </c>
      <c r="E64" s="41" t="inlineStr">
        <is>
          <t>https://asconafrica.org/2026-ascon-conference/thank-you-for-signing-up/::no_etag_header</t>
        </is>
      </c>
      <c r="F64" s="37" t="inlineStr">
        <is>
          <t>Server/Host</t>
        </is>
      </c>
      <c r="G64" s="45" t="inlineStr">
        <is>
          <t>Open</t>
        </is>
      </c>
      <c r="H64" s="37" t="inlineStr"/>
      <c r="I64">
        <f>IFERROR(HYPERLINK("#Main!A"&amp;MATCH(A64,Main!A:A,0),"Open"),HYPERLINK("#Main!A1","Open"))</f>
        <v/>
      </c>
      <c r="J64">
        <f>IFERROR(HYPERLINK("#"&amp;D64&amp;"!A"&amp;MATCH(A64,INDIRECT("'"&amp;D64&amp;"'!A:A"),0),"Open"),HYPERLINK("#"&amp;D64&amp;"!A1","Open"))</f>
        <v/>
      </c>
    </row>
    <row r="65" ht="30" customHeight="1">
      <c r="A65" s="46" t="inlineStr">
        <is>
          <t>https://asconafrica.org/2026-ascon-conference/thank-you-for-signing-up/</t>
        </is>
      </c>
      <c r="B65" s="39" t="inlineStr">
        <is>
          <t>No FAQ/QA Schema</t>
        </is>
      </c>
      <c r="C65" s="42" t="inlineStr">
        <is>
          <t>Info</t>
        </is>
      </c>
      <c r="D65" s="6" t="inlineStr">
        <is>
          <t>AEO</t>
        </is>
      </c>
      <c r="E65" s="44" t="inlineStr">
        <is>
          <t>https://asconafrica.org/2026-ascon-conference/thank-you-for-signing-up/::no_faq_qa_schema</t>
        </is>
      </c>
      <c r="F65" s="6" t="inlineStr">
        <is>
          <t>Dev</t>
        </is>
      </c>
      <c r="G65" s="45" t="inlineStr">
        <is>
          <t>Open</t>
        </is>
      </c>
      <c r="H65" s="6" t="inlineStr"/>
      <c r="I65">
        <f>IFERROR(HYPERLINK("#Main!A"&amp;MATCH(A65,Main!A:A,0),"Open"),HYPERLINK("#Main!A1","Open"))</f>
        <v/>
      </c>
      <c r="J65">
        <f>IFERROR(HYPERLINK("#"&amp;D65&amp;"!A"&amp;MATCH(A65,INDIRECT("'"&amp;D65&amp;"'!A:A"),0),"Open"),HYPERLINK("#"&amp;D65&amp;"!A1","Open"))</f>
        <v/>
      </c>
    </row>
    <row r="66" ht="30" customHeight="1">
      <c r="A66" s="46" t="inlineStr">
        <is>
          <t>https://asconafrica.org/2026-ascon-conference/thank-you-for-signing-up/</t>
        </is>
      </c>
      <c r="B66" s="39" t="inlineStr">
        <is>
          <t>No Question Headings</t>
        </is>
      </c>
      <c r="C66" s="42" t="inlineStr">
        <is>
          <t>Info</t>
        </is>
      </c>
      <c r="D66" s="37" t="inlineStr">
        <is>
          <t>AEO</t>
        </is>
      </c>
      <c r="E66" s="41" t="inlineStr">
        <is>
          <t>https://asconafrica.org/2026-ascon-conference/thank-you-for-signing-up/::no_question_headings</t>
        </is>
      </c>
      <c r="F66" s="37" t="inlineStr">
        <is>
          <t>Copy Writer</t>
        </is>
      </c>
      <c r="G66" s="45" t="inlineStr">
        <is>
          <t>Open</t>
        </is>
      </c>
      <c r="H66" s="37" t="inlineStr"/>
      <c r="I66">
        <f>IFERROR(HYPERLINK("#Main!A"&amp;MATCH(A66,Main!A:A,0),"Open"),HYPERLINK("#Main!A1","Open"))</f>
        <v/>
      </c>
      <c r="J66">
        <f>IFERROR(HYPERLINK("#"&amp;D66&amp;"!A"&amp;MATCH(A66,INDIRECT("'"&amp;D66&amp;"'!A:A"),0),"Open"),HYPERLINK("#"&amp;D66&amp;"!A1","Open"))</f>
        <v/>
      </c>
    </row>
    <row r="67" ht="30" customHeight="1">
      <c r="A67" s="46" t="inlineStr">
        <is>
          <t>https://asconafrica.org/2026-ascon-conference/thank-you-for-signing-up/</t>
        </is>
      </c>
      <c r="B67" s="39" t="inlineStr">
        <is>
          <t>No Answer-Friendly Structure</t>
        </is>
      </c>
      <c r="C67" s="42" t="inlineStr">
        <is>
          <t>Info</t>
        </is>
      </c>
      <c r="D67" s="6" t="inlineStr">
        <is>
          <t>Technical</t>
        </is>
      </c>
      <c r="E67" s="44" t="inlineStr">
        <is>
          <t>https://asconafrica.org/2026-ascon-conference/thank-you-for-signing-up/::no_answer-friendly_structure</t>
        </is>
      </c>
      <c r="F67" s="6" t="inlineStr">
        <is>
          <t>Copy Writer</t>
        </is>
      </c>
      <c r="G67" s="45" t="inlineStr">
        <is>
          <t>Open</t>
        </is>
      </c>
      <c r="H67" s="6" t="inlineStr"/>
      <c r="I67">
        <f>IFERROR(HYPERLINK("#Main!A"&amp;MATCH(A67,Main!A:A,0),"Open"),HYPERLINK("#Main!A1","Open"))</f>
        <v/>
      </c>
      <c r="J67">
        <f>IFERROR(HYPERLINK("#"&amp;D67&amp;"!A"&amp;MATCH(A67,INDIRECT("'"&amp;D67&amp;"'!A:A"),0),"Open"),HYPERLINK("#"&amp;D67&amp;"!A1","Open"))</f>
        <v/>
      </c>
    </row>
    <row r="68" ht="30" customHeight="1">
      <c r="A68" s="46" t="inlineStr">
        <is>
          <t>https://asconafrica.org/2026-ascon-conference/thank-you-for-signing-up/</t>
        </is>
      </c>
      <c r="B68" s="39" t="inlineStr">
        <is>
          <t>No 40-60 Word Answer Paragraphs</t>
        </is>
      </c>
      <c r="C68" s="42" t="inlineStr">
        <is>
          <t>Info</t>
        </is>
      </c>
      <c r="D68" s="37" t="inlineStr">
        <is>
          <t>Technical</t>
        </is>
      </c>
      <c r="E68" s="41" t="inlineStr">
        <is>
          <t>https://asconafrica.org/2026-ascon-conference/thank-you-for-signing-up/::no_40-60_word_answer_paragraphs</t>
        </is>
      </c>
      <c r="F68" s="37" t="inlineStr">
        <is>
          <t>Copy Writer</t>
        </is>
      </c>
      <c r="G68" s="45" t="inlineStr">
        <is>
          <t>Open</t>
        </is>
      </c>
      <c r="H68" s="37" t="inlineStr"/>
      <c r="I68">
        <f>IFERROR(HYPERLINK("#Main!A"&amp;MATCH(A68,Main!A:A,0),"Open"),HYPERLINK("#Main!A1","Open"))</f>
        <v/>
      </c>
      <c r="J68">
        <f>IFERROR(HYPERLINK("#"&amp;D68&amp;"!A"&amp;MATCH(A68,INDIRECT("'"&amp;D68&amp;"'!A:A"),0),"Open"),HYPERLINK("#"&amp;D68&amp;"!A1","Open"))</f>
        <v/>
      </c>
    </row>
    <row r="69" ht="30" customHeight="1">
      <c r="A69" s="46" t="inlineStr">
        <is>
          <t>https://asconafrica.org/thank-you-for-signing-up-for-updates/</t>
        </is>
      </c>
      <c r="B69" s="39" t="inlineStr">
        <is>
          <t>Thin Content</t>
        </is>
      </c>
      <c r="C69" s="38" t="inlineStr">
        <is>
          <t>Warning</t>
        </is>
      </c>
      <c r="D69" s="6" t="inlineStr">
        <is>
          <t>Technical</t>
        </is>
      </c>
      <c r="E69" s="44" t="inlineStr">
        <is>
          <t>https://asconafrica.org/thank-you-for-signing-up-for-updates/::thin_content</t>
        </is>
      </c>
      <c r="F69" s="6" t="inlineStr">
        <is>
          <t>Copy Writer</t>
        </is>
      </c>
      <c r="G69" s="45" t="inlineStr">
        <is>
          <t>Open</t>
        </is>
      </c>
      <c r="H69" s="6" t="inlineStr"/>
      <c r="I69">
        <f>IFERROR(HYPERLINK("#Main!A"&amp;MATCH(A69,Main!A:A,0),"Open"),HYPERLINK("#Main!A1","Open"))</f>
        <v/>
      </c>
      <c r="J69">
        <f>IFERROR(HYPERLINK("#"&amp;D69&amp;"!A"&amp;MATCH(A69,INDIRECT("'"&amp;D69&amp;"'!A:A"),0),"Open"),HYPERLINK("#"&amp;D69&amp;"!A1","Open"))</f>
        <v/>
      </c>
    </row>
    <row r="70" ht="30" customHeight="1">
      <c r="A70" s="46" t="inlineStr">
        <is>
          <t>https://asconafrica.org/thank-you-for-signing-up-for-updates/</t>
        </is>
      </c>
      <c r="B70" s="39" t="inlineStr">
        <is>
          <t>Low AEO Readiness Score</t>
        </is>
      </c>
      <c r="C70" s="38" t="inlineStr">
        <is>
          <t>Warning</t>
        </is>
      </c>
      <c r="D70" s="37" t="inlineStr">
        <is>
          <t>AEO</t>
        </is>
      </c>
      <c r="E70" s="41" t="inlineStr">
        <is>
          <t>https://asconafrica.org/thank-you-for-signing-up-for-updates/::low_aeo_readiness_score</t>
        </is>
      </c>
      <c r="F70" s="37" t="inlineStr">
        <is>
          <t>Copy Writer</t>
        </is>
      </c>
      <c r="G70" s="45" t="inlineStr">
        <is>
          <t>Open</t>
        </is>
      </c>
      <c r="H70" s="37" t="inlineStr"/>
      <c r="I70">
        <f>IFERROR(HYPERLINK("#Main!A"&amp;MATCH(A70,Main!A:A,0),"Open"),HYPERLINK("#Main!A1","Open"))</f>
        <v/>
      </c>
      <c r="J70">
        <f>IFERROR(HYPERLINK("#"&amp;D70&amp;"!A"&amp;MATCH(A70,INDIRECT("'"&amp;D70&amp;"'!A:A"),0),"Open"),HYPERLINK("#"&amp;D70&amp;"!A1","Open"))</f>
        <v/>
      </c>
    </row>
    <row r="71" ht="30" customHeight="1">
      <c r="A71" s="46" t="inlineStr">
        <is>
          <t>https://asconafrica.org/thank-you-for-signing-up-for-updates/</t>
        </is>
      </c>
      <c r="B71" s="39" t="inlineStr">
        <is>
          <t>No Compression Header</t>
        </is>
      </c>
      <c r="C71" s="42" t="inlineStr">
        <is>
          <t>Info</t>
        </is>
      </c>
      <c r="D71" s="6" t="inlineStr">
        <is>
          <t>Technical</t>
        </is>
      </c>
      <c r="E71" s="44" t="inlineStr">
        <is>
          <t>https://asconafrica.org/thank-you-for-signing-up-for-updates/::no_compression_header</t>
        </is>
      </c>
      <c r="F71" s="6" t="inlineStr">
        <is>
          <t>Server/Host</t>
        </is>
      </c>
      <c r="G71" s="45" t="inlineStr">
        <is>
          <t>Open</t>
        </is>
      </c>
      <c r="H71" s="6" t="inlineStr"/>
      <c r="I71">
        <f>IFERROR(HYPERLINK("#Main!A"&amp;MATCH(A71,Main!A:A,0),"Open"),HYPERLINK("#Main!A1","Open"))</f>
        <v/>
      </c>
      <c r="J71">
        <f>IFERROR(HYPERLINK("#"&amp;D71&amp;"!A"&amp;MATCH(A71,INDIRECT("'"&amp;D71&amp;"'!A:A"),0),"Open"),HYPERLINK("#"&amp;D71&amp;"!A1","Open"))</f>
        <v/>
      </c>
    </row>
    <row r="72" ht="30" customHeight="1">
      <c r="A72" s="46" t="inlineStr">
        <is>
          <t>https://asconafrica.org/thank-you-for-signing-up-for-updates/</t>
        </is>
      </c>
      <c r="B72" s="39" t="inlineStr">
        <is>
          <t>No Cache-Control Header</t>
        </is>
      </c>
      <c r="C72" s="42" t="inlineStr">
        <is>
          <t>Info</t>
        </is>
      </c>
      <c r="D72" s="37" t="inlineStr">
        <is>
          <t>Technical</t>
        </is>
      </c>
      <c r="E72" s="41" t="inlineStr">
        <is>
          <t>https://asconafrica.org/thank-you-for-signing-up-for-updates/::no_cache-control_header</t>
        </is>
      </c>
      <c r="F72" s="37" t="inlineStr">
        <is>
          <t>Server/Host</t>
        </is>
      </c>
      <c r="G72" s="45" t="inlineStr">
        <is>
          <t>Open</t>
        </is>
      </c>
      <c r="H72" s="37" t="inlineStr"/>
      <c r="I72">
        <f>IFERROR(HYPERLINK("#Main!A"&amp;MATCH(A72,Main!A:A,0),"Open"),HYPERLINK("#Main!A1","Open"))</f>
        <v/>
      </c>
      <c r="J72">
        <f>IFERROR(HYPERLINK("#"&amp;D72&amp;"!A"&amp;MATCH(A72,INDIRECT("'"&amp;D72&amp;"'!A:A"),0),"Open"),HYPERLINK("#"&amp;D72&amp;"!A1","Open"))</f>
        <v/>
      </c>
    </row>
    <row r="73" ht="30" customHeight="1">
      <c r="A73" s="46" t="inlineStr">
        <is>
          <t>https://asconafrica.org/thank-you-for-signing-up-for-updates/</t>
        </is>
      </c>
      <c r="B73" s="39" t="inlineStr">
        <is>
          <t>No ETag Header</t>
        </is>
      </c>
      <c r="C73" s="42" t="inlineStr">
        <is>
          <t>Info</t>
        </is>
      </c>
      <c r="D73" s="6" t="inlineStr">
        <is>
          <t>Technical</t>
        </is>
      </c>
      <c r="E73" s="44" t="inlineStr">
        <is>
          <t>https://asconafrica.org/thank-you-for-signing-up-for-updates/::no_etag_header</t>
        </is>
      </c>
      <c r="F73" s="6" t="inlineStr">
        <is>
          <t>Server/Host</t>
        </is>
      </c>
      <c r="G73" s="45" t="inlineStr">
        <is>
          <t>Open</t>
        </is>
      </c>
      <c r="H73" s="6" t="inlineStr"/>
      <c r="I73">
        <f>IFERROR(HYPERLINK("#Main!A"&amp;MATCH(A73,Main!A:A,0),"Open"),HYPERLINK("#Main!A1","Open"))</f>
        <v/>
      </c>
      <c r="J73">
        <f>IFERROR(HYPERLINK("#"&amp;D73&amp;"!A"&amp;MATCH(A73,INDIRECT("'"&amp;D73&amp;"'!A:A"),0),"Open"),HYPERLINK("#"&amp;D73&amp;"!A1","Open"))</f>
        <v/>
      </c>
    </row>
    <row r="74" ht="30" customHeight="1">
      <c r="A74" s="46" t="inlineStr">
        <is>
          <t>https://asconafrica.org/thank-you-for-signing-up-for-updates/</t>
        </is>
      </c>
      <c r="B74" s="39" t="inlineStr">
        <is>
          <t>No FAQ/QA Schema</t>
        </is>
      </c>
      <c r="C74" s="42" t="inlineStr">
        <is>
          <t>Info</t>
        </is>
      </c>
      <c r="D74" s="37" t="inlineStr">
        <is>
          <t>AEO</t>
        </is>
      </c>
      <c r="E74" s="41" t="inlineStr">
        <is>
          <t>https://asconafrica.org/thank-you-for-signing-up-for-updates/::no_faq_qa_schema</t>
        </is>
      </c>
      <c r="F74" s="37" t="inlineStr">
        <is>
          <t>Dev</t>
        </is>
      </c>
      <c r="G74" s="45" t="inlineStr">
        <is>
          <t>Open</t>
        </is>
      </c>
      <c r="H74" s="37" t="inlineStr"/>
      <c r="I74">
        <f>IFERROR(HYPERLINK("#Main!A"&amp;MATCH(A74,Main!A:A,0),"Open"),HYPERLINK("#Main!A1","Open"))</f>
        <v/>
      </c>
      <c r="J74">
        <f>IFERROR(HYPERLINK("#"&amp;D74&amp;"!A"&amp;MATCH(A74,INDIRECT("'"&amp;D74&amp;"'!A:A"),0),"Open"),HYPERLINK("#"&amp;D74&amp;"!A1","Open"))</f>
        <v/>
      </c>
    </row>
    <row r="75" ht="30" customHeight="1">
      <c r="A75" s="46" t="inlineStr">
        <is>
          <t>https://asconafrica.org/thank-you-for-signing-up-for-updates/</t>
        </is>
      </c>
      <c r="B75" s="39" t="inlineStr">
        <is>
          <t>No Question Headings</t>
        </is>
      </c>
      <c r="C75" s="42" t="inlineStr">
        <is>
          <t>Info</t>
        </is>
      </c>
      <c r="D75" s="6" t="inlineStr">
        <is>
          <t>AEO</t>
        </is>
      </c>
      <c r="E75" s="44" t="inlineStr">
        <is>
          <t>https://asconafrica.org/thank-you-for-signing-up-for-updates/::no_question_headings</t>
        </is>
      </c>
      <c r="F75" s="6" t="inlineStr">
        <is>
          <t>Copy Writer</t>
        </is>
      </c>
      <c r="G75" s="45" t="inlineStr">
        <is>
          <t>Open</t>
        </is>
      </c>
      <c r="H75" s="6" t="inlineStr"/>
      <c r="I75">
        <f>IFERROR(HYPERLINK("#Main!A"&amp;MATCH(A75,Main!A:A,0),"Open"),HYPERLINK("#Main!A1","Open"))</f>
        <v/>
      </c>
      <c r="J75">
        <f>IFERROR(HYPERLINK("#"&amp;D75&amp;"!A"&amp;MATCH(A75,INDIRECT("'"&amp;D75&amp;"'!A:A"),0),"Open"),HYPERLINK("#"&amp;D75&amp;"!A1","Open"))</f>
        <v/>
      </c>
    </row>
    <row r="76" ht="30" customHeight="1">
      <c r="A76" s="46" t="inlineStr">
        <is>
          <t>https://asconafrica.org/thank-you-for-signing-up-for-updates/</t>
        </is>
      </c>
      <c r="B76" s="39" t="inlineStr">
        <is>
          <t>No Answer-Friendly Structure</t>
        </is>
      </c>
      <c r="C76" s="42" t="inlineStr">
        <is>
          <t>Info</t>
        </is>
      </c>
      <c r="D76" s="37" t="inlineStr">
        <is>
          <t>Technical</t>
        </is>
      </c>
      <c r="E76" s="41" t="inlineStr">
        <is>
          <t>https://asconafrica.org/thank-you-for-signing-up-for-updates/::no_answer-friendly_structure</t>
        </is>
      </c>
      <c r="F76" s="37" t="inlineStr">
        <is>
          <t>Copy Writer</t>
        </is>
      </c>
      <c r="G76" s="45" t="inlineStr">
        <is>
          <t>Open</t>
        </is>
      </c>
      <c r="H76" s="37" t="inlineStr"/>
      <c r="I76">
        <f>IFERROR(HYPERLINK("#Main!A"&amp;MATCH(A76,Main!A:A,0),"Open"),HYPERLINK("#Main!A1","Open"))</f>
        <v/>
      </c>
      <c r="J76">
        <f>IFERROR(HYPERLINK("#"&amp;D76&amp;"!A"&amp;MATCH(A76,INDIRECT("'"&amp;D76&amp;"'!A:A"),0),"Open"),HYPERLINK("#"&amp;D76&amp;"!A1","Open"))</f>
        <v/>
      </c>
    </row>
    <row r="77" ht="30" customHeight="1">
      <c r="A77" s="46" t="inlineStr">
        <is>
          <t>https://asconafrica.org/thank-you-for-signing-up-for-updates/</t>
        </is>
      </c>
      <c r="B77" s="39" t="inlineStr">
        <is>
          <t>No 40-60 Word Answer Paragraphs</t>
        </is>
      </c>
      <c r="C77" s="42" t="inlineStr">
        <is>
          <t>Info</t>
        </is>
      </c>
      <c r="D77" s="6" t="inlineStr">
        <is>
          <t>Technical</t>
        </is>
      </c>
      <c r="E77" s="44" t="inlineStr">
        <is>
          <t>https://asconafrica.org/thank-you-for-signing-up-for-updates/::no_40-60_word_answer_paragraphs</t>
        </is>
      </c>
      <c r="F77" s="6" t="inlineStr">
        <is>
          <t>Copy Writer</t>
        </is>
      </c>
      <c r="G77" s="45" t="inlineStr">
        <is>
          <t>Open</t>
        </is>
      </c>
      <c r="H77" s="6" t="inlineStr"/>
      <c r="I77">
        <f>IFERROR(HYPERLINK("#Main!A"&amp;MATCH(A77,Main!A:A,0),"Open"),HYPERLINK("#Main!A1","Open"))</f>
        <v/>
      </c>
      <c r="J77">
        <f>IFERROR(HYPERLINK("#"&amp;D77&amp;"!A"&amp;MATCH(A77,INDIRECT("'"&amp;D77&amp;"'!A:A"),0),"Open"),HYPERLINK("#"&amp;D77&amp;"!A1","Open"))</f>
        <v/>
      </c>
    </row>
    <row r="78" ht="45" customHeight="1">
      <c r="A78" s="46" t="inlineStr">
        <is>
          <t>https://asconafrica.org/launch-event-2026-ascon-conference/thank-you-for-registering-conference-launch/</t>
        </is>
      </c>
      <c r="B78" s="39" t="inlineStr">
        <is>
          <t>Thin Content</t>
        </is>
      </c>
      <c r="C78" s="38" t="inlineStr">
        <is>
          <t>Warning</t>
        </is>
      </c>
      <c r="D78" s="37" t="inlineStr">
        <is>
          <t>Technical</t>
        </is>
      </c>
      <c r="E78" s="41" t="inlineStr">
        <is>
          <t>https://asconafrica.org/launch-event-2026-ascon-conference/thank-you-for-registering-conference-launch/::thin_content</t>
        </is>
      </c>
      <c r="F78" s="37" t="inlineStr">
        <is>
          <t>Copy Writer</t>
        </is>
      </c>
      <c r="G78" s="45" t="inlineStr">
        <is>
          <t>Open</t>
        </is>
      </c>
      <c r="H78" s="37" t="inlineStr"/>
      <c r="I78">
        <f>IFERROR(HYPERLINK("#Main!A"&amp;MATCH(A78,Main!A:A,0),"Open"),HYPERLINK("#Main!A1","Open"))</f>
        <v/>
      </c>
      <c r="J78">
        <f>IFERROR(HYPERLINK("#"&amp;D78&amp;"!A"&amp;MATCH(A78,INDIRECT("'"&amp;D78&amp;"'!A:A"),0),"Open"),HYPERLINK("#"&amp;D78&amp;"!A1","Open"))</f>
        <v/>
      </c>
    </row>
    <row r="79" ht="45" customHeight="1">
      <c r="A79" s="46" t="inlineStr">
        <is>
          <t>https://asconafrica.org/launch-event-2026-ascon-conference/thank-you-for-registering-conference-launch/</t>
        </is>
      </c>
      <c r="B79" s="39" t="inlineStr">
        <is>
          <t>Low AEO Readiness Score</t>
        </is>
      </c>
      <c r="C79" s="38" t="inlineStr">
        <is>
          <t>Warning</t>
        </is>
      </c>
      <c r="D79" s="6" t="inlineStr">
        <is>
          <t>AEO</t>
        </is>
      </c>
      <c r="E79" s="44" t="inlineStr">
        <is>
          <t>https://asconafrica.org/launch-event-2026-ascon-conference/thank-you-for-registering-conference-launch/::low_aeo_readiness_score</t>
        </is>
      </c>
      <c r="F79" s="6" t="inlineStr">
        <is>
          <t>Copy Writer</t>
        </is>
      </c>
      <c r="G79" s="45" t="inlineStr">
        <is>
          <t>Open</t>
        </is>
      </c>
      <c r="H79" s="6" t="inlineStr"/>
      <c r="I79">
        <f>IFERROR(HYPERLINK("#Main!A"&amp;MATCH(A79,Main!A:A,0),"Open"),HYPERLINK("#Main!A1","Open"))</f>
        <v/>
      </c>
      <c r="J79">
        <f>IFERROR(HYPERLINK("#"&amp;D79&amp;"!A"&amp;MATCH(A79,INDIRECT("'"&amp;D79&amp;"'!A:A"),0),"Open"),HYPERLINK("#"&amp;D79&amp;"!A1","Open"))</f>
        <v/>
      </c>
    </row>
    <row r="80" ht="45" customHeight="1">
      <c r="A80" s="46" t="inlineStr">
        <is>
          <t>https://asconafrica.org/launch-event-2026-ascon-conference/thank-you-for-registering-conference-launch/</t>
        </is>
      </c>
      <c r="B80" s="39" t="inlineStr">
        <is>
          <t>No Compression Header</t>
        </is>
      </c>
      <c r="C80" s="42" t="inlineStr">
        <is>
          <t>Info</t>
        </is>
      </c>
      <c r="D80" s="37" t="inlineStr">
        <is>
          <t>Technical</t>
        </is>
      </c>
      <c r="E80" s="41" t="inlineStr">
        <is>
          <t>https://asconafrica.org/launch-event-2026-ascon-conference/thank-you-for-registering-conference-launch/::no_compression_header</t>
        </is>
      </c>
      <c r="F80" s="37" t="inlineStr">
        <is>
          <t>Server/Host</t>
        </is>
      </c>
      <c r="G80" s="45" t="inlineStr">
        <is>
          <t>Open</t>
        </is>
      </c>
      <c r="H80" s="37" t="inlineStr"/>
      <c r="I80">
        <f>IFERROR(HYPERLINK("#Main!A"&amp;MATCH(A80,Main!A:A,0),"Open"),HYPERLINK("#Main!A1","Open"))</f>
        <v/>
      </c>
      <c r="J80">
        <f>IFERROR(HYPERLINK("#"&amp;D80&amp;"!A"&amp;MATCH(A80,INDIRECT("'"&amp;D80&amp;"'!A:A"),0),"Open"),HYPERLINK("#"&amp;D80&amp;"!A1","Open"))</f>
        <v/>
      </c>
    </row>
    <row r="81" ht="45" customHeight="1">
      <c r="A81" s="46" t="inlineStr">
        <is>
          <t>https://asconafrica.org/launch-event-2026-ascon-conference/thank-you-for-registering-conference-launch/</t>
        </is>
      </c>
      <c r="B81" s="39" t="inlineStr">
        <is>
          <t>No Cache-Control Header</t>
        </is>
      </c>
      <c r="C81" s="42" t="inlineStr">
        <is>
          <t>Info</t>
        </is>
      </c>
      <c r="D81" s="6" t="inlineStr">
        <is>
          <t>Technical</t>
        </is>
      </c>
      <c r="E81" s="44" t="inlineStr">
        <is>
          <t>https://asconafrica.org/launch-event-2026-ascon-conference/thank-you-for-registering-conference-launch/::no_cache-control_header</t>
        </is>
      </c>
      <c r="F81" s="6" t="inlineStr">
        <is>
          <t>Server/Host</t>
        </is>
      </c>
      <c r="G81" s="45" t="inlineStr">
        <is>
          <t>Open</t>
        </is>
      </c>
      <c r="H81" s="6" t="inlineStr"/>
      <c r="I81">
        <f>IFERROR(HYPERLINK("#Main!A"&amp;MATCH(A81,Main!A:A,0),"Open"),HYPERLINK("#Main!A1","Open"))</f>
        <v/>
      </c>
      <c r="J81">
        <f>IFERROR(HYPERLINK("#"&amp;D81&amp;"!A"&amp;MATCH(A81,INDIRECT("'"&amp;D81&amp;"'!A:A"),0),"Open"),HYPERLINK("#"&amp;D81&amp;"!A1","Open"))</f>
        <v/>
      </c>
    </row>
    <row r="82" ht="45" customHeight="1">
      <c r="A82" s="46" t="inlineStr">
        <is>
          <t>https://asconafrica.org/launch-event-2026-ascon-conference/thank-you-for-registering-conference-launch/</t>
        </is>
      </c>
      <c r="B82" s="39" t="inlineStr">
        <is>
          <t>No ETag Header</t>
        </is>
      </c>
      <c r="C82" s="42" t="inlineStr">
        <is>
          <t>Info</t>
        </is>
      </c>
      <c r="D82" s="37" t="inlineStr">
        <is>
          <t>Technical</t>
        </is>
      </c>
      <c r="E82" s="41" t="inlineStr">
        <is>
          <t>https://asconafrica.org/launch-event-2026-ascon-conference/thank-you-for-registering-conference-launch/::no_etag_header</t>
        </is>
      </c>
      <c r="F82" s="37" t="inlineStr">
        <is>
          <t>Server/Host</t>
        </is>
      </c>
      <c r="G82" s="45" t="inlineStr">
        <is>
          <t>Open</t>
        </is>
      </c>
      <c r="H82" s="37" t="inlineStr"/>
      <c r="I82">
        <f>IFERROR(HYPERLINK("#Main!A"&amp;MATCH(A82,Main!A:A,0),"Open"),HYPERLINK("#Main!A1","Open"))</f>
        <v/>
      </c>
      <c r="J82">
        <f>IFERROR(HYPERLINK("#"&amp;D82&amp;"!A"&amp;MATCH(A82,INDIRECT("'"&amp;D82&amp;"'!A:A"),0),"Open"),HYPERLINK("#"&amp;D82&amp;"!A1","Open"))</f>
        <v/>
      </c>
    </row>
    <row r="83" ht="45" customHeight="1">
      <c r="A83" s="46" t="inlineStr">
        <is>
          <t>https://asconafrica.org/launch-event-2026-ascon-conference/thank-you-for-registering-conference-launch/</t>
        </is>
      </c>
      <c r="B83" s="39" t="inlineStr">
        <is>
          <t>No FAQ/QA Schema</t>
        </is>
      </c>
      <c r="C83" s="42" t="inlineStr">
        <is>
          <t>Info</t>
        </is>
      </c>
      <c r="D83" s="6" t="inlineStr">
        <is>
          <t>AEO</t>
        </is>
      </c>
      <c r="E83" s="44" t="inlineStr">
        <is>
          <t>https://asconafrica.org/launch-event-2026-ascon-conference/thank-you-for-registering-conference-launch/::no_faq_qa_schema</t>
        </is>
      </c>
      <c r="F83" s="6" t="inlineStr">
        <is>
          <t>Dev</t>
        </is>
      </c>
      <c r="G83" s="45" t="inlineStr">
        <is>
          <t>Open</t>
        </is>
      </c>
      <c r="H83" s="6" t="inlineStr"/>
      <c r="I83">
        <f>IFERROR(HYPERLINK("#Main!A"&amp;MATCH(A83,Main!A:A,0),"Open"),HYPERLINK("#Main!A1","Open"))</f>
        <v/>
      </c>
      <c r="J83">
        <f>IFERROR(HYPERLINK("#"&amp;D83&amp;"!A"&amp;MATCH(A83,INDIRECT("'"&amp;D83&amp;"'!A:A"),0),"Open"),HYPERLINK("#"&amp;D83&amp;"!A1","Open"))</f>
        <v/>
      </c>
    </row>
    <row r="84" ht="45" customHeight="1">
      <c r="A84" s="46" t="inlineStr">
        <is>
          <t>https://asconafrica.org/launch-event-2026-ascon-conference/thank-you-for-registering-conference-launch/</t>
        </is>
      </c>
      <c r="B84" s="39" t="inlineStr">
        <is>
          <t>No Question Headings</t>
        </is>
      </c>
      <c r="C84" s="42" t="inlineStr">
        <is>
          <t>Info</t>
        </is>
      </c>
      <c r="D84" s="37" t="inlineStr">
        <is>
          <t>AEO</t>
        </is>
      </c>
      <c r="E84" s="41" t="inlineStr">
        <is>
          <t>https://asconafrica.org/launch-event-2026-ascon-conference/thank-you-for-registering-conference-launch/::no_question_headings</t>
        </is>
      </c>
      <c r="F84" s="37" t="inlineStr">
        <is>
          <t>Copy Writer</t>
        </is>
      </c>
      <c r="G84" s="45" t="inlineStr">
        <is>
          <t>Open</t>
        </is>
      </c>
      <c r="H84" s="37" t="inlineStr"/>
      <c r="I84">
        <f>IFERROR(HYPERLINK("#Main!A"&amp;MATCH(A84,Main!A:A,0),"Open"),HYPERLINK("#Main!A1","Open"))</f>
        <v/>
      </c>
      <c r="J84">
        <f>IFERROR(HYPERLINK("#"&amp;D84&amp;"!A"&amp;MATCH(A84,INDIRECT("'"&amp;D84&amp;"'!A:A"),0),"Open"),HYPERLINK("#"&amp;D84&amp;"!A1","Open"))</f>
        <v/>
      </c>
    </row>
    <row r="85" ht="45" customHeight="1">
      <c r="A85" s="46" t="inlineStr">
        <is>
          <t>https://asconafrica.org/launch-event-2026-ascon-conference/thank-you-for-registering-conference-launch/</t>
        </is>
      </c>
      <c r="B85" s="39" t="inlineStr">
        <is>
          <t>No Answer-Friendly Structure</t>
        </is>
      </c>
      <c r="C85" s="42" t="inlineStr">
        <is>
          <t>Info</t>
        </is>
      </c>
      <c r="D85" s="6" t="inlineStr">
        <is>
          <t>Technical</t>
        </is>
      </c>
      <c r="E85" s="44" t="inlineStr">
        <is>
          <t>https://asconafrica.org/launch-event-2026-ascon-conference/thank-you-for-registering-conference-launch/::no_answer-friendly_structure</t>
        </is>
      </c>
      <c r="F85" s="6" t="inlineStr">
        <is>
          <t>Copy Writer</t>
        </is>
      </c>
      <c r="G85" s="45" t="inlineStr">
        <is>
          <t>Open</t>
        </is>
      </c>
      <c r="H85" s="6" t="inlineStr"/>
      <c r="I85">
        <f>IFERROR(HYPERLINK("#Main!A"&amp;MATCH(A85,Main!A:A,0),"Open"),HYPERLINK("#Main!A1","Open"))</f>
        <v/>
      </c>
      <c r="J85">
        <f>IFERROR(HYPERLINK("#"&amp;D85&amp;"!A"&amp;MATCH(A85,INDIRECT("'"&amp;D85&amp;"'!A:A"),0),"Open"),HYPERLINK("#"&amp;D85&amp;"!A1","Open"))</f>
        <v/>
      </c>
    </row>
    <row r="86" ht="45" customHeight="1">
      <c r="A86" s="46" t="inlineStr">
        <is>
          <t>https://asconafrica.org/launch-event-2026-ascon-conference/thank-you-for-registering-conference-launch/</t>
        </is>
      </c>
      <c r="B86" s="39" t="inlineStr">
        <is>
          <t>No 40-60 Word Answer Paragraphs</t>
        </is>
      </c>
      <c r="C86" s="42" t="inlineStr">
        <is>
          <t>Info</t>
        </is>
      </c>
      <c r="D86" s="37" t="inlineStr">
        <is>
          <t>Technical</t>
        </is>
      </c>
      <c r="E86" s="41" t="inlineStr">
        <is>
          <t>https://asconafrica.org/launch-event-2026-ascon-conference/thank-you-for-registering-conference-launch/::no_40-60_word_answer_paragraphs</t>
        </is>
      </c>
      <c r="F86" s="37" t="inlineStr">
        <is>
          <t>Copy Writer</t>
        </is>
      </c>
      <c r="G86" s="45" t="inlineStr">
        <is>
          <t>Open</t>
        </is>
      </c>
      <c r="H86" s="37" t="inlineStr"/>
      <c r="I86">
        <f>IFERROR(HYPERLINK("#Main!A"&amp;MATCH(A86,Main!A:A,0),"Open"),HYPERLINK("#Main!A1","Open"))</f>
        <v/>
      </c>
      <c r="J86">
        <f>IFERROR(HYPERLINK("#"&amp;D86&amp;"!A"&amp;MATCH(A86,INDIRECT("'"&amp;D86&amp;"'!A:A"),0),"Open"),HYPERLINK("#"&amp;D86&amp;"!A1","Open"))</f>
        <v/>
      </c>
    </row>
    <row r="87" ht="30" customHeight="1">
      <c r="A87" s="46" t="inlineStr">
        <is>
          <t>https://asconafrica.org/launch-event-2026-ascon-conference/</t>
        </is>
      </c>
      <c r="B87" s="39" t="inlineStr">
        <is>
          <t>Low AEO Readiness Score</t>
        </is>
      </c>
      <c r="C87" s="38" t="inlineStr">
        <is>
          <t>Warning</t>
        </is>
      </c>
      <c r="D87" s="6" t="inlineStr">
        <is>
          <t>AEO</t>
        </is>
      </c>
      <c r="E87" s="44" t="inlineStr">
        <is>
          <t>https://asconafrica.org/launch-event-2026-ascon-conference/::low_aeo_readiness_score</t>
        </is>
      </c>
      <c r="F87" s="6" t="inlineStr">
        <is>
          <t>Copy Writer</t>
        </is>
      </c>
      <c r="G87" s="45" t="inlineStr">
        <is>
          <t>Open</t>
        </is>
      </c>
      <c r="H87" s="6" t="inlineStr"/>
      <c r="I87">
        <f>IFERROR(HYPERLINK("#Main!A"&amp;MATCH(A87,Main!A:A,0),"Open"),HYPERLINK("#Main!A1","Open"))</f>
        <v/>
      </c>
      <c r="J87">
        <f>IFERROR(HYPERLINK("#"&amp;D87&amp;"!A"&amp;MATCH(A87,INDIRECT("'"&amp;D87&amp;"'!A:A"),0),"Open"),HYPERLINK("#"&amp;D87&amp;"!A1","Open"))</f>
        <v/>
      </c>
    </row>
    <row r="88" ht="30" customHeight="1">
      <c r="A88" s="46" t="inlineStr">
        <is>
          <t>https://asconafrica.org/launch-event-2026-ascon-conference/</t>
        </is>
      </c>
      <c r="B88" s="39" t="inlineStr">
        <is>
          <t>No Compression Header</t>
        </is>
      </c>
      <c r="C88" s="42" t="inlineStr">
        <is>
          <t>Info</t>
        </is>
      </c>
      <c r="D88" s="37" t="inlineStr">
        <is>
          <t>Technical</t>
        </is>
      </c>
      <c r="E88" s="41" t="inlineStr">
        <is>
          <t>https://asconafrica.org/launch-event-2026-ascon-conference/::no_compression_header</t>
        </is>
      </c>
      <c r="F88" s="37" t="inlineStr">
        <is>
          <t>Server/Host</t>
        </is>
      </c>
      <c r="G88" s="45" t="inlineStr">
        <is>
          <t>Open</t>
        </is>
      </c>
      <c r="H88" s="37" t="inlineStr"/>
      <c r="I88">
        <f>IFERROR(HYPERLINK("#Main!A"&amp;MATCH(A88,Main!A:A,0),"Open"),HYPERLINK("#Main!A1","Open"))</f>
        <v/>
      </c>
      <c r="J88">
        <f>IFERROR(HYPERLINK("#"&amp;D88&amp;"!A"&amp;MATCH(A88,INDIRECT("'"&amp;D88&amp;"'!A:A"),0),"Open"),HYPERLINK("#"&amp;D88&amp;"!A1","Open"))</f>
        <v/>
      </c>
    </row>
    <row r="89" ht="30" customHeight="1">
      <c r="A89" s="46" t="inlineStr">
        <is>
          <t>https://asconafrica.org/launch-event-2026-ascon-conference/</t>
        </is>
      </c>
      <c r="B89" s="39" t="inlineStr">
        <is>
          <t>No Cache-Control Header</t>
        </is>
      </c>
      <c r="C89" s="42" t="inlineStr">
        <is>
          <t>Info</t>
        </is>
      </c>
      <c r="D89" s="6" t="inlineStr">
        <is>
          <t>Technical</t>
        </is>
      </c>
      <c r="E89" s="44" t="inlineStr">
        <is>
          <t>https://asconafrica.org/launch-event-2026-ascon-conference/::no_cache-control_header</t>
        </is>
      </c>
      <c r="F89" s="6" t="inlineStr">
        <is>
          <t>Server/Host</t>
        </is>
      </c>
      <c r="G89" s="45" t="inlineStr">
        <is>
          <t>Open</t>
        </is>
      </c>
      <c r="H89" s="6" t="inlineStr"/>
      <c r="I89">
        <f>IFERROR(HYPERLINK("#Main!A"&amp;MATCH(A89,Main!A:A,0),"Open"),HYPERLINK("#Main!A1","Open"))</f>
        <v/>
      </c>
      <c r="J89">
        <f>IFERROR(HYPERLINK("#"&amp;D89&amp;"!A"&amp;MATCH(A89,INDIRECT("'"&amp;D89&amp;"'!A:A"),0),"Open"),HYPERLINK("#"&amp;D89&amp;"!A1","Open"))</f>
        <v/>
      </c>
    </row>
    <row r="90" ht="30" customHeight="1">
      <c r="A90" s="46" t="inlineStr">
        <is>
          <t>https://asconafrica.org/launch-event-2026-ascon-conference/</t>
        </is>
      </c>
      <c r="B90" s="39" t="inlineStr">
        <is>
          <t>No ETag Header</t>
        </is>
      </c>
      <c r="C90" s="42" t="inlineStr">
        <is>
          <t>Info</t>
        </is>
      </c>
      <c r="D90" s="37" t="inlineStr">
        <is>
          <t>Technical</t>
        </is>
      </c>
      <c r="E90" s="41" t="inlineStr">
        <is>
          <t>https://asconafrica.org/launch-event-2026-ascon-conference/::no_etag_header</t>
        </is>
      </c>
      <c r="F90" s="37" t="inlineStr">
        <is>
          <t>Server/Host</t>
        </is>
      </c>
      <c r="G90" s="45" t="inlineStr">
        <is>
          <t>Open</t>
        </is>
      </c>
      <c r="H90" s="37" t="inlineStr"/>
      <c r="I90">
        <f>IFERROR(HYPERLINK("#Main!A"&amp;MATCH(A90,Main!A:A,0),"Open"),HYPERLINK("#Main!A1","Open"))</f>
        <v/>
      </c>
      <c r="J90">
        <f>IFERROR(HYPERLINK("#"&amp;D90&amp;"!A"&amp;MATCH(A90,INDIRECT("'"&amp;D90&amp;"'!A:A"),0),"Open"),HYPERLINK("#"&amp;D90&amp;"!A1","Open"))</f>
        <v/>
      </c>
    </row>
    <row r="91" ht="30" customHeight="1">
      <c r="A91" s="46" t="inlineStr">
        <is>
          <t>https://asconafrica.org/launch-event-2026-ascon-conference/</t>
        </is>
      </c>
      <c r="B91" s="39" t="inlineStr">
        <is>
          <t>No FAQ/QA Schema</t>
        </is>
      </c>
      <c r="C91" s="42" t="inlineStr">
        <is>
          <t>Info</t>
        </is>
      </c>
      <c r="D91" s="6" t="inlineStr">
        <is>
          <t>AEO</t>
        </is>
      </c>
      <c r="E91" s="44" t="inlineStr">
        <is>
          <t>https://asconafrica.org/launch-event-2026-ascon-conference/::no_faq_qa_schema</t>
        </is>
      </c>
      <c r="F91" s="6" t="inlineStr">
        <is>
          <t>Dev</t>
        </is>
      </c>
      <c r="G91" s="45" t="inlineStr">
        <is>
          <t>Open</t>
        </is>
      </c>
      <c r="H91" s="6" t="inlineStr"/>
      <c r="I91">
        <f>IFERROR(HYPERLINK("#Main!A"&amp;MATCH(A91,Main!A:A,0),"Open"),HYPERLINK("#Main!A1","Open"))</f>
        <v/>
      </c>
      <c r="J91">
        <f>IFERROR(HYPERLINK("#"&amp;D91&amp;"!A"&amp;MATCH(A91,INDIRECT("'"&amp;D91&amp;"'!A:A"),0),"Open"),HYPERLINK("#"&amp;D91&amp;"!A1","Open"))</f>
        <v/>
      </c>
    </row>
    <row r="92" ht="30" customHeight="1">
      <c r="A92" s="46" t="inlineStr">
        <is>
          <t>https://asconafrica.org/launch-event-2026-ascon-conference/</t>
        </is>
      </c>
      <c r="B92" s="39" t="inlineStr">
        <is>
          <t>No Question Headings</t>
        </is>
      </c>
      <c r="C92" s="42" t="inlineStr">
        <is>
          <t>Info</t>
        </is>
      </c>
      <c r="D92" s="37" t="inlineStr">
        <is>
          <t>AEO</t>
        </is>
      </c>
      <c r="E92" s="41" t="inlineStr">
        <is>
          <t>https://asconafrica.org/launch-event-2026-ascon-conference/::no_question_headings</t>
        </is>
      </c>
      <c r="F92" s="37" t="inlineStr">
        <is>
          <t>Copy Writer</t>
        </is>
      </c>
      <c r="G92" s="45" t="inlineStr">
        <is>
          <t>Open</t>
        </is>
      </c>
      <c r="H92" s="37" t="inlineStr"/>
      <c r="I92">
        <f>IFERROR(HYPERLINK("#Main!A"&amp;MATCH(A92,Main!A:A,0),"Open"),HYPERLINK("#Main!A1","Open"))</f>
        <v/>
      </c>
      <c r="J92">
        <f>IFERROR(HYPERLINK("#"&amp;D92&amp;"!A"&amp;MATCH(A92,INDIRECT("'"&amp;D92&amp;"'!A:A"),0),"Open"),HYPERLINK("#"&amp;D92&amp;"!A1","Open"))</f>
        <v/>
      </c>
    </row>
    <row r="93" ht="30" customHeight="1">
      <c r="A93" s="46" t="inlineStr">
        <is>
          <t>https://asconafrica.org/launch-event-2026-ascon-conference/</t>
        </is>
      </c>
      <c r="B93" s="39" t="inlineStr">
        <is>
          <t>No Answer-Friendly Structure</t>
        </is>
      </c>
      <c r="C93" s="42" t="inlineStr">
        <is>
          <t>Info</t>
        </is>
      </c>
      <c r="D93" s="6" t="inlineStr">
        <is>
          <t>Technical</t>
        </is>
      </c>
      <c r="E93" s="44" t="inlineStr">
        <is>
          <t>https://asconafrica.org/launch-event-2026-ascon-conference/::no_answer-friendly_structure</t>
        </is>
      </c>
      <c r="F93" s="6" t="inlineStr">
        <is>
          <t>Copy Writer</t>
        </is>
      </c>
      <c r="G93" s="45" t="inlineStr">
        <is>
          <t>Open</t>
        </is>
      </c>
      <c r="H93" s="6" t="inlineStr"/>
      <c r="I93">
        <f>IFERROR(HYPERLINK("#Main!A"&amp;MATCH(A93,Main!A:A,0),"Open"),HYPERLINK("#Main!A1","Open"))</f>
        <v/>
      </c>
      <c r="J93">
        <f>IFERROR(HYPERLINK("#"&amp;D93&amp;"!A"&amp;MATCH(A93,INDIRECT("'"&amp;D93&amp;"'!A:A"),0),"Open"),HYPERLINK("#"&amp;D93&amp;"!A1","Open"))</f>
        <v/>
      </c>
    </row>
    <row r="94" ht="30" customHeight="1">
      <c r="A94" s="46" t="inlineStr">
        <is>
          <t>https://asconafrica.org/launch-event-2026-ascon-conference/</t>
        </is>
      </c>
      <c r="B94" s="39" t="inlineStr">
        <is>
          <t>No 40-60 Word Answer Paragraphs</t>
        </is>
      </c>
      <c r="C94" s="42" t="inlineStr">
        <is>
          <t>Info</t>
        </is>
      </c>
      <c r="D94" s="37" t="inlineStr">
        <is>
          <t>Technical</t>
        </is>
      </c>
      <c r="E94" s="41" t="inlineStr">
        <is>
          <t>https://asconafrica.org/launch-event-2026-ascon-conference/::no_40-60_word_answer_paragraphs</t>
        </is>
      </c>
      <c r="F94" s="37" t="inlineStr">
        <is>
          <t>Copy Writer</t>
        </is>
      </c>
      <c r="G94" s="45" t="inlineStr">
        <is>
          <t>Open</t>
        </is>
      </c>
      <c r="H94" s="37" t="inlineStr"/>
      <c r="I94">
        <f>IFERROR(HYPERLINK("#Main!A"&amp;MATCH(A94,Main!A:A,0),"Open"),HYPERLINK("#Main!A1","Open"))</f>
        <v/>
      </c>
      <c r="J94">
        <f>IFERROR(HYPERLINK("#"&amp;D94&amp;"!A"&amp;MATCH(A94,INDIRECT("'"&amp;D94&amp;"'!A:A"),0),"Open"),HYPERLINK("#"&amp;D94&amp;"!A1","Open"))</f>
        <v/>
      </c>
    </row>
    <row r="95" ht="30" customHeight="1">
      <c r="A95" s="46" t="inlineStr">
        <is>
          <t>https://asconafrica.org/2026-ascon-awards/thank-you-for-your-nomination/</t>
        </is>
      </c>
      <c r="B95" s="39" t="inlineStr">
        <is>
          <t>Thin Content</t>
        </is>
      </c>
      <c r="C95" s="38" t="inlineStr">
        <is>
          <t>Warning</t>
        </is>
      </c>
      <c r="D95" s="6" t="inlineStr">
        <is>
          <t>Technical</t>
        </is>
      </c>
      <c r="E95" s="44" t="inlineStr">
        <is>
          <t>https://asconafrica.org/2026-ascon-awards/thank-you-for-your-nomination/::thin_content</t>
        </is>
      </c>
      <c r="F95" s="6" t="inlineStr">
        <is>
          <t>Copy Writer</t>
        </is>
      </c>
      <c r="G95" s="45" t="inlineStr">
        <is>
          <t>Open</t>
        </is>
      </c>
      <c r="H95" s="6" t="inlineStr"/>
      <c r="I95">
        <f>IFERROR(HYPERLINK("#Main!A"&amp;MATCH(A95,Main!A:A,0),"Open"),HYPERLINK("#Main!A1","Open"))</f>
        <v/>
      </c>
      <c r="J95">
        <f>IFERROR(HYPERLINK("#"&amp;D95&amp;"!A"&amp;MATCH(A95,INDIRECT("'"&amp;D95&amp;"'!A:A"),0),"Open"),HYPERLINK("#"&amp;D95&amp;"!A1","Open"))</f>
        <v/>
      </c>
    </row>
    <row r="96" ht="30" customHeight="1">
      <c r="A96" s="46" t="inlineStr">
        <is>
          <t>https://asconafrica.org/2026-ascon-awards/thank-you-for-your-nomination/</t>
        </is>
      </c>
      <c r="B96" s="39" t="inlineStr">
        <is>
          <t>Low AEO Readiness Score</t>
        </is>
      </c>
      <c r="C96" s="38" t="inlineStr">
        <is>
          <t>Warning</t>
        </is>
      </c>
      <c r="D96" s="37" t="inlineStr">
        <is>
          <t>AEO</t>
        </is>
      </c>
      <c r="E96" s="41" t="inlineStr">
        <is>
          <t>https://asconafrica.org/2026-ascon-awards/thank-you-for-your-nomination/::low_aeo_readiness_score</t>
        </is>
      </c>
      <c r="F96" s="37" t="inlineStr">
        <is>
          <t>Copy Writer</t>
        </is>
      </c>
      <c r="G96" s="45" t="inlineStr">
        <is>
          <t>Open</t>
        </is>
      </c>
      <c r="H96" s="37" t="inlineStr"/>
      <c r="I96">
        <f>IFERROR(HYPERLINK("#Main!A"&amp;MATCH(A96,Main!A:A,0),"Open"),HYPERLINK("#Main!A1","Open"))</f>
        <v/>
      </c>
      <c r="J96">
        <f>IFERROR(HYPERLINK("#"&amp;D96&amp;"!A"&amp;MATCH(A96,INDIRECT("'"&amp;D96&amp;"'!A:A"),0),"Open"),HYPERLINK("#"&amp;D96&amp;"!A1","Open"))</f>
        <v/>
      </c>
    </row>
    <row r="97" ht="30" customHeight="1">
      <c r="A97" s="46" t="inlineStr">
        <is>
          <t>https://asconafrica.org/2026-ascon-awards/thank-you-for-your-nomination/</t>
        </is>
      </c>
      <c r="B97" s="39" t="inlineStr">
        <is>
          <t>No Compression Header</t>
        </is>
      </c>
      <c r="C97" s="42" t="inlineStr">
        <is>
          <t>Info</t>
        </is>
      </c>
      <c r="D97" s="6" t="inlineStr">
        <is>
          <t>Technical</t>
        </is>
      </c>
      <c r="E97" s="44" t="inlineStr">
        <is>
          <t>https://asconafrica.org/2026-ascon-awards/thank-you-for-your-nomination/::no_compression_header</t>
        </is>
      </c>
      <c r="F97" s="6" t="inlineStr">
        <is>
          <t>Server/Host</t>
        </is>
      </c>
      <c r="G97" s="45" t="inlineStr">
        <is>
          <t>Open</t>
        </is>
      </c>
      <c r="H97" s="6" t="inlineStr"/>
      <c r="I97">
        <f>IFERROR(HYPERLINK("#Main!A"&amp;MATCH(A97,Main!A:A,0),"Open"),HYPERLINK("#Main!A1","Open"))</f>
        <v/>
      </c>
      <c r="J97">
        <f>IFERROR(HYPERLINK("#"&amp;D97&amp;"!A"&amp;MATCH(A97,INDIRECT("'"&amp;D97&amp;"'!A:A"),0),"Open"),HYPERLINK("#"&amp;D97&amp;"!A1","Open"))</f>
        <v/>
      </c>
    </row>
    <row r="98" ht="30" customHeight="1">
      <c r="A98" s="46" t="inlineStr">
        <is>
          <t>https://asconafrica.org/2026-ascon-awards/thank-you-for-your-nomination/</t>
        </is>
      </c>
      <c r="B98" s="39" t="inlineStr">
        <is>
          <t>No Cache-Control Header</t>
        </is>
      </c>
      <c r="C98" s="42" t="inlineStr">
        <is>
          <t>Info</t>
        </is>
      </c>
      <c r="D98" s="37" t="inlineStr">
        <is>
          <t>Technical</t>
        </is>
      </c>
      <c r="E98" s="41" t="inlineStr">
        <is>
          <t>https://asconafrica.org/2026-ascon-awards/thank-you-for-your-nomination/::no_cache-control_header</t>
        </is>
      </c>
      <c r="F98" s="37" t="inlineStr">
        <is>
          <t>Server/Host</t>
        </is>
      </c>
      <c r="G98" s="45" t="inlineStr">
        <is>
          <t>Open</t>
        </is>
      </c>
      <c r="H98" s="37" t="inlineStr"/>
      <c r="I98">
        <f>IFERROR(HYPERLINK("#Main!A"&amp;MATCH(A98,Main!A:A,0),"Open"),HYPERLINK("#Main!A1","Open"))</f>
        <v/>
      </c>
      <c r="J98">
        <f>IFERROR(HYPERLINK("#"&amp;D98&amp;"!A"&amp;MATCH(A98,INDIRECT("'"&amp;D98&amp;"'!A:A"),0),"Open"),HYPERLINK("#"&amp;D98&amp;"!A1","Open"))</f>
        <v/>
      </c>
    </row>
    <row r="99" ht="30" customHeight="1">
      <c r="A99" s="46" t="inlineStr">
        <is>
          <t>https://asconafrica.org/2026-ascon-awards/thank-you-for-your-nomination/</t>
        </is>
      </c>
      <c r="B99" s="39" t="inlineStr">
        <is>
          <t>No ETag Header</t>
        </is>
      </c>
      <c r="C99" s="42" t="inlineStr">
        <is>
          <t>Info</t>
        </is>
      </c>
      <c r="D99" s="6" t="inlineStr">
        <is>
          <t>Technical</t>
        </is>
      </c>
      <c r="E99" s="44" t="inlineStr">
        <is>
          <t>https://asconafrica.org/2026-ascon-awards/thank-you-for-your-nomination/::no_etag_header</t>
        </is>
      </c>
      <c r="F99" s="6" t="inlineStr">
        <is>
          <t>Server/Host</t>
        </is>
      </c>
      <c r="G99" s="45" t="inlineStr">
        <is>
          <t>Open</t>
        </is>
      </c>
      <c r="H99" s="6" t="inlineStr"/>
      <c r="I99">
        <f>IFERROR(HYPERLINK("#Main!A"&amp;MATCH(A99,Main!A:A,0),"Open"),HYPERLINK("#Main!A1","Open"))</f>
        <v/>
      </c>
      <c r="J99">
        <f>IFERROR(HYPERLINK("#"&amp;D99&amp;"!A"&amp;MATCH(A99,INDIRECT("'"&amp;D99&amp;"'!A:A"),0),"Open"),HYPERLINK("#"&amp;D99&amp;"!A1","Open"))</f>
        <v/>
      </c>
    </row>
    <row r="100" ht="30" customHeight="1">
      <c r="A100" s="46" t="inlineStr">
        <is>
          <t>https://asconafrica.org/2026-ascon-awards/thank-you-for-your-nomination/</t>
        </is>
      </c>
      <c r="B100" s="39" t="inlineStr">
        <is>
          <t>No FAQ/QA Schema</t>
        </is>
      </c>
      <c r="C100" s="42" t="inlineStr">
        <is>
          <t>Info</t>
        </is>
      </c>
      <c r="D100" s="37" t="inlineStr">
        <is>
          <t>AEO</t>
        </is>
      </c>
      <c r="E100" s="41" t="inlineStr">
        <is>
          <t>https://asconafrica.org/2026-ascon-awards/thank-you-for-your-nomination/::no_faq_qa_schema</t>
        </is>
      </c>
      <c r="F100" s="37" t="inlineStr">
        <is>
          <t>Dev</t>
        </is>
      </c>
      <c r="G100" s="45" t="inlineStr">
        <is>
          <t>Open</t>
        </is>
      </c>
      <c r="H100" s="37" t="inlineStr"/>
      <c r="I100">
        <f>IFERROR(HYPERLINK("#Main!A"&amp;MATCH(A100,Main!A:A,0),"Open"),HYPERLINK("#Main!A1","Open"))</f>
        <v/>
      </c>
      <c r="J100">
        <f>IFERROR(HYPERLINK("#"&amp;D100&amp;"!A"&amp;MATCH(A100,INDIRECT("'"&amp;D100&amp;"'!A:A"),0),"Open"),HYPERLINK("#"&amp;D100&amp;"!A1","Open"))</f>
        <v/>
      </c>
    </row>
    <row r="101" ht="30" customHeight="1">
      <c r="A101" s="46" t="inlineStr">
        <is>
          <t>https://asconafrica.org/2026-ascon-awards/thank-you-for-your-nomination/</t>
        </is>
      </c>
      <c r="B101" s="39" t="inlineStr">
        <is>
          <t>No Question Headings</t>
        </is>
      </c>
      <c r="C101" s="42" t="inlineStr">
        <is>
          <t>Info</t>
        </is>
      </c>
      <c r="D101" s="6" t="inlineStr">
        <is>
          <t>AEO</t>
        </is>
      </c>
      <c r="E101" s="44" t="inlineStr">
        <is>
          <t>https://asconafrica.org/2026-ascon-awards/thank-you-for-your-nomination/::no_question_headings</t>
        </is>
      </c>
      <c r="F101" s="6" t="inlineStr">
        <is>
          <t>Copy Writer</t>
        </is>
      </c>
      <c r="G101" s="45" t="inlineStr">
        <is>
          <t>Open</t>
        </is>
      </c>
      <c r="H101" s="6" t="inlineStr"/>
      <c r="I101">
        <f>IFERROR(HYPERLINK("#Main!A"&amp;MATCH(A101,Main!A:A,0),"Open"),HYPERLINK("#Main!A1","Open"))</f>
        <v/>
      </c>
      <c r="J101">
        <f>IFERROR(HYPERLINK("#"&amp;D101&amp;"!A"&amp;MATCH(A101,INDIRECT("'"&amp;D101&amp;"'!A:A"),0),"Open"),HYPERLINK("#"&amp;D101&amp;"!A1","Open"))</f>
        <v/>
      </c>
    </row>
    <row r="102" ht="30" customHeight="1">
      <c r="A102" s="46" t="inlineStr">
        <is>
          <t>https://asconafrica.org/2026-ascon-awards/thank-you-for-your-nomination/</t>
        </is>
      </c>
      <c r="B102" s="39" t="inlineStr">
        <is>
          <t>No Answer-Friendly Structure</t>
        </is>
      </c>
      <c r="C102" s="42" t="inlineStr">
        <is>
          <t>Info</t>
        </is>
      </c>
      <c r="D102" s="37" t="inlineStr">
        <is>
          <t>Technical</t>
        </is>
      </c>
      <c r="E102" s="41" t="inlineStr">
        <is>
          <t>https://asconafrica.org/2026-ascon-awards/thank-you-for-your-nomination/::no_answer-friendly_structure</t>
        </is>
      </c>
      <c r="F102" s="37" t="inlineStr">
        <is>
          <t>Copy Writer</t>
        </is>
      </c>
      <c r="G102" s="45" t="inlineStr">
        <is>
          <t>Open</t>
        </is>
      </c>
      <c r="H102" s="37" t="inlineStr"/>
      <c r="I102">
        <f>IFERROR(HYPERLINK("#Main!A"&amp;MATCH(A102,Main!A:A,0),"Open"),HYPERLINK("#Main!A1","Open"))</f>
        <v/>
      </c>
      <c r="J102">
        <f>IFERROR(HYPERLINK("#"&amp;D102&amp;"!A"&amp;MATCH(A102,INDIRECT("'"&amp;D102&amp;"'!A:A"),0),"Open"),HYPERLINK("#"&amp;D102&amp;"!A1","Open"))</f>
        <v/>
      </c>
    </row>
    <row r="103" ht="30" customHeight="1">
      <c r="A103" s="46" t="inlineStr">
        <is>
          <t>https://asconafrica.org/2026-ascon-awards/thank-you-for-your-nomination/</t>
        </is>
      </c>
      <c r="B103" s="39" t="inlineStr">
        <is>
          <t>No 40-60 Word Answer Paragraphs</t>
        </is>
      </c>
      <c r="C103" s="42" t="inlineStr">
        <is>
          <t>Info</t>
        </is>
      </c>
      <c r="D103" s="6" t="inlineStr">
        <is>
          <t>Technical</t>
        </is>
      </c>
      <c r="E103" s="44" t="inlineStr">
        <is>
          <t>https://asconafrica.org/2026-ascon-awards/thank-you-for-your-nomination/::no_40-60_word_answer_paragraphs</t>
        </is>
      </c>
      <c r="F103" s="6" t="inlineStr">
        <is>
          <t>Copy Writer</t>
        </is>
      </c>
      <c r="G103" s="45" t="inlineStr">
        <is>
          <t>Open</t>
        </is>
      </c>
      <c r="H103" s="6" t="inlineStr"/>
      <c r="I103">
        <f>IFERROR(HYPERLINK("#Main!A"&amp;MATCH(A103,Main!A:A,0),"Open"),HYPERLINK("#Main!A1","Open"))</f>
        <v/>
      </c>
      <c r="J103">
        <f>IFERROR(HYPERLINK("#"&amp;D103&amp;"!A"&amp;MATCH(A103,INDIRECT("'"&amp;D103&amp;"'!A:A"),0),"Open"),HYPERLINK("#"&amp;D103&amp;"!A1","Open"))</f>
        <v/>
      </c>
    </row>
    <row r="104">
      <c r="A104" s="46" t="inlineStr">
        <is>
          <t>https://asconafrica.org/unsubscribe-form/</t>
        </is>
      </c>
      <c r="B104" s="39" t="inlineStr">
        <is>
          <t>Missing H1</t>
        </is>
      </c>
      <c r="C104" s="38" t="inlineStr">
        <is>
          <t>Warning</t>
        </is>
      </c>
      <c r="D104" s="37" t="inlineStr">
        <is>
          <t>Technical</t>
        </is>
      </c>
      <c r="E104" s="41" t="inlineStr">
        <is>
          <t>https://asconafrica.org/unsubscribe-form/::missing_h1</t>
        </is>
      </c>
      <c r="F104" s="37" t="inlineStr">
        <is>
          <t>Copy Writer</t>
        </is>
      </c>
      <c r="G104" s="45" t="inlineStr">
        <is>
          <t>Open</t>
        </is>
      </c>
      <c r="H104" s="37" t="inlineStr"/>
      <c r="I104">
        <f>IFERROR(HYPERLINK("#Main!A"&amp;MATCH(A104,Main!A:A,0),"Open"),HYPERLINK("#Main!A1","Open"))</f>
        <v/>
      </c>
      <c r="J104">
        <f>IFERROR(HYPERLINK("#"&amp;D104&amp;"!A"&amp;MATCH(A104,INDIRECT("'"&amp;D104&amp;"'!A:A"),0),"Open"),HYPERLINK("#"&amp;D104&amp;"!A1","Open"))</f>
        <v/>
      </c>
    </row>
    <row r="105">
      <c r="A105" s="46" t="inlineStr">
        <is>
          <t>https://asconafrica.org/unsubscribe-form/</t>
        </is>
      </c>
      <c r="B105" s="39" t="inlineStr">
        <is>
          <t>Thin Content</t>
        </is>
      </c>
      <c r="C105" s="38" t="inlineStr">
        <is>
          <t>Warning</t>
        </is>
      </c>
      <c r="D105" s="6" t="inlineStr">
        <is>
          <t>Technical</t>
        </is>
      </c>
      <c r="E105" s="44" t="inlineStr">
        <is>
          <t>https://asconafrica.org/unsubscribe-form/::thin_content</t>
        </is>
      </c>
      <c r="F105" s="6" t="inlineStr">
        <is>
          <t>Copy Writer</t>
        </is>
      </c>
      <c r="G105" s="45" t="inlineStr">
        <is>
          <t>Open</t>
        </is>
      </c>
      <c r="H105" s="6" t="inlineStr"/>
      <c r="I105">
        <f>IFERROR(HYPERLINK("#Main!A"&amp;MATCH(A105,Main!A:A,0),"Open"),HYPERLINK("#Main!A1","Open"))</f>
        <v/>
      </c>
      <c r="J105">
        <f>IFERROR(HYPERLINK("#"&amp;D105&amp;"!A"&amp;MATCH(A105,INDIRECT("'"&amp;D105&amp;"'!A:A"),0),"Open"),HYPERLINK("#"&amp;D105&amp;"!A1","Open"))</f>
        <v/>
      </c>
    </row>
    <row r="106">
      <c r="A106" s="46" t="inlineStr">
        <is>
          <t>https://asconafrica.org/unsubscribe-form/</t>
        </is>
      </c>
      <c r="B106" s="39" t="inlineStr">
        <is>
          <t>Low AEO Readiness Score</t>
        </is>
      </c>
      <c r="C106" s="38" t="inlineStr">
        <is>
          <t>Warning</t>
        </is>
      </c>
      <c r="D106" s="37" t="inlineStr">
        <is>
          <t>AEO</t>
        </is>
      </c>
      <c r="E106" s="41" t="inlineStr">
        <is>
          <t>https://asconafrica.org/unsubscribe-form/::low_aeo_readiness_score</t>
        </is>
      </c>
      <c r="F106" s="37" t="inlineStr">
        <is>
          <t>Copy Writer</t>
        </is>
      </c>
      <c r="G106" s="45" t="inlineStr">
        <is>
          <t>Open</t>
        </is>
      </c>
      <c r="H106" s="37" t="inlineStr"/>
      <c r="I106">
        <f>IFERROR(HYPERLINK("#Main!A"&amp;MATCH(A106,Main!A:A,0),"Open"),HYPERLINK("#Main!A1","Open"))</f>
        <v/>
      </c>
      <c r="J106">
        <f>IFERROR(HYPERLINK("#"&amp;D106&amp;"!A"&amp;MATCH(A106,INDIRECT("'"&amp;D106&amp;"'!A:A"),0),"Open"),HYPERLINK("#"&amp;D106&amp;"!A1","Open"))</f>
        <v/>
      </c>
    </row>
    <row r="107">
      <c r="A107" s="46" t="inlineStr">
        <is>
          <t>https://asconafrica.org/unsubscribe-form/</t>
        </is>
      </c>
      <c r="B107" s="39" t="inlineStr">
        <is>
          <t>No Compression Header</t>
        </is>
      </c>
      <c r="C107" s="42" t="inlineStr">
        <is>
          <t>Info</t>
        </is>
      </c>
      <c r="D107" s="6" t="inlineStr">
        <is>
          <t>Technical</t>
        </is>
      </c>
      <c r="E107" s="44" t="inlineStr">
        <is>
          <t>https://asconafrica.org/unsubscribe-form/::no_compression_header</t>
        </is>
      </c>
      <c r="F107" s="6" t="inlineStr">
        <is>
          <t>Server/Host</t>
        </is>
      </c>
      <c r="G107" s="45" t="inlineStr">
        <is>
          <t>Open</t>
        </is>
      </c>
      <c r="H107" s="6" t="inlineStr"/>
      <c r="I107">
        <f>IFERROR(HYPERLINK("#Main!A"&amp;MATCH(A107,Main!A:A,0),"Open"),HYPERLINK("#Main!A1","Open"))</f>
        <v/>
      </c>
      <c r="J107">
        <f>IFERROR(HYPERLINK("#"&amp;D107&amp;"!A"&amp;MATCH(A107,INDIRECT("'"&amp;D107&amp;"'!A:A"),0),"Open"),HYPERLINK("#"&amp;D107&amp;"!A1","Open"))</f>
        <v/>
      </c>
    </row>
    <row r="108">
      <c r="A108" s="46" t="inlineStr">
        <is>
          <t>https://asconafrica.org/unsubscribe-form/</t>
        </is>
      </c>
      <c r="B108" s="39" t="inlineStr">
        <is>
          <t>No Cache-Control Header</t>
        </is>
      </c>
      <c r="C108" s="42" t="inlineStr">
        <is>
          <t>Info</t>
        </is>
      </c>
      <c r="D108" s="37" t="inlineStr">
        <is>
          <t>Technical</t>
        </is>
      </c>
      <c r="E108" s="41" t="inlineStr">
        <is>
          <t>https://asconafrica.org/unsubscribe-form/::no_cache-control_header</t>
        </is>
      </c>
      <c r="F108" s="37" t="inlineStr">
        <is>
          <t>Server/Host</t>
        </is>
      </c>
      <c r="G108" s="45" t="inlineStr">
        <is>
          <t>Open</t>
        </is>
      </c>
      <c r="H108" s="37" t="inlineStr"/>
      <c r="I108">
        <f>IFERROR(HYPERLINK("#Main!A"&amp;MATCH(A108,Main!A:A,0),"Open"),HYPERLINK("#Main!A1","Open"))</f>
        <v/>
      </c>
      <c r="J108">
        <f>IFERROR(HYPERLINK("#"&amp;D108&amp;"!A"&amp;MATCH(A108,INDIRECT("'"&amp;D108&amp;"'!A:A"),0),"Open"),HYPERLINK("#"&amp;D108&amp;"!A1","Open"))</f>
        <v/>
      </c>
    </row>
    <row r="109">
      <c r="A109" s="46" t="inlineStr">
        <is>
          <t>https://asconafrica.org/unsubscribe-form/</t>
        </is>
      </c>
      <c r="B109" s="39" t="inlineStr">
        <is>
          <t>No ETag Header</t>
        </is>
      </c>
      <c r="C109" s="42" t="inlineStr">
        <is>
          <t>Info</t>
        </is>
      </c>
      <c r="D109" s="6" t="inlineStr">
        <is>
          <t>Technical</t>
        </is>
      </c>
      <c r="E109" s="44" t="inlineStr">
        <is>
          <t>https://asconafrica.org/unsubscribe-form/::no_etag_header</t>
        </is>
      </c>
      <c r="F109" s="6" t="inlineStr">
        <is>
          <t>Server/Host</t>
        </is>
      </c>
      <c r="G109" s="45" t="inlineStr">
        <is>
          <t>Open</t>
        </is>
      </c>
      <c r="H109" s="6" t="inlineStr"/>
      <c r="I109">
        <f>IFERROR(HYPERLINK("#Main!A"&amp;MATCH(A109,Main!A:A,0),"Open"),HYPERLINK("#Main!A1","Open"))</f>
        <v/>
      </c>
      <c r="J109">
        <f>IFERROR(HYPERLINK("#"&amp;D109&amp;"!A"&amp;MATCH(A109,INDIRECT("'"&amp;D109&amp;"'!A:A"),0),"Open"),HYPERLINK("#"&amp;D109&amp;"!A1","Open"))</f>
        <v/>
      </c>
    </row>
    <row r="110">
      <c r="A110" s="46" t="inlineStr">
        <is>
          <t>https://asconafrica.org/unsubscribe-form/</t>
        </is>
      </c>
      <c r="B110" s="39" t="inlineStr">
        <is>
          <t>No FAQ/QA Schema</t>
        </is>
      </c>
      <c r="C110" s="42" t="inlineStr">
        <is>
          <t>Info</t>
        </is>
      </c>
      <c r="D110" s="37" t="inlineStr">
        <is>
          <t>AEO</t>
        </is>
      </c>
      <c r="E110" s="41" t="inlineStr">
        <is>
          <t>https://asconafrica.org/unsubscribe-form/::no_faq_qa_schema</t>
        </is>
      </c>
      <c r="F110" s="37" t="inlineStr">
        <is>
          <t>Dev</t>
        </is>
      </c>
      <c r="G110" s="45" t="inlineStr">
        <is>
          <t>Open</t>
        </is>
      </c>
      <c r="H110" s="37" t="inlineStr"/>
      <c r="I110">
        <f>IFERROR(HYPERLINK("#Main!A"&amp;MATCH(A110,Main!A:A,0),"Open"),HYPERLINK("#Main!A1","Open"))</f>
        <v/>
      </c>
      <c r="J110">
        <f>IFERROR(HYPERLINK("#"&amp;D110&amp;"!A"&amp;MATCH(A110,INDIRECT("'"&amp;D110&amp;"'!A:A"),0),"Open"),HYPERLINK("#"&amp;D110&amp;"!A1","Open"))</f>
        <v/>
      </c>
    </row>
    <row r="111">
      <c r="A111" s="46" t="inlineStr">
        <is>
          <t>https://asconafrica.org/unsubscribe-form/</t>
        </is>
      </c>
      <c r="B111" s="39" t="inlineStr">
        <is>
          <t>No Question Headings</t>
        </is>
      </c>
      <c r="C111" s="42" t="inlineStr">
        <is>
          <t>Info</t>
        </is>
      </c>
      <c r="D111" s="6" t="inlineStr">
        <is>
          <t>AEO</t>
        </is>
      </c>
      <c r="E111" s="44" t="inlineStr">
        <is>
          <t>https://asconafrica.org/unsubscribe-form/::no_question_headings</t>
        </is>
      </c>
      <c r="F111" s="6" t="inlineStr">
        <is>
          <t>Copy Writer</t>
        </is>
      </c>
      <c r="G111" s="45" t="inlineStr">
        <is>
          <t>Open</t>
        </is>
      </c>
      <c r="H111" s="6" t="inlineStr"/>
      <c r="I111">
        <f>IFERROR(HYPERLINK("#Main!A"&amp;MATCH(A111,Main!A:A,0),"Open"),HYPERLINK("#Main!A1","Open"))</f>
        <v/>
      </c>
      <c r="J111">
        <f>IFERROR(HYPERLINK("#"&amp;D111&amp;"!A"&amp;MATCH(A111,INDIRECT("'"&amp;D111&amp;"'!A:A"),0),"Open"),HYPERLINK("#"&amp;D111&amp;"!A1","Open"))</f>
        <v/>
      </c>
    </row>
    <row r="112">
      <c r="A112" s="46" t="inlineStr">
        <is>
          <t>https://asconafrica.org/unsubscribe-form/</t>
        </is>
      </c>
      <c r="B112" s="39" t="inlineStr">
        <is>
          <t>No Answer-Friendly Structure</t>
        </is>
      </c>
      <c r="C112" s="42" t="inlineStr">
        <is>
          <t>Info</t>
        </is>
      </c>
      <c r="D112" s="37" t="inlineStr">
        <is>
          <t>Technical</t>
        </is>
      </c>
      <c r="E112" s="41" t="inlineStr">
        <is>
          <t>https://asconafrica.org/unsubscribe-form/::no_answer-friendly_structure</t>
        </is>
      </c>
      <c r="F112" s="37" t="inlineStr">
        <is>
          <t>Copy Writer</t>
        </is>
      </c>
      <c r="G112" s="45" t="inlineStr">
        <is>
          <t>Open</t>
        </is>
      </c>
      <c r="H112" s="37" t="inlineStr"/>
      <c r="I112">
        <f>IFERROR(HYPERLINK("#Main!A"&amp;MATCH(A112,Main!A:A,0),"Open"),HYPERLINK("#Main!A1","Open"))</f>
        <v/>
      </c>
      <c r="J112">
        <f>IFERROR(HYPERLINK("#"&amp;D112&amp;"!A"&amp;MATCH(A112,INDIRECT("'"&amp;D112&amp;"'!A:A"),0),"Open"),HYPERLINK("#"&amp;D112&amp;"!A1","Open"))</f>
        <v/>
      </c>
    </row>
    <row r="113">
      <c r="A113" s="46" t="inlineStr">
        <is>
          <t>https://asconafrica.org/unsubscribe-form/</t>
        </is>
      </c>
      <c r="B113" s="39" t="inlineStr">
        <is>
          <t>No 40-60 Word Answer Paragraphs</t>
        </is>
      </c>
      <c r="C113" s="42" t="inlineStr">
        <is>
          <t>Info</t>
        </is>
      </c>
      <c r="D113" s="6" t="inlineStr">
        <is>
          <t>Technical</t>
        </is>
      </c>
      <c r="E113" s="44" t="inlineStr">
        <is>
          <t>https://asconafrica.org/unsubscribe-form/::no_40-60_word_answer_paragraphs</t>
        </is>
      </c>
      <c r="F113" s="6" t="inlineStr">
        <is>
          <t>Copy Writer</t>
        </is>
      </c>
      <c r="G113" s="45" t="inlineStr">
        <is>
          <t>Open</t>
        </is>
      </c>
      <c r="H113" s="6" t="inlineStr"/>
      <c r="I113">
        <f>IFERROR(HYPERLINK("#Main!A"&amp;MATCH(A113,Main!A:A,0),"Open"),HYPERLINK("#Main!A1","Open"))</f>
        <v/>
      </c>
      <c r="J113">
        <f>IFERROR(HYPERLINK("#"&amp;D113&amp;"!A"&amp;MATCH(A113,INDIRECT("'"&amp;D113&amp;"'!A:A"),0),"Open"),HYPERLINK("#"&amp;D113&amp;"!A1","Open"))</f>
        <v/>
      </c>
    </row>
    <row r="114" ht="30" customHeight="1">
      <c r="A114" s="46" t="inlineStr">
        <is>
          <t>https://asconafrica.org/unsubscribe-form/successfully-unsubscribed/</t>
        </is>
      </c>
      <c r="B114" s="39" t="inlineStr">
        <is>
          <t>Missing H1</t>
        </is>
      </c>
      <c r="C114" s="38" t="inlineStr">
        <is>
          <t>Warning</t>
        </is>
      </c>
      <c r="D114" s="37" t="inlineStr">
        <is>
          <t>Technical</t>
        </is>
      </c>
      <c r="E114" s="41" t="inlineStr">
        <is>
          <t>https://asconafrica.org/unsubscribe-form/successfully-unsubscribed/::missing_h1</t>
        </is>
      </c>
      <c r="F114" s="37" t="inlineStr">
        <is>
          <t>Copy Writer</t>
        </is>
      </c>
      <c r="G114" s="45" t="inlineStr">
        <is>
          <t>Open</t>
        </is>
      </c>
      <c r="H114" s="37" t="inlineStr"/>
      <c r="I114">
        <f>IFERROR(HYPERLINK("#Main!A"&amp;MATCH(A114,Main!A:A,0),"Open"),HYPERLINK("#Main!A1","Open"))</f>
        <v/>
      </c>
      <c r="J114">
        <f>IFERROR(HYPERLINK("#"&amp;D114&amp;"!A"&amp;MATCH(A114,INDIRECT("'"&amp;D114&amp;"'!A:A"),0),"Open"),HYPERLINK("#"&amp;D114&amp;"!A1","Open"))</f>
        <v/>
      </c>
    </row>
    <row r="115" ht="30" customHeight="1">
      <c r="A115" s="46" t="inlineStr">
        <is>
          <t>https://asconafrica.org/unsubscribe-form/successfully-unsubscribed/</t>
        </is>
      </c>
      <c r="B115" s="39" t="inlineStr">
        <is>
          <t>Thin Content</t>
        </is>
      </c>
      <c r="C115" s="38" t="inlineStr">
        <is>
          <t>Warning</t>
        </is>
      </c>
      <c r="D115" s="6" t="inlineStr">
        <is>
          <t>Technical</t>
        </is>
      </c>
      <c r="E115" s="44" t="inlineStr">
        <is>
          <t>https://asconafrica.org/unsubscribe-form/successfully-unsubscribed/::thin_content</t>
        </is>
      </c>
      <c r="F115" s="6" t="inlineStr">
        <is>
          <t>Copy Writer</t>
        </is>
      </c>
      <c r="G115" s="45" t="inlineStr">
        <is>
          <t>Open</t>
        </is>
      </c>
      <c r="H115" s="6" t="inlineStr"/>
      <c r="I115">
        <f>IFERROR(HYPERLINK("#Main!A"&amp;MATCH(A115,Main!A:A,0),"Open"),HYPERLINK("#Main!A1","Open"))</f>
        <v/>
      </c>
      <c r="J115">
        <f>IFERROR(HYPERLINK("#"&amp;D115&amp;"!A"&amp;MATCH(A115,INDIRECT("'"&amp;D115&amp;"'!A:A"),0),"Open"),HYPERLINK("#"&amp;D115&amp;"!A1","Open"))</f>
        <v/>
      </c>
    </row>
    <row r="116" ht="30" customHeight="1">
      <c r="A116" s="46" t="inlineStr">
        <is>
          <t>https://asconafrica.org/unsubscribe-form/successfully-unsubscribed/</t>
        </is>
      </c>
      <c r="B116" s="39" t="inlineStr">
        <is>
          <t>Low AEO Readiness Score</t>
        </is>
      </c>
      <c r="C116" s="38" t="inlineStr">
        <is>
          <t>Warning</t>
        </is>
      </c>
      <c r="D116" s="37" t="inlineStr">
        <is>
          <t>AEO</t>
        </is>
      </c>
      <c r="E116" s="41" t="inlineStr">
        <is>
          <t>https://asconafrica.org/unsubscribe-form/successfully-unsubscribed/::low_aeo_readiness_score</t>
        </is>
      </c>
      <c r="F116" s="37" t="inlineStr">
        <is>
          <t>Copy Writer</t>
        </is>
      </c>
      <c r="G116" s="45" t="inlineStr">
        <is>
          <t>Open</t>
        </is>
      </c>
      <c r="H116" s="37" t="inlineStr"/>
      <c r="I116">
        <f>IFERROR(HYPERLINK("#Main!A"&amp;MATCH(A116,Main!A:A,0),"Open"),HYPERLINK("#Main!A1","Open"))</f>
        <v/>
      </c>
      <c r="J116">
        <f>IFERROR(HYPERLINK("#"&amp;D116&amp;"!A"&amp;MATCH(A116,INDIRECT("'"&amp;D116&amp;"'!A:A"),0),"Open"),HYPERLINK("#"&amp;D116&amp;"!A1","Open"))</f>
        <v/>
      </c>
    </row>
    <row r="117" ht="30" customHeight="1">
      <c r="A117" s="46" t="inlineStr">
        <is>
          <t>https://asconafrica.org/unsubscribe-form/successfully-unsubscribed/</t>
        </is>
      </c>
      <c r="B117" s="39" t="inlineStr">
        <is>
          <t>No Compression Header</t>
        </is>
      </c>
      <c r="C117" s="42" t="inlineStr">
        <is>
          <t>Info</t>
        </is>
      </c>
      <c r="D117" s="6" t="inlineStr">
        <is>
          <t>Technical</t>
        </is>
      </c>
      <c r="E117" s="44" t="inlineStr">
        <is>
          <t>https://asconafrica.org/unsubscribe-form/successfully-unsubscribed/::no_compression_header</t>
        </is>
      </c>
      <c r="F117" s="6" t="inlineStr">
        <is>
          <t>Server/Host</t>
        </is>
      </c>
      <c r="G117" s="45" t="inlineStr">
        <is>
          <t>Open</t>
        </is>
      </c>
      <c r="H117" s="6" t="inlineStr"/>
      <c r="I117">
        <f>IFERROR(HYPERLINK("#Main!A"&amp;MATCH(A117,Main!A:A,0),"Open"),HYPERLINK("#Main!A1","Open"))</f>
        <v/>
      </c>
      <c r="J117">
        <f>IFERROR(HYPERLINK("#"&amp;D117&amp;"!A"&amp;MATCH(A117,INDIRECT("'"&amp;D117&amp;"'!A:A"),0),"Open"),HYPERLINK("#"&amp;D117&amp;"!A1","Open"))</f>
        <v/>
      </c>
    </row>
    <row r="118" ht="30" customHeight="1">
      <c r="A118" s="46" t="inlineStr">
        <is>
          <t>https://asconafrica.org/unsubscribe-form/successfully-unsubscribed/</t>
        </is>
      </c>
      <c r="B118" s="39" t="inlineStr">
        <is>
          <t>No Cache-Control Header</t>
        </is>
      </c>
      <c r="C118" s="42" t="inlineStr">
        <is>
          <t>Info</t>
        </is>
      </c>
      <c r="D118" s="37" t="inlineStr">
        <is>
          <t>Technical</t>
        </is>
      </c>
      <c r="E118" s="41" t="inlineStr">
        <is>
          <t>https://asconafrica.org/unsubscribe-form/successfully-unsubscribed/::no_cache-control_header</t>
        </is>
      </c>
      <c r="F118" s="37" t="inlineStr">
        <is>
          <t>Server/Host</t>
        </is>
      </c>
      <c r="G118" s="45" t="inlineStr">
        <is>
          <t>Open</t>
        </is>
      </c>
      <c r="H118" s="37" t="inlineStr"/>
      <c r="I118">
        <f>IFERROR(HYPERLINK("#Main!A"&amp;MATCH(A118,Main!A:A,0),"Open"),HYPERLINK("#Main!A1","Open"))</f>
        <v/>
      </c>
      <c r="J118">
        <f>IFERROR(HYPERLINK("#"&amp;D118&amp;"!A"&amp;MATCH(A118,INDIRECT("'"&amp;D118&amp;"'!A:A"),0),"Open"),HYPERLINK("#"&amp;D118&amp;"!A1","Open"))</f>
        <v/>
      </c>
    </row>
    <row r="119" ht="30" customHeight="1">
      <c r="A119" s="46" t="inlineStr">
        <is>
          <t>https://asconafrica.org/unsubscribe-form/successfully-unsubscribed/</t>
        </is>
      </c>
      <c r="B119" s="39" t="inlineStr">
        <is>
          <t>No ETag Header</t>
        </is>
      </c>
      <c r="C119" s="42" t="inlineStr">
        <is>
          <t>Info</t>
        </is>
      </c>
      <c r="D119" s="6" t="inlineStr">
        <is>
          <t>Technical</t>
        </is>
      </c>
      <c r="E119" s="44" t="inlineStr">
        <is>
          <t>https://asconafrica.org/unsubscribe-form/successfully-unsubscribed/::no_etag_header</t>
        </is>
      </c>
      <c r="F119" s="6" t="inlineStr">
        <is>
          <t>Server/Host</t>
        </is>
      </c>
      <c r="G119" s="45" t="inlineStr">
        <is>
          <t>Open</t>
        </is>
      </c>
      <c r="H119" s="6" t="inlineStr"/>
      <c r="I119">
        <f>IFERROR(HYPERLINK("#Main!A"&amp;MATCH(A119,Main!A:A,0),"Open"),HYPERLINK("#Main!A1","Open"))</f>
        <v/>
      </c>
      <c r="J119">
        <f>IFERROR(HYPERLINK("#"&amp;D119&amp;"!A"&amp;MATCH(A119,INDIRECT("'"&amp;D119&amp;"'!A:A"),0),"Open"),HYPERLINK("#"&amp;D119&amp;"!A1","Open"))</f>
        <v/>
      </c>
    </row>
    <row r="120" ht="30" customHeight="1">
      <c r="A120" s="46" t="inlineStr">
        <is>
          <t>https://asconafrica.org/unsubscribe-form/successfully-unsubscribed/</t>
        </is>
      </c>
      <c r="B120" s="39" t="inlineStr">
        <is>
          <t>No FAQ/QA Schema</t>
        </is>
      </c>
      <c r="C120" s="42" t="inlineStr">
        <is>
          <t>Info</t>
        </is>
      </c>
      <c r="D120" s="37" t="inlineStr">
        <is>
          <t>AEO</t>
        </is>
      </c>
      <c r="E120" s="41" t="inlineStr">
        <is>
          <t>https://asconafrica.org/unsubscribe-form/successfully-unsubscribed/::no_faq_qa_schema</t>
        </is>
      </c>
      <c r="F120" s="37" t="inlineStr">
        <is>
          <t>Dev</t>
        </is>
      </c>
      <c r="G120" s="45" t="inlineStr">
        <is>
          <t>Open</t>
        </is>
      </c>
      <c r="H120" s="37" t="inlineStr"/>
      <c r="I120">
        <f>IFERROR(HYPERLINK("#Main!A"&amp;MATCH(A120,Main!A:A,0),"Open"),HYPERLINK("#Main!A1","Open"))</f>
        <v/>
      </c>
      <c r="J120">
        <f>IFERROR(HYPERLINK("#"&amp;D120&amp;"!A"&amp;MATCH(A120,INDIRECT("'"&amp;D120&amp;"'!A:A"),0),"Open"),HYPERLINK("#"&amp;D120&amp;"!A1","Open"))</f>
        <v/>
      </c>
    </row>
    <row r="121" ht="30" customHeight="1">
      <c r="A121" s="46" t="inlineStr">
        <is>
          <t>https://asconafrica.org/unsubscribe-form/successfully-unsubscribed/</t>
        </is>
      </c>
      <c r="B121" s="39" t="inlineStr">
        <is>
          <t>No Question Headings</t>
        </is>
      </c>
      <c r="C121" s="42" t="inlineStr">
        <is>
          <t>Info</t>
        </is>
      </c>
      <c r="D121" s="6" t="inlineStr">
        <is>
          <t>AEO</t>
        </is>
      </c>
      <c r="E121" s="44" t="inlineStr">
        <is>
          <t>https://asconafrica.org/unsubscribe-form/successfully-unsubscribed/::no_question_headings</t>
        </is>
      </c>
      <c r="F121" s="6" t="inlineStr">
        <is>
          <t>Copy Writer</t>
        </is>
      </c>
      <c r="G121" s="45" t="inlineStr">
        <is>
          <t>Open</t>
        </is>
      </c>
      <c r="H121" s="6" t="inlineStr"/>
      <c r="I121">
        <f>IFERROR(HYPERLINK("#Main!A"&amp;MATCH(A121,Main!A:A,0),"Open"),HYPERLINK("#Main!A1","Open"))</f>
        <v/>
      </c>
      <c r="J121">
        <f>IFERROR(HYPERLINK("#"&amp;D121&amp;"!A"&amp;MATCH(A121,INDIRECT("'"&amp;D121&amp;"'!A:A"),0),"Open"),HYPERLINK("#"&amp;D121&amp;"!A1","Open"))</f>
        <v/>
      </c>
    </row>
    <row r="122" ht="30" customHeight="1">
      <c r="A122" s="46" t="inlineStr">
        <is>
          <t>https://asconafrica.org/unsubscribe-form/successfully-unsubscribed/</t>
        </is>
      </c>
      <c r="B122" s="39" t="inlineStr">
        <is>
          <t>No Answer-Friendly Structure</t>
        </is>
      </c>
      <c r="C122" s="42" t="inlineStr">
        <is>
          <t>Info</t>
        </is>
      </c>
      <c r="D122" s="37" t="inlineStr">
        <is>
          <t>Technical</t>
        </is>
      </c>
      <c r="E122" s="41" t="inlineStr">
        <is>
          <t>https://asconafrica.org/unsubscribe-form/successfully-unsubscribed/::no_answer-friendly_structure</t>
        </is>
      </c>
      <c r="F122" s="37" t="inlineStr">
        <is>
          <t>Copy Writer</t>
        </is>
      </c>
      <c r="G122" s="45" t="inlineStr">
        <is>
          <t>Open</t>
        </is>
      </c>
      <c r="H122" s="37" t="inlineStr"/>
      <c r="I122">
        <f>IFERROR(HYPERLINK("#Main!A"&amp;MATCH(A122,Main!A:A,0),"Open"),HYPERLINK("#Main!A1","Open"))</f>
        <v/>
      </c>
      <c r="J122">
        <f>IFERROR(HYPERLINK("#"&amp;D122&amp;"!A"&amp;MATCH(A122,INDIRECT("'"&amp;D122&amp;"'!A:A"),0),"Open"),HYPERLINK("#"&amp;D122&amp;"!A1","Open"))</f>
        <v/>
      </c>
    </row>
    <row r="123" ht="30" customHeight="1">
      <c r="A123" s="46" t="inlineStr">
        <is>
          <t>https://asconafrica.org/unsubscribe-form/successfully-unsubscribed/</t>
        </is>
      </c>
      <c r="B123" s="39" t="inlineStr">
        <is>
          <t>No 40-60 Word Answer Paragraphs</t>
        </is>
      </c>
      <c r="C123" s="42" t="inlineStr">
        <is>
          <t>Info</t>
        </is>
      </c>
      <c r="D123" s="6" t="inlineStr">
        <is>
          <t>Technical</t>
        </is>
      </c>
      <c r="E123" s="44" t="inlineStr">
        <is>
          <t>https://asconafrica.org/unsubscribe-form/successfully-unsubscribed/::no_40-60_word_answer_paragraphs</t>
        </is>
      </c>
      <c r="F123" s="6" t="inlineStr">
        <is>
          <t>Copy Writer</t>
        </is>
      </c>
      <c r="G123" s="45" t="inlineStr">
        <is>
          <t>Open</t>
        </is>
      </c>
      <c r="H123" s="6" t="inlineStr"/>
      <c r="I123">
        <f>IFERROR(HYPERLINK("#Main!A"&amp;MATCH(A123,Main!A:A,0),"Open"),HYPERLINK("#Main!A1","Open"))</f>
        <v/>
      </c>
      <c r="J123">
        <f>IFERROR(HYPERLINK("#"&amp;D123&amp;"!A"&amp;MATCH(A123,INDIRECT("'"&amp;D123&amp;"'!A:A"),0),"Open"),HYPERLINK("#"&amp;D123&amp;"!A1","Open"))</f>
        <v/>
      </c>
    </row>
    <row r="124">
      <c r="A124" s="46" t="inlineStr">
        <is>
          <t>https://asconafrica.org/contact-us/</t>
        </is>
      </c>
      <c r="B124" s="39" t="inlineStr">
        <is>
          <t>Missing H1</t>
        </is>
      </c>
      <c r="C124" s="38" t="inlineStr">
        <is>
          <t>Warning</t>
        </is>
      </c>
      <c r="D124" s="37" t="inlineStr">
        <is>
          <t>Technical</t>
        </is>
      </c>
      <c r="E124" s="41" t="inlineStr">
        <is>
          <t>https://asconafrica.org/contact-us/::missing_h1</t>
        </is>
      </c>
      <c r="F124" s="37" t="inlineStr">
        <is>
          <t>Copy Writer</t>
        </is>
      </c>
      <c r="G124" s="45" t="inlineStr">
        <is>
          <t>Open</t>
        </is>
      </c>
      <c r="H124" s="37" t="inlineStr"/>
      <c r="I124">
        <f>IFERROR(HYPERLINK("#Main!A"&amp;MATCH(A124,Main!A:A,0),"Open"),HYPERLINK("#Main!A1","Open"))</f>
        <v/>
      </c>
      <c r="J124">
        <f>IFERROR(HYPERLINK("#"&amp;D124&amp;"!A"&amp;MATCH(A124,INDIRECT("'"&amp;D124&amp;"'!A:A"),0),"Open"),HYPERLINK("#"&amp;D124&amp;"!A1","Open"))</f>
        <v/>
      </c>
    </row>
    <row r="125">
      <c r="A125" s="46" t="inlineStr">
        <is>
          <t>https://asconafrica.org/contact-us/</t>
        </is>
      </c>
      <c r="B125" s="39" t="inlineStr">
        <is>
          <t>Thin Content</t>
        </is>
      </c>
      <c r="C125" s="38" t="inlineStr">
        <is>
          <t>Warning</t>
        </is>
      </c>
      <c r="D125" s="6" t="inlineStr">
        <is>
          <t>Technical</t>
        </is>
      </c>
      <c r="E125" s="44" t="inlineStr">
        <is>
          <t>https://asconafrica.org/contact-us/::thin_content</t>
        </is>
      </c>
      <c r="F125" s="6" t="inlineStr">
        <is>
          <t>Copy Writer</t>
        </is>
      </c>
      <c r="G125" s="45" t="inlineStr">
        <is>
          <t>Open</t>
        </is>
      </c>
      <c r="H125" s="6" t="inlineStr"/>
      <c r="I125">
        <f>IFERROR(HYPERLINK("#Main!A"&amp;MATCH(A125,Main!A:A,0),"Open"),HYPERLINK("#Main!A1","Open"))</f>
        <v/>
      </c>
      <c r="J125">
        <f>IFERROR(HYPERLINK("#"&amp;D125&amp;"!A"&amp;MATCH(A125,INDIRECT("'"&amp;D125&amp;"'!A:A"),0),"Open"),HYPERLINK("#"&amp;D125&amp;"!A1","Open"))</f>
        <v/>
      </c>
    </row>
    <row r="126">
      <c r="A126" s="46" t="inlineStr">
        <is>
          <t>https://asconafrica.org/contact-us/</t>
        </is>
      </c>
      <c r="B126" s="39" t="inlineStr">
        <is>
          <t>Low AEO Readiness Score</t>
        </is>
      </c>
      <c r="C126" s="38" t="inlineStr">
        <is>
          <t>Warning</t>
        </is>
      </c>
      <c r="D126" s="37" t="inlineStr">
        <is>
          <t>AEO</t>
        </is>
      </c>
      <c r="E126" s="41" t="inlineStr">
        <is>
          <t>https://asconafrica.org/contact-us/::low_aeo_readiness_score</t>
        </is>
      </c>
      <c r="F126" s="37" t="inlineStr">
        <is>
          <t>Copy Writer</t>
        </is>
      </c>
      <c r="G126" s="45" t="inlineStr">
        <is>
          <t>Open</t>
        </is>
      </c>
      <c r="H126" s="37" t="inlineStr"/>
      <c r="I126">
        <f>IFERROR(HYPERLINK("#Main!A"&amp;MATCH(A126,Main!A:A,0),"Open"),HYPERLINK("#Main!A1","Open"))</f>
        <v/>
      </c>
      <c r="J126">
        <f>IFERROR(HYPERLINK("#"&amp;D126&amp;"!A"&amp;MATCH(A126,INDIRECT("'"&amp;D126&amp;"'!A:A"),0),"Open"),HYPERLINK("#"&amp;D126&amp;"!A1","Open"))</f>
        <v/>
      </c>
    </row>
    <row r="127">
      <c r="A127" s="46" t="inlineStr">
        <is>
          <t>https://asconafrica.org/contact-us/</t>
        </is>
      </c>
      <c r="B127" s="39" t="inlineStr">
        <is>
          <t>No Compression Header</t>
        </is>
      </c>
      <c r="C127" s="42" t="inlineStr">
        <is>
          <t>Info</t>
        </is>
      </c>
      <c r="D127" s="6" t="inlineStr">
        <is>
          <t>Technical</t>
        </is>
      </c>
      <c r="E127" s="44" t="inlineStr">
        <is>
          <t>https://asconafrica.org/contact-us/::no_compression_header</t>
        </is>
      </c>
      <c r="F127" s="6" t="inlineStr">
        <is>
          <t>Server/Host</t>
        </is>
      </c>
      <c r="G127" s="45" t="inlineStr">
        <is>
          <t>Open</t>
        </is>
      </c>
      <c r="H127" s="6" t="inlineStr"/>
      <c r="I127">
        <f>IFERROR(HYPERLINK("#Main!A"&amp;MATCH(A127,Main!A:A,0),"Open"),HYPERLINK("#Main!A1","Open"))</f>
        <v/>
      </c>
      <c r="J127">
        <f>IFERROR(HYPERLINK("#"&amp;D127&amp;"!A"&amp;MATCH(A127,INDIRECT("'"&amp;D127&amp;"'!A:A"),0),"Open"),HYPERLINK("#"&amp;D127&amp;"!A1","Open"))</f>
        <v/>
      </c>
    </row>
    <row r="128">
      <c r="A128" s="46" t="inlineStr">
        <is>
          <t>https://asconafrica.org/contact-us/</t>
        </is>
      </c>
      <c r="B128" s="39" t="inlineStr">
        <is>
          <t>No Cache-Control Header</t>
        </is>
      </c>
      <c r="C128" s="42" t="inlineStr">
        <is>
          <t>Info</t>
        </is>
      </c>
      <c r="D128" s="37" t="inlineStr">
        <is>
          <t>Technical</t>
        </is>
      </c>
      <c r="E128" s="41" t="inlineStr">
        <is>
          <t>https://asconafrica.org/contact-us/::no_cache-control_header</t>
        </is>
      </c>
      <c r="F128" s="37" t="inlineStr">
        <is>
          <t>Server/Host</t>
        </is>
      </c>
      <c r="G128" s="45" t="inlineStr">
        <is>
          <t>Open</t>
        </is>
      </c>
      <c r="H128" s="37" t="inlineStr"/>
      <c r="I128">
        <f>IFERROR(HYPERLINK("#Main!A"&amp;MATCH(A128,Main!A:A,0),"Open"),HYPERLINK("#Main!A1","Open"))</f>
        <v/>
      </c>
      <c r="J128">
        <f>IFERROR(HYPERLINK("#"&amp;D128&amp;"!A"&amp;MATCH(A128,INDIRECT("'"&amp;D128&amp;"'!A:A"),0),"Open"),HYPERLINK("#"&amp;D128&amp;"!A1","Open"))</f>
        <v/>
      </c>
    </row>
    <row r="129">
      <c r="A129" s="46" t="inlineStr">
        <is>
          <t>https://asconafrica.org/contact-us/</t>
        </is>
      </c>
      <c r="B129" s="39" t="inlineStr">
        <is>
          <t>No ETag Header</t>
        </is>
      </c>
      <c r="C129" s="42" t="inlineStr">
        <is>
          <t>Info</t>
        </is>
      </c>
      <c r="D129" s="6" t="inlineStr">
        <is>
          <t>Technical</t>
        </is>
      </c>
      <c r="E129" s="44" t="inlineStr">
        <is>
          <t>https://asconafrica.org/contact-us/::no_etag_header</t>
        </is>
      </c>
      <c r="F129" s="6" t="inlineStr">
        <is>
          <t>Server/Host</t>
        </is>
      </c>
      <c r="G129" s="45" t="inlineStr">
        <is>
          <t>Open</t>
        </is>
      </c>
      <c r="H129" s="6" t="inlineStr"/>
      <c r="I129">
        <f>IFERROR(HYPERLINK("#Main!A"&amp;MATCH(A129,Main!A:A,0),"Open"),HYPERLINK("#Main!A1","Open"))</f>
        <v/>
      </c>
      <c r="J129">
        <f>IFERROR(HYPERLINK("#"&amp;D129&amp;"!A"&amp;MATCH(A129,INDIRECT("'"&amp;D129&amp;"'!A:A"),0),"Open"),HYPERLINK("#"&amp;D129&amp;"!A1","Open"))</f>
        <v/>
      </c>
    </row>
    <row r="130">
      <c r="A130" s="46" t="inlineStr">
        <is>
          <t>https://asconafrica.org/contact-us/</t>
        </is>
      </c>
      <c r="B130" s="39" t="inlineStr">
        <is>
          <t>No FAQ/QA Schema</t>
        </is>
      </c>
      <c r="C130" s="42" t="inlineStr">
        <is>
          <t>Info</t>
        </is>
      </c>
      <c r="D130" s="37" t="inlineStr">
        <is>
          <t>AEO</t>
        </is>
      </c>
      <c r="E130" s="41" t="inlineStr">
        <is>
          <t>https://asconafrica.org/contact-us/::no_faq_qa_schema</t>
        </is>
      </c>
      <c r="F130" s="37" t="inlineStr">
        <is>
          <t>Dev</t>
        </is>
      </c>
      <c r="G130" s="45" t="inlineStr">
        <is>
          <t>Open</t>
        </is>
      </c>
      <c r="H130" s="37" t="inlineStr"/>
      <c r="I130">
        <f>IFERROR(HYPERLINK("#Main!A"&amp;MATCH(A130,Main!A:A,0),"Open"),HYPERLINK("#Main!A1","Open"))</f>
        <v/>
      </c>
      <c r="J130">
        <f>IFERROR(HYPERLINK("#"&amp;D130&amp;"!A"&amp;MATCH(A130,INDIRECT("'"&amp;D130&amp;"'!A:A"),0),"Open"),HYPERLINK("#"&amp;D130&amp;"!A1","Open"))</f>
        <v/>
      </c>
    </row>
    <row r="131">
      <c r="A131" s="46" t="inlineStr">
        <is>
          <t>https://asconafrica.org/contact-us/</t>
        </is>
      </c>
      <c r="B131" s="39" t="inlineStr">
        <is>
          <t>No Question Headings</t>
        </is>
      </c>
      <c r="C131" s="42" t="inlineStr">
        <is>
          <t>Info</t>
        </is>
      </c>
      <c r="D131" s="6" t="inlineStr">
        <is>
          <t>AEO</t>
        </is>
      </c>
      <c r="E131" s="44" t="inlineStr">
        <is>
          <t>https://asconafrica.org/contact-us/::no_question_headings</t>
        </is>
      </c>
      <c r="F131" s="6" t="inlineStr">
        <is>
          <t>Copy Writer</t>
        </is>
      </c>
      <c r="G131" s="45" t="inlineStr">
        <is>
          <t>Open</t>
        </is>
      </c>
      <c r="H131" s="6" t="inlineStr"/>
      <c r="I131">
        <f>IFERROR(HYPERLINK("#Main!A"&amp;MATCH(A131,Main!A:A,0),"Open"),HYPERLINK("#Main!A1","Open"))</f>
        <v/>
      </c>
      <c r="J131">
        <f>IFERROR(HYPERLINK("#"&amp;D131&amp;"!A"&amp;MATCH(A131,INDIRECT("'"&amp;D131&amp;"'!A:A"),0),"Open"),HYPERLINK("#"&amp;D131&amp;"!A1","Open"))</f>
        <v/>
      </c>
    </row>
    <row r="132">
      <c r="A132" s="46" t="inlineStr">
        <is>
          <t>https://asconafrica.org/contact-us/</t>
        </is>
      </c>
      <c r="B132" s="39" t="inlineStr">
        <is>
          <t>No Answer-Friendly Structure</t>
        </is>
      </c>
      <c r="C132" s="42" t="inlineStr">
        <is>
          <t>Info</t>
        </is>
      </c>
      <c r="D132" s="37" t="inlineStr">
        <is>
          <t>Technical</t>
        </is>
      </c>
      <c r="E132" s="41" t="inlineStr">
        <is>
          <t>https://asconafrica.org/contact-us/::no_answer-friendly_structure</t>
        </is>
      </c>
      <c r="F132" s="37" t="inlineStr">
        <is>
          <t>Copy Writer</t>
        </is>
      </c>
      <c r="G132" s="45" t="inlineStr">
        <is>
          <t>Open</t>
        </is>
      </c>
      <c r="H132" s="37" t="inlineStr"/>
      <c r="I132">
        <f>IFERROR(HYPERLINK("#Main!A"&amp;MATCH(A132,Main!A:A,0),"Open"),HYPERLINK("#Main!A1","Open"))</f>
        <v/>
      </c>
      <c r="J132">
        <f>IFERROR(HYPERLINK("#"&amp;D132&amp;"!A"&amp;MATCH(A132,INDIRECT("'"&amp;D132&amp;"'!A:A"),0),"Open"),HYPERLINK("#"&amp;D132&amp;"!A1","Open"))</f>
        <v/>
      </c>
    </row>
    <row r="133">
      <c r="A133" s="46" t="inlineStr">
        <is>
          <t>https://asconafrica.org/contact-us/</t>
        </is>
      </c>
      <c r="B133" s="39" t="inlineStr">
        <is>
          <t>No 40-60 Word Answer Paragraphs</t>
        </is>
      </c>
      <c r="C133" s="42" t="inlineStr">
        <is>
          <t>Info</t>
        </is>
      </c>
      <c r="D133" s="6" t="inlineStr">
        <is>
          <t>Technical</t>
        </is>
      </c>
      <c r="E133" s="44" t="inlineStr">
        <is>
          <t>https://asconafrica.org/contact-us/::no_40-60_word_answer_paragraphs</t>
        </is>
      </c>
      <c r="F133" s="6" t="inlineStr">
        <is>
          <t>Copy Writer</t>
        </is>
      </c>
      <c r="G133" s="45" t="inlineStr">
        <is>
          <t>Open</t>
        </is>
      </c>
      <c r="H133" s="6" t="inlineStr"/>
      <c r="I133">
        <f>IFERROR(HYPERLINK("#Main!A"&amp;MATCH(A133,Main!A:A,0),"Open"),HYPERLINK("#Main!A1","Open"))</f>
        <v/>
      </c>
      <c r="J133">
        <f>IFERROR(HYPERLINK("#"&amp;D133&amp;"!A"&amp;MATCH(A133,INDIRECT("'"&amp;D133&amp;"'!A:A"),0),"Open"),HYPERLINK("#"&amp;D133&amp;"!A1","Open"))</f>
        <v/>
      </c>
    </row>
  </sheetData>
  <autoFilter ref="A1:H133"/>
  <conditionalFormatting sqref="G2:G133">
    <cfRule type="expression" priority="1" dxfId="4" stopIfTrue="1">
      <formula>LOWER(G2)="done"</formula>
    </cfRule>
    <cfRule type="expression" priority="2" dxfId="5" stopIfTrue="1">
      <formula>OR(LOWER(G2)="to do",LOWER(G2)="in progress",LOWER(G2)="in review")</formula>
    </cfRule>
  </conditionalFormatting>
  <dataValidations count="11">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ssue" prompt="Issue. Review this metric to identify risk, then use linked tabs for details and remediation." type="custom">
      <formula1>TRUE</formula1>
    </dataValidation>
    <dataValidation sqref="C1" showDropDown="0" showInputMessage="1" showErrorMessage="0" allowBlank="1" promptTitle="Severity" prompt="Issue impact level. Fix: Resolve Critical first, then Warning, then improvement opportunities." type="custom">
      <formula1>TRUE</formula1>
    </dataValidation>
    <dataValidation sqref="D1" showDropDown="0" showInputMessage="1" showErrorMessage="0" allowBlank="1" promptTitle="Reference Tab" prompt="Summary grouping/navigation field. Use with hyperlinks to jump into detailed tabs." type="custom">
      <formula1>TRUE</formula1>
    </dataValidation>
    <dataValidation sqref="E1" showDropDown="0" showInputMessage="1" showErrorMessage="0" allowBlank="1" promptTitle="Stable Issue ID" prompt="Stable Issue ID. Review this metric to identify risk, then use linked tabs for details and remediation." type="custom">
      <formula1>TRUE</formula1>
    </dataValidation>
    <dataValidation sqref="F1" showDropDown="0" showInputMessage="1" showErrorMessage="0" allowBlank="1" promptTitle="Owner" prompt="Workflow management field for planning and tracking remediation progress." type="custom">
      <formula1>TRUE</formula1>
    </dataValidation>
    <dataValidation sqref="G1" showDropDown="0" showInputMessage="1" showErrorMessage="0" allowBlank="1" promptTitle="Status" prompt="Workflow management field for planning and tracking remediation progress." type="custom">
      <formula1>TRUE</formula1>
    </dataValidation>
    <dataValidation sqref="H1" showDropDown="0" showInputMessage="1" showErrorMessage="0" allowBlank="1" promptTitle="Sprint" prompt="Workflow management field for planning and tracking remediation progress." type="custom">
      <formula1>TRUE</formula1>
    </dataValidation>
    <dataValidation sqref="I1" showDropDown="0" showInputMessage="1" showErrorMessage="0" allowBlank="1" promptTitle="Open in Main" prompt="Navigation helper. Click to jump directly to the related record in another tab." type="custom">
      <formula1>TRUE</formula1>
    </dataValidation>
    <dataValidation sqref="J1" showDropDown="0" showInputMessage="1" showErrorMessage="0" allowBlank="1" promptTitle="Open in Reference" prompt="Open in Reference. Review this metric to identify risk, then use linked tabs for details and remediation." type="custom">
      <formula1>TRUE</formula1>
    </dataValidation>
    <dataValidation sqref="K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K1" r:id="rId1"/>
    <hyperlink xmlns:r="http://schemas.openxmlformats.org/officeDocument/2006/relationships" ref="A2" r:id="rId2"/>
    <hyperlink xmlns:r="http://schemas.openxmlformats.org/officeDocument/2006/relationships" ref="B2" r:id="rId3"/>
    <hyperlink xmlns:r="http://schemas.openxmlformats.org/officeDocument/2006/relationships" ref="E2" r:id="rId4"/>
    <hyperlink xmlns:r="http://schemas.openxmlformats.org/officeDocument/2006/relationships" ref="A3" r:id="rId5"/>
    <hyperlink xmlns:r="http://schemas.openxmlformats.org/officeDocument/2006/relationships" ref="B3" r:id="rId6"/>
    <hyperlink xmlns:r="http://schemas.openxmlformats.org/officeDocument/2006/relationships" ref="E3" r:id="rId7"/>
    <hyperlink xmlns:r="http://schemas.openxmlformats.org/officeDocument/2006/relationships" ref="A4" r:id="rId8"/>
    <hyperlink xmlns:r="http://schemas.openxmlformats.org/officeDocument/2006/relationships" ref="B4" r:id="rId9"/>
    <hyperlink xmlns:r="http://schemas.openxmlformats.org/officeDocument/2006/relationships" ref="E4" r:id="rId10"/>
    <hyperlink xmlns:r="http://schemas.openxmlformats.org/officeDocument/2006/relationships" ref="A5" r:id="rId11"/>
    <hyperlink xmlns:r="http://schemas.openxmlformats.org/officeDocument/2006/relationships" ref="B5" r:id="rId12"/>
    <hyperlink xmlns:r="http://schemas.openxmlformats.org/officeDocument/2006/relationships" ref="E5" r:id="rId13"/>
    <hyperlink xmlns:r="http://schemas.openxmlformats.org/officeDocument/2006/relationships" ref="A6" r:id="rId14"/>
    <hyperlink xmlns:r="http://schemas.openxmlformats.org/officeDocument/2006/relationships" ref="B6" r:id="rId15"/>
    <hyperlink xmlns:r="http://schemas.openxmlformats.org/officeDocument/2006/relationships" ref="E6" r:id="rId16"/>
    <hyperlink xmlns:r="http://schemas.openxmlformats.org/officeDocument/2006/relationships" ref="A7" r:id="rId17"/>
    <hyperlink xmlns:r="http://schemas.openxmlformats.org/officeDocument/2006/relationships" ref="B7" r:id="rId18"/>
    <hyperlink xmlns:r="http://schemas.openxmlformats.org/officeDocument/2006/relationships" ref="E7" r:id="rId19"/>
    <hyperlink xmlns:r="http://schemas.openxmlformats.org/officeDocument/2006/relationships" ref="A8" r:id="rId20"/>
    <hyperlink xmlns:r="http://schemas.openxmlformats.org/officeDocument/2006/relationships" ref="B8" r:id="rId21"/>
    <hyperlink xmlns:r="http://schemas.openxmlformats.org/officeDocument/2006/relationships" ref="E8" r:id="rId22"/>
    <hyperlink xmlns:r="http://schemas.openxmlformats.org/officeDocument/2006/relationships" ref="A9" r:id="rId23"/>
    <hyperlink xmlns:r="http://schemas.openxmlformats.org/officeDocument/2006/relationships" ref="B9" r:id="rId24"/>
    <hyperlink xmlns:r="http://schemas.openxmlformats.org/officeDocument/2006/relationships" ref="E9" r:id="rId25"/>
    <hyperlink xmlns:r="http://schemas.openxmlformats.org/officeDocument/2006/relationships" ref="A10" r:id="rId26"/>
    <hyperlink xmlns:r="http://schemas.openxmlformats.org/officeDocument/2006/relationships" ref="B10" r:id="rId27"/>
    <hyperlink xmlns:r="http://schemas.openxmlformats.org/officeDocument/2006/relationships" ref="E10" r:id="rId28"/>
    <hyperlink xmlns:r="http://schemas.openxmlformats.org/officeDocument/2006/relationships" ref="A11" r:id="rId29"/>
    <hyperlink xmlns:r="http://schemas.openxmlformats.org/officeDocument/2006/relationships" ref="B11" r:id="rId30"/>
    <hyperlink xmlns:r="http://schemas.openxmlformats.org/officeDocument/2006/relationships" ref="E11" r:id="rId31"/>
    <hyperlink xmlns:r="http://schemas.openxmlformats.org/officeDocument/2006/relationships" ref="A12" r:id="rId32"/>
    <hyperlink xmlns:r="http://schemas.openxmlformats.org/officeDocument/2006/relationships" ref="B12" r:id="rId33"/>
    <hyperlink xmlns:r="http://schemas.openxmlformats.org/officeDocument/2006/relationships" ref="E12" r:id="rId34"/>
    <hyperlink xmlns:r="http://schemas.openxmlformats.org/officeDocument/2006/relationships" ref="A13" r:id="rId35"/>
    <hyperlink xmlns:r="http://schemas.openxmlformats.org/officeDocument/2006/relationships" ref="B13" r:id="rId36"/>
    <hyperlink xmlns:r="http://schemas.openxmlformats.org/officeDocument/2006/relationships" ref="E13" r:id="rId37"/>
    <hyperlink xmlns:r="http://schemas.openxmlformats.org/officeDocument/2006/relationships" ref="A14" r:id="rId38"/>
    <hyperlink xmlns:r="http://schemas.openxmlformats.org/officeDocument/2006/relationships" ref="B14" r:id="rId39"/>
    <hyperlink xmlns:r="http://schemas.openxmlformats.org/officeDocument/2006/relationships" ref="E14" r:id="rId40"/>
    <hyperlink xmlns:r="http://schemas.openxmlformats.org/officeDocument/2006/relationships" ref="A15" r:id="rId41"/>
    <hyperlink xmlns:r="http://schemas.openxmlformats.org/officeDocument/2006/relationships" ref="B15" r:id="rId42"/>
    <hyperlink xmlns:r="http://schemas.openxmlformats.org/officeDocument/2006/relationships" ref="E15" r:id="rId43"/>
    <hyperlink xmlns:r="http://schemas.openxmlformats.org/officeDocument/2006/relationships" ref="A16" r:id="rId44"/>
    <hyperlink xmlns:r="http://schemas.openxmlformats.org/officeDocument/2006/relationships" ref="B16" r:id="rId45"/>
    <hyperlink xmlns:r="http://schemas.openxmlformats.org/officeDocument/2006/relationships" ref="E16" r:id="rId46"/>
    <hyperlink xmlns:r="http://schemas.openxmlformats.org/officeDocument/2006/relationships" ref="A17" r:id="rId47"/>
    <hyperlink xmlns:r="http://schemas.openxmlformats.org/officeDocument/2006/relationships" ref="B17" r:id="rId48"/>
    <hyperlink xmlns:r="http://schemas.openxmlformats.org/officeDocument/2006/relationships" ref="E17" r:id="rId49"/>
    <hyperlink xmlns:r="http://schemas.openxmlformats.org/officeDocument/2006/relationships" ref="A18" r:id="rId50"/>
    <hyperlink xmlns:r="http://schemas.openxmlformats.org/officeDocument/2006/relationships" ref="B18" r:id="rId51"/>
    <hyperlink xmlns:r="http://schemas.openxmlformats.org/officeDocument/2006/relationships" ref="E18" r:id="rId52"/>
    <hyperlink xmlns:r="http://schemas.openxmlformats.org/officeDocument/2006/relationships" ref="A19" r:id="rId53"/>
    <hyperlink xmlns:r="http://schemas.openxmlformats.org/officeDocument/2006/relationships" ref="B19" r:id="rId54"/>
    <hyperlink xmlns:r="http://schemas.openxmlformats.org/officeDocument/2006/relationships" ref="E19" r:id="rId55"/>
    <hyperlink xmlns:r="http://schemas.openxmlformats.org/officeDocument/2006/relationships" ref="A20" r:id="rId56"/>
    <hyperlink xmlns:r="http://schemas.openxmlformats.org/officeDocument/2006/relationships" ref="B20" r:id="rId57"/>
    <hyperlink xmlns:r="http://schemas.openxmlformats.org/officeDocument/2006/relationships" ref="E20" r:id="rId58"/>
    <hyperlink xmlns:r="http://schemas.openxmlformats.org/officeDocument/2006/relationships" ref="A21" r:id="rId59"/>
    <hyperlink xmlns:r="http://schemas.openxmlformats.org/officeDocument/2006/relationships" ref="B21" r:id="rId60"/>
    <hyperlink xmlns:r="http://schemas.openxmlformats.org/officeDocument/2006/relationships" ref="E21" r:id="rId61"/>
    <hyperlink xmlns:r="http://schemas.openxmlformats.org/officeDocument/2006/relationships" ref="A22" r:id="rId62"/>
    <hyperlink xmlns:r="http://schemas.openxmlformats.org/officeDocument/2006/relationships" ref="B22" r:id="rId63"/>
    <hyperlink xmlns:r="http://schemas.openxmlformats.org/officeDocument/2006/relationships" ref="E22" r:id="rId64"/>
    <hyperlink xmlns:r="http://schemas.openxmlformats.org/officeDocument/2006/relationships" ref="A23" r:id="rId65"/>
    <hyperlink xmlns:r="http://schemas.openxmlformats.org/officeDocument/2006/relationships" ref="B23" r:id="rId66"/>
    <hyperlink xmlns:r="http://schemas.openxmlformats.org/officeDocument/2006/relationships" ref="E23" r:id="rId67"/>
    <hyperlink xmlns:r="http://schemas.openxmlformats.org/officeDocument/2006/relationships" ref="A24" r:id="rId68"/>
    <hyperlink xmlns:r="http://schemas.openxmlformats.org/officeDocument/2006/relationships" ref="B24" r:id="rId69"/>
    <hyperlink xmlns:r="http://schemas.openxmlformats.org/officeDocument/2006/relationships" ref="E24" r:id="rId70"/>
    <hyperlink xmlns:r="http://schemas.openxmlformats.org/officeDocument/2006/relationships" ref="A25" r:id="rId71"/>
    <hyperlink xmlns:r="http://schemas.openxmlformats.org/officeDocument/2006/relationships" ref="B25" r:id="rId72"/>
    <hyperlink xmlns:r="http://schemas.openxmlformats.org/officeDocument/2006/relationships" ref="E25" r:id="rId73"/>
    <hyperlink xmlns:r="http://schemas.openxmlformats.org/officeDocument/2006/relationships" ref="A26" r:id="rId74"/>
    <hyperlink xmlns:r="http://schemas.openxmlformats.org/officeDocument/2006/relationships" ref="B26" r:id="rId75"/>
    <hyperlink xmlns:r="http://schemas.openxmlformats.org/officeDocument/2006/relationships" ref="E26" r:id="rId76"/>
    <hyperlink xmlns:r="http://schemas.openxmlformats.org/officeDocument/2006/relationships" ref="A27" r:id="rId77"/>
    <hyperlink xmlns:r="http://schemas.openxmlformats.org/officeDocument/2006/relationships" ref="B27" r:id="rId78"/>
    <hyperlink xmlns:r="http://schemas.openxmlformats.org/officeDocument/2006/relationships" ref="E27" r:id="rId79"/>
    <hyperlink xmlns:r="http://schemas.openxmlformats.org/officeDocument/2006/relationships" ref="A28" r:id="rId80"/>
    <hyperlink xmlns:r="http://schemas.openxmlformats.org/officeDocument/2006/relationships" ref="B28" r:id="rId81"/>
    <hyperlink xmlns:r="http://schemas.openxmlformats.org/officeDocument/2006/relationships" ref="E28" r:id="rId82"/>
    <hyperlink xmlns:r="http://schemas.openxmlformats.org/officeDocument/2006/relationships" ref="A29" r:id="rId83"/>
    <hyperlink xmlns:r="http://schemas.openxmlformats.org/officeDocument/2006/relationships" ref="B29" r:id="rId84"/>
    <hyperlink xmlns:r="http://schemas.openxmlformats.org/officeDocument/2006/relationships" ref="E29" r:id="rId85"/>
    <hyperlink xmlns:r="http://schemas.openxmlformats.org/officeDocument/2006/relationships" ref="A30" r:id="rId86"/>
    <hyperlink xmlns:r="http://schemas.openxmlformats.org/officeDocument/2006/relationships" ref="B30" r:id="rId87"/>
    <hyperlink xmlns:r="http://schemas.openxmlformats.org/officeDocument/2006/relationships" ref="E30" r:id="rId88"/>
    <hyperlink xmlns:r="http://schemas.openxmlformats.org/officeDocument/2006/relationships" ref="A31" r:id="rId89"/>
    <hyperlink xmlns:r="http://schemas.openxmlformats.org/officeDocument/2006/relationships" ref="B31" r:id="rId90"/>
    <hyperlink xmlns:r="http://schemas.openxmlformats.org/officeDocument/2006/relationships" ref="E31" r:id="rId91"/>
    <hyperlink xmlns:r="http://schemas.openxmlformats.org/officeDocument/2006/relationships" ref="A32" r:id="rId92"/>
    <hyperlink xmlns:r="http://schemas.openxmlformats.org/officeDocument/2006/relationships" ref="B32" r:id="rId93"/>
    <hyperlink xmlns:r="http://schemas.openxmlformats.org/officeDocument/2006/relationships" ref="E32" r:id="rId94"/>
    <hyperlink xmlns:r="http://schemas.openxmlformats.org/officeDocument/2006/relationships" ref="A33" r:id="rId95"/>
    <hyperlink xmlns:r="http://schemas.openxmlformats.org/officeDocument/2006/relationships" ref="B33" r:id="rId96"/>
    <hyperlink xmlns:r="http://schemas.openxmlformats.org/officeDocument/2006/relationships" ref="E33" r:id="rId97"/>
    <hyperlink xmlns:r="http://schemas.openxmlformats.org/officeDocument/2006/relationships" ref="A34" r:id="rId98"/>
    <hyperlink xmlns:r="http://schemas.openxmlformats.org/officeDocument/2006/relationships" ref="B34" r:id="rId99"/>
    <hyperlink xmlns:r="http://schemas.openxmlformats.org/officeDocument/2006/relationships" ref="E34" r:id="rId100"/>
    <hyperlink xmlns:r="http://schemas.openxmlformats.org/officeDocument/2006/relationships" ref="A35" r:id="rId101"/>
    <hyperlink xmlns:r="http://schemas.openxmlformats.org/officeDocument/2006/relationships" ref="B35" r:id="rId102"/>
    <hyperlink xmlns:r="http://schemas.openxmlformats.org/officeDocument/2006/relationships" ref="E35" r:id="rId103"/>
    <hyperlink xmlns:r="http://schemas.openxmlformats.org/officeDocument/2006/relationships" ref="A36" r:id="rId104"/>
    <hyperlink xmlns:r="http://schemas.openxmlformats.org/officeDocument/2006/relationships" ref="B36" r:id="rId105"/>
    <hyperlink xmlns:r="http://schemas.openxmlformats.org/officeDocument/2006/relationships" ref="E36" r:id="rId106"/>
    <hyperlink xmlns:r="http://schemas.openxmlformats.org/officeDocument/2006/relationships" ref="A37" r:id="rId107"/>
    <hyperlink xmlns:r="http://schemas.openxmlformats.org/officeDocument/2006/relationships" ref="B37" r:id="rId108"/>
    <hyperlink xmlns:r="http://schemas.openxmlformats.org/officeDocument/2006/relationships" ref="E37" r:id="rId109"/>
    <hyperlink xmlns:r="http://schemas.openxmlformats.org/officeDocument/2006/relationships" ref="A38" r:id="rId110"/>
    <hyperlink xmlns:r="http://schemas.openxmlformats.org/officeDocument/2006/relationships" ref="B38" r:id="rId111"/>
    <hyperlink xmlns:r="http://schemas.openxmlformats.org/officeDocument/2006/relationships" ref="E38" r:id="rId112"/>
    <hyperlink xmlns:r="http://schemas.openxmlformats.org/officeDocument/2006/relationships" ref="A39" r:id="rId113"/>
    <hyperlink xmlns:r="http://schemas.openxmlformats.org/officeDocument/2006/relationships" ref="B39" r:id="rId114"/>
    <hyperlink xmlns:r="http://schemas.openxmlformats.org/officeDocument/2006/relationships" ref="E39" r:id="rId115"/>
    <hyperlink xmlns:r="http://schemas.openxmlformats.org/officeDocument/2006/relationships" ref="A40" r:id="rId116"/>
    <hyperlink xmlns:r="http://schemas.openxmlformats.org/officeDocument/2006/relationships" ref="B40" r:id="rId117"/>
    <hyperlink xmlns:r="http://schemas.openxmlformats.org/officeDocument/2006/relationships" ref="E40" r:id="rId118"/>
    <hyperlink xmlns:r="http://schemas.openxmlformats.org/officeDocument/2006/relationships" ref="A41" r:id="rId119"/>
    <hyperlink xmlns:r="http://schemas.openxmlformats.org/officeDocument/2006/relationships" ref="B41" r:id="rId120"/>
    <hyperlink xmlns:r="http://schemas.openxmlformats.org/officeDocument/2006/relationships" ref="E41" r:id="rId121"/>
    <hyperlink xmlns:r="http://schemas.openxmlformats.org/officeDocument/2006/relationships" ref="A42" r:id="rId122"/>
    <hyperlink xmlns:r="http://schemas.openxmlformats.org/officeDocument/2006/relationships" ref="B42" r:id="rId123"/>
    <hyperlink xmlns:r="http://schemas.openxmlformats.org/officeDocument/2006/relationships" ref="E42" r:id="rId124"/>
    <hyperlink xmlns:r="http://schemas.openxmlformats.org/officeDocument/2006/relationships" ref="A43" r:id="rId125"/>
    <hyperlink xmlns:r="http://schemas.openxmlformats.org/officeDocument/2006/relationships" ref="B43" r:id="rId126"/>
    <hyperlink xmlns:r="http://schemas.openxmlformats.org/officeDocument/2006/relationships" ref="E43" r:id="rId127"/>
    <hyperlink xmlns:r="http://schemas.openxmlformats.org/officeDocument/2006/relationships" ref="A44" r:id="rId128"/>
    <hyperlink xmlns:r="http://schemas.openxmlformats.org/officeDocument/2006/relationships" ref="B44" r:id="rId129"/>
    <hyperlink xmlns:r="http://schemas.openxmlformats.org/officeDocument/2006/relationships" ref="E44" r:id="rId130"/>
    <hyperlink xmlns:r="http://schemas.openxmlformats.org/officeDocument/2006/relationships" ref="A45" r:id="rId131"/>
    <hyperlink xmlns:r="http://schemas.openxmlformats.org/officeDocument/2006/relationships" ref="B45" r:id="rId132"/>
    <hyperlink xmlns:r="http://schemas.openxmlformats.org/officeDocument/2006/relationships" ref="E45" r:id="rId133"/>
    <hyperlink xmlns:r="http://schemas.openxmlformats.org/officeDocument/2006/relationships" ref="A46" r:id="rId134"/>
    <hyperlink xmlns:r="http://schemas.openxmlformats.org/officeDocument/2006/relationships" ref="B46" r:id="rId135"/>
    <hyperlink xmlns:r="http://schemas.openxmlformats.org/officeDocument/2006/relationships" ref="E46" r:id="rId136"/>
    <hyperlink xmlns:r="http://schemas.openxmlformats.org/officeDocument/2006/relationships" ref="A47" r:id="rId137"/>
    <hyperlink xmlns:r="http://schemas.openxmlformats.org/officeDocument/2006/relationships" ref="B47" r:id="rId138"/>
    <hyperlink xmlns:r="http://schemas.openxmlformats.org/officeDocument/2006/relationships" ref="E47" r:id="rId139"/>
    <hyperlink xmlns:r="http://schemas.openxmlformats.org/officeDocument/2006/relationships" ref="A48" r:id="rId140"/>
    <hyperlink xmlns:r="http://schemas.openxmlformats.org/officeDocument/2006/relationships" ref="B48" r:id="rId141"/>
    <hyperlink xmlns:r="http://schemas.openxmlformats.org/officeDocument/2006/relationships" ref="E48" r:id="rId142"/>
    <hyperlink xmlns:r="http://schemas.openxmlformats.org/officeDocument/2006/relationships" ref="A49" r:id="rId143"/>
    <hyperlink xmlns:r="http://schemas.openxmlformats.org/officeDocument/2006/relationships" ref="B49" r:id="rId144"/>
    <hyperlink xmlns:r="http://schemas.openxmlformats.org/officeDocument/2006/relationships" ref="E49" r:id="rId145"/>
    <hyperlink xmlns:r="http://schemas.openxmlformats.org/officeDocument/2006/relationships" ref="A50" r:id="rId146"/>
    <hyperlink xmlns:r="http://schemas.openxmlformats.org/officeDocument/2006/relationships" ref="B50" r:id="rId147"/>
    <hyperlink xmlns:r="http://schemas.openxmlformats.org/officeDocument/2006/relationships" ref="E50" r:id="rId148"/>
    <hyperlink xmlns:r="http://schemas.openxmlformats.org/officeDocument/2006/relationships" ref="A51" r:id="rId149"/>
    <hyperlink xmlns:r="http://schemas.openxmlformats.org/officeDocument/2006/relationships" ref="B51" r:id="rId150"/>
    <hyperlink xmlns:r="http://schemas.openxmlformats.org/officeDocument/2006/relationships" ref="E51" r:id="rId151"/>
    <hyperlink xmlns:r="http://schemas.openxmlformats.org/officeDocument/2006/relationships" ref="A52" r:id="rId152"/>
    <hyperlink xmlns:r="http://schemas.openxmlformats.org/officeDocument/2006/relationships" ref="B52" r:id="rId153"/>
    <hyperlink xmlns:r="http://schemas.openxmlformats.org/officeDocument/2006/relationships" ref="E52" r:id="rId154"/>
    <hyperlink xmlns:r="http://schemas.openxmlformats.org/officeDocument/2006/relationships" ref="A53" r:id="rId155"/>
    <hyperlink xmlns:r="http://schemas.openxmlformats.org/officeDocument/2006/relationships" ref="B53" r:id="rId156"/>
    <hyperlink xmlns:r="http://schemas.openxmlformats.org/officeDocument/2006/relationships" ref="E53" r:id="rId157"/>
    <hyperlink xmlns:r="http://schemas.openxmlformats.org/officeDocument/2006/relationships" ref="A54" r:id="rId158"/>
    <hyperlink xmlns:r="http://schemas.openxmlformats.org/officeDocument/2006/relationships" ref="B54" r:id="rId159"/>
    <hyperlink xmlns:r="http://schemas.openxmlformats.org/officeDocument/2006/relationships" ref="E54" r:id="rId160"/>
    <hyperlink xmlns:r="http://schemas.openxmlformats.org/officeDocument/2006/relationships" ref="A55" r:id="rId161"/>
    <hyperlink xmlns:r="http://schemas.openxmlformats.org/officeDocument/2006/relationships" ref="B55" r:id="rId162"/>
    <hyperlink xmlns:r="http://schemas.openxmlformats.org/officeDocument/2006/relationships" ref="E55" r:id="rId163"/>
    <hyperlink xmlns:r="http://schemas.openxmlformats.org/officeDocument/2006/relationships" ref="A56" r:id="rId164"/>
    <hyperlink xmlns:r="http://schemas.openxmlformats.org/officeDocument/2006/relationships" ref="B56" r:id="rId165"/>
    <hyperlink xmlns:r="http://schemas.openxmlformats.org/officeDocument/2006/relationships" ref="E56" r:id="rId166"/>
    <hyperlink xmlns:r="http://schemas.openxmlformats.org/officeDocument/2006/relationships" ref="A57" r:id="rId167"/>
    <hyperlink xmlns:r="http://schemas.openxmlformats.org/officeDocument/2006/relationships" ref="B57" r:id="rId168"/>
    <hyperlink xmlns:r="http://schemas.openxmlformats.org/officeDocument/2006/relationships" ref="E57" r:id="rId169"/>
    <hyperlink xmlns:r="http://schemas.openxmlformats.org/officeDocument/2006/relationships" ref="A58" r:id="rId170"/>
    <hyperlink xmlns:r="http://schemas.openxmlformats.org/officeDocument/2006/relationships" ref="B58" r:id="rId171"/>
    <hyperlink xmlns:r="http://schemas.openxmlformats.org/officeDocument/2006/relationships" ref="E58" r:id="rId172"/>
    <hyperlink xmlns:r="http://schemas.openxmlformats.org/officeDocument/2006/relationships" ref="A59" r:id="rId173"/>
    <hyperlink xmlns:r="http://schemas.openxmlformats.org/officeDocument/2006/relationships" ref="B59" r:id="rId174"/>
    <hyperlink xmlns:r="http://schemas.openxmlformats.org/officeDocument/2006/relationships" ref="E59" r:id="rId175"/>
    <hyperlink xmlns:r="http://schemas.openxmlformats.org/officeDocument/2006/relationships" ref="A60" r:id="rId176"/>
    <hyperlink xmlns:r="http://schemas.openxmlformats.org/officeDocument/2006/relationships" ref="B60" r:id="rId177"/>
    <hyperlink xmlns:r="http://schemas.openxmlformats.org/officeDocument/2006/relationships" ref="E60" r:id="rId178"/>
    <hyperlink xmlns:r="http://schemas.openxmlformats.org/officeDocument/2006/relationships" ref="A61" r:id="rId179"/>
    <hyperlink xmlns:r="http://schemas.openxmlformats.org/officeDocument/2006/relationships" ref="B61" r:id="rId180"/>
    <hyperlink xmlns:r="http://schemas.openxmlformats.org/officeDocument/2006/relationships" ref="E61" r:id="rId181"/>
    <hyperlink xmlns:r="http://schemas.openxmlformats.org/officeDocument/2006/relationships" ref="A62" r:id="rId182"/>
    <hyperlink xmlns:r="http://schemas.openxmlformats.org/officeDocument/2006/relationships" ref="B62" r:id="rId183"/>
    <hyperlink xmlns:r="http://schemas.openxmlformats.org/officeDocument/2006/relationships" ref="E62" r:id="rId184"/>
    <hyperlink xmlns:r="http://schemas.openxmlformats.org/officeDocument/2006/relationships" ref="A63" r:id="rId185"/>
    <hyperlink xmlns:r="http://schemas.openxmlformats.org/officeDocument/2006/relationships" ref="B63" r:id="rId186"/>
    <hyperlink xmlns:r="http://schemas.openxmlformats.org/officeDocument/2006/relationships" ref="E63" r:id="rId187"/>
    <hyperlink xmlns:r="http://schemas.openxmlformats.org/officeDocument/2006/relationships" ref="A64" r:id="rId188"/>
    <hyperlink xmlns:r="http://schemas.openxmlformats.org/officeDocument/2006/relationships" ref="B64" r:id="rId189"/>
    <hyperlink xmlns:r="http://schemas.openxmlformats.org/officeDocument/2006/relationships" ref="E64" r:id="rId190"/>
    <hyperlink xmlns:r="http://schemas.openxmlformats.org/officeDocument/2006/relationships" ref="A65" r:id="rId191"/>
    <hyperlink xmlns:r="http://schemas.openxmlformats.org/officeDocument/2006/relationships" ref="B65" r:id="rId192"/>
    <hyperlink xmlns:r="http://schemas.openxmlformats.org/officeDocument/2006/relationships" ref="E65" r:id="rId193"/>
    <hyperlink xmlns:r="http://schemas.openxmlformats.org/officeDocument/2006/relationships" ref="A66" r:id="rId194"/>
    <hyperlink xmlns:r="http://schemas.openxmlformats.org/officeDocument/2006/relationships" ref="B66" r:id="rId195"/>
    <hyperlink xmlns:r="http://schemas.openxmlformats.org/officeDocument/2006/relationships" ref="E66" r:id="rId196"/>
    <hyperlink xmlns:r="http://schemas.openxmlformats.org/officeDocument/2006/relationships" ref="A67" r:id="rId197"/>
    <hyperlink xmlns:r="http://schemas.openxmlformats.org/officeDocument/2006/relationships" ref="B67" r:id="rId198"/>
    <hyperlink xmlns:r="http://schemas.openxmlformats.org/officeDocument/2006/relationships" ref="E67" r:id="rId199"/>
    <hyperlink xmlns:r="http://schemas.openxmlformats.org/officeDocument/2006/relationships" ref="A68" r:id="rId200"/>
    <hyperlink xmlns:r="http://schemas.openxmlformats.org/officeDocument/2006/relationships" ref="B68" r:id="rId201"/>
    <hyperlink xmlns:r="http://schemas.openxmlformats.org/officeDocument/2006/relationships" ref="E68" r:id="rId202"/>
    <hyperlink xmlns:r="http://schemas.openxmlformats.org/officeDocument/2006/relationships" ref="A69" r:id="rId203"/>
    <hyperlink xmlns:r="http://schemas.openxmlformats.org/officeDocument/2006/relationships" ref="B69" r:id="rId204"/>
    <hyperlink xmlns:r="http://schemas.openxmlformats.org/officeDocument/2006/relationships" ref="E69" r:id="rId205"/>
    <hyperlink xmlns:r="http://schemas.openxmlformats.org/officeDocument/2006/relationships" ref="A70" r:id="rId206"/>
    <hyperlink xmlns:r="http://schemas.openxmlformats.org/officeDocument/2006/relationships" ref="B70" r:id="rId207"/>
    <hyperlink xmlns:r="http://schemas.openxmlformats.org/officeDocument/2006/relationships" ref="E70" r:id="rId208"/>
    <hyperlink xmlns:r="http://schemas.openxmlformats.org/officeDocument/2006/relationships" ref="A71" r:id="rId209"/>
    <hyperlink xmlns:r="http://schemas.openxmlformats.org/officeDocument/2006/relationships" ref="B71" r:id="rId210"/>
    <hyperlink xmlns:r="http://schemas.openxmlformats.org/officeDocument/2006/relationships" ref="E71" r:id="rId211"/>
    <hyperlink xmlns:r="http://schemas.openxmlformats.org/officeDocument/2006/relationships" ref="A72" r:id="rId212"/>
    <hyperlink xmlns:r="http://schemas.openxmlformats.org/officeDocument/2006/relationships" ref="B72" r:id="rId213"/>
    <hyperlink xmlns:r="http://schemas.openxmlformats.org/officeDocument/2006/relationships" ref="E72" r:id="rId214"/>
    <hyperlink xmlns:r="http://schemas.openxmlformats.org/officeDocument/2006/relationships" ref="A73" r:id="rId215"/>
    <hyperlink xmlns:r="http://schemas.openxmlformats.org/officeDocument/2006/relationships" ref="B73" r:id="rId216"/>
    <hyperlink xmlns:r="http://schemas.openxmlformats.org/officeDocument/2006/relationships" ref="E73" r:id="rId217"/>
    <hyperlink xmlns:r="http://schemas.openxmlformats.org/officeDocument/2006/relationships" ref="A74" r:id="rId218"/>
    <hyperlink xmlns:r="http://schemas.openxmlformats.org/officeDocument/2006/relationships" ref="B74" r:id="rId219"/>
    <hyperlink xmlns:r="http://schemas.openxmlformats.org/officeDocument/2006/relationships" ref="E74" r:id="rId220"/>
    <hyperlink xmlns:r="http://schemas.openxmlformats.org/officeDocument/2006/relationships" ref="A75" r:id="rId221"/>
    <hyperlink xmlns:r="http://schemas.openxmlformats.org/officeDocument/2006/relationships" ref="B75" r:id="rId222"/>
    <hyperlink xmlns:r="http://schemas.openxmlformats.org/officeDocument/2006/relationships" ref="E75" r:id="rId223"/>
    <hyperlink xmlns:r="http://schemas.openxmlformats.org/officeDocument/2006/relationships" ref="A76" r:id="rId224"/>
    <hyperlink xmlns:r="http://schemas.openxmlformats.org/officeDocument/2006/relationships" ref="B76" r:id="rId225"/>
    <hyperlink xmlns:r="http://schemas.openxmlformats.org/officeDocument/2006/relationships" ref="E76" r:id="rId226"/>
    <hyperlink xmlns:r="http://schemas.openxmlformats.org/officeDocument/2006/relationships" ref="A77" r:id="rId227"/>
    <hyperlink xmlns:r="http://schemas.openxmlformats.org/officeDocument/2006/relationships" ref="B77" r:id="rId228"/>
    <hyperlink xmlns:r="http://schemas.openxmlformats.org/officeDocument/2006/relationships" ref="E77" r:id="rId229"/>
    <hyperlink xmlns:r="http://schemas.openxmlformats.org/officeDocument/2006/relationships" ref="A78" r:id="rId230"/>
    <hyperlink xmlns:r="http://schemas.openxmlformats.org/officeDocument/2006/relationships" ref="B78" r:id="rId231"/>
    <hyperlink xmlns:r="http://schemas.openxmlformats.org/officeDocument/2006/relationships" ref="E78" r:id="rId232"/>
    <hyperlink xmlns:r="http://schemas.openxmlformats.org/officeDocument/2006/relationships" ref="A79" r:id="rId233"/>
    <hyperlink xmlns:r="http://schemas.openxmlformats.org/officeDocument/2006/relationships" ref="B79" r:id="rId234"/>
    <hyperlink xmlns:r="http://schemas.openxmlformats.org/officeDocument/2006/relationships" ref="E79" r:id="rId235"/>
    <hyperlink xmlns:r="http://schemas.openxmlformats.org/officeDocument/2006/relationships" ref="A80" r:id="rId236"/>
    <hyperlink xmlns:r="http://schemas.openxmlformats.org/officeDocument/2006/relationships" ref="B80" r:id="rId237"/>
    <hyperlink xmlns:r="http://schemas.openxmlformats.org/officeDocument/2006/relationships" ref="E80" r:id="rId238"/>
    <hyperlink xmlns:r="http://schemas.openxmlformats.org/officeDocument/2006/relationships" ref="A81" r:id="rId239"/>
    <hyperlink xmlns:r="http://schemas.openxmlformats.org/officeDocument/2006/relationships" ref="B81" r:id="rId240"/>
    <hyperlink xmlns:r="http://schemas.openxmlformats.org/officeDocument/2006/relationships" ref="E81" r:id="rId241"/>
    <hyperlink xmlns:r="http://schemas.openxmlformats.org/officeDocument/2006/relationships" ref="A82" r:id="rId242"/>
    <hyperlink xmlns:r="http://schemas.openxmlformats.org/officeDocument/2006/relationships" ref="B82" r:id="rId243"/>
    <hyperlink xmlns:r="http://schemas.openxmlformats.org/officeDocument/2006/relationships" ref="E82" r:id="rId244"/>
    <hyperlink xmlns:r="http://schemas.openxmlformats.org/officeDocument/2006/relationships" ref="A83" r:id="rId245"/>
    <hyperlink xmlns:r="http://schemas.openxmlformats.org/officeDocument/2006/relationships" ref="B83" r:id="rId246"/>
    <hyperlink xmlns:r="http://schemas.openxmlformats.org/officeDocument/2006/relationships" ref="E83" r:id="rId247"/>
    <hyperlink xmlns:r="http://schemas.openxmlformats.org/officeDocument/2006/relationships" ref="A84" r:id="rId248"/>
    <hyperlink xmlns:r="http://schemas.openxmlformats.org/officeDocument/2006/relationships" ref="B84" r:id="rId249"/>
    <hyperlink xmlns:r="http://schemas.openxmlformats.org/officeDocument/2006/relationships" ref="E84" r:id="rId250"/>
    <hyperlink xmlns:r="http://schemas.openxmlformats.org/officeDocument/2006/relationships" ref="A85" r:id="rId251"/>
    <hyperlink xmlns:r="http://schemas.openxmlformats.org/officeDocument/2006/relationships" ref="B85" r:id="rId252"/>
    <hyperlink xmlns:r="http://schemas.openxmlformats.org/officeDocument/2006/relationships" ref="E85" r:id="rId253"/>
    <hyperlink xmlns:r="http://schemas.openxmlformats.org/officeDocument/2006/relationships" ref="A86" r:id="rId254"/>
    <hyperlink xmlns:r="http://schemas.openxmlformats.org/officeDocument/2006/relationships" ref="B86" r:id="rId255"/>
    <hyperlink xmlns:r="http://schemas.openxmlformats.org/officeDocument/2006/relationships" ref="E86" r:id="rId256"/>
    <hyperlink xmlns:r="http://schemas.openxmlformats.org/officeDocument/2006/relationships" ref="A87" r:id="rId257"/>
    <hyperlink xmlns:r="http://schemas.openxmlformats.org/officeDocument/2006/relationships" ref="B87" r:id="rId258"/>
    <hyperlink xmlns:r="http://schemas.openxmlformats.org/officeDocument/2006/relationships" ref="E87" r:id="rId259"/>
    <hyperlink xmlns:r="http://schemas.openxmlformats.org/officeDocument/2006/relationships" ref="A88" r:id="rId260"/>
    <hyperlink xmlns:r="http://schemas.openxmlformats.org/officeDocument/2006/relationships" ref="B88" r:id="rId261"/>
    <hyperlink xmlns:r="http://schemas.openxmlformats.org/officeDocument/2006/relationships" ref="E88" r:id="rId262"/>
    <hyperlink xmlns:r="http://schemas.openxmlformats.org/officeDocument/2006/relationships" ref="A89" r:id="rId263"/>
    <hyperlink xmlns:r="http://schemas.openxmlformats.org/officeDocument/2006/relationships" ref="B89" r:id="rId264"/>
    <hyperlink xmlns:r="http://schemas.openxmlformats.org/officeDocument/2006/relationships" ref="E89" r:id="rId265"/>
    <hyperlink xmlns:r="http://schemas.openxmlformats.org/officeDocument/2006/relationships" ref="A90" r:id="rId266"/>
    <hyperlink xmlns:r="http://schemas.openxmlformats.org/officeDocument/2006/relationships" ref="B90" r:id="rId267"/>
    <hyperlink xmlns:r="http://schemas.openxmlformats.org/officeDocument/2006/relationships" ref="E90" r:id="rId268"/>
    <hyperlink xmlns:r="http://schemas.openxmlformats.org/officeDocument/2006/relationships" ref="A91" r:id="rId269"/>
    <hyperlink xmlns:r="http://schemas.openxmlformats.org/officeDocument/2006/relationships" ref="B91" r:id="rId270"/>
    <hyperlink xmlns:r="http://schemas.openxmlformats.org/officeDocument/2006/relationships" ref="E91" r:id="rId271"/>
    <hyperlink xmlns:r="http://schemas.openxmlformats.org/officeDocument/2006/relationships" ref="A92" r:id="rId272"/>
    <hyperlink xmlns:r="http://schemas.openxmlformats.org/officeDocument/2006/relationships" ref="B92" r:id="rId273"/>
    <hyperlink xmlns:r="http://schemas.openxmlformats.org/officeDocument/2006/relationships" ref="E92" r:id="rId274"/>
    <hyperlink xmlns:r="http://schemas.openxmlformats.org/officeDocument/2006/relationships" ref="A93" r:id="rId275"/>
    <hyperlink xmlns:r="http://schemas.openxmlformats.org/officeDocument/2006/relationships" ref="B93" r:id="rId276"/>
    <hyperlink xmlns:r="http://schemas.openxmlformats.org/officeDocument/2006/relationships" ref="E93" r:id="rId277"/>
    <hyperlink xmlns:r="http://schemas.openxmlformats.org/officeDocument/2006/relationships" ref="A94" r:id="rId278"/>
    <hyperlink xmlns:r="http://schemas.openxmlformats.org/officeDocument/2006/relationships" ref="B94" r:id="rId279"/>
    <hyperlink xmlns:r="http://schemas.openxmlformats.org/officeDocument/2006/relationships" ref="E94" r:id="rId280"/>
    <hyperlink xmlns:r="http://schemas.openxmlformats.org/officeDocument/2006/relationships" ref="A95" r:id="rId281"/>
    <hyperlink xmlns:r="http://schemas.openxmlformats.org/officeDocument/2006/relationships" ref="B95" r:id="rId282"/>
    <hyperlink xmlns:r="http://schemas.openxmlformats.org/officeDocument/2006/relationships" ref="E95" r:id="rId283"/>
    <hyperlink xmlns:r="http://schemas.openxmlformats.org/officeDocument/2006/relationships" ref="A96" r:id="rId284"/>
    <hyperlink xmlns:r="http://schemas.openxmlformats.org/officeDocument/2006/relationships" ref="B96" r:id="rId285"/>
    <hyperlink xmlns:r="http://schemas.openxmlformats.org/officeDocument/2006/relationships" ref="E96" r:id="rId286"/>
    <hyperlink xmlns:r="http://schemas.openxmlformats.org/officeDocument/2006/relationships" ref="A97" r:id="rId287"/>
    <hyperlink xmlns:r="http://schemas.openxmlformats.org/officeDocument/2006/relationships" ref="B97" r:id="rId288"/>
    <hyperlink xmlns:r="http://schemas.openxmlformats.org/officeDocument/2006/relationships" ref="E97" r:id="rId289"/>
    <hyperlink xmlns:r="http://schemas.openxmlformats.org/officeDocument/2006/relationships" ref="A98" r:id="rId290"/>
    <hyperlink xmlns:r="http://schemas.openxmlformats.org/officeDocument/2006/relationships" ref="B98" r:id="rId291"/>
    <hyperlink xmlns:r="http://schemas.openxmlformats.org/officeDocument/2006/relationships" ref="E98" r:id="rId292"/>
    <hyperlink xmlns:r="http://schemas.openxmlformats.org/officeDocument/2006/relationships" ref="A99" r:id="rId293"/>
    <hyperlink xmlns:r="http://schemas.openxmlformats.org/officeDocument/2006/relationships" ref="B99" r:id="rId294"/>
    <hyperlink xmlns:r="http://schemas.openxmlformats.org/officeDocument/2006/relationships" ref="E99" r:id="rId295"/>
    <hyperlink xmlns:r="http://schemas.openxmlformats.org/officeDocument/2006/relationships" ref="A100" r:id="rId296"/>
    <hyperlink xmlns:r="http://schemas.openxmlformats.org/officeDocument/2006/relationships" ref="B100" r:id="rId297"/>
    <hyperlink xmlns:r="http://schemas.openxmlformats.org/officeDocument/2006/relationships" ref="E100" r:id="rId298"/>
    <hyperlink xmlns:r="http://schemas.openxmlformats.org/officeDocument/2006/relationships" ref="A101" r:id="rId299"/>
    <hyperlink xmlns:r="http://schemas.openxmlformats.org/officeDocument/2006/relationships" ref="B101" r:id="rId300"/>
    <hyperlink xmlns:r="http://schemas.openxmlformats.org/officeDocument/2006/relationships" ref="E101" r:id="rId301"/>
    <hyperlink xmlns:r="http://schemas.openxmlformats.org/officeDocument/2006/relationships" ref="A102" r:id="rId302"/>
    <hyperlink xmlns:r="http://schemas.openxmlformats.org/officeDocument/2006/relationships" ref="B102" r:id="rId303"/>
    <hyperlink xmlns:r="http://schemas.openxmlformats.org/officeDocument/2006/relationships" ref="E102" r:id="rId304"/>
    <hyperlink xmlns:r="http://schemas.openxmlformats.org/officeDocument/2006/relationships" ref="A103" r:id="rId305"/>
    <hyperlink xmlns:r="http://schemas.openxmlformats.org/officeDocument/2006/relationships" ref="B103" r:id="rId306"/>
    <hyperlink xmlns:r="http://schemas.openxmlformats.org/officeDocument/2006/relationships" ref="E103" r:id="rId307"/>
    <hyperlink xmlns:r="http://schemas.openxmlformats.org/officeDocument/2006/relationships" ref="A104" r:id="rId308"/>
    <hyperlink xmlns:r="http://schemas.openxmlformats.org/officeDocument/2006/relationships" ref="B104" r:id="rId309"/>
    <hyperlink xmlns:r="http://schemas.openxmlformats.org/officeDocument/2006/relationships" ref="E104" r:id="rId310"/>
    <hyperlink xmlns:r="http://schemas.openxmlformats.org/officeDocument/2006/relationships" ref="A105" r:id="rId311"/>
    <hyperlink xmlns:r="http://schemas.openxmlformats.org/officeDocument/2006/relationships" ref="B105" r:id="rId312"/>
    <hyperlink xmlns:r="http://schemas.openxmlformats.org/officeDocument/2006/relationships" ref="E105" r:id="rId313"/>
    <hyperlink xmlns:r="http://schemas.openxmlformats.org/officeDocument/2006/relationships" ref="A106" r:id="rId314"/>
    <hyperlink xmlns:r="http://schemas.openxmlformats.org/officeDocument/2006/relationships" ref="B106" r:id="rId315"/>
    <hyperlink xmlns:r="http://schemas.openxmlformats.org/officeDocument/2006/relationships" ref="E106" r:id="rId316"/>
    <hyperlink xmlns:r="http://schemas.openxmlformats.org/officeDocument/2006/relationships" ref="A107" r:id="rId317"/>
    <hyperlink xmlns:r="http://schemas.openxmlformats.org/officeDocument/2006/relationships" ref="B107" r:id="rId318"/>
    <hyperlink xmlns:r="http://schemas.openxmlformats.org/officeDocument/2006/relationships" ref="E107" r:id="rId319"/>
    <hyperlink xmlns:r="http://schemas.openxmlformats.org/officeDocument/2006/relationships" ref="A108" r:id="rId320"/>
    <hyperlink xmlns:r="http://schemas.openxmlformats.org/officeDocument/2006/relationships" ref="B108" r:id="rId321"/>
    <hyperlink xmlns:r="http://schemas.openxmlformats.org/officeDocument/2006/relationships" ref="E108" r:id="rId322"/>
    <hyperlink xmlns:r="http://schemas.openxmlformats.org/officeDocument/2006/relationships" ref="A109" r:id="rId323"/>
    <hyperlink xmlns:r="http://schemas.openxmlformats.org/officeDocument/2006/relationships" ref="B109" r:id="rId324"/>
    <hyperlink xmlns:r="http://schemas.openxmlformats.org/officeDocument/2006/relationships" ref="E109" r:id="rId325"/>
    <hyperlink xmlns:r="http://schemas.openxmlformats.org/officeDocument/2006/relationships" ref="A110" r:id="rId326"/>
    <hyperlink xmlns:r="http://schemas.openxmlformats.org/officeDocument/2006/relationships" ref="B110" r:id="rId327"/>
    <hyperlink xmlns:r="http://schemas.openxmlformats.org/officeDocument/2006/relationships" ref="E110" r:id="rId328"/>
    <hyperlink xmlns:r="http://schemas.openxmlformats.org/officeDocument/2006/relationships" ref="A111" r:id="rId329"/>
    <hyperlink xmlns:r="http://schemas.openxmlformats.org/officeDocument/2006/relationships" ref="B111" r:id="rId330"/>
    <hyperlink xmlns:r="http://schemas.openxmlformats.org/officeDocument/2006/relationships" ref="E111" r:id="rId331"/>
    <hyperlink xmlns:r="http://schemas.openxmlformats.org/officeDocument/2006/relationships" ref="A112" r:id="rId332"/>
    <hyperlink xmlns:r="http://schemas.openxmlformats.org/officeDocument/2006/relationships" ref="B112" r:id="rId333"/>
    <hyperlink xmlns:r="http://schemas.openxmlformats.org/officeDocument/2006/relationships" ref="E112" r:id="rId334"/>
    <hyperlink xmlns:r="http://schemas.openxmlformats.org/officeDocument/2006/relationships" ref="A113" r:id="rId335"/>
    <hyperlink xmlns:r="http://schemas.openxmlformats.org/officeDocument/2006/relationships" ref="B113" r:id="rId336"/>
    <hyperlink xmlns:r="http://schemas.openxmlformats.org/officeDocument/2006/relationships" ref="E113" r:id="rId337"/>
    <hyperlink xmlns:r="http://schemas.openxmlformats.org/officeDocument/2006/relationships" ref="A114" r:id="rId338"/>
    <hyperlink xmlns:r="http://schemas.openxmlformats.org/officeDocument/2006/relationships" ref="B114" r:id="rId339"/>
    <hyperlink xmlns:r="http://schemas.openxmlformats.org/officeDocument/2006/relationships" ref="E114" r:id="rId340"/>
    <hyperlink xmlns:r="http://schemas.openxmlformats.org/officeDocument/2006/relationships" ref="A115" r:id="rId341"/>
    <hyperlink xmlns:r="http://schemas.openxmlformats.org/officeDocument/2006/relationships" ref="B115" r:id="rId342"/>
    <hyperlink xmlns:r="http://schemas.openxmlformats.org/officeDocument/2006/relationships" ref="E115" r:id="rId343"/>
    <hyperlink xmlns:r="http://schemas.openxmlformats.org/officeDocument/2006/relationships" ref="A116" r:id="rId344"/>
    <hyperlink xmlns:r="http://schemas.openxmlformats.org/officeDocument/2006/relationships" ref="B116" r:id="rId345"/>
    <hyperlink xmlns:r="http://schemas.openxmlformats.org/officeDocument/2006/relationships" ref="E116" r:id="rId346"/>
    <hyperlink xmlns:r="http://schemas.openxmlformats.org/officeDocument/2006/relationships" ref="A117" r:id="rId347"/>
    <hyperlink xmlns:r="http://schemas.openxmlformats.org/officeDocument/2006/relationships" ref="B117" r:id="rId348"/>
    <hyperlink xmlns:r="http://schemas.openxmlformats.org/officeDocument/2006/relationships" ref="E117" r:id="rId349"/>
    <hyperlink xmlns:r="http://schemas.openxmlformats.org/officeDocument/2006/relationships" ref="A118" r:id="rId350"/>
    <hyperlink xmlns:r="http://schemas.openxmlformats.org/officeDocument/2006/relationships" ref="B118" r:id="rId351"/>
    <hyperlink xmlns:r="http://schemas.openxmlformats.org/officeDocument/2006/relationships" ref="E118" r:id="rId352"/>
    <hyperlink xmlns:r="http://schemas.openxmlformats.org/officeDocument/2006/relationships" ref="A119" r:id="rId353"/>
    <hyperlink xmlns:r="http://schemas.openxmlformats.org/officeDocument/2006/relationships" ref="B119" r:id="rId354"/>
    <hyperlink xmlns:r="http://schemas.openxmlformats.org/officeDocument/2006/relationships" ref="E119" r:id="rId355"/>
    <hyperlink xmlns:r="http://schemas.openxmlformats.org/officeDocument/2006/relationships" ref="A120" r:id="rId356"/>
    <hyperlink xmlns:r="http://schemas.openxmlformats.org/officeDocument/2006/relationships" ref="B120" r:id="rId357"/>
    <hyperlink xmlns:r="http://schemas.openxmlformats.org/officeDocument/2006/relationships" ref="E120" r:id="rId358"/>
    <hyperlink xmlns:r="http://schemas.openxmlformats.org/officeDocument/2006/relationships" ref="A121" r:id="rId359"/>
    <hyperlink xmlns:r="http://schemas.openxmlformats.org/officeDocument/2006/relationships" ref="B121" r:id="rId360"/>
    <hyperlink xmlns:r="http://schemas.openxmlformats.org/officeDocument/2006/relationships" ref="E121" r:id="rId361"/>
    <hyperlink xmlns:r="http://schemas.openxmlformats.org/officeDocument/2006/relationships" ref="A122" r:id="rId362"/>
    <hyperlink xmlns:r="http://schemas.openxmlformats.org/officeDocument/2006/relationships" ref="B122" r:id="rId363"/>
    <hyperlink xmlns:r="http://schemas.openxmlformats.org/officeDocument/2006/relationships" ref="E122" r:id="rId364"/>
    <hyperlink xmlns:r="http://schemas.openxmlformats.org/officeDocument/2006/relationships" ref="A123" r:id="rId365"/>
    <hyperlink xmlns:r="http://schemas.openxmlformats.org/officeDocument/2006/relationships" ref="B123" r:id="rId366"/>
    <hyperlink xmlns:r="http://schemas.openxmlformats.org/officeDocument/2006/relationships" ref="E123" r:id="rId367"/>
    <hyperlink xmlns:r="http://schemas.openxmlformats.org/officeDocument/2006/relationships" ref="A124" r:id="rId368"/>
    <hyperlink xmlns:r="http://schemas.openxmlformats.org/officeDocument/2006/relationships" ref="B124" r:id="rId369"/>
    <hyperlink xmlns:r="http://schemas.openxmlformats.org/officeDocument/2006/relationships" ref="E124" r:id="rId370"/>
    <hyperlink xmlns:r="http://schemas.openxmlformats.org/officeDocument/2006/relationships" ref="A125" r:id="rId371"/>
    <hyperlink xmlns:r="http://schemas.openxmlformats.org/officeDocument/2006/relationships" ref="B125" r:id="rId372"/>
    <hyperlink xmlns:r="http://schemas.openxmlformats.org/officeDocument/2006/relationships" ref="E125" r:id="rId373"/>
    <hyperlink xmlns:r="http://schemas.openxmlformats.org/officeDocument/2006/relationships" ref="A126" r:id="rId374"/>
    <hyperlink xmlns:r="http://schemas.openxmlformats.org/officeDocument/2006/relationships" ref="B126" r:id="rId375"/>
    <hyperlink xmlns:r="http://schemas.openxmlformats.org/officeDocument/2006/relationships" ref="E126" r:id="rId376"/>
    <hyperlink xmlns:r="http://schemas.openxmlformats.org/officeDocument/2006/relationships" ref="A127" r:id="rId377"/>
    <hyperlink xmlns:r="http://schemas.openxmlformats.org/officeDocument/2006/relationships" ref="B127" r:id="rId378"/>
    <hyperlink xmlns:r="http://schemas.openxmlformats.org/officeDocument/2006/relationships" ref="E127" r:id="rId379"/>
    <hyperlink xmlns:r="http://schemas.openxmlformats.org/officeDocument/2006/relationships" ref="A128" r:id="rId380"/>
    <hyperlink xmlns:r="http://schemas.openxmlformats.org/officeDocument/2006/relationships" ref="B128" r:id="rId381"/>
    <hyperlink xmlns:r="http://schemas.openxmlformats.org/officeDocument/2006/relationships" ref="E128" r:id="rId382"/>
    <hyperlink xmlns:r="http://schemas.openxmlformats.org/officeDocument/2006/relationships" ref="A129" r:id="rId383"/>
    <hyperlink xmlns:r="http://schemas.openxmlformats.org/officeDocument/2006/relationships" ref="B129" r:id="rId384"/>
    <hyperlink xmlns:r="http://schemas.openxmlformats.org/officeDocument/2006/relationships" ref="E129" r:id="rId385"/>
    <hyperlink xmlns:r="http://schemas.openxmlformats.org/officeDocument/2006/relationships" ref="A130" r:id="rId386"/>
    <hyperlink xmlns:r="http://schemas.openxmlformats.org/officeDocument/2006/relationships" ref="B130" r:id="rId387"/>
    <hyperlink xmlns:r="http://schemas.openxmlformats.org/officeDocument/2006/relationships" ref="E130" r:id="rId388"/>
    <hyperlink xmlns:r="http://schemas.openxmlformats.org/officeDocument/2006/relationships" ref="A131" r:id="rId389"/>
    <hyperlink xmlns:r="http://schemas.openxmlformats.org/officeDocument/2006/relationships" ref="B131" r:id="rId390"/>
    <hyperlink xmlns:r="http://schemas.openxmlformats.org/officeDocument/2006/relationships" ref="E131" r:id="rId391"/>
    <hyperlink xmlns:r="http://schemas.openxmlformats.org/officeDocument/2006/relationships" ref="A132" r:id="rId392"/>
    <hyperlink xmlns:r="http://schemas.openxmlformats.org/officeDocument/2006/relationships" ref="B132" r:id="rId393"/>
    <hyperlink xmlns:r="http://schemas.openxmlformats.org/officeDocument/2006/relationships" ref="E132" r:id="rId394"/>
    <hyperlink xmlns:r="http://schemas.openxmlformats.org/officeDocument/2006/relationships" ref="A133" r:id="rId395"/>
    <hyperlink xmlns:r="http://schemas.openxmlformats.org/officeDocument/2006/relationships" ref="B133" r:id="rId396"/>
    <hyperlink xmlns:r="http://schemas.openxmlformats.org/officeDocument/2006/relationships" ref="E133" r:id="rId397"/>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15" customWidth="1" min="2" max="2"/>
    <col width="14" customWidth="1" min="3" max="3"/>
    <col width="18" customWidth="1" min="4" max="4"/>
  </cols>
  <sheetData>
    <row r="1">
      <c r="A1" s="1" t="inlineStr">
        <is>
          <t>URL</t>
        </is>
      </c>
      <c r="B1" s="1" t="inlineStr">
        <is>
          <t>Inlinks Count</t>
        </is>
      </c>
      <c r="C1" s="1" t="inlineStr">
        <is>
          <t>Inlinks URLs</t>
        </is>
      </c>
      <c r="D1" s="1" t="inlineStr">
        <is>
          <t>Orphan Candidate</t>
        </is>
      </c>
      <c r="E1" t="inlineStr">
        <is>
          <t>Open in Main</t>
        </is>
      </c>
      <c r="F1" s="36" t="inlineStr">
        <is>
          <t>BACK TO DASHBOARD</t>
        </is>
      </c>
    </row>
    <row r="2">
      <c r="A2" s="46" t="inlineStr">
        <is>
          <t>https://asconafrica.org/2026-ascon-awards/</t>
        </is>
      </c>
      <c r="B2" s="37" t="n">
        <v>0</v>
      </c>
      <c r="C2" s="40" t="inlineStr"/>
      <c r="D2" s="51" t="b">
        <v>1</v>
      </c>
      <c r="E2">
        <f>IFERROR(HYPERLINK("#Main!A"&amp;MATCH(A2,Main!A:A,0),"Open"),HYPERLINK("#Main!A1","Open"))</f>
        <v/>
      </c>
    </row>
    <row r="3">
      <c r="A3" s="46" t="inlineStr">
        <is>
          <t>https://asconafrica.org/</t>
        </is>
      </c>
      <c r="B3" s="6" t="n">
        <v>0</v>
      </c>
      <c r="C3" s="43" t="inlineStr"/>
      <c r="D3" s="54" t="b">
        <v>1</v>
      </c>
      <c r="E3">
        <f>IFERROR(HYPERLINK("#Main!A"&amp;MATCH(A3,Main!A:A,0),"Open"),HYPERLINK("#Main!A1","Open"))</f>
        <v/>
      </c>
    </row>
    <row r="4">
      <c r="A4" s="46" t="inlineStr">
        <is>
          <t>https://asconafrica.org/news/</t>
        </is>
      </c>
      <c r="B4" s="37" t="n">
        <v>0</v>
      </c>
      <c r="C4" s="40" t="inlineStr"/>
      <c r="D4" s="51" t="b">
        <v>1</v>
      </c>
      <c r="E4">
        <f>IFERROR(HYPERLINK("#Main!A"&amp;MATCH(A4,Main!A:A,0),"Open"),HYPERLINK("#Main!A1","Open"))</f>
        <v/>
      </c>
    </row>
    <row r="5">
      <c r="A5" s="46" t="inlineStr">
        <is>
          <t>https://asconafrica.org/our-members/</t>
        </is>
      </c>
      <c r="B5" s="6" t="n">
        <v>0</v>
      </c>
      <c r="C5" s="43" t="inlineStr"/>
      <c r="D5" s="54" t="b">
        <v>1</v>
      </c>
      <c r="E5">
        <f>IFERROR(HYPERLINK("#Main!A"&amp;MATCH(A5,Main!A:A,0),"Open"),HYPERLINK("#Main!A1","Open"))</f>
        <v/>
      </c>
    </row>
    <row r="6">
      <c r="A6" s="46" t="inlineStr">
        <is>
          <t>https://asconafrica.org/2026-ascon-conference/</t>
        </is>
      </c>
      <c r="B6" s="37" t="n">
        <v>0</v>
      </c>
      <c r="C6" s="40" t="inlineStr"/>
      <c r="D6" s="51" t="b">
        <v>1</v>
      </c>
      <c r="E6">
        <f>IFERROR(HYPERLINK("#Main!A"&amp;MATCH(A6,Main!A:A,0),"Open"),HYPERLINK("#Main!A1","Open"))</f>
        <v/>
      </c>
    </row>
    <row r="7">
      <c r="A7" s="46" t="inlineStr">
        <is>
          <t>https://asconafrica.org/about-us/</t>
        </is>
      </c>
      <c r="B7" s="6" t="n">
        <v>0</v>
      </c>
      <c r="C7" s="43" t="inlineStr"/>
      <c r="D7" s="54" t="b">
        <v>1</v>
      </c>
      <c r="E7">
        <f>IFERROR(HYPERLINK("#Main!A"&amp;MATCH(A7,Main!A:A,0),"Open"),HYPERLINK("#Main!A1","Open"))</f>
        <v/>
      </c>
    </row>
    <row r="8">
      <c r="A8" s="46" t="inlineStr">
        <is>
          <t>https://asconafrica.org/privacy-policy/</t>
        </is>
      </c>
      <c r="B8" s="37" t="n">
        <v>0</v>
      </c>
      <c r="C8" s="40" t="inlineStr"/>
      <c r="D8" s="51" t="b">
        <v>1</v>
      </c>
      <c r="E8">
        <f>IFERROR(HYPERLINK("#Main!A"&amp;MATCH(A8,Main!A:A,0),"Open"),HYPERLINK("#Main!A1","Open"))</f>
        <v/>
      </c>
    </row>
    <row r="9" ht="30" customHeight="1">
      <c r="A9" s="46" t="inlineStr">
        <is>
          <t>https://asconafrica.org/2026-ascon-conference/thank-you-for-signing-up/</t>
        </is>
      </c>
      <c r="B9" s="6" t="n">
        <v>0</v>
      </c>
      <c r="C9" s="43" t="inlineStr"/>
      <c r="D9" s="54" t="b">
        <v>1</v>
      </c>
      <c r="E9">
        <f>IFERROR(HYPERLINK("#Main!A"&amp;MATCH(A9,Main!A:A,0),"Open"),HYPERLINK("#Main!A1","Open"))</f>
        <v/>
      </c>
    </row>
    <row r="10" ht="30" customHeight="1">
      <c r="A10" s="46" t="inlineStr">
        <is>
          <t>https://asconafrica.org/thank-you-for-signing-up-for-updates/</t>
        </is>
      </c>
      <c r="B10" s="37" t="n">
        <v>0</v>
      </c>
      <c r="C10" s="40" t="inlineStr"/>
      <c r="D10" s="51" t="b">
        <v>1</v>
      </c>
      <c r="E10">
        <f>IFERROR(HYPERLINK("#Main!A"&amp;MATCH(A10,Main!A:A,0),"Open"),HYPERLINK("#Main!A1","Open"))</f>
        <v/>
      </c>
    </row>
    <row r="11" ht="45" customHeight="1">
      <c r="A11" s="46" t="inlineStr">
        <is>
          <t>https://asconafrica.org/launch-event-2026-ascon-conference/thank-you-for-registering-conference-launch/</t>
        </is>
      </c>
      <c r="B11" s="6" t="n">
        <v>0</v>
      </c>
      <c r="C11" s="43" t="inlineStr"/>
      <c r="D11" s="54" t="b">
        <v>1</v>
      </c>
      <c r="E11">
        <f>IFERROR(HYPERLINK("#Main!A"&amp;MATCH(A11,Main!A:A,0),"Open"),HYPERLINK("#Main!A1","Open"))</f>
        <v/>
      </c>
    </row>
    <row r="12" ht="30" customHeight="1">
      <c r="A12" s="46" t="inlineStr">
        <is>
          <t>https://asconafrica.org/launch-event-2026-ascon-conference/</t>
        </is>
      </c>
      <c r="B12" s="37" t="n">
        <v>0</v>
      </c>
      <c r="C12" s="40" t="inlineStr"/>
      <c r="D12" s="51" t="b">
        <v>1</v>
      </c>
      <c r="E12">
        <f>IFERROR(HYPERLINK("#Main!A"&amp;MATCH(A12,Main!A:A,0),"Open"),HYPERLINK("#Main!A1","Open"))</f>
        <v/>
      </c>
    </row>
    <row r="13" ht="30" customHeight="1">
      <c r="A13" s="46" t="inlineStr">
        <is>
          <t>https://asconafrica.org/2026-ascon-awards/thank-you-for-your-nomination/</t>
        </is>
      </c>
      <c r="B13" s="6" t="n">
        <v>0</v>
      </c>
      <c r="C13" s="43" t="inlineStr"/>
      <c r="D13" s="54" t="b">
        <v>1</v>
      </c>
      <c r="E13">
        <f>IFERROR(HYPERLINK("#Main!A"&amp;MATCH(A13,Main!A:A,0),"Open"),HYPERLINK("#Main!A1","Open"))</f>
        <v/>
      </c>
    </row>
    <row r="14">
      <c r="A14" s="46" t="inlineStr">
        <is>
          <t>https://asconafrica.org/unsubscribe-form/</t>
        </is>
      </c>
      <c r="B14" s="37" t="n">
        <v>0</v>
      </c>
      <c r="C14" s="40" t="inlineStr"/>
      <c r="D14" s="51" t="b">
        <v>1</v>
      </c>
      <c r="E14">
        <f>IFERROR(HYPERLINK("#Main!A"&amp;MATCH(A14,Main!A:A,0),"Open"),HYPERLINK("#Main!A1","Open"))</f>
        <v/>
      </c>
    </row>
    <row r="15" ht="30" customHeight="1">
      <c r="A15" s="46" t="inlineStr">
        <is>
          <t>https://asconafrica.org/unsubscribe-form/successfully-unsubscribed/</t>
        </is>
      </c>
      <c r="B15" s="6" t="n">
        <v>0</v>
      </c>
      <c r="C15" s="43" t="inlineStr"/>
      <c r="D15" s="54" t="b">
        <v>1</v>
      </c>
      <c r="E15">
        <f>IFERROR(HYPERLINK("#Main!A"&amp;MATCH(A15,Main!A:A,0),"Open"),HYPERLINK("#Main!A1","Open"))</f>
        <v/>
      </c>
    </row>
    <row r="16">
      <c r="A16" s="46" t="inlineStr">
        <is>
          <t>https://asconafrica.org/contact-us/</t>
        </is>
      </c>
      <c r="B16" s="37" t="n">
        <v>0</v>
      </c>
      <c r="C16" s="40" t="inlineStr"/>
      <c r="D16" s="51" t="b">
        <v>1</v>
      </c>
      <c r="E16">
        <f>IFERROR(HYPERLINK("#Main!A"&amp;MATCH(A16,Main!A:A,0),"Open"),HYPERLINK("#Main!A1","Open"))</f>
        <v/>
      </c>
    </row>
  </sheetData>
  <autoFilter ref="A1:D16"/>
  <dataValidations count="6">
    <dataValidation sqref="A1" showDropDown="0" showInputMessage="1" showErrorMessage="0" allowBlank="1" promptTitle="URL" prompt="URL. Use this URL to inspect the page directly or jump to related tabs." type="custom">
      <formula1>TRUE</formula1>
    </dataValidation>
    <dataValidation sqref="B1" showDropDown="0" showInputMessage="1" showErrorMessage="0" allowBlank="1" promptTitle="Inlinks Count" prompt="Link quality and crawl-path metric. Fix: repair broken links and improve internal linking relevance." type="custom">
      <formula1>TRUE</formula1>
    </dataValidation>
    <dataValidation sqref="C1" showDropDown="0" showInputMessage="1" showErrorMessage="0" allowBlank="1" promptTitle="Inlinks URLs" prompt="Inlinks URLs. Use this URL to inspect the page directly or jump to related tabs." type="custom">
      <formula1>TRUE</formula1>
    </dataValidation>
    <dataValidation sqref="D1" showDropDown="0" showInputMessage="1" showErrorMessage="0" allowBlank="1" promptTitle="Orphan Candidate" prompt="Orphan Candidate. Review this metric to identify risk, then use linked tabs for details and remediation." type="custom">
      <formula1>TRUE</formula1>
    </dataValidation>
    <dataValidation sqref="E1" showDropDown="0" showInputMessage="1" showErrorMessage="0" allowBlank="1" promptTitle="Open in Main" prompt="Navigation helper. Click to jump directly to the related record in another tab." type="custom">
      <formula1>TRUE</formula1>
    </dataValidation>
    <dataValidation sqref="F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F1" r:id="rId1"/>
    <hyperlink xmlns:r="http://schemas.openxmlformats.org/officeDocument/2006/relationships" ref="A2" r:id="rId2"/>
    <hyperlink xmlns:r="http://schemas.openxmlformats.org/officeDocument/2006/relationships" ref="A3" r:id="rId3"/>
    <hyperlink xmlns:r="http://schemas.openxmlformats.org/officeDocument/2006/relationships" ref="A4" r:id="rId4"/>
    <hyperlink xmlns:r="http://schemas.openxmlformats.org/officeDocument/2006/relationships" ref="A5" r:id="rId5"/>
    <hyperlink xmlns:r="http://schemas.openxmlformats.org/officeDocument/2006/relationships" ref="A6" r:id="rId6"/>
    <hyperlink xmlns:r="http://schemas.openxmlformats.org/officeDocument/2006/relationships" ref="A7" r:id="rId7"/>
    <hyperlink xmlns:r="http://schemas.openxmlformats.org/officeDocument/2006/relationships" ref="A8" r:id="rId8"/>
    <hyperlink xmlns:r="http://schemas.openxmlformats.org/officeDocument/2006/relationships" ref="A9" r:id="rId9"/>
    <hyperlink xmlns:r="http://schemas.openxmlformats.org/officeDocument/2006/relationships" ref="A10" r:id="rId10"/>
    <hyperlink xmlns:r="http://schemas.openxmlformats.org/officeDocument/2006/relationships" ref="A11" r:id="rId11"/>
    <hyperlink xmlns:r="http://schemas.openxmlformats.org/officeDocument/2006/relationships" ref="A12" r:id="rId12"/>
    <hyperlink xmlns:r="http://schemas.openxmlformats.org/officeDocument/2006/relationships" ref="A13" r:id="rId13"/>
    <hyperlink xmlns:r="http://schemas.openxmlformats.org/officeDocument/2006/relationships" ref="A14" r:id="rId14"/>
    <hyperlink xmlns:r="http://schemas.openxmlformats.org/officeDocument/2006/relationships" ref="A15" r:id="rId15"/>
    <hyperlink xmlns:r="http://schemas.openxmlformats.org/officeDocument/2006/relationships" ref="A16" r:id="rId16"/>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45" customWidth="1" min="2" max="2"/>
    <col width="13" customWidth="1" min="3" max="3"/>
    <col width="24" customWidth="1" min="4" max="4"/>
    <col width="23" customWidth="1" min="5" max="5"/>
    <col width="40" customWidth="1" min="6" max="6"/>
    <col width="19" customWidth="1" min="7" max="7"/>
    <col width="22" customWidth="1" min="8" max="8"/>
    <col width="20" customWidth="1" min="9" max="9"/>
    <col width="27" customWidth="1" min="10" max="10"/>
    <col width="22" customWidth="1" min="11" max="11"/>
    <col width="20" customWidth="1" min="12" max="12"/>
  </cols>
  <sheetData>
    <row r="1">
      <c r="A1" s="1" t="inlineStr">
        <is>
          <t>Sitemap URL</t>
        </is>
      </c>
      <c r="B1" s="1" t="inlineStr">
        <is>
          <t>Final URL</t>
        </is>
      </c>
      <c r="C1" s="1" t="inlineStr">
        <is>
          <t>Status Code</t>
        </is>
      </c>
      <c r="D1" s="1" t="inlineStr">
        <is>
          <t>In Sitemap but Non-200</t>
        </is>
      </c>
      <c r="E1" s="1" t="inlineStr">
        <is>
          <t>Sitemap URL Redirects</t>
        </is>
      </c>
      <c r="F1" s="1" t="inlineStr">
        <is>
          <t>In Sitemap but Canonicalized Elsewhere</t>
        </is>
      </c>
      <c r="G1" s="1" t="inlineStr">
        <is>
          <t>Missing &lt;lastmod&gt;</t>
        </is>
      </c>
      <c r="H1" s="1" t="inlineStr">
        <is>
          <t>Missing &lt;changefreq&gt;</t>
        </is>
      </c>
      <c r="I1" s="1" t="inlineStr">
        <is>
          <t>Missing &lt;priority&gt;</t>
        </is>
      </c>
      <c r="J1" s="1" t="inlineStr">
        <is>
          <t>Sitemap &lt;lastmod&gt;</t>
        </is>
      </c>
      <c r="K1" s="1" t="inlineStr">
        <is>
          <t>Sitemap &lt;changefreq&gt;</t>
        </is>
      </c>
      <c r="L1" s="1" t="inlineStr">
        <is>
          <t>Sitemap &lt;priority&gt;</t>
        </is>
      </c>
      <c r="M1" s="36" t="inlineStr">
        <is>
          <t>BACK TO DASHBOARD</t>
        </is>
      </c>
    </row>
    <row r="2">
      <c r="A2" s="64" t="inlineStr">
        <is>
          <t>https://asconafrica.org/</t>
        </is>
      </c>
      <c r="B2" s="40" t="inlineStr">
        <is>
          <t>https://asconafrica.org/</t>
        </is>
      </c>
      <c r="C2" s="4" t="n">
        <v>200</v>
      </c>
      <c r="D2" s="4" t="b">
        <v>0</v>
      </c>
      <c r="E2" s="40" t="b">
        <v>0</v>
      </c>
      <c r="F2" s="37" t="b">
        <v>0</v>
      </c>
      <c r="G2" s="65" t="b">
        <v>0</v>
      </c>
      <c r="H2" s="4" t="b">
        <v>0</v>
      </c>
      <c r="I2" s="4" t="b">
        <v>0</v>
      </c>
      <c r="J2" s="51" t="inlineStr">
        <is>
          <t>2026-04-16T11:37:51+00:00</t>
        </is>
      </c>
      <c r="K2" s="37" t="inlineStr">
        <is>
          <t>always</t>
        </is>
      </c>
      <c r="L2" s="37" t="inlineStr">
        <is>
          <t>1</t>
        </is>
      </c>
    </row>
    <row r="3">
      <c r="A3" s="64" t="inlineStr">
        <is>
          <t>https://asconafrica.org/2026-ascon-awards/</t>
        </is>
      </c>
      <c r="B3" s="43" t="inlineStr">
        <is>
          <t>https://asconafrica.org/2026-ascon-awards/</t>
        </is>
      </c>
      <c r="C3" s="4" t="n">
        <v>200</v>
      </c>
      <c r="D3" s="4" t="b">
        <v>0</v>
      </c>
      <c r="E3" s="43" t="b">
        <v>0</v>
      </c>
      <c r="F3" s="6" t="b">
        <v>0</v>
      </c>
      <c r="G3" s="65" t="b">
        <v>0</v>
      </c>
      <c r="H3" s="4" t="b">
        <v>0</v>
      </c>
      <c r="I3" s="4" t="b">
        <v>0</v>
      </c>
      <c r="J3" s="54" t="inlineStr">
        <is>
          <t>2026-04-24T13:56:35+00:00</t>
        </is>
      </c>
      <c r="K3" s="6" t="inlineStr">
        <is>
          <t>weekly</t>
        </is>
      </c>
      <c r="L3" s="6" t="inlineStr">
        <is>
          <t>0.7</t>
        </is>
      </c>
    </row>
    <row r="4">
      <c r="A4" s="64" t="inlineStr">
        <is>
          <t>https://asconafrica.org/our-members/</t>
        </is>
      </c>
      <c r="B4" s="40" t="inlineStr">
        <is>
          <t>https://asconafrica.org/our-members/</t>
        </is>
      </c>
      <c r="C4" s="4" t="n">
        <v>200</v>
      </c>
      <c r="D4" s="4" t="b">
        <v>0</v>
      </c>
      <c r="E4" s="40" t="b">
        <v>0</v>
      </c>
      <c r="F4" s="37" t="b">
        <v>0</v>
      </c>
      <c r="G4" s="65" t="b">
        <v>0</v>
      </c>
      <c r="H4" s="4" t="b">
        <v>0</v>
      </c>
      <c r="I4" s="4" t="b">
        <v>0</v>
      </c>
      <c r="J4" s="51" t="inlineStr">
        <is>
          <t>2026-04-16T11:43:28+00:00</t>
        </is>
      </c>
      <c r="K4" s="37" t="inlineStr">
        <is>
          <t>weekly</t>
        </is>
      </c>
      <c r="L4" s="37" t="inlineStr">
        <is>
          <t>0.7</t>
        </is>
      </c>
    </row>
    <row r="5">
      <c r="A5" s="64" t="inlineStr">
        <is>
          <t>https://asconafrica.org/news/</t>
        </is>
      </c>
      <c r="B5" s="43" t="inlineStr">
        <is>
          <t>https://asconafrica.org/news/</t>
        </is>
      </c>
      <c r="C5" s="4" t="n">
        <v>200</v>
      </c>
      <c r="D5" s="4" t="b">
        <v>0</v>
      </c>
      <c r="E5" s="43" t="b">
        <v>0</v>
      </c>
      <c r="F5" s="6" t="b">
        <v>0</v>
      </c>
      <c r="G5" s="65" t="b">
        <v>0</v>
      </c>
      <c r="H5" s="4" t="b">
        <v>0</v>
      </c>
      <c r="I5" s="4" t="b">
        <v>0</v>
      </c>
      <c r="J5" s="54" t="inlineStr">
        <is>
          <t>2026-04-14T11:49:34+00:00</t>
        </is>
      </c>
      <c r="K5" s="6" t="inlineStr">
        <is>
          <t>weekly</t>
        </is>
      </c>
      <c r="L5" s="6" t="inlineStr">
        <is>
          <t>0.7</t>
        </is>
      </c>
    </row>
    <row r="6">
      <c r="A6" s="64" t="inlineStr">
        <is>
          <t>https://asconafrica.org/2026-ascon-conference/</t>
        </is>
      </c>
      <c r="B6" s="40" t="inlineStr">
        <is>
          <t>https://asconafrica.org/2026-ascon-conference/</t>
        </is>
      </c>
      <c r="C6" s="4" t="n">
        <v>200</v>
      </c>
      <c r="D6" s="4" t="b">
        <v>0</v>
      </c>
      <c r="E6" s="40" t="b">
        <v>0</v>
      </c>
      <c r="F6" s="37" t="b">
        <v>0</v>
      </c>
      <c r="G6" s="65" t="b">
        <v>0</v>
      </c>
      <c r="H6" s="4" t="b">
        <v>0</v>
      </c>
      <c r="I6" s="4" t="b">
        <v>0</v>
      </c>
      <c r="J6" s="51" t="inlineStr">
        <is>
          <t>2026-04-14T11:21:18+00:00</t>
        </is>
      </c>
      <c r="K6" s="37" t="inlineStr">
        <is>
          <t>weekly</t>
        </is>
      </c>
      <c r="L6" s="37" t="inlineStr">
        <is>
          <t>0.7</t>
        </is>
      </c>
    </row>
    <row r="7">
      <c r="A7" s="64" t="inlineStr">
        <is>
          <t>https://asconafrica.org/about-us/</t>
        </is>
      </c>
      <c r="B7" s="43" t="inlineStr">
        <is>
          <t>https://asconafrica.org/about-us/</t>
        </is>
      </c>
      <c r="C7" s="4" t="n">
        <v>200</v>
      </c>
      <c r="D7" s="4" t="b">
        <v>0</v>
      </c>
      <c r="E7" s="43" t="b">
        <v>0</v>
      </c>
      <c r="F7" s="6" t="b">
        <v>0</v>
      </c>
      <c r="G7" s="65" t="b">
        <v>0</v>
      </c>
      <c r="H7" s="4" t="b">
        <v>0</v>
      </c>
      <c r="I7" s="4" t="b">
        <v>0</v>
      </c>
      <c r="J7" s="54" t="inlineStr">
        <is>
          <t>2026-04-09T14:49:22+00:00</t>
        </is>
      </c>
      <c r="K7" s="6" t="inlineStr">
        <is>
          <t>weekly</t>
        </is>
      </c>
      <c r="L7" s="6" t="inlineStr">
        <is>
          <t>0.7</t>
        </is>
      </c>
    </row>
    <row r="8">
      <c r="A8" s="64" t="inlineStr">
        <is>
          <t>https://asconafrica.org/privacy-policy/</t>
        </is>
      </c>
      <c r="B8" s="40" t="inlineStr">
        <is>
          <t>https://asconafrica.org/privacy-policy/</t>
        </is>
      </c>
      <c r="C8" s="4" t="n">
        <v>200</v>
      </c>
      <c r="D8" s="4" t="b">
        <v>0</v>
      </c>
      <c r="E8" s="40" t="b">
        <v>0</v>
      </c>
      <c r="F8" s="37" t="b">
        <v>0</v>
      </c>
      <c r="G8" s="65" t="b">
        <v>0</v>
      </c>
      <c r="H8" s="4" t="b">
        <v>0</v>
      </c>
      <c r="I8" s="4" t="b">
        <v>0</v>
      </c>
      <c r="J8" s="51" t="inlineStr">
        <is>
          <t>2026-03-26T14:35:45+00:00</t>
        </is>
      </c>
      <c r="K8" s="37" t="inlineStr">
        <is>
          <t>weekly</t>
        </is>
      </c>
      <c r="L8" s="37" t="inlineStr">
        <is>
          <t>0.7</t>
        </is>
      </c>
    </row>
    <row r="9" ht="30" customHeight="1">
      <c r="A9" s="64" t="inlineStr">
        <is>
          <t>https://asconafrica.org/2026-ascon-conference/thank-you-for-signing-up/</t>
        </is>
      </c>
      <c r="B9" s="43" t="inlineStr">
        <is>
          <t>https://asconafrica.org/2026-ascon-conference/thank-you-for-signing-up/</t>
        </is>
      </c>
      <c r="C9" s="4" t="n">
        <v>200</v>
      </c>
      <c r="D9" s="4" t="b">
        <v>0</v>
      </c>
      <c r="E9" s="43" t="b">
        <v>0</v>
      </c>
      <c r="F9" s="6" t="b">
        <v>0</v>
      </c>
      <c r="G9" s="65" t="b">
        <v>0</v>
      </c>
      <c r="H9" s="4" t="b">
        <v>0</v>
      </c>
      <c r="I9" s="4" t="b">
        <v>0</v>
      </c>
      <c r="J9" s="54" t="inlineStr">
        <is>
          <t>2026-03-26T07:04:42+00:00</t>
        </is>
      </c>
      <c r="K9" s="6" t="inlineStr">
        <is>
          <t>weekly</t>
        </is>
      </c>
      <c r="L9" s="6" t="inlineStr">
        <is>
          <t>0.7</t>
        </is>
      </c>
    </row>
    <row r="10" ht="30" customHeight="1">
      <c r="A10" s="64" t="inlineStr">
        <is>
          <t>https://asconafrica.org/thank-you-for-signing-up-for-updates/</t>
        </is>
      </c>
      <c r="B10" s="40" t="inlineStr">
        <is>
          <t>https://asconafrica.org/thank-you-for-signing-up-for-updates/</t>
        </is>
      </c>
      <c r="C10" s="4" t="n">
        <v>200</v>
      </c>
      <c r="D10" s="4" t="b">
        <v>0</v>
      </c>
      <c r="E10" s="40" t="b">
        <v>0</v>
      </c>
      <c r="F10" s="37" t="b">
        <v>0</v>
      </c>
      <c r="G10" s="65" t="b">
        <v>0</v>
      </c>
      <c r="H10" s="4" t="b">
        <v>0</v>
      </c>
      <c r="I10" s="4" t="b">
        <v>0</v>
      </c>
      <c r="J10" s="51" t="inlineStr">
        <is>
          <t>2026-03-26T06:59:08+00:00</t>
        </is>
      </c>
      <c r="K10" s="37" t="inlineStr">
        <is>
          <t>weekly</t>
        </is>
      </c>
      <c r="L10" s="37" t="inlineStr">
        <is>
          <t>0.7</t>
        </is>
      </c>
    </row>
    <row r="11" ht="45" customHeight="1">
      <c r="A11" s="64" t="inlineStr">
        <is>
          <t>https://asconafrica.org/launch-event-2026-ascon-conference/thank-you-for-registering-conference-launch/</t>
        </is>
      </c>
      <c r="B11" s="43" t="inlineStr">
        <is>
          <t>https://asconafrica.org/launch-event-2026-ascon-conference/thank-you-for-registering-conference-launch/</t>
        </is>
      </c>
      <c r="C11" s="4" t="n">
        <v>200</v>
      </c>
      <c r="D11" s="4" t="b">
        <v>0</v>
      </c>
      <c r="E11" s="43" t="b">
        <v>0</v>
      </c>
      <c r="F11" s="6" t="b">
        <v>0</v>
      </c>
      <c r="G11" s="65" t="b">
        <v>0</v>
      </c>
      <c r="H11" s="4" t="b">
        <v>0</v>
      </c>
      <c r="I11" s="4" t="b">
        <v>0</v>
      </c>
      <c r="J11" s="54" t="inlineStr">
        <is>
          <t>2026-03-26T06:51:40+00:00</t>
        </is>
      </c>
      <c r="K11" s="6" t="inlineStr">
        <is>
          <t>weekly</t>
        </is>
      </c>
      <c r="L11" s="6" t="inlineStr">
        <is>
          <t>0.7</t>
        </is>
      </c>
    </row>
    <row r="12" ht="30" customHeight="1">
      <c r="A12" s="64" t="inlineStr">
        <is>
          <t>https://asconafrica.org/2026-ascon-awards/thank-you-for-your-nomination/</t>
        </is>
      </c>
      <c r="B12" s="40" t="inlineStr">
        <is>
          <t>https://asconafrica.org/2026-ascon-awards/thank-you-for-your-nomination/</t>
        </is>
      </c>
      <c r="C12" s="4" t="n">
        <v>200</v>
      </c>
      <c r="D12" s="4" t="b">
        <v>0</v>
      </c>
      <c r="E12" s="40" t="b">
        <v>0</v>
      </c>
      <c r="F12" s="37" t="b">
        <v>0</v>
      </c>
      <c r="G12" s="65" t="b">
        <v>0</v>
      </c>
      <c r="H12" s="4" t="b">
        <v>0</v>
      </c>
      <c r="I12" s="4" t="b">
        <v>0</v>
      </c>
      <c r="J12" s="51" t="inlineStr">
        <is>
          <t>2026-03-26T06:47:09+00:00</t>
        </is>
      </c>
      <c r="K12" s="37" t="inlineStr">
        <is>
          <t>weekly</t>
        </is>
      </c>
      <c r="L12" s="37" t="inlineStr">
        <is>
          <t>0.7</t>
        </is>
      </c>
    </row>
    <row r="13" ht="30" customHeight="1">
      <c r="A13" s="64" t="inlineStr">
        <is>
          <t>https://asconafrica.org/launch-event-2026-ascon-conference/</t>
        </is>
      </c>
      <c r="B13" s="43" t="inlineStr">
        <is>
          <t>https://asconafrica.org/launch-event-2026-ascon-conference/</t>
        </is>
      </c>
      <c r="C13" s="4" t="n">
        <v>200</v>
      </c>
      <c r="D13" s="4" t="b">
        <v>0</v>
      </c>
      <c r="E13" s="43" t="b">
        <v>0</v>
      </c>
      <c r="F13" s="6" t="b">
        <v>0</v>
      </c>
      <c r="G13" s="65" t="b">
        <v>0</v>
      </c>
      <c r="H13" s="4" t="b">
        <v>0</v>
      </c>
      <c r="I13" s="4" t="b">
        <v>0</v>
      </c>
      <c r="J13" s="54" t="inlineStr">
        <is>
          <t>2026-03-19T14:12:48+00:00</t>
        </is>
      </c>
      <c r="K13" s="6" t="inlineStr">
        <is>
          <t>weekly</t>
        </is>
      </c>
      <c r="L13" s="6" t="inlineStr">
        <is>
          <t>0.7</t>
        </is>
      </c>
    </row>
    <row r="14">
      <c r="A14" s="64" t="inlineStr">
        <is>
          <t>https://asconafrica.org/unsubscribe-form/</t>
        </is>
      </c>
      <c r="B14" s="40" t="inlineStr">
        <is>
          <t>https://asconafrica.org/unsubscribe-form/</t>
        </is>
      </c>
      <c r="C14" s="4" t="n">
        <v>200</v>
      </c>
      <c r="D14" s="4" t="b">
        <v>0</v>
      </c>
      <c r="E14" s="40" t="b">
        <v>0</v>
      </c>
      <c r="F14" s="37" t="b">
        <v>0</v>
      </c>
      <c r="G14" s="65" t="b">
        <v>0</v>
      </c>
      <c r="H14" s="4" t="b">
        <v>0</v>
      </c>
      <c r="I14" s="4" t="b">
        <v>0</v>
      </c>
      <c r="J14" s="51" t="inlineStr">
        <is>
          <t>2026-03-04T06:35:13+00:00</t>
        </is>
      </c>
      <c r="K14" s="37" t="inlineStr">
        <is>
          <t>weekly</t>
        </is>
      </c>
      <c r="L14" s="37" t="inlineStr">
        <is>
          <t>0.7</t>
        </is>
      </c>
    </row>
    <row r="15" ht="30" customHeight="1">
      <c r="A15" s="64" t="inlineStr">
        <is>
          <t>https://asconafrica.org/unsubscribe-form/successfully-unsubscribed/</t>
        </is>
      </c>
      <c r="B15" s="43" t="inlineStr">
        <is>
          <t>https://asconafrica.org/unsubscribe-form/successfully-unsubscribed/</t>
        </is>
      </c>
      <c r="C15" s="4" t="n">
        <v>200</v>
      </c>
      <c r="D15" s="4" t="b">
        <v>0</v>
      </c>
      <c r="E15" s="43" t="b">
        <v>0</v>
      </c>
      <c r="F15" s="6" t="b">
        <v>0</v>
      </c>
      <c r="G15" s="65" t="b">
        <v>0</v>
      </c>
      <c r="H15" s="4" t="b">
        <v>0</v>
      </c>
      <c r="I15" s="4" t="b">
        <v>0</v>
      </c>
      <c r="J15" s="54" t="inlineStr">
        <is>
          <t>2026-03-04T06:32:51+00:00</t>
        </is>
      </c>
      <c r="K15" s="6" t="inlineStr">
        <is>
          <t>weekly</t>
        </is>
      </c>
      <c r="L15" s="6" t="inlineStr">
        <is>
          <t>0.7</t>
        </is>
      </c>
    </row>
    <row r="16">
      <c r="A16" s="64" t="inlineStr">
        <is>
          <t>https://asconafrica.org/contact-us/</t>
        </is>
      </c>
      <c r="B16" s="40" t="inlineStr">
        <is>
          <t>https://asconafrica.org/contact-us/</t>
        </is>
      </c>
      <c r="C16" s="4" t="n">
        <v>200</v>
      </c>
      <c r="D16" s="4" t="b">
        <v>0</v>
      </c>
      <c r="E16" s="40" t="b">
        <v>0</v>
      </c>
      <c r="F16" s="37" t="b">
        <v>0</v>
      </c>
      <c r="G16" s="65" t="b">
        <v>0</v>
      </c>
      <c r="H16" s="4" t="b">
        <v>0</v>
      </c>
      <c r="I16" s="4" t="b">
        <v>0</v>
      </c>
      <c r="J16" s="51" t="inlineStr">
        <is>
          <t>2026-02-13T11:31:00+00:00</t>
        </is>
      </c>
      <c r="K16" s="37" t="inlineStr">
        <is>
          <t>weekly</t>
        </is>
      </c>
      <c r="L16" s="37" t="inlineStr">
        <is>
          <t>0.7</t>
        </is>
      </c>
    </row>
  </sheetData>
  <autoFilter ref="A1:L16"/>
  <conditionalFormatting sqref="C2:C16">
    <cfRule type="cellIs" priority="1" operator="equal" dxfId="0">
      <formula>200</formula>
    </cfRule>
    <cfRule type="cellIs" priority="2" operator="between" dxfId="1">
      <formula>300</formula>
      <formula>399</formula>
    </cfRule>
    <cfRule type="cellIs" priority="3" operator="greaterThanOrEqual" dxfId="2">
      <formula>400</formula>
    </cfRule>
  </conditionalFormatting>
  <dataValidations count="13">
    <dataValidation sqref="A1" showDropDown="0" showInputMessage="1" showErrorMessage="0" allowBlank="1" promptTitle="Sitemap URL" prompt="Sitemap URL. Use this URL to inspect the page directly or jump to related tabs." type="custom">
      <formula1>TRUE</formula1>
    </dataValidation>
    <dataValidation sqref="B1" showDropDown="0" showInputMessage="1" showErrorMessage="0" allowBlank="1" promptTitle="Final URL" prompt="Final URL. Use this URL to inspect the page directly or jump to related tabs." type="custom">
      <formula1>TRUE</formula1>
    </dataValidation>
    <dataValidation sqref="C1" showDropDown="0" showInputMessage="1" showErrorMessage="0" allowBlank="1" promptTitle="Status Code" prompt="HTTP response code returned for this page/resource. Fix: Resolve 4xx/5xx errors and reduce unnecessary redirects." type="custom">
      <formula1>TRUE</formula1>
    </dataValidation>
    <dataValidation sqref="D1" showDropDown="0" showInputMessage="1" showErrorMessage="0" allowBlank="1" promptTitle="In Sitemap but Non-200" prompt="In Sitemap but Non-200. Review this metric to identify risk, then use linked tabs for details and remediation." type="custom">
      <formula1>TRUE</formula1>
    </dataValidation>
    <dataValidation sqref="E1" showDropDown="0" showInputMessage="1" showErrorMessage="0" allowBlank="1" promptTitle="Sitemap URL Redirects" prompt="Sitemap URL Redirects. Use this URL to inspect the page directly or jump to related tabs." type="custom">
      <formula1>TRUE</formula1>
    </dataValidation>
    <dataValidation sqref="F1" showDropDown="0" showInputMessage="1" showErrorMessage="0" allowBlank="1" promptTitle="In Sitemap but Canonicalized Els" prompt="Indexing/canonicalization signal. Fix: ensure indexable pages use correct canonicals and non-conflicting directives." type="custom">
      <formula1>TRUE</formula1>
    </dataValidation>
    <dataValidation sqref="G1" showDropDown="0" showInputMessage="1" showErrorMessage="0" allowBlank="1" promptTitle="Missing &lt;lastmod&gt;" prompt="Missing &lt;lastmod&gt;. Review this metric to identify risk, then use linked tabs for details and remediation." type="custom">
      <formula1>TRUE</formula1>
    </dataValidation>
    <dataValidation sqref="H1" showDropDown="0" showInputMessage="1" showErrorMessage="0" allowBlank="1" promptTitle="Missing &lt;changefreq&gt;" prompt="Missing &lt;changefreq&gt;. Review this metric to identify risk, then use linked tabs for details and remediation." type="custom">
      <formula1>TRUE</formula1>
    </dataValidation>
    <dataValidation sqref="I1" showDropDown="0" showInputMessage="1" showErrorMessage="0" allowBlank="1" promptTitle="Missing &lt;priority&gt;" prompt="Missing &lt;priority&gt;. Review this metric to identify risk, then use linked tabs for details and remediation." type="custom">
      <formula1>TRUE</formula1>
    </dataValidation>
    <dataValidation sqref="J1" showDropDown="0" showInputMessage="1" showErrorMessage="0" allowBlank="1" promptTitle="Sitemap &lt;lastmod&gt;" prompt="Sitemap &lt;lastmod&gt;. Review this metric to identify risk, then use linked tabs for details and remediation." type="custom">
      <formula1>TRUE</formula1>
    </dataValidation>
    <dataValidation sqref="K1" showDropDown="0" showInputMessage="1" showErrorMessage="0" allowBlank="1" promptTitle="Sitemap &lt;changefreq&gt;" prompt="Sitemap &lt;changefreq&gt;. Review this metric to identify risk, then use linked tabs for details and remediation." type="custom">
      <formula1>TRUE</formula1>
    </dataValidation>
    <dataValidation sqref="L1" showDropDown="0" showInputMessage="1" showErrorMessage="0" allowBlank="1" promptTitle="Sitemap &lt;priority&gt;" prompt="Sitemap &lt;priority&gt;. Review this metric to identify risk, then use linked tabs for details and remediation." type="custom">
      <formula1>TRUE</formula1>
    </dataValidation>
    <dataValidation sqref="M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M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7" customWidth="1" min="2" max="2"/>
  </cols>
  <sheetData>
    <row r="1">
      <c r="A1" s="1" t="inlineStr">
        <is>
          <t>Metric</t>
        </is>
      </c>
      <c r="B1" s="1" t="inlineStr">
        <is>
          <t>Count</t>
        </is>
      </c>
      <c r="C1" s="36" t="inlineStr">
        <is>
          <t>BACK TO DASHBOARD</t>
        </is>
      </c>
    </row>
    <row r="2">
      <c r="A2" s="4" t="inlineStr">
        <is>
          <t>New Issues</t>
        </is>
      </c>
      <c r="B2" s="37" t="n">
        <v>132</v>
      </c>
    </row>
    <row r="3">
      <c r="A3" s="4" t="inlineStr">
        <is>
          <t>Resolved Issues</t>
        </is>
      </c>
      <c r="B3" s="6" t="n">
        <v>0</v>
      </c>
    </row>
    <row r="4">
      <c r="A4" s="4" t="inlineStr">
        <is>
          <t>Unchanged Issues</t>
        </is>
      </c>
      <c r="B4" s="37" t="n">
        <v>0</v>
      </c>
    </row>
    <row r="5">
      <c r="A5" s="4" t="inlineStr">
        <is>
          <t>Issue Delta: Non-200 Status</t>
        </is>
      </c>
      <c r="B5" s="6" t="n">
        <v>0</v>
      </c>
    </row>
    <row r="6">
      <c r="A6" s="4" t="inlineStr">
        <is>
          <t>Issue Delta: Noindex Directive</t>
        </is>
      </c>
      <c r="B6" s="37" t="n">
        <v>0</v>
      </c>
    </row>
    <row r="7">
      <c r="A7" s="4" t="inlineStr">
        <is>
          <t>Issue Delta: Canonical Points Elsewhere</t>
        </is>
      </c>
      <c r="B7" s="6" t="n">
        <v>0</v>
      </c>
    </row>
    <row r="8">
      <c r="A8" s="4" t="inlineStr">
        <is>
          <t>Issue Delta: Robots.txt Disallow Root</t>
        </is>
      </c>
      <c r="B8" s="37" t="n">
        <v>0</v>
      </c>
    </row>
    <row r="9">
      <c r="A9" s="4" t="inlineStr">
        <is>
          <t>Issue Delta: Broken Internal Links</t>
        </is>
      </c>
      <c r="B9" s="6" t="n">
        <v>0</v>
      </c>
    </row>
    <row r="10">
      <c r="A10" s="4" t="inlineStr">
        <is>
          <t>Issue Delta: Redirect Chains</t>
        </is>
      </c>
      <c r="B10" s="37" t="n">
        <v>0</v>
      </c>
    </row>
    <row r="11">
      <c r="A11" s="4" t="inlineStr">
        <is>
          <t>Issue Delta: Missing Title</t>
        </is>
      </c>
      <c r="B11" s="6" t="n">
        <v>0</v>
      </c>
    </row>
    <row r="12">
      <c r="A12" s="4" t="inlineStr">
        <is>
          <t>Issue Delta: Missing Meta Description</t>
        </is>
      </c>
      <c r="B12" s="37" t="n">
        <v>0</v>
      </c>
    </row>
    <row r="13">
      <c r="A13" s="4" t="inlineStr">
        <is>
          <t>Issue Delta: Missing H1</t>
        </is>
      </c>
      <c r="B13" s="6" t="n">
        <v>6</v>
      </c>
    </row>
    <row r="14">
      <c r="A14" s="4" t="inlineStr">
        <is>
          <t>Issue Delta: Multiple H1</t>
        </is>
      </c>
      <c r="B14" s="37" t="n">
        <v>0</v>
      </c>
    </row>
    <row r="15">
      <c r="A15" s="4" t="inlineStr">
        <is>
          <t>Issue Delta: Thin Content</t>
        </is>
      </c>
      <c r="B15" s="6" t="n">
        <v>8</v>
      </c>
    </row>
    <row r="16">
      <c r="A16" s="4" t="inlineStr">
        <is>
          <t>Issue Delta: Low Image Alt Coverage</t>
        </is>
      </c>
      <c r="B16" s="37" t="n">
        <v>0</v>
      </c>
    </row>
    <row r="17">
      <c r="A17" s="4" t="inlineStr">
        <is>
          <t>Issue Delta: Mixed Content</t>
        </is>
      </c>
      <c r="B17" s="6" t="n">
        <v>0</v>
      </c>
    </row>
    <row r="18">
      <c r="A18" s="4" t="inlineStr">
        <is>
          <t>Issue Delta: Canonical Missing</t>
        </is>
      </c>
      <c r="B18" s="37" t="n">
        <v>0</v>
      </c>
    </row>
    <row r="19">
      <c r="A19" s="4" t="inlineStr">
        <is>
          <t>Issue Delta: Hreflang Without Reciprocity</t>
        </is>
      </c>
      <c r="B19" s="6" t="n">
        <v>0</v>
      </c>
    </row>
    <row r="20">
      <c r="A20" s="4" t="inlineStr">
        <is>
          <t>Issue Delta: Uses URL Parameters</t>
        </is>
      </c>
      <c r="B20" s="37" t="n">
        <v>0</v>
      </c>
    </row>
    <row r="21">
      <c r="A21" s="4" t="inlineStr">
        <is>
          <t>Issue Delta: Generic Anchor Text Present</t>
        </is>
      </c>
      <c r="B21" s="6" t="n">
        <v>0</v>
      </c>
    </row>
    <row r="22">
      <c r="A22" s="4" t="inlineStr">
        <is>
          <t>Issue Delta: Image Filename Quality Issues</t>
        </is>
      </c>
      <c r="B22" s="37" t="n">
        <v>0</v>
      </c>
    </row>
    <row r="23">
      <c r="A23" s="4" t="inlineStr">
        <is>
          <t>Issue Delta: No Compression Header</t>
        </is>
      </c>
      <c r="B23" s="6" t="n">
        <v>15</v>
      </c>
    </row>
    <row r="24">
      <c r="A24" s="4" t="inlineStr">
        <is>
          <t>Issue Delta: No Cache-Control Header</t>
        </is>
      </c>
      <c r="B24" s="37" t="n">
        <v>15</v>
      </c>
    </row>
    <row r="25">
      <c r="A25" s="4" t="inlineStr">
        <is>
          <t>Issue Delta: No ETag Header</t>
        </is>
      </c>
      <c r="B25" s="6" t="n">
        <v>15</v>
      </c>
    </row>
    <row r="26">
      <c r="A26" s="4" t="inlineStr">
        <is>
          <t>Issue Delta: Low AEO Readiness Score</t>
        </is>
      </c>
      <c r="B26" s="37" t="n">
        <v>15</v>
      </c>
    </row>
    <row r="27">
      <c r="A27" s="4" t="inlineStr">
        <is>
          <t>Issue Delta: No FAQ/QA Schema</t>
        </is>
      </c>
      <c r="B27" s="6" t="n">
        <v>15</v>
      </c>
    </row>
    <row r="28">
      <c r="A28" s="4" t="inlineStr">
        <is>
          <t>Issue Delta: No Question Headings</t>
        </is>
      </c>
      <c r="B28" s="37" t="n">
        <v>14</v>
      </c>
    </row>
    <row r="29">
      <c r="A29" s="4" t="inlineStr">
        <is>
          <t>Issue Delta: No Answer-Friendly Structure</t>
        </is>
      </c>
      <c r="B29" s="6" t="n">
        <v>15</v>
      </c>
    </row>
    <row r="30">
      <c r="A30" s="4" t="inlineStr">
        <is>
          <t>Issue Delta: No 40-60 Word Answer Paragraphs</t>
        </is>
      </c>
      <c r="B30" s="37" t="n">
        <v>14</v>
      </c>
    </row>
  </sheetData>
  <autoFilter ref="A1:B30"/>
  <dataValidations count="3">
    <dataValidation sqref="A1" showDropDown="0" showInputMessage="1" showErrorMessage="0" allowBlank="1" promptTitle="Metric" prompt="Metric. Review this metric to identify risk, then use linked tabs for details and remediation." type="custom">
      <formula1>TRUE</formula1>
    </dataValidation>
    <dataValidation sqref="B1" showDropDown="0" showInputMessage="1" showErrorMessage="0" allowBlank="1" promptTitle="Count" prompt="Count.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7" customWidth="1" min="1" max="1"/>
    <col width="21" customWidth="1" min="2" max="2"/>
  </cols>
  <sheetData>
    <row r="1">
      <c r="A1" s="1" t="inlineStr">
        <is>
          <t>Key</t>
        </is>
      </c>
      <c r="B1" s="1" t="inlineStr">
        <is>
          <t>Value</t>
        </is>
      </c>
      <c r="C1" s="36" t="inlineStr">
        <is>
          <t>BACK TO DASHBOARD</t>
        </is>
      </c>
    </row>
    <row r="2">
      <c r="A2" s="4" t="inlineStr">
        <is>
          <t>Run Timestamp (South Africa format)</t>
        </is>
      </c>
      <c r="B2" s="56" t="inlineStr">
        <is>
          <t>2026-04-30 11:06:09</t>
        </is>
      </c>
    </row>
    <row r="3">
      <c r="A3" s="4" t="inlineStr">
        <is>
          <t>Total URLs</t>
        </is>
      </c>
      <c r="B3" s="7" t="n">
        <v>15</v>
      </c>
    </row>
    <row r="4">
      <c r="A4" s="4" t="inlineStr">
        <is>
          <t>Mode</t>
        </is>
      </c>
      <c r="B4" s="56" t="inlineStr">
        <is>
          <t>Full Suite</t>
        </is>
      </c>
    </row>
    <row r="5">
      <c r="A5" s="4" t="inlineStr">
        <is>
          <t>Workers</t>
        </is>
      </c>
      <c r="B5" s="7" t="n">
        <v>2</v>
      </c>
    </row>
    <row r="6">
      <c r="A6" s="4" t="inlineStr">
        <is>
          <t>Delay Seconds</t>
        </is>
      </c>
      <c r="B6" s="56" t="n">
        <v>4</v>
      </c>
    </row>
    <row r="7">
      <c r="A7" s="4" t="inlineStr">
        <is>
          <t>Retries</t>
        </is>
      </c>
      <c r="B7" s="7" t="n">
        <v>3</v>
      </c>
    </row>
    <row r="8">
      <c r="A8" s="4" t="inlineStr">
        <is>
          <t>Timeout Seconds</t>
        </is>
      </c>
      <c r="B8" s="56" t="n">
        <v>20</v>
      </c>
    </row>
    <row r="9">
      <c r="A9" s="4" t="inlineStr">
        <is>
          <t>Checkpoint Every</t>
        </is>
      </c>
      <c r="B9" s="7" t="n">
        <v>0</v>
      </c>
    </row>
  </sheetData>
  <autoFilter ref="A1:B9"/>
  <dataValidations count="3">
    <dataValidation sqref="A1" showDropDown="0" showInputMessage="1" showErrorMessage="0" allowBlank="1" promptTitle="Key" prompt="Key. Review this metric to identify risk, then use linked tabs for details and remediation." type="custom">
      <formula1>TRUE</formula1>
    </dataValidation>
    <dataValidation sqref="B1" showDropDown="0" showInputMessage="1" showErrorMessage="0" allowBlank="1" promptTitle="Value" prompt="Value. Review this metric to identify risk, then use linked tabs for details and remediation." type="custom">
      <formula1>TRUE</formula1>
    </dataValidation>
    <dataValidation sqref="C1" showDropDown="0" showInputMessage="1" showErrorMessage="0" allowBlank="1" promptTitle="BACK TO DASHBOARD" prompt="BACK TO DASHBOARD. Review this metric to identify risk, then use linked tabs for details and remediation." type="custom">
      <formula1>TRUE</formula1>
    </dataValidation>
  </dataValidations>
  <hyperlinks>
    <hyperlink xmlns:r="http://schemas.openxmlformats.org/officeDocument/2006/relationships" ref="C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2026-04-30T09:06:09Z</dcterms:created>
  <dcterms:modified xmlns:dcterms="http://purl.org/dc/terms/" xmlns:xsi="http://www.w3.org/2001/XMLSchema-instance" xsi:type="dcterms:W3CDTF">2026-04-30T09:06:09Z</dcterms:modified>
</cp:coreProperties>
</file>